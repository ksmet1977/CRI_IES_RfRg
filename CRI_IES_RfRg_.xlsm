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macrosheets/sheet1.xml" ContentType="application/vnd.ms-excel.macro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Kevin\Downloads\"/>
    </mc:Choice>
  </mc:AlternateContent>
  <bookViews>
    <workbookView xWindow="120" yWindow="130" windowWidth="19150" windowHeight="8760" activeTab="2"/>
  </bookViews>
  <sheets>
    <sheet name="Color metric" sheetId="7" r:id="rId1"/>
    <sheet name="Calculator" sheetId="6" r:id="rId2"/>
    <sheet name="xyzs" sheetId="1" r:id="rId3"/>
    <sheet name="99set" sheetId="2" r:id="rId4"/>
    <sheet name="Reference" sheetId="5" r:id="rId5"/>
    <sheet name="CCT.v" sheetId="4" r:id="rId6"/>
  </sheets>
  <externalReferences>
    <externalReference r:id="rId7"/>
    <externalReference r:id="rId8"/>
  </externalReferences>
  <definedNames>
    <definedName name="CAM_UCS_xyY">[1]CAM_UCS!$A$1</definedName>
    <definedName name="CCT" localSheetId="4">'CCT.v'!$A$1</definedName>
    <definedName name="CCT">'CCT.v'!$A$1</definedName>
    <definedName name="CMCCAT">[2]CMCCAT!$A$1</definedName>
    <definedName name="CMCCATv">[2]CMCCAT!$B$1</definedName>
    <definedName name="DOMIN" function="1" xlm="1">#REF!</definedName>
    <definedName name="DOMIN_V">#REF!</definedName>
    <definedName name="Duvtoxy">[2]Duvtoxy!$A$1</definedName>
    <definedName name="LAB">[2]CIELAB!$A$1</definedName>
    <definedName name="Monochromator" function="1" xlm="1">#REF!</definedName>
    <definedName name="RUNMACRO">#REF!</definedName>
    <definedName name="x" localSheetId="5">0.441415579892163</definedName>
    <definedName name="xy" localSheetId="5">'CCT.v'!$D$1:$D$2</definedName>
    <definedName name="y" localSheetId="5">0.405562683911181</definedName>
  </definedNames>
  <calcPr calcId="152511"/>
</workbook>
</file>

<file path=xl/calcChain.xml><?xml version="1.0" encoding="utf-8"?>
<calcChain xmlns="http://schemas.openxmlformats.org/spreadsheetml/2006/main">
  <c r="B91" i="6" l="1"/>
  <c r="B92" i="6" s="1"/>
  <c r="B93" i="6" s="1"/>
  <c r="B94" i="6" s="1"/>
  <c r="B95" i="6" s="1"/>
  <c r="B96" i="6" s="1"/>
  <c r="B97" i="6" s="1"/>
  <c r="B98" i="6" s="1"/>
  <c r="B99" i="6" s="1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" i="6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 s="1"/>
  <c r="B91" i="5" s="1"/>
  <c r="B92" i="5" s="1"/>
  <c r="B93" i="5" s="1"/>
  <c r="B94" i="5" s="1"/>
  <c r="B95" i="5" s="1"/>
  <c r="B96" i="5" s="1"/>
  <c r="B97" i="5" s="1"/>
  <c r="B98" i="5" s="1"/>
  <c r="B99" i="5" s="1"/>
  <c r="B9" i="5"/>
  <c r="B6" i="5" s="1"/>
  <c r="T83" i="7"/>
  <c r="T82" i="7"/>
  <c r="T81" i="7"/>
  <c r="T80" i="7"/>
  <c r="T79" i="7"/>
  <c r="T78" i="7"/>
  <c r="T77" i="7"/>
  <c r="T76" i="7"/>
  <c r="T75" i="7"/>
  <c r="T74" i="7"/>
  <c r="T73" i="7"/>
  <c r="T72" i="7"/>
  <c r="T71" i="7"/>
  <c r="T70" i="7"/>
  <c r="T69" i="7"/>
  <c r="T68" i="7"/>
  <c r="T67" i="7"/>
  <c r="T66" i="7"/>
  <c r="T65" i="7"/>
  <c r="T64" i="7"/>
  <c r="T63" i="7"/>
  <c r="T62" i="7"/>
  <c r="T61" i="7"/>
  <c r="T60" i="7"/>
  <c r="T59" i="7"/>
  <c r="T58" i="7"/>
  <c r="T57" i="7"/>
  <c r="T56" i="7"/>
  <c r="T55" i="7"/>
  <c r="T54" i="7"/>
  <c r="T53" i="7"/>
  <c r="T52" i="7"/>
  <c r="T51" i="7"/>
  <c r="T50" i="7"/>
  <c r="T49" i="7"/>
  <c r="T48" i="7"/>
  <c r="T47" i="7"/>
  <c r="T46" i="7"/>
  <c r="T45" i="7"/>
  <c r="T44" i="7"/>
  <c r="T43" i="7"/>
  <c r="T42" i="7"/>
  <c r="T41" i="7"/>
  <c r="T40" i="7"/>
  <c r="T39" i="7"/>
  <c r="T38" i="7"/>
  <c r="T37" i="7"/>
  <c r="T36" i="7"/>
  <c r="T35" i="7"/>
  <c r="T34" i="7"/>
  <c r="T33" i="7"/>
  <c r="T32" i="7"/>
  <c r="T31" i="7"/>
  <c r="T30" i="7"/>
  <c r="T29" i="7"/>
  <c r="T28" i="7"/>
  <c r="T27" i="7"/>
  <c r="T26" i="7"/>
  <c r="T25" i="7"/>
  <c r="T24" i="7"/>
  <c r="T23" i="7"/>
  <c r="T22" i="7"/>
  <c r="T21" i="7"/>
  <c r="T20" i="7"/>
  <c r="T19" i="7"/>
  <c r="T18" i="7"/>
  <c r="T17" i="7"/>
  <c r="T16" i="7"/>
  <c r="T15" i="7"/>
  <c r="T14" i="7"/>
  <c r="T13" i="7"/>
  <c r="T12" i="7"/>
  <c r="T11" i="7"/>
  <c r="T10" i="7"/>
  <c r="T9" i="7"/>
  <c r="T8" i="7"/>
  <c r="T7" i="7"/>
  <c r="T6" i="7"/>
  <c r="T5" i="7"/>
  <c r="T4" i="7"/>
  <c r="T3" i="7"/>
  <c r="E8" i="7"/>
  <c r="DO5" i="6" a="1"/>
  <c r="DO5" i="6" s="1"/>
  <c r="DO17" i="6"/>
  <c r="DO18" i="6"/>
  <c r="DO28" i="6"/>
  <c r="DO31" i="6"/>
  <c r="DO42" i="6"/>
  <c r="DO43" i="6"/>
  <c r="DO55" i="6"/>
  <c r="DO57" i="6"/>
  <c r="DO68" i="6"/>
  <c r="DO82" i="6"/>
  <c r="DO95" i="6"/>
  <c r="A11" i="2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CZ141" i="6"/>
  <c r="CY141" i="6"/>
  <c r="CL141" i="6"/>
  <c r="CJ141" i="6"/>
  <c r="CI141" i="6"/>
  <c r="BV141" i="6"/>
  <c r="BS141" i="6"/>
  <c r="BN141" i="6"/>
  <c r="BC141" i="6"/>
  <c r="AX141" i="6"/>
  <c r="AU141" i="6"/>
  <c r="AH141" i="6"/>
  <c r="AE141" i="6"/>
  <c r="R141" i="6"/>
  <c r="P141" i="6"/>
  <c r="O141" i="6"/>
  <c r="DA140" i="6"/>
  <c r="DA141" i="6" s="1"/>
  <c r="CZ140" i="6"/>
  <c r="CY140" i="6"/>
  <c r="CX140" i="6"/>
  <c r="CX141" i="6" s="1"/>
  <c r="CW140" i="6"/>
  <c r="CW141" i="6" s="1"/>
  <c r="CV140" i="6"/>
  <c r="CV141" i="6" s="1"/>
  <c r="CU140" i="6"/>
  <c r="CU141" i="6" s="1"/>
  <c r="CT140" i="6"/>
  <c r="CT141" i="6" s="1"/>
  <c r="CS140" i="6"/>
  <c r="CS141" i="6" s="1"/>
  <c r="CR140" i="6"/>
  <c r="CR141" i="6" s="1"/>
  <c r="CQ140" i="6"/>
  <c r="CQ141" i="6" s="1"/>
  <c r="CP140" i="6"/>
  <c r="CP141" i="6" s="1"/>
  <c r="CO140" i="6"/>
  <c r="CO141" i="6" s="1"/>
  <c r="CN140" i="6"/>
  <c r="CN141" i="6" s="1"/>
  <c r="CM140" i="6"/>
  <c r="CM141" i="6" s="1"/>
  <c r="CL140" i="6"/>
  <c r="CK140" i="6"/>
  <c r="CK141" i="6" s="1"/>
  <c r="CJ140" i="6"/>
  <c r="CI140" i="6"/>
  <c r="CH140" i="6"/>
  <c r="CH141" i="6" s="1"/>
  <c r="CG140" i="6"/>
  <c r="CG141" i="6" s="1"/>
  <c r="CF140" i="6"/>
  <c r="CF141" i="6" s="1"/>
  <c r="CE140" i="6"/>
  <c r="CE141" i="6" s="1"/>
  <c r="CD140" i="6"/>
  <c r="CD141" i="6" s="1"/>
  <c r="CC140" i="6"/>
  <c r="CC141" i="6" s="1"/>
  <c r="CB140" i="6"/>
  <c r="CB141" i="6" s="1"/>
  <c r="CA140" i="6"/>
  <c r="CA141" i="6" s="1"/>
  <c r="BZ140" i="6"/>
  <c r="BZ141" i="6" s="1"/>
  <c r="BY140" i="6"/>
  <c r="BY141" i="6" s="1"/>
  <c r="BX140" i="6"/>
  <c r="BX141" i="6" s="1"/>
  <c r="BW140" i="6"/>
  <c r="BW141" i="6" s="1"/>
  <c r="BV140" i="6"/>
  <c r="BU140" i="6"/>
  <c r="BU141" i="6" s="1"/>
  <c r="BT140" i="6"/>
  <c r="BT141" i="6" s="1"/>
  <c r="BS140" i="6"/>
  <c r="BR140" i="6"/>
  <c r="BR141" i="6" s="1"/>
  <c r="BQ140" i="6"/>
  <c r="BQ141" i="6" s="1"/>
  <c r="BP140" i="6"/>
  <c r="BP141" i="6" s="1"/>
  <c r="BO140" i="6"/>
  <c r="BO141" i="6" s="1"/>
  <c r="BN140" i="6"/>
  <c r="BM140" i="6"/>
  <c r="BM141" i="6" s="1"/>
  <c r="BL140" i="6"/>
  <c r="BL141" i="6" s="1"/>
  <c r="BK140" i="6"/>
  <c r="BK141" i="6" s="1"/>
  <c r="BJ140" i="6"/>
  <c r="BJ141" i="6" s="1"/>
  <c r="BI140" i="6"/>
  <c r="BI141" i="6" s="1"/>
  <c r="BH140" i="6"/>
  <c r="BH141" i="6" s="1"/>
  <c r="BG140" i="6"/>
  <c r="BG141" i="6" s="1"/>
  <c r="BF140" i="6"/>
  <c r="BF141" i="6" s="1"/>
  <c r="BE140" i="6"/>
  <c r="BE141" i="6" s="1"/>
  <c r="BD140" i="6"/>
  <c r="BD141" i="6" s="1"/>
  <c r="BC140" i="6"/>
  <c r="BB140" i="6"/>
  <c r="BB141" i="6" s="1"/>
  <c r="BA140" i="6"/>
  <c r="BA141" i="6" s="1"/>
  <c r="AZ140" i="6"/>
  <c r="AZ141" i="6" s="1"/>
  <c r="AY140" i="6"/>
  <c r="AY141" i="6" s="1"/>
  <c r="AX140" i="6"/>
  <c r="AW140" i="6"/>
  <c r="AW141" i="6" s="1"/>
  <c r="AV140" i="6"/>
  <c r="AV141" i="6" s="1"/>
  <c r="AU140" i="6"/>
  <c r="AT140" i="6"/>
  <c r="AT141" i="6" s="1"/>
  <c r="AS140" i="6"/>
  <c r="AS141" i="6" s="1"/>
  <c r="AR140" i="6"/>
  <c r="AR141" i="6" s="1"/>
  <c r="AQ140" i="6"/>
  <c r="AQ141" i="6" s="1"/>
  <c r="AP140" i="6"/>
  <c r="AP141" i="6" s="1"/>
  <c r="AO140" i="6"/>
  <c r="AO141" i="6" s="1"/>
  <c r="AN140" i="6"/>
  <c r="AN141" i="6" s="1"/>
  <c r="AM140" i="6"/>
  <c r="AM141" i="6" s="1"/>
  <c r="AL140" i="6"/>
  <c r="AL141" i="6" s="1"/>
  <c r="AK140" i="6"/>
  <c r="AK141" i="6" s="1"/>
  <c r="AJ140" i="6"/>
  <c r="AJ141" i="6" s="1"/>
  <c r="AI140" i="6"/>
  <c r="AI141" i="6" s="1"/>
  <c r="AH140" i="6"/>
  <c r="AG140" i="6"/>
  <c r="AG141" i="6" s="1"/>
  <c r="AF140" i="6"/>
  <c r="AF141" i="6" s="1"/>
  <c r="AE140" i="6"/>
  <c r="AD140" i="6"/>
  <c r="AD141" i="6" s="1"/>
  <c r="AC140" i="6"/>
  <c r="AC141" i="6" s="1"/>
  <c r="AB140" i="6"/>
  <c r="AB141" i="6" s="1"/>
  <c r="AA140" i="6"/>
  <c r="AA141" i="6" s="1"/>
  <c r="Z140" i="6"/>
  <c r="Z141" i="6" s="1"/>
  <c r="Y140" i="6"/>
  <c r="Y141" i="6" s="1"/>
  <c r="X140" i="6"/>
  <c r="X141" i="6" s="1"/>
  <c r="W140" i="6"/>
  <c r="W141" i="6" s="1"/>
  <c r="V140" i="6"/>
  <c r="V141" i="6" s="1"/>
  <c r="U140" i="6"/>
  <c r="U141" i="6" s="1"/>
  <c r="T140" i="6"/>
  <c r="T141" i="6" s="1"/>
  <c r="S140" i="6"/>
  <c r="S141" i="6" s="1"/>
  <c r="R140" i="6"/>
  <c r="Q140" i="6"/>
  <c r="Q141" i="6" s="1"/>
  <c r="P140" i="6"/>
  <c r="O140" i="6"/>
  <c r="N140" i="6"/>
  <c r="N141" i="6" s="1"/>
  <c r="M140" i="6"/>
  <c r="M141" i="6" s="1"/>
  <c r="L140" i="6"/>
  <c r="L141" i="6" s="1"/>
  <c r="K140" i="6"/>
  <c r="K141" i="6" s="1"/>
  <c r="J140" i="6"/>
  <c r="J141" i="6" s="1"/>
  <c r="I140" i="6"/>
  <c r="I141" i="6" s="1"/>
  <c r="H140" i="6"/>
  <c r="H141" i="6" s="1"/>
  <c r="G140" i="6"/>
  <c r="G141" i="6" s="1"/>
  <c r="F140" i="6"/>
  <c r="F141" i="6" s="1"/>
  <c r="DA59" i="6"/>
  <c r="CZ59" i="6"/>
  <c r="CS59" i="6"/>
  <c r="CR59" i="6"/>
  <c r="CL59" i="6"/>
  <c r="CK59" i="6"/>
  <c r="CJ59" i="6"/>
  <c r="BU59" i="6"/>
  <c r="BT59" i="6"/>
  <c r="BM59" i="6"/>
  <c r="BL59" i="6"/>
  <c r="BE59" i="6"/>
  <c r="BD59" i="6"/>
  <c r="AW59" i="6"/>
  <c r="AV59" i="6"/>
  <c r="AO59" i="6"/>
  <c r="AN59" i="6"/>
  <c r="AG59" i="6"/>
  <c r="AF59" i="6"/>
  <c r="X59" i="6"/>
  <c r="Q59" i="6"/>
  <c r="I59" i="6"/>
  <c r="H59" i="6"/>
  <c r="DA58" i="6"/>
  <c r="CZ58" i="6"/>
  <c r="CY58" i="6"/>
  <c r="CY59" i="6" s="1"/>
  <c r="CX58" i="6"/>
  <c r="CX59" i="6" s="1"/>
  <c r="CW58" i="6"/>
  <c r="CW59" i="6" s="1"/>
  <c r="CV58" i="6"/>
  <c r="CV59" i="6" s="1"/>
  <c r="CU58" i="6"/>
  <c r="CU59" i="6" s="1"/>
  <c r="CT58" i="6"/>
  <c r="CT59" i="6" s="1"/>
  <c r="CS58" i="6"/>
  <c r="CR58" i="6"/>
  <c r="CQ58" i="6"/>
  <c r="CQ59" i="6" s="1"/>
  <c r="CP58" i="6"/>
  <c r="CP59" i="6" s="1"/>
  <c r="CO58" i="6"/>
  <c r="CO59" i="6" s="1"/>
  <c r="CN58" i="6"/>
  <c r="CN59" i="6" s="1"/>
  <c r="CM58" i="6"/>
  <c r="CM59" i="6" s="1"/>
  <c r="CL58" i="6"/>
  <c r="CK58" i="6"/>
  <c r="CJ58" i="6"/>
  <c r="CI58" i="6"/>
  <c r="CI59" i="6" s="1"/>
  <c r="CH58" i="6"/>
  <c r="CH59" i="6" s="1"/>
  <c r="CG58" i="6"/>
  <c r="CG59" i="6" s="1"/>
  <c r="CF58" i="6"/>
  <c r="CF59" i="6" s="1"/>
  <c r="CE58" i="6"/>
  <c r="CE59" i="6" s="1"/>
  <c r="CD58" i="6"/>
  <c r="CD59" i="6" s="1"/>
  <c r="CC58" i="6"/>
  <c r="CC59" i="6" s="1"/>
  <c r="CB58" i="6"/>
  <c r="CB59" i="6" s="1"/>
  <c r="CA58" i="6"/>
  <c r="CA59" i="6" s="1"/>
  <c r="BZ58" i="6"/>
  <c r="BZ59" i="6" s="1"/>
  <c r="BY58" i="6"/>
  <c r="BY59" i="6" s="1"/>
  <c r="BX58" i="6"/>
  <c r="BX59" i="6" s="1"/>
  <c r="BW58" i="6"/>
  <c r="BW59" i="6" s="1"/>
  <c r="BV58" i="6"/>
  <c r="BV59" i="6" s="1"/>
  <c r="BU58" i="6"/>
  <c r="BT58" i="6"/>
  <c r="BS58" i="6"/>
  <c r="BS59" i="6" s="1"/>
  <c r="BR58" i="6"/>
  <c r="BR59" i="6" s="1"/>
  <c r="BQ58" i="6"/>
  <c r="BQ59" i="6" s="1"/>
  <c r="BP58" i="6"/>
  <c r="BP59" i="6" s="1"/>
  <c r="BO58" i="6"/>
  <c r="BO59" i="6" s="1"/>
  <c r="BN58" i="6"/>
  <c r="BN59" i="6" s="1"/>
  <c r="BM58" i="6"/>
  <c r="BL58" i="6"/>
  <c r="BK58" i="6"/>
  <c r="BK59" i="6" s="1"/>
  <c r="BJ58" i="6"/>
  <c r="BJ59" i="6" s="1"/>
  <c r="BI58" i="6"/>
  <c r="BI59" i="6" s="1"/>
  <c r="BH58" i="6"/>
  <c r="BH59" i="6" s="1"/>
  <c r="BG58" i="6"/>
  <c r="BG59" i="6" s="1"/>
  <c r="BF58" i="6"/>
  <c r="BF59" i="6" s="1"/>
  <c r="BE58" i="6"/>
  <c r="BD58" i="6"/>
  <c r="BC58" i="6"/>
  <c r="BC59" i="6" s="1"/>
  <c r="BB58" i="6"/>
  <c r="BB59" i="6" s="1"/>
  <c r="BA58" i="6"/>
  <c r="BA59" i="6" s="1"/>
  <c r="AZ58" i="6"/>
  <c r="AZ59" i="6" s="1"/>
  <c r="AY58" i="6"/>
  <c r="AY59" i="6" s="1"/>
  <c r="AX58" i="6"/>
  <c r="AX59" i="6" s="1"/>
  <c r="AW58" i="6"/>
  <c r="AV58" i="6"/>
  <c r="AU58" i="6"/>
  <c r="AU59" i="6" s="1"/>
  <c r="AT58" i="6"/>
  <c r="AT59" i="6" s="1"/>
  <c r="AS58" i="6"/>
  <c r="AS59" i="6" s="1"/>
  <c r="AR58" i="6"/>
  <c r="AR59" i="6" s="1"/>
  <c r="AQ58" i="6"/>
  <c r="AQ59" i="6" s="1"/>
  <c r="AP58" i="6"/>
  <c r="AP59" i="6" s="1"/>
  <c r="AO58" i="6"/>
  <c r="AN58" i="6"/>
  <c r="AM58" i="6"/>
  <c r="AM59" i="6" s="1"/>
  <c r="AL58" i="6"/>
  <c r="AL59" i="6" s="1"/>
  <c r="AK58" i="6"/>
  <c r="AK59" i="6" s="1"/>
  <c r="AJ58" i="6"/>
  <c r="AJ59" i="6" s="1"/>
  <c r="AI58" i="6"/>
  <c r="AI59" i="6" s="1"/>
  <c r="AH58" i="6"/>
  <c r="AH59" i="6" s="1"/>
  <c r="AG58" i="6"/>
  <c r="AF58" i="6"/>
  <c r="AE58" i="6"/>
  <c r="AE59" i="6" s="1"/>
  <c r="AD58" i="6"/>
  <c r="AD59" i="6" s="1"/>
  <c r="AC58" i="6"/>
  <c r="AC59" i="6" s="1"/>
  <c r="AB58" i="6"/>
  <c r="AB59" i="6" s="1"/>
  <c r="AA58" i="6"/>
  <c r="AA59" i="6" s="1"/>
  <c r="Z58" i="6"/>
  <c r="Z59" i="6" s="1"/>
  <c r="Y58" i="6"/>
  <c r="Y59" i="6" s="1"/>
  <c r="X58" i="6"/>
  <c r="W58" i="6"/>
  <c r="W59" i="6" s="1"/>
  <c r="V58" i="6"/>
  <c r="V59" i="6" s="1"/>
  <c r="U58" i="6"/>
  <c r="U59" i="6" s="1"/>
  <c r="T58" i="6"/>
  <c r="T59" i="6" s="1"/>
  <c r="S58" i="6"/>
  <c r="S59" i="6" s="1"/>
  <c r="R58" i="6"/>
  <c r="R59" i="6" s="1"/>
  <c r="Q58" i="6"/>
  <c r="P58" i="6"/>
  <c r="P59" i="6" s="1"/>
  <c r="O58" i="6"/>
  <c r="O59" i="6" s="1"/>
  <c r="N58" i="6"/>
  <c r="N59" i="6" s="1"/>
  <c r="M58" i="6"/>
  <c r="M59" i="6" s="1"/>
  <c r="L58" i="6"/>
  <c r="L59" i="6" s="1"/>
  <c r="K58" i="6"/>
  <c r="K59" i="6" s="1"/>
  <c r="J58" i="6"/>
  <c r="J59" i="6" s="1"/>
  <c r="I58" i="6"/>
  <c r="H58" i="6"/>
  <c r="G58" i="6"/>
  <c r="G59" i="6" s="1"/>
  <c r="F58" i="6"/>
  <c r="F59" i="6" s="1"/>
  <c r="F49" i="6"/>
  <c r="W45" i="6"/>
  <c r="V44" i="6"/>
  <c r="U44" i="6"/>
  <c r="U43" i="6" a="1"/>
  <c r="V45" i="6" s="1"/>
  <c r="M43" i="6" a="1"/>
  <c r="O45" i="6" s="1"/>
  <c r="B5" i="6"/>
  <c r="DN3" i="6"/>
  <c r="E5" i="5"/>
  <c r="F5" i="5"/>
  <c r="E6" i="5"/>
  <c r="F6" i="5"/>
  <c r="E7" i="5"/>
  <c r="F7" i="5"/>
  <c r="E8" i="5"/>
  <c r="F8" i="5"/>
  <c r="E9" i="5"/>
  <c r="F9" i="5"/>
  <c r="E10" i="5"/>
  <c r="F10" i="5"/>
  <c r="E11" i="5"/>
  <c r="F11" i="5"/>
  <c r="E12" i="5"/>
  <c r="F12" i="5"/>
  <c r="E13" i="5"/>
  <c r="F13" i="5"/>
  <c r="E14" i="5"/>
  <c r="F14" i="5"/>
  <c r="E15" i="5"/>
  <c r="F15" i="5"/>
  <c r="E16" i="5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F26" i="5"/>
  <c r="E27" i="5"/>
  <c r="F27" i="5"/>
  <c r="E28" i="5"/>
  <c r="F28" i="5"/>
  <c r="E29" i="5"/>
  <c r="F29" i="5"/>
  <c r="E30" i="5"/>
  <c r="F30" i="5"/>
  <c r="E31" i="5"/>
  <c r="F31" i="5"/>
  <c r="E32" i="5"/>
  <c r="F32" i="5"/>
  <c r="E33" i="5"/>
  <c r="F33" i="5"/>
  <c r="E34" i="5"/>
  <c r="F34" i="5"/>
  <c r="E35" i="5"/>
  <c r="F35" i="5"/>
  <c r="E36" i="5"/>
  <c r="F36" i="5"/>
  <c r="E37" i="5"/>
  <c r="F37" i="5"/>
  <c r="E38" i="5"/>
  <c r="F38" i="5"/>
  <c r="E39" i="5"/>
  <c r="F39" i="5"/>
  <c r="E40" i="5"/>
  <c r="F40" i="5"/>
  <c r="E41" i="5"/>
  <c r="F41" i="5"/>
  <c r="E42" i="5"/>
  <c r="F42" i="5"/>
  <c r="E43" i="5"/>
  <c r="F43" i="5"/>
  <c r="E44" i="5"/>
  <c r="F44" i="5"/>
  <c r="E45" i="5"/>
  <c r="F45" i="5"/>
  <c r="E46" i="5"/>
  <c r="F46" i="5"/>
  <c r="E47" i="5"/>
  <c r="F47" i="5"/>
  <c r="E48" i="5"/>
  <c r="F48" i="5"/>
  <c r="E49" i="5"/>
  <c r="F49" i="5"/>
  <c r="E50" i="5"/>
  <c r="F50" i="5"/>
  <c r="E51" i="5"/>
  <c r="F51" i="5"/>
  <c r="E52" i="5"/>
  <c r="F52" i="5"/>
  <c r="E53" i="5"/>
  <c r="F53" i="5"/>
  <c r="E54" i="5"/>
  <c r="F54" i="5"/>
  <c r="E55" i="5"/>
  <c r="F55" i="5"/>
  <c r="E56" i="5"/>
  <c r="F56" i="5"/>
  <c r="E57" i="5"/>
  <c r="F57" i="5"/>
  <c r="E58" i="5"/>
  <c r="F58" i="5"/>
  <c r="E59" i="5"/>
  <c r="F59" i="5"/>
  <c r="E60" i="5"/>
  <c r="F60" i="5"/>
  <c r="E61" i="5"/>
  <c r="F61" i="5"/>
  <c r="E62" i="5"/>
  <c r="F62" i="5"/>
  <c r="E63" i="5"/>
  <c r="F63" i="5"/>
  <c r="E64" i="5"/>
  <c r="F64" i="5"/>
  <c r="E65" i="5"/>
  <c r="F65" i="5"/>
  <c r="E66" i="5"/>
  <c r="F66" i="5"/>
  <c r="E67" i="5"/>
  <c r="F67" i="5"/>
  <c r="E68" i="5"/>
  <c r="F68" i="5"/>
  <c r="E69" i="5"/>
  <c r="F69" i="5"/>
  <c r="E70" i="5"/>
  <c r="F70" i="5"/>
  <c r="E71" i="5"/>
  <c r="F71" i="5"/>
  <c r="E72" i="5"/>
  <c r="F72" i="5"/>
  <c r="E73" i="5"/>
  <c r="F73" i="5"/>
  <c r="E74" i="5"/>
  <c r="F74" i="5"/>
  <c r="E75" i="5"/>
  <c r="F75" i="5"/>
  <c r="E76" i="5"/>
  <c r="F76" i="5"/>
  <c r="E77" i="5"/>
  <c r="F77" i="5"/>
  <c r="E78" i="5"/>
  <c r="F78" i="5"/>
  <c r="E79" i="5"/>
  <c r="F79" i="5"/>
  <c r="E80" i="5"/>
  <c r="F80" i="5"/>
  <c r="E81" i="5"/>
  <c r="F81" i="5"/>
  <c r="E82" i="5"/>
  <c r="F82" i="5"/>
  <c r="E83" i="5"/>
  <c r="F83" i="5"/>
  <c r="E84" i="5"/>
  <c r="F84" i="5"/>
  <c r="E85" i="5"/>
  <c r="F85" i="5"/>
  <c r="E86" i="5"/>
  <c r="F86" i="5"/>
  <c r="E87" i="5"/>
  <c r="F87" i="5"/>
  <c r="E88" i="5"/>
  <c r="F88" i="5"/>
  <c r="E89" i="5"/>
  <c r="F89" i="5"/>
  <c r="E90" i="5"/>
  <c r="F90" i="5"/>
  <c r="E91" i="5"/>
  <c r="F91" i="5"/>
  <c r="E92" i="5"/>
  <c r="F92" i="5"/>
  <c r="E93" i="5"/>
  <c r="F93" i="5"/>
  <c r="E94" i="5"/>
  <c r="F94" i="5"/>
  <c r="E95" i="5"/>
  <c r="F95" i="5"/>
  <c r="E96" i="5"/>
  <c r="F96" i="5"/>
  <c r="E97" i="5"/>
  <c r="F97" i="5"/>
  <c r="E98" i="5"/>
  <c r="F98" i="5"/>
  <c r="E99" i="5"/>
  <c r="F99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5" i="5"/>
  <c r="V43" i="6" l="1"/>
  <c r="DO98" i="6"/>
  <c r="DO84" i="6"/>
  <c r="DO73" i="6"/>
  <c r="DO59" i="6"/>
  <c r="DO47" i="6"/>
  <c r="DO34" i="6"/>
  <c r="DO20" i="6"/>
  <c r="DO9" i="6"/>
  <c r="N43" i="6"/>
  <c r="DO97" i="6"/>
  <c r="DO83" i="6"/>
  <c r="DO71" i="6"/>
  <c r="DO58" i="6"/>
  <c r="DO44" i="6"/>
  <c r="DO33" i="6"/>
  <c r="DO19" i="6"/>
  <c r="DO7" i="6"/>
  <c r="O43" i="6"/>
  <c r="M44" i="6"/>
  <c r="DO92" i="6"/>
  <c r="DO81" i="6"/>
  <c r="DO67" i="6"/>
  <c r="O44" i="6"/>
  <c r="DO91" i="6"/>
  <c r="DO79" i="6"/>
  <c r="DO66" i="6"/>
  <c r="DO52" i="6"/>
  <c r="DO41" i="6"/>
  <c r="DO27" i="6"/>
  <c r="DO15" i="6"/>
  <c r="M45" i="6"/>
  <c r="DO103" i="6"/>
  <c r="DO90" i="6"/>
  <c r="DO76" i="6"/>
  <c r="DO65" i="6"/>
  <c r="DO51" i="6"/>
  <c r="DO39" i="6"/>
  <c r="DO26" i="6"/>
  <c r="DO12" i="6"/>
  <c r="DO100" i="6"/>
  <c r="DO89" i="6"/>
  <c r="DO75" i="6"/>
  <c r="DO63" i="6"/>
  <c r="DO50" i="6"/>
  <c r="DO36" i="6"/>
  <c r="DO25" i="6"/>
  <c r="DO11" i="6"/>
  <c r="U43" i="6"/>
  <c r="DO99" i="6"/>
  <c r="DO87" i="6"/>
  <c r="DO74" i="6"/>
  <c r="DO60" i="6"/>
  <c r="DO49" i="6"/>
  <c r="DO35" i="6"/>
  <c r="DO23" i="6"/>
  <c r="DO10" i="6"/>
  <c r="B7" i="5"/>
  <c r="H20" i="5"/>
  <c r="B5" i="5"/>
  <c r="DO96" i="6"/>
  <c r="DO88" i="6"/>
  <c r="DO80" i="6"/>
  <c r="DO72" i="6"/>
  <c r="DO64" i="6"/>
  <c r="DO56" i="6"/>
  <c r="DO48" i="6"/>
  <c r="DO40" i="6"/>
  <c r="DO32" i="6"/>
  <c r="DO24" i="6"/>
  <c r="DO16" i="6"/>
  <c r="DO8" i="6"/>
  <c r="DO102" i="6"/>
  <c r="DO94" i="6"/>
  <c r="DO86" i="6"/>
  <c r="DO78" i="6"/>
  <c r="DO70" i="6"/>
  <c r="DO62" i="6"/>
  <c r="DO54" i="6"/>
  <c r="DO46" i="6"/>
  <c r="DO38" i="6"/>
  <c r="DO30" i="6"/>
  <c r="DO22" i="6"/>
  <c r="DO14" i="6"/>
  <c r="DO6" i="6"/>
  <c r="DO101" i="6"/>
  <c r="DO93" i="6"/>
  <c r="DO85" i="6"/>
  <c r="DO77" i="6"/>
  <c r="DO69" i="6"/>
  <c r="DO61" i="6"/>
  <c r="DO53" i="6"/>
  <c r="DO45" i="6"/>
  <c r="DO37" i="6"/>
  <c r="DO29" i="6"/>
  <c r="DO21" i="6"/>
  <c r="DO13" i="6"/>
  <c r="B6" i="6"/>
  <c r="N44" i="6"/>
  <c r="W43" i="6"/>
  <c r="N45" i="6"/>
  <c r="W44" i="6"/>
  <c r="M43" i="6"/>
  <c r="U45" i="6"/>
  <c r="B8" i="5"/>
  <c r="G36" i="6" l="1" a="1"/>
  <c r="B7" i="6"/>
  <c r="C1" i="5"/>
  <c r="C8" i="5" s="1"/>
  <c r="H7" i="5"/>
  <c r="CX36" i="6" l="1"/>
  <c r="CP36" i="6"/>
  <c r="CH36" i="6"/>
  <c r="BZ36" i="6"/>
  <c r="BR36" i="6"/>
  <c r="BJ36" i="6"/>
  <c r="BB36" i="6"/>
  <c r="AT36" i="6"/>
  <c r="AL36" i="6"/>
  <c r="AD36" i="6"/>
  <c r="V36" i="6"/>
  <c r="N36" i="6"/>
  <c r="CW36" i="6"/>
  <c r="CO36" i="6"/>
  <c r="CG36" i="6"/>
  <c r="BY36" i="6"/>
  <c r="BQ36" i="6"/>
  <c r="BI36" i="6"/>
  <c r="BA36" i="6"/>
  <c r="AS36" i="6"/>
  <c r="AK36" i="6"/>
  <c r="AC36" i="6"/>
  <c r="U36" i="6"/>
  <c r="M36" i="6"/>
  <c r="CV36" i="6"/>
  <c r="CN36" i="6"/>
  <c r="CF36" i="6"/>
  <c r="BX36" i="6"/>
  <c r="BP36" i="6"/>
  <c r="BH36" i="6"/>
  <c r="AZ36" i="6"/>
  <c r="AR36" i="6"/>
  <c r="AJ36" i="6"/>
  <c r="AB36" i="6"/>
  <c r="T36" i="6"/>
  <c r="L36" i="6"/>
  <c r="DA36" i="6"/>
  <c r="CS36" i="6"/>
  <c r="CK36" i="6"/>
  <c r="CC36" i="6"/>
  <c r="BU36" i="6"/>
  <c r="BM36" i="6"/>
  <c r="BE36" i="6"/>
  <c r="AW36" i="6"/>
  <c r="AO36" i="6"/>
  <c r="AG36" i="6"/>
  <c r="Y36" i="6"/>
  <c r="Q36" i="6"/>
  <c r="I36" i="6"/>
  <c r="CT36" i="6"/>
  <c r="CD36" i="6"/>
  <c r="BN36" i="6"/>
  <c r="AX36" i="6"/>
  <c r="AH36" i="6"/>
  <c r="R36" i="6"/>
  <c r="BW36" i="6"/>
  <c r="AQ36" i="6"/>
  <c r="K36" i="6"/>
  <c r="CR36" i="6"/>
  <c r="CB36" i="6"/>
  <c r="BL36" i="6"/>
  <c r="AV36" i="6"/>
  <c r="AF36" i="6"/>
  <c r="P36" i="6"/>
  <c r="BG36" i="6"/>
  <c r="AA36" i="6"/>
  <c r="CQ36" i="6"/>
  <c r="CA36" i="6"/>
  <c r="BK36" i="6"/>
  <c r="AU36" i="6"/>
  <c r="AE36" i="6"/>
  <c r="O36" i="6"/>
  <c r="CM36" i="6"/>
  <c r="CZ36" i="6"/>
  <c r="CJ36" i="6"/>
  <c r="BT36" i="6"/>
  <c r="BD36" i="6"/>
  <c r="AN36" i="6"/>
  <c r="X36" i="6"/>
  <c r="H36" i="6"/>
  <c r="CY36" i="6"/>
  <c r="CI36" i="6"/>
  <c r="BS36" i="6"/>
  <c r="BC36" i="6"/>
  <c r="AM36" i="6"/>
  <c r="W36" i="6"/>
  <c r="G36" i="6"/>
  <c r="BO36" i="6"/>
  <c r="CU36" i="6"/>
  <c r="AI36" i="6"/>
  <c r="BF36" i="6"/>
  <c r="AY36" i="6"/>
  <c r="AP36" i="6"/>
  <c r="CL36" i="6"/>
  <c r="Z36" i="6"/>
  <c r="CE36" i="6"/>
  <c r="S36" i="6"/>
  <c r="BV36" i="6"/>
  <c r="J36" i="6"/>
  <c r="B8" i="6"/>
  <c r="C94" i="5"/>
  <c r="C84" i="5"/>
  <c r="C76" i="5"/>
  <c r="C68" i="5"/>
  <c r="C60" i="5"/>
  <c r="C52" i="5"/>
  <c r="C44" i="5"/>
  <c r="C36" i="5"/>
  <c r="C28" i="5"/>
  <c r="C18" i="5"/>
  <c r="C13" i="5"/>
  <c r="C93" i="5"/>
  <c r="C89" i="5"/>
  <c r="C81" i="5"/>
  <c r="C73" i="5"/>
  <c r="C65" i="5"/>
  <c r="C57" i="5"/>
  <c r="C49" i="5"/>
  <c r="C41" i="5"/>
  <c r="C33" i="5"/>
  <c r="C25" i="5"/>
  <c r="C17" i="5"/>
  <c r="C98" i="5"/>
  <c r="C92" i="5"/>
  <c r="C99" i="5"/>
  <c r="C97" i="5"/>
  <c r="C96" i="5"/>
  <c r="C91" i="5"/>
  <c r="C95" i="5"/>
  <c r="C15" i="5"/>
  <c r="C7" i="5"/>
  <c r="C75" i="5"/>
  <c r="C69" i="5"/>
  <c r="C67" i="5"/>
  <c r="C61" i="5"/>
  <c r="C58" i="5"/>
  <c r="C50" i="5"/>
  <c r="C43" i="5"/>
  <c r="C35" i="5"/>
  <c r="C27" i="5"/>
  <c r="C21" i="5"/>
  <c r="C10" i="5"/>
  <c r="C16" i="5"/>
  <c r="C90" i="5"/>
  <c r="C79" i="5"/>
  <c r="C71" i="5"/>
  <c r="C63" i="5"/>
  <c r="C55" i="5"/>
  <c r="C47" i="5"/>
  <c r="C39" i="5"/>
  <c r="C31" i="5"/>
  <c r="C23" i="5"/>
  <c r="C83" i="5"/>
  <c r="C82" i="5"/>
  <c r="C77" i="5"/>
  <c r="C74" i="5"/>
  <c r="C66" i="5"/>
  <c r="C59" i="5"/>
  <c r="C53" i="5"/>
  <c r="C51" i="5"/>
  <c r="C45" i="5"/>
  <c r="C42" i="5"/>
  <c r="C37" i="5"/>
  <c r="C34" i="5"/>
  <c r="C29" i="5"/>
  <c r="C26" i="5"/>
  <c r="C19" i="5"/>
  <c r="C12" i="5"/>
  <c r="C5" i="5"/>
  <c r="C87" i="5"/>
  <c r="C20" i="5"/>
  <c r="C70" i="5"/>
  <c r="C46" i="5"/>
  <c r="C88" i="5"/>
  <c r="C80" i="5"/>
  <c r="C54" i="5"/>
  <c r="C22" i="5"/>
  <c r="C64" i="5"/>
  <c r="C30" i="5"/>
  <c r="C9" i="5"/>
  <c r="C72" i="5"/>
  <c r="C85" i="5"/>
  <c r="C40" i="5"/>
  <c r="C14" i="5"/>
  <c r="C78" i="5"/>
  <c r="C86" i="5"/>
  <c r="C48" i="5"/>
  <c r="C24" i="5"/>
  <c r="C6" i="5"/>
  <c r="C56" i="5"/>
  <c r="C32" i="5"/>
  <c r="C11" i="5"/>
  <c r="C62" i="5"/>
  <c r="C38" i="5"/>
  <c r="B101" i="5" l="1"/>
  <c r="H12" i="5"/>
  <c r="H10" i="5"/>
  <c r="H11" i="5"/>
  <c r="H15" i="5" l="1"/>
  <c r="H13" i="5"/>
  <c r="H16" i="5"/>
  <c r="H14" i="5"/>
  <c r="H17" i="5" a="1"/>
  <c r="H17" i="5" l="1"/>
  <c r="I1" i="5" s="1"/>
  <c r="I5" i="5" s="1"/>
  <c r="H18" i="5"/>
  <c r="E7" i="7" s="1"/>
  <c r="I97" i="5" l="1"/>
  <c r="I88" i="5"/>
  <c r="I80" i="5"/>
  <c r="I72" i="5"/>
  <c r="I64" i="5"/>
  <c r="I56" i="5"/>
  <c r="I48" i="5"/>
  <c r="I40" i="5"/>
  <c r="I32" i="5"/>
  <c r="I24" i="5"/>
  <c r="I15" i="5"/>
  <c r="U3" i="5"/>
  <c r="U23" i="5" s="1"/>
  <c r="I96" i="5"/>
  <c r="I91" i="5"/>
  <c r="I85" i="5"/>
  <c r="I77" i="5"/>
  <c r="I69" i="5"/>
  <c r="I61" i="5"/>
  <c r="I53" i="5"/>
  <c r="I45" i="5"/>
  <c r="I37" i="5"/>
  <c r="I29" i="5"/>
  <c r="I21" i="5"/>
  <c r="I19" i="5"/>
  <c r="I12" i="5"/>
  <c r="I10" i="5"/>
  <c r="I7" i="5"/>
  <c r="I95" i="5"/>
  <c r="I82" i="5"/>
  <c r="I74" i="5"/>
  <c r="I66" i="5"/>
  <c r="I58" i="5"/>
  <c r="I50" i="5"/>
  <c r="I42" i="5"/>
  <c r="I34" i="5"/>
  <c r="I26" i="5"/>
  <c r="I17" i="5"/>
  <c r="I16" i="5"/>
  <c r="I90" i="5"/>
  <c r="I87" i="5"/>
  <c r="I94" i="5"/>
  <c r="I84" i="5"/>
  <c r="I76" i="5"/>
  <c r="I68" i="5"/>
  <c r="I60" i="5"/>
  <c r="I52" i="5"/>
  <c r="I44" i="5"/>
  <c r="I36" i="5"/>
  <c r="I28" i="5"/>
  <c r="I18" i="5"/>
  <c r="I93" i="5"/>
  <c r="I89" i="5"/>
  <c r="I99" i="5"/>
  <c r="I86" i="5"/>
  <c r="I78" i="5"/>
  <c r="I62" i="5"/>
  <c r="I51" i="5"/>
  <c r="I35" i="5"/>
  <c r="I30" i="5"/>
  <c r="I25" i="5"/>
  <c r="I20" i="5"/>
  <c r="I13" i="5"/>
  <c r="I92" i="5"/>
  <c r="I59" i="5"/>
  <c r="I57" i="5"/>
  <c r="I54" i="5"/>
  <c r="I49" i="5"/>
  <c r="I46" i="5"/>
  <c r="I22" i="5"/>
  <c r="I11" i="5"/>
  <c r="I6" i="5"/>
  <c r="I98" i="5"/>
  <c r="I79" i="5"/>
  <c r="I71" i="5"/>
  <c r="I55" i="5"/>
  <c r="I39" i="5"/>
  <c r="I31" i="5"/>
  <c r="I23" i="5"/>
  <c r="I9" i="5"/>
  <c r="I8" i="5"/>
  <c r="I65" i="5"/>
  <c r="I41" i="5"/>
  <c r="I38" i="5"/>
  <c r="I33" i="5"/>
  <c r="I14" i="5"/>
  <c r="I63" i="5"/>
  <c r="I47" i="5"/>
  <c r="I83" i="5"/>
  <c r="I81" i="5"/>
  <c r="I75" i="5"/>
  <c r="I73" i="5"/>
  <c r="I70" i="5"/>
  <c r="I67" i="5"/>
  <c r="I43" i="5"/>
  <c r="I27" i="5"/>
  <c r="AA13" i="5" l="1"/>
  <c r="AA21" i="5"/>
  <c r="AA29" i="5"/>
  <c r="AA37" i="5"/>
  <c r="AA45" i="5"/>
  <c r="AA53" i="5"/>
  <c r="AA61" i="5"/>
  <c r="AA69" i="5"/>
  <c r="AA77" i="5"/>
  <c r="AA85" i="5"/>
  <c r="AA12" i="5"/>
  <c r="AA32" i="5"/>
  <c r="AA56" i="5"/>
  <c r="AA72" i="5"/>
  <c r="AA25" i="5"/>
  <c r="AA41" i="5"/>
  <c r="AA65" i="5"/>
  <c r="AA28" i="5"/>
  <c r="AA14" i="5"/>
  <c r="AA22" i="5"/>
  <c r="AA30" i="5"/>
  <c r="AA38" i="5"/>
  <c r="AA46" i="5"/>
  <c r="AA54" i="5"/>
  <c r="AA62" i="5"/>
  <c r="AA70" i="5"/>
  <c r="AA78" i="5"/>
  <c r="AA86" i="5"/>
  <c r="AA24" i="5"/>
  <c r="AA40" i="5"/>
  <c r="AA80" i="5"/>
  <c r="AA33" i="5"/>
  <c r="AA49" i="5"/>
  <c r="AA73" i="5"/>
  <c r="AA89" i="5"/>
  <c r="AA36" i="5"/>
  <c r="AA15" i="5"/>
  <c r="AA23" i="5"/>
  <c r="AA31" i="5"/>
  <c r="AA39" i="5"/>
  <c r="AA47" i="5"/>
  <c r="AA55" i="5"/>
  <c r="AA63" i="5"/>
  <c r="AA71" i="5"/>
  <c r="AA79" i="5"/>
  <c r="AA87" i="5"/>
  <c r="AA16" i="5"/>
  <c r="AA48" i="5"/>
  <c r="AA64" i="5"/>
  <c r="AA88" i="5"/>
  <c r="AA17" i="5"/>
  <c r="AA57" i="5"/>
  <c r="AA81" i="5"/>
  <c r="AA44" i="5"/>
  <c r="AA18" i="5"/>
  <c r="AA26" i="5"/>
  <c r="AA34" i="5"/>
  <c r="AA42" i="5"/>
  <c r="AA50" i="5"/>
  <c r="AA58" i="5"/>
  <c r="AA66" i="5"/>
  <c r="AA74" i="5"/>
  <c r="AA82" i="5"/>
  <c r="AA90" i="5"/>
  <c r="AA19" i="5"/>
  <c r="AA27" i="5"/>
  <c r="AA35" i="5"/>
  <c r="AA43" i="5"/>
  <c r="AA51" i="5"/>
  <c r="AA59" i="5"/>
  <c r="AA67" i="5"/>
  <c r="AA75" i="5"/>
  <c r="AA83" i="5"/>
  <c r="AA91" i="5"/>
  <c r="AA20" i="5"/>
  <c r="AA52" i="5"/>
  <c r="AA60" i="5"/>
  <c r="AA68" i="5"/>
  <c r="AA76" i="5"/>
  <c r="AA94" i="5" s="1"/>
  <c r="AA84" i="5"/>
  <c r="AA92" i="5"/>
  <c r="E6" i="7"/>
  <c r="U24" i="5"/>
  <c r="I101" i="5"/>
  <c r="U9" i="5"/>
  <c r="U6" i="5"/>
  <c r="U12" i="5" s="1"/>
  <c r="J71" i="5" l="1"/>
  <c r="J5" i="5"/>
  <c r="J15" i="5"/>
  <c r="J13" i="5"/>
  <c r="J50" i="5"/>
  <c r="J81" i="5"/>
  <c r="J80" i="5"/>
  <c r="J65" i="5"/>
  <c r="J61" i="5"/>
  <c r="J47" i="5"/>
  <c r="J39" i="5"/>
  <c r="J21" i="5"/>
  <c r="J17" i="5"/>
  <c r="U13" i="5"/>
  <c r="U15" i="5" s="1"/>
  <c r="J29" i="5"/>
  <c r="J62" i="5"/>
  <c r="J57" i="5"/>
  <c r="J91" i="5"/>
  <c r="J95" i="5"/>
  <c r="J19" i="5"/>
  <c r="J48" i="5"/>
  <c r="J75" i="5"/>
  <c r="J94" i="5"/>
  <c r="J73" i="5"/>
  <c r="J86" i="5"/>
  <c r="J74" i="5"/>
  <c r="J20" i="5"/>
  <c r="J14" i="5"/>
  <c r="J83" i="5"/>
  <c r="J67" i="5"/>
  <c r="J90" i="5"/>
  <c r="J26" i="5"/>
  <c r="J77" i="5"/>
  <c r="J27" i="5"/>
  <c r="J60" i="5"/>
  <c r="J72" i="5"/>
  <c r="J30" i="5"/>
  <c r="J42" i="5"/>
  <c r="J59" i="5"/>
  <c r="J66" i="5"/>
  <c r="J43" i="5"/>
  <c r="J88" i="5"/>
  <c r="J78" i="5"/>
  <c r="J68" i="5"/>
  <c r="J45" i="5"/>
  <c r="J28" i="5"/>
  <c r="J40" i="5"/>
  <c r="J11" i="5"/>
  <c r="J16" i="5"/>
  <c r="J6" i="5"/>
  <c r="J58" i="5"/>
  <c r="J54" i="5"/>
  <c r="J12" i="5"/>
  <c r="J35" i="5"/>
  <c r="J31" i="5"/>
  <c r="J97" i="5"/>
  <c r="J23" i="5"/>
  <c r="J76" i="5"/>
  <c r="J87" i="5"/>
  <c r="J24" i="5"/>
  <c r="J98" i="5"/>
  <c r="J8" i="5"/>
  <c r="J99" i="5"/>
  <c r="J92" i="5"/>
  <c r="J69" i="5"/>
  <c r="J41" i="5"/>
  <c r="J52" i="5"/>
  <c r="J84" i="5"/>
  <c r="J64" i="5"/>
  <c r="J33" i="5"/>
  <c r="J44" i="5"/>
  <c r="J36" i="5"/>
  <c r="J85" i="5"/>
  <c r="J55" i="5"/>
  <c r="J25" i="5"/>
  <c r="J51" i="5"/>
  <c r="J10" i="5"/>
  <c r="J22" i="5"/>
  <c r="J37" i="5"/>
  <c r="J70" i="5"/>
  <c r="J18" i="5"/>
  <c r="J34" i="5"/>
  <c r="J56" i="5"/>
  <c r="J89" i="5"/>
  <c r="J96" i="5"/>
  <c r="J32" i="5"/>
  <c r="J63" i="5"/>
  <c r="J93" i="5"/>
  <c r="J49" i="5"/>
  <c r="J53" i="5"/>
  <c r="J9" i="5"/>
  <c r="J38" i="5"/>
  <c r="J46" i="5"/>
  <c r="J82" i="5"/>
  <c r="J79" i="5"/>
  <c r="J7" i="5"/>
  <c r="U16" i="5" l="1"/>
  <c r="V90" i="5" s="1"/>
  <c r="V24" i="5" l="1"/>
  <c r="V5" i="5"/>
  <c r="V81" i="5"/>
  <c r="V9" i="5"/>
  <c r="V62" i="5"/>
  <c r="V17" i="5"/>
  <c r="V18" i="5"/>
  <c r="V78" i="5"/>
  <c r="V43" i="5"/>
  <c r="V76" i="5"/>
  <c r="V85" i="5"/>
  <c r="V51" i="5"/>
  <c r="V84" i="5"/>
  <c r="V88" i="5"/>
  <c r="V50" i="5"/>
  <c r="V19" i="5"/>
  <c r="V99" i="5"/>
  <c r="V39" i="5"/>
  <c r="V21" i="5"/>
  <c r="V61" i="5"/>
  <c r="V49" i="5"/>
  <c r="V63" i="5"/>
  <c r="V56" i="5"/>
  <c r="V10" i="5"/>
  <c r="V58" i="5"/>
  <c r="V73" i="5"/>
  <c r="V71" i="5"/>
  <c r="V30" i="5"/>
  <c r="V26" i="5"/>
  <c r="V83" i="5"/>
  <c r="V20" i="5"/>
  <c r="V46" i="5"/>
  <c r="V42" i="5"/>
  <c r="V86" i="5"/>
  <c r="V52" i="5"/>
  <c r="V16" i="5"/>
  <c r="V13" i="5"/>
  <c r="V48" i="5"/>
  <c r="V80" i="5"/>
  <c r="V77" i="5"/>
  <c r="V74" i="5"/>
  <c r="V27" i="5"/>
  <c r="V92" i="5"/>
  <c r="V57" i="5"/>
  <c r="V11" i="5"/>
  <c r="V60" i="5"/>
  <c r="V47" i="5"/>
  <c r="V34" i="5"/>
  <c r="V22" i="5"/>
  <c r="V54" i="5"/>
  <c r="V95" i="5"/>
  <c r="V7" i="5"/>
  <c r="V82" i="5"/>
  <c r="V35" i="5"/>
  <c r="V98" i="5"/>
  <c r="V65" i="5"/>
  <c r="V14" i="5"/>
  <c r="V68" i="5"/>
  <c r="V55" i="5"/>
  <c r="V29" i="5"/>
  <c r="V32" i="5"/>
  <c r="V64" i="5"/>
  <c r="V96" i="5"/>
  <c r="V66" i="5"/>
  <c r="V97" i="5"/>
  <c r="V59" i="5"/>
  <c r="V25" i="5"/>
  <c r="V89" i="5"/>
  <c r="V28" i="5"/>
  <c r="V94" i="5"/>
  <c r="V79" i="5"/>
  <c r="V45" i="5"/>
  <c r="V38" i="5"/>
  <c r="V70" i="5"/>
  <c r="V37" i="5"/>
  <c r="V15" i="5"/>
  <c r="V8" i="5"/>
  <c r="V67" i="5"/>
  <c r="V33" i="5"/>
  <c r="V93" i="5"/>
  <c r="V36" i="5"/>
  <c r="V23" i="5"/>
  <c r="V87" i="5"/>
  <c r="V69" i="5"/>
  <c r="V40" i="5"/>
  <c r="V72" i="5"/>
  <c r="V53" i="5"/>
  <c r="V91" i="5"/>
  <c r="V12" i="5"/>
  <c r="V75" i="5"/>
  <c r="V41" i="5"/>
  <c r="V6" i="5"/>
  <c r="V44" i="5"/>
  <c r="V31" i="5"/>
  <c r="V1" i="5" l="1"/>
  <c r="W21" i="5" s="1"/>
  <c r="N21" i="5" s="1"/>
  <c r="C21" i="6" s="1"/>
  <c r="C15" i="7" s="1"/>
  <c r="W62" i="5" l="1"/>
  <c r="N62" i="5" s="1"/>
  <c r="C62" i="6" s="1"/>
  <c r="C56" i="7" s="1"/>
  <c r="W46" i="5"/>
  <c r="N46" i="5" s="1"/>
  <c r="C46" i="6" s="1"/>
  <c r="C40" i="7" s="1"/>
  <c r="W41" i="5"/>
  <c r="N41" i="5" s="1"/>
  <c r="C41" i="6" s="1"/>
  <c r="C35" i="7" s="1"/>
  <c r="W11" i="5"/>
  <c r="N11" i="5" s="1"/>
  <c r="C11" i="6" s="1"/>
  <c r="C5" i="7" s="1"/>
  <c r="W82" i="5"/>
  <c r="N82" i="5" s="1"/>
  <c r="C82" i="6" s="1"/>
  <c r="C76" i="7" s="1"/>
  <c r="W47" i="5"/>
  <c r="N47" i="5" s="1"/>
  <c r="C47" i="6" s="1"/>
  <c r="C41" i="7" s="1"/>
  <c r="W98" i="5"/>
  <c r="N98" i="5" s="1"/>
  <c r="C98" i="6" s="1"/>
  <c r="W96" i="5"/>
  <c r="N96" i="5" s="1"/>
  <c r="C96" i="6" s="1"/>
  <c r="W64" i="5"/>
  <c r="N64" i="5" s="1"/>
  <c r="C64" i="6" s="1"/>
  <c r="C58" i="7" s="1"/>
  <c r="W79" i="5"/>
  <c r="N79" i="5" s="1"/>
  <c r="C79" i="6" s="1"/>
  <c r="C73" i="7" s="1"/>
  <c r="W69" i="5"/>
  <c r="N69" i="5" s="1"/>
  <c r="C69" i="6" s="1"/>
  <c r="C63" i="7" s="1"/>
  <c r="W43" i="5"/>
  <c r="N43" i="5" s="1"/>
  <c r="C43" i="6" s="1"/>
  <c r="C37" i="7" s="1"/>
  <c r="W72" i="5"/>
  <c r="N72" i="5" s="1"/>
  <c r="C72" i="6" s="1"/>
  <c r="C66" i="7" s="1"/>
  <c r="W17" i="5"/>
  <c r="N17" i="5" s="1"/>
  <c r="C17" i="6" s="1"/>
  <c r="C11" i="7" s="1"/>
  <c r="W77" i="5"/>
  <c r="N77" i="5" s="1"/>
  <c r="C77" i="6" s="1"/>
  <c r="C71" i="7" s="1"/>
  <c r="W48" i="5"/>
  <c r="N48" i="5" s="1"/>
  <c r="C48" i="6" s="1"/>
  <c r="C42" i="7" s="1"/>
  <c r="W67" i="5"/>
  <c r="N67" i="5" s="1"/>
  <c r="C67" i="6" s="1"/>
  <c r="C61" i="7" s="1"/>
  <c r="W66" i="5"/>
  <c r="N66" i="5" s="1"/>
  <c r="C66" i="6" s="1"/>
  <c r="C60" i="7" s="1"/>
  <c r="W63" i="5"/>
  <c r="N63" i="5" s="1"/>
  <c r="C63" i="6" s="1"/>
  <c r="C57" i="7" s="1"/>
  <c r="W34" i="5"/>
  <c r="N34" i="5" s="1"/>
  <c r="C34" i="6" s="1"/>
  <c r="C28" i="7" s="1"/>
  <c r="W50" i="5"/>
  <c r="N50" i="5" s="1"/>
  <c r="C50" i="6" s="1"/>
  <c r="C44" i="7" s="1"/>
  <c r="W65" i="5"/>
  <c r="N65" i="5" s="1"/>
  <c r="C65" i="6" s="1"/>
  <c r="C59" i="7" s="1"/>
  <c r="W54" i="5"/>
  <c r="N54" i="5" s="1"/>
  <c r="C54" i="6" s="1"/>
  <c r="C48" i="7" s="1"/>
  <c r="W73" i="5"/>
  <c r="N73" i="5" s="1"/>
  <c r="C73" i="6" s="1"/>
  <c r="C67" i="7" s="1"/>
  <c r="W29" i="5"/>
  <c r="N29" i="5" s="1"/>
  <c r="C29" i="6" s="1"/>
  <c r="C23" i="7" s="1"/>
  <c r="W78" i="5"/>
  <c r="N78" i="5" s="1"/>
  <c r="C78" i="6" s="1"/>
  <c r="C72" i="7" s="1"/>
  <c r="W89" i="5"/>
  <c r="N89" i="5" s="1"/>
  <c r="C89" i="6" s="1"/>
  <c r="C83" i="7" s="1"/>
  <c r="W16" i="5"/>
  <c r="N16" i="5" s="1"/>
  <c r="C16" i="6" s="1"/>
  <c r="C10" i="7" s="1"/>
  <c r="W97" i="5"/>
  <c r="N97" i="5" s="1"/>
  <c r="C97" i="6" s="1"/>
  <c r="W55" i="5"/>
  <c r="N55" i="5" s="1"/>
  <c r="C55" i="6" s="1"/>
  <c r="C49" i="7" s="1"/>
  <c r="W18" i="5"/>
  <c r="N18" i="5" s="1"/>
  <c r="C18" i="6" s="1"/>
  <c r="C12" i="7" s="1"/>
  <c r="W19" i="5"/>
  <c r="N19" i="5" s="1"/>
  <c r="C19" i="6" s="1"/>
  <c r="C13" i="7" s="1"/>
  <c r="W49" i="5"/>
  <c r="N49" i="5" s="1"/>
  <c r="C49" i="6" s="1"/>
  <c r="C43" i="7" s="1"/>
  <c r="W57" i="5"/>
  <c r="N57" i="5" s="1"/>
  <c r="C57" i="6" s="1"/>
  <c r="C51" i="7" s="1"/>
  <c r="W59" i="5"/>
  <c r="N59" i="5" s="1"/>
  <c r="C59" i="6" s="1"/>
  <c r="C53" i="7" s="1"/>
  <c r="W61" i="5"/>
  <c r="N61" i="5" s="1"/>
  <c r="C61" i="6" s="1"/>
  <c r="C55" i="7" s="1"/>
  <c r="W9" i="5"/>
  <c r="N9" i="5" s="1"/>
  <c r="C9" i="6" s="1"/>
  <c r="C3" i="7" s="1"/>
  <c r="W7" i="5"/>
  <c r="N7" i="5" s="1"/>
  <c r="C7" i="6" s="1"/>
  <c r="W27" i="5"/>
  <c r="N27" i="5" s="1"/>
  <c r="C27" i="6" s="1"/>
  <c r="C21" i="7" s="1"/>
  <c r="W70" i="5"/>
  <c r="N70" i="5" s="1"/>
  <c r="C70" i="6" s="1"/>
  <c r="C64" i="7" s="1"/>
  <c r="W39" i="5"/>
  <c r="N39" i="5" s="1"/>
  <c r="C39" i="6" s="1"/>
  <c r="C33" i="7" s="1"/>
  <c r="W10" i="5"/>
  <c r="N10" i="5" s="1"/>
  <c r="C10" i="6" s="1"/>
  <c r="C4" i="7" s="1"/>
  <c r="W14" i="5"/>
  <c r="N14" i="5" s="1"/>
  <c r="C14" i="6" s="1"/>
  <c r="C8" i="7" s="1"/>
  <c r="W60" i="5"/>
  <c r="N60" i="5" s="1"/>
  <c r="C60" i="6" s="1"/>
  <c r="C54" i="7" s="1"/>
  <c r="W23" i="5"/>
  <c r="N23" i="5" s="1"/>
  <c r="C23" i="6" s="1"/>
  <c r="C17" i="7" s="1"/>
  <c r="W86" i="5"/>
  <c r="N86" i="5" s="1"/>
  <c r="C86" i="6" s="1"/>
  <c r="C80" i="7" s="1"/>
  <c r="W42" i="5"/>
  <c r="N42" i="5" s="1"/>
  <c r="C42" i="6" s="1"/>
  <c r="C36" i="7" s="1"/>
  <c r="W25" i="5"/>
  <c r="N25" i="5" s="1"/>
  <c r="C25" i="6" s="1"/>
  <c r="C19" i="7" s="1"/>
  <c r="W68" i="5"/>
  <c r="N68" i="5" s="1"/>
  <c r="C68" i="6" s="1"/>
  <c r="C62" i="7" s="1"/>
  <c r="W35" i="5"/>
  <c r="N35" i="5" s="1"/>
  <c r="C35" i="6" s="1"/>
  <c r="C29" i="7" s="1"/>
  <c r="W95" i="5"/>
  <c r="N95" i="5" s="1"/>
  <c r="C95" i="6" s="1"/>
  <c r="W20" i="5"/>
  <c r="N20" i="5" s="1"/>
  <c r="C20" i="6" s="1"/>
  <c r="C14" i="7" s="1"/>
  <c r="W84" i="5"/>
  <c r="N84" i="5" s="1"/>
  <c r="C84" i="6" s="1"/>
  <c r="C78" i="7" s="1"/>
  <c r="W15" i="5"/>
  <c r="N15" i="5" s="1"/>
  <c r="C15" i="6" s="1"/>
  <c r="C9" i="7" s="1"/>
  <c r="W13" i="5"/>
  <c r="N13" i="5" s="1"/>
  <c r="C13" i="6" s="1"/>
  <c r="C7" i="7" s="1"/>
  <c r="W38" i="5"/>
  <c r="N38" i="5" s="1"/>
  <c r="C38" i="6" s="1"/>
  <c r="C32" i="7" s="1"/>
  <c r="W31" i="5"/>
  <c r="N31" i="5" s="1"/>
  <c r="C31" i="6" s="1"/>
  <c r="C25" i="7" s="1"/>
  <c r="W81" i="5"/>
  <c r="N81" i="5" s="1"/>
  <c r="C81" i="6" s="1"/>
  <c r="C75" i="7" s="1"/>
  <c r="W52" i="5"/>
  <c r="N52" i="5" s="1"/>
  <c r="C52" i="6" s="1"/>
  <c r="C46" i="7" s="1"/>
  <c r="W90" i="5"/>
  <c r="N90" i="5" s="1"/>
  <c r="C90" i="6" s="1"/>
  <c r="W37" i="5"/>
  <c r="N37" i="5" s="1"/>
  <c r="C37" i="6" s="1"/>
  <c r="C31" i="7" s="1"/>
  <c r="W33" i="5"/>
  <c r="N33" i="5" s="1"/>
  <c r="C33" i="6" s="1"/>
  <c r="C27" i="7" s="1"/>
  <c r="W6" i="5"/>
  <c r="N6" i="5" s="1"/>
  <c r="C6" i="6" s="1"/>
  <c r="W32" i="5"/>
  <c r="N32" i="5" s="1"/>
  <c r="C32" i="6" s="1"/>
  <c r="C26" i="7" s="1"/>
  <c r="W45" i="5"/>
  <c r="N45" i="5" s="1"/>
  <c r="C45" i="6" s="1"/>
  <c r="C39" i="7" s="1"/>
  <c r="W36" i="5"/>
  <c r="N36" i="5" s="1"/>
  <c r="C36" i="6" s="1"/>
  <c r="C30" i="7" s="1"/>
  <c r="W75" i="5"/>
  <c r="N75" i="5" s="1"/>
  <c r="C75" i="6" s="1"/>
  <c r="C69" i="7" s="1"/>
  <c r="W53" i="5"/>
  <c r="N53" i="5" s="1"/>
  <c r="C53" i="6" s="1"/>
  <c r="C47" i="7" s="1"/>
  <c r="W83" i="5"/>
  <c r="N83" i="5" s="1"/>
  <c r="C83" i="6" s="1"/>
  <c r="C77" i="7" s="1"/>
  <c r="W99" i="5"/>
  <c r="N99" i="5" s="1"/>
  <c r="C99" i="6" s="1"/>
  <c r="W5" i="5"/>
  <c r="N5" i="5" s="1"/>
  <c r="W76" i="5"/>
  <c r="N76" i="5" s="1"/>
  <c r="C76" i="6" s="1"/>
  <c r="C70" i="7" s="1"/>
  <c r="W87" i="5"/>
  <c r="N87" i="5" s="1"/>
  <c r="C87" i="6" s="1"/>
  <c r="C81" i="7" s="1"/>
  <c r="W74" i="5"/>
  <c r="N74" i="5" s="1"/>
  <c r="C74" i="6" s="1"/>
  <c r="C68" i="7" s="1"/>
  <c r="W92" i="5"/>
  <c r="N92" i="5" s="1"/>
  <c r="C92" i="6" s="1"/>
  <c r="W28" i="5"/>
  <c r="N28" i="5" s="1"/>
  <c r="C28" i="6" s="1"/>
  <c r="C22" i="7" s="1"/>
  <c r="W93" i="5"/>
  <c r="N93" i="5" s="1"/>
  <c r="C93" i="6" s="1"/>
  <c r="W12" i="5"/>
  <c r="N12" i="5" s="1"/>
  <c r="C12" i="6" s="1"/>
  <c r="C6" i="7" s="1"/>
  <c r="W40" i="5"/>
  <c r="N40" i="5" s="1"/>
  <c r="C40" i="6" s="1"/>
  <c r="C34" i="7" s="1"/>
  <c r="W88" i="5"/>
  <c r="N88" i="5" s="1"/>
  <c r="C88" i="6" s="1"/>
  <c r="C82" i="7" s="1"/>
  <c r="W51" i="5"/>
  <c r="N51" i="5" s="1"/>
  <c r="C51" i="6" s="1"/>
  <c r="C45" i="7" s="1"/>
  <c r="W26" i="5"/>
  <c r="N26" i="5" s="1"/>
  <c r="C26" i="6" s="1"/>
  <c r="C20" i="7" s="1"/>
  <c r="W56" i="5"/>
  <c r="N56" i="5" s="1"/>
  <c r="C56" i="6" s="1"/>
  <c r="C50" i="7" s="1"/>
  <c r="W71" i="5"/>
  <c r="N71" i="5" s="1"/>
  <c r="C71" i="6" s="1"/>
  <c r="C65" i="7" s="1"/>
  <c r="W22" i="5"/>
  <c r="N22" i="5" s="1"/>
  <c r="C22" i="6" s="1"/>
  <c r="C16" i="7" s="1"/>
  <c r="W94" i="5"/>
  <c r="N94" i="5" s="1"/>
  <c r="C94" i="6" s="1"/>
  <c r="W8" i="5"/>
  <c r="N8" i="5" s="1"/>
  <c r="C8" i="6" s="1"/>
  <c r="W91" i="5"/>
  <c r="N91" i="5" s="1"/>
  <c r="C91" i="6" s="1"/>
  <c r="W80" i="5"/>
  <c r="N80" i="5" s="1"/>
  <c r="C80" i="6" s="1"/>
  <c r="C74" i="7" s="1"/>
  <c r="W44" i="5"/>
  <c r="N44" i="5" s="1"/>
  <c r="C44" i="6" s="1"/>
  <c r="C38" i="7" s="1"/>
  <c r="W24" i="5"/>
  <c r="N24" i="5" s="1"/>
  <c r="C24" i="6" s="1"/>
  <c r="C18" i="7" s="1"/>
  <c r="W85" i="5"/>
  <c r="N85" i="5" s="1"/>
  <c r="C85" i="6" s="1"/>
  <c r="C79" i="7" s="1"/>
  <c r="W58" i="5"/>
  <c r="N58" i="5" s="1"/>
  <c r="C58" i="6" s="1"/>
  <c r="C52" i="7" s="1"/>
  <c r="W30" i="5"/>
  <c r="N30" i="5" s="1"/>
  <c r="C30" i="6" s="1"/>
  <c r="C24" i="7" s="1"/>
  <c r="C5" i="6" l="1"/>
  <c r="M10" i="5"/>
  <c r="M11" i="5"/>
  <c r="M12" i="5"/>
  <c r="H6" i="6" l="1"/>
  <c r="P6" i="6"/>
  <c r="X6" i="6"/>
  <c r="AF6" i="6"/>
  <c r="AN6" i="6"/>
  <c r="AV6" i="6"/>
  <c r="BD6" i="6"/>
  <c r="BL6" i="6"/>
  <c r="BT6" i="6"/>
  <c r="CB6" i="6"/>
  <c r="CJ6" i="6"/>
  <c r="CR6" i="6"/>
  <c r="CZ6" i="6"/>
  <c r="S6" i="6"/>
  <c r="AQ6" i="6"/>
  <c r="BG6" i="6"/>
  <c r="CE6" i="6"/>
  <c r="F5" i="6"/>
  <c r="L6" i="6"/>
  <c r="AR6" i="6"/>
  <c r="BP6" i="6"/>
  <c r="CN6" i="6"/>
  <c r="I6" i="6"/>
  <c r="Q6" i="6"/>
  <c r="Y6" i="6"/>
  <c r="AG6" i="6"/>
  <c r="AO6" i="6"/>
  <c r="AW6" i="6"/>
  <c r="BE6" i="6"/>
  <c r="BM6" i="6"/>
  <c r="BU6" i="6"/>
  <c r="CC6" i="6"/>
  <c r="CK6" i="6"/>
  <c r="CS6" i="6"/>
  <c r="DA6" i="6"/>
  <c r="AA6" i="6"/>
  <c r="AY6" i="6"/>
  <c r="BO6" i="6"/>
  <c r="CM6" i="6"/>
  <c r="T6" i="6"/>
  <c r="AJ6" i="6"/>
  <c r="BH6" i="6"/>
  <c r="CF6" i="6"/>
  <c r="J6" i="6"/>
  <c r="R6" i="6"/>
  <c r="Z6" i="6"/>
  <c r="AH6" i="6"/>
  <c r="AP6" i="6"/>
  <c r="AX6" i="6"/>
  <c r="BF6" i="6"/>
  <c r="BN6" i="6"/>
  <c r="BV6" i="6"/>
  <c r="CD6" i="6"/>
  <c r="CL6" i="6"/>
  <c r="CT6" i="6"/>
  <c r="F6" i="6"/>
  <c r="K6" i="6"/>
  <c r="AI6" i="6"/>
  <c r="BW6" i="6"/>
  <c r="CU6" i="6"/>
  <c r="AB6" i="6"/>
  <c r="AZ6" i="6"/>
  <c r="BX6" i="6"/>
  <c r="CV6" i="6"/>
  <c r="M6" i="6"/>
  <c r="U6" i="6"/>
  <c r="AC6" i="6"/>
  <c r="AK6" i="6"/>
  <c r="AS6" i="6"/>
  <c r="BA6" i="6"/>
  <c r="BI6" i="6"/>
  <c r="BQ6" i="6"/>
  <c r="BY6" i="6"/>
  <c r="CG6" i="6"/>
  <c r="CO6" i="6"/>
  <c r="CW6" i="6"/>
  <c r="N6" i="6"/>
  <c r="V6" i="6"/>
  <c r="AD6" i="6"/>
  <c r="AL6" i="6"/>
  <c r="AT6" i="6"/>
  <c r="BB6" i="6"/>
  <c r="BJ6" i="6"/>
  <c r="BR6" i="6"/>
  <c r="BZ6" i="6"/>
  <c r="CH6" i="6"/>
  <c r="CP6" i="6"/>
  <c r="CX6" i="6"/>
  <c r="G6" i="6"/>
  <c r="O6" i="6"/>
  <c r="W6" i="6"/>
  <c r="AE6" i="6"/>
  <c r="AM6" i="6"/>
  <c r="AU6" i="6"/>
  <c r="BC6" i="6"/>
  <c r="BK6" i="6"/>
  <c r="BS6" i="6"/>
  <c r="CA6" i="6"/>
  <c r="CI6" i="6"/>
  <c r="CQ6" i="6"/>
  <c r="CY6" i="6"/>
  <c r="M16" i="5"/>
  <c r="AF5" i="5" s="1"/>
  <c r="M14" i="5"/>
  <c r="M13" i="5"/>
  <c r="M15" i="5"/>
  <c r="M17" i="5" a="1"/>
  <c r="M18" i="5" l="1"/>
  <c r="M17" i="5"/>
  <c r="AE5" i="5"/>
  <c r="M20" i="5"/>
  <c r="X13" i="6" l="1"/>
  <c r="X135" i="6" s="1"/>
  <c r="AH11" i="6"/>
  <c r="AE11" i="6"/>
  <c r="AE133" i="6" s="1"/>
  <c r="CK12" i="6"/>
  <c r="CK134" i="6" s="1"/>
  <c r="CJ13" i="6"/>
  <c r="CJ135" i="6" s="1"/>
  <c r="CP12" i="6"/>
  <c r="CP134" i="6" s="1"/>
  <c r="CZ13" i="6"/>
  <c r="CZ135" i="6" s="1"/>
  <c r="AX12" i="6"/>
  <c r="AX134" i="6" s="1"/>
  <c r="Y12" i="6"/>
  <c r="Y134" i="6" s="1"/>
  <c r="CJ11" i="6"/>
  <c r="CJ133" i="6" s="1"/>
  <c r="AT12" i="6"/>
  <c r="BF12" i="6"/>
  <c r="G12" i="6"/>
  <c r="G134" i="6" s="1"/>
  <c r="I11" i="6"/>
  <c r="I133" i="6" s="1"/>
  <c r="BG12" i="6"/>
  <c r="J12" i="6"/>
  <c r="J134" i="6" s="1"/>
  <c r="J13" i="6"/>
  <c r="J135" i="6" s="1"/>
  <c r="J11" i="6"/>
  <c r="J133" i="6" s="1"/>
  <c r="Z12" i="6"/>
  <c r="AG13" i="6"/>
  <c r="AG135" i="6" s="1"/>
  <c r="AG11" i="6"/>
  <c r="S12" i="6"/>
  <c r="BK12" i="6"/>
  <c r="BK134" i="6" s="1"/>
  <c r="H11" i="6"/>
  <c r="CU11" i="6"/>
  <c r="CU133" i="6" s="1"/>
  <c r="AA12" i="6"/>
  <c r="U11" i="6"/>
  <c r="U133" i="6" s="1"/>
  <c r="P12" i="6"/>
  <c r="P134" i="6" s="1"/>
  <c r="P11" i="6"/>
  <c r="CP11" i="6"/>
  <c r="CP133" i="6" s="1"/>
  <c r="AW13" i="6"/>
  <c r="AW135" i="6" s="1"/>
  <c r="R12" i="6"/>
  <c r="R134" i="6" s="1"/>
  <c r="AP12" i="6"/>
  <c r="AP134" i="6" s="1"/>
  <c r="BA11" i="6"/>
  <c r="BA133" i="6" s="1"/>
  <c r="BS12" i="6"/>
  <c r="BS134" i="6" s="1"/>
  <c r="L12" i="6"/>
  <c r="L134" i="6" s="1"/>
  <c r="BW12" i="6"/>
  <c r="BW11" i="6"/>
  <c r="BW133" i="6" s="1"/>
  <c r="BJ11" i="6"/>
  <c r="BJ133" i="6" s="1"/>
  <c r="AF12" i="6"/>
  <c r="AF134" i="6" s="1"/>
  <c r="X11" i="6"/>
  <c r="AZ12" i="6"/>
  <c r="AZ134" i="6" s="1"/>
  <c r="AQ11" i="6"/>
  <c r="AQ133" i="6" s="1"/>
  <c r="BM11" i="6"/>
  <c r="CV12" i="6"/>
  <c r="CV134" i="6" s="1"/>
  <c r="CV11" i="6"/>
  <c r="O12" i="6"/>
  <c r="O134" i="6" s="1"/>
  <c r="BH12" i="6"/>
  <c r="CE11" i="6"/>
  <c r="AI11" i="6"/>
  <c r="BG11" i="6"/>
  <c r="BG133" i="6" s="1"/>
  <c r="CM11" i="6"/>
  <c r="Y11" i="6"/>
  <c r="Y133" i="6" s="1"/>
  <c r="CZ11" i="6"/>
  <c r="CZ133" i="6" s="1"/>
  <c r="CC12" i="6"/>
  <c r="CC134" i="6" s="1"/>
  <c r="M12" i="6"/>
  <c r="BD13" i="6"/>
  <c r="BD135" i="6" s="1"/>
  <c r="CS13" i="6"/>
  <c r="CS135" i="6" s="1"/>
  <c r="CI13" i="6"/>
  <c r="CI135" i="6" s="1"/>
  <c r="BZ11" i="6"/>
  <c r="BZ133" i="6" s="1"/>
  <c r="CN11" i="6"/>
  <c r="CN133" i="6" s="1"/>
  <c r="BH11" i="6"/>
  <c r="BH133" i="6" s="1"/>
  <c r="BV12" i="6"/>
  <c r="R11" i="6"/>
  <c r="R133" i="6" s="1"/>
  <c r="BJ12" i="6"/>
  <c r="K11" i="6"/>
  <c r="K133" i="6" s="1"/>
  <c r="BR12" i="6"/>
  <c r="BR134" i="6" s="1"/>
  <c r="CZ12" i="6"/>
  <c r="BD12" i="6"/>
  <c r="CS12" i="6"/>
  <c r="CS134" i="6" s="1"/>
  <c r="AR12" i="6"/>
  <c r="AR134" i="6" s="1"/>
  <c r="BT12" i="6"/>
  <c r="BT134" i="6" s="1"/>
  <c r="CT12" i="6"/>
  <c r="CT134" i="6" s="1"/>
  <c r="M11" i="6"/>
  <c r="M133" i="6" s="1"/>
  <c r="AT11" i="6"/>
  <c r="AT133" i="6" s="1"/>
  <c r="AW11" i="6"/>
  <c r="AW133" i="6" s="1"/>
  <c r="CF12" i="6"/>
  <c r="CF134" i="6" s="1"/>
  <c r="BB12" i="6"/>
  <c r="BB134" i="6" s="1"/>
  <c r="BO12" i="6"/>
  <c r="BO134" i="6" s="1"/>
  <c r="CJ12" i="6"/>
  <c r="CJ134" i="6" s="1"/>
  <c r="AL12" i="6"/>
  <c r="AL134" i="6" s="1"/>
  <c r="AL11" i="6"/>
  <c r="AL133" i="6" s="1"/>
  <c r="AD11" i="6"/>
  <c r="V12" i="6"/>
  <c r="BZ12" i="6"/>
  <c r="BZ134" i="6" s="1"/>
  <c r="BC12" i="6"/>
  <c r="CI11" i="6"/>
  <c r="CF11" i="6"/>
  <c r="CF133" i="6" s="1"/>
  <c r="AC11" i="6"/>
  <c r="AC133" i="6" s="1"/>
  <c r="BK11" i="6"/>
  <c r="BK133" i="6" s="1"/>
  <c r="BV11" i="6"/>
  <c r="BV133" i="6" s="1"/>
  <c r="Q12" i="6"/>
  <c r="Q134" i="6" s="1"/>
  <c r="Q11" i="6"/>
  <c r="Q133" i="6" s="1"/>
  <c r="BU11" i="6"/>
  <c r="DA12" i="6"/>
  <c r="DA134" i="6" s="1"/>
  <c r="DA11" i="6"/>
  <c r="DA133" i="6" s="1"/>
  <c r="CT13" i="6"/>
  <c r="CT135" i="6" s="1"/>
  <c r="AL13" i="6"/>
  <c r="AL135" i="6" s="1"/>
  <c r="AN12" i="6"/>
  <c r="AN134" i="6" s="1"/>
  <c r="CW11" i="6"/>
  <c r="BY11" i="6"/>
  <c r="BM12" i="6"/>
  <c r="BM134" i="6" s="1"/>
  <c r="AJ12" i="6"/>
  <c r="AJ134" i="6" s="1"/>
  <c r="BY12" i="6"/>
  <c r="AJ11" i="6"/>
  <c r="AI12" i="6"/>
  <c r="N12" i="6"/>
  <c r="N134" i="6" s="1"/>
  <c r="CX11" i="6"/>
  <c r="CX12" i="6"/>
  <c r="CX134" i="6" s="1"/>
  <c r="BL12" i="6"/>
  <c r="BL134" i="6" s="1"/>
  <c r="CI12" i="6"/>
  <c r="AB12" i="6"/>
  <c r="AB134" i="6" s="1"/>
  <c r="AU11" i="6"/>
  <c r="AU133" i="6" s="1"/>
  <c r="AY12" i="6"/>
  <c r="AY134" i="6" s="1"/>
  <c r="CS11" i="6"/>
  <c r="CS133" i="6" s="1"/>
  <c r="CB12" i="6"/>
  <c r="BE13" i="6"/>
  <c r="BE135" i="6" s="1"/>
  <c r="BE12" i="6"/>
  <c r="BE134" i="6" s="1"/>
  <c r="BE11" i="6"/>
  <c r="BE133" i="6" s="1"/>
  <c r="AI13" i="6"/>
  <c r="AI135" i="6" s="1"/>
  <c r="CK13" i="6"/>
  <c r="CK135" i="6" s="1"/>
  <c r="CE13" i="6"/>
  <c r="CE135" i="6" s="1"/>
  <c r="BK13" i="6"/>
  <c r="BK135" i="6" s="1"/>
  <c r="BT13" i="6"/>
  <c r="BT135" i="6" s="1"/>
  <c r="AK13" i="6"/>
  <c r="AK135" i="6" s="1"/>
  <c r="X12" i="6"/>
  <c r="X134" i="6" s="1"/>
  <c r="U12" i="6"/>
  <c r="AQ12" i="6"/>
  <c r="AQ134" i="6" s="1"/>
  <c r="BF11" i="6"/>
  <c r="BF133" i="6" s="1"/>
  <c r="AG12" i="6"/>
  <c r="AG134" i="6" s="1"/>
  <c r="CL11" i="6"/>
  <c r="CL133" i="6" s="1"/>
  <c r="BR11" i="6"/>
  <c r="BR133" i="6" s="1"/>
  <c r="BX11" i="6"/>
  <c r="CG12" i="6"/>
  <c r="CG134" i="6" s="1"/>
  <c r="CH12" i="6"/>
  <c r="CH134" i="6" s="1"/>
  <c r="AY11" i="6"/>
  <c r="BI12" i="6"/>
  <c r="CD11" i="6"/>
  <c r="F11" i="6"/>
  <c r="AX136" i="6" s="1"/>
  <c r="F13" i="6"/>
  <c r="AX138" i="6" s="1"/>
  <c r="F12" i="6"/>
  <c r="BZ137" i="6" s="1"/>
  <c r="AM13" i="6"/>
  <c r="AM135" i="6" s="1"/>
  <c r="BQ13" i="6"/>
  <c r="BQ135" i="6" s="1"/>
  <c r="G13" i="6"/>
  <c r="G135" i="6" s="1"/>
  <c r="CH13" i="6"/>
  <c r="CH135" i="6" s="1"/>
  <c r="BN13" i="6"/>
  <c r="BN135" i="6" s="1"/>
  <c r="AU13" i="6"/>
  <c r="AU135" i="6" s="1"/>
  <c r="BS13" i="6"/>
  <c r="BS135" i="6" s="1"/>
  <c r="CW13" i="6"/>
  <c r="CW135" i="6" s="1"/>
  <c r="BD11" i="6"/>
  <c r="BD133" i="6" s="1"/>
  <c r="O11" i="6"/>
  <c r="O133" i="6" s="1"/>
  <c r="CW12" i="6"/>
  <c r="CN12" i="6"/>
  <c r="CT11" i="6"/>
  <c r="BU12" i="6"/>
  <c r="BU134" i="6" s="1"/>
  <c r="CU12" i="6"/>
  <c r="CU134" i="6" s="1"/>
  <c r="AO12" i="6"/>
  <c r="AO134" i="6" s="1"/>
  <c r="AO11" i="6"/>
  <c r="CQ12" i="6"/>
  <c r="BC11" i="6"/>
  <c r="AV12" i="6"/>
  <c r="U13" i="6"/>
  <c r="U135" i="6" s="1"/>
  <c r="BU13" i="6"/>
  <c r="BU135" i="6" s="1"/>
  <c r="AY13" i="6"/>
  <c r="AY135" i="6" s="1"/>
  <c r="R13" i="6"/>
  <c r="R135" i="6" s="1"/>
  <c r="CM13" i="6"/>
  <c r="CM135" i="6" s="1"/>
  <c r="AS13" i="6"/>
  <c r="AS135" i="6" s="1"/>
  <c r="BI13" i="6"/>
  <c r="BI135" i="6" s="1"/>
  <c r="L13" i="6"/>
  <c r="L135" i="6" s="1"/>
  <c r="BL13" i="6"/>
  <c r="BL135" i="6" s="1"/>
  <c r="P13" i="6"/>
  <c r="P135" i="6" s="1"/>
  <c r="AR13" i="6"/>
  <c r="AR135" i="6" s="1"/>
  <c r="BZ13" i="6"/>
  <c r="BZ135" i="6" s="1"/>
  <c r="Q13" i="6"/>
  <c r="Q135" i="6" s="1"/>
  <c r="V13" i="6"/>
  <c r="V135" i="6" s="1"/>
  <c r="CB13" i="6"/>
  <c r="CB135" i="6" s="1"/>
  <c r="CA13" i="6"/>
  <c r="CA135" i="6" s="1"/>
  <c r="CF52" i="6"/>
  <c r="CN5" i="6"/>
  <c r="CN51" i="6" s="1"/>
  <c r="CG5" i="6"/>
  <c r="CG51" i="6" s="1"/>
  <c r="AH5" i="6"/>
  <c r="AH51" i="6" s="1"/>
  <c r="CM5" i="6"/>
  <c r="CM51" i="6" s="1"/>
  <c r="AN5" i="6"/>
  <c r="AN51" i="6" s="1"/>
  <c r="AC5" i="6"/>
  <c r="T52" i="6"/>
  <c r="AU5" i="6"/>
  <c r="AU51" i="6" s="1"/>
  <c r="O52" i="6"/>
  <c r="V5" i="6"/>
  <c r="V51" i="6" s="1"/>
  <c r="BZ5" i="6"/>
  <c r="CJ5" i="6"/>
  <c r="AM5" i="6"/>
  <c r="AM51" i="6" s="1"/>
  <c r="CH5" i="6"/>
  <c r="CH51" i="6" s="1"/>
  <c r="CX5" i="6"/>
  <c r="CX51" i="6" s="1"/>
  <c r="Z5" i="6"/>
  <c r="CU52" i="6"/>
  <c r="AC52" i="6"/>
  <c r="CC5" i="6"/>
  <c r="CC51" i="6" s="1"/>
  <c r="CI52" i="6"/>
  <c r="AA5" i="6"/>
  <c r="AA51" i="6" s="1"/>
  <c r="BS5" i="6"/>
  <c r="BS51" i="6" s="1"/>
  <c r="AA52" i="6"/>
  <c r="BB52" i="6"/>
  <c r="AL5" i="6"/>
  <c r="AL51" i="6" s="1"/>
  <c r="CY52" i="6"/>
  <c r="CL5" i="6"/>
  <c r="CL51" i="6" s="1"/>
  <c r="AN52" i="6"/>
  <c r="BR52" i="6"/>
  <c r="BC52" i="6"/>
  <c r="AV52" i="6"/>
  <c r="CT5" i="6"/>
  <c r="CT51" i="6" s="1"/>
  <c r="AM12" i="6"/>
  <c r="AE12" i="6"/>
  <c r="AE134" i="6" s="1"/>
  <c r="CY12" i="6"/>
  <c r="CY134" i="6" s="1"/>
  <c r="V11" i="6"/>
  <c r="BQ11" i="6"/>
  <c r="AR11" i="6"/>
  <c r="AR133" i="6" s="1"/>
  <c r="AP11" i="6"/>
  <c r="AP133" i="6" s="1"/>
  <c r="CQ11" i="6"/>
  <c r="W11" i="6"/>
  <c r="BX12" i="6"/>
  <c r="BX134" i="6" s="1"/>
  <c r="BY13" i="6"/>
  <c r="BY135" i="6" s="1"/>
  <c r="AA13" i="6"/>
  <c r="AA135" i="6" s="1"/>
  <c r="AB13" i="6"/>
  <c r="AB135" i="6" s="1"/>
  <c r="AV13" i="6"/>
  <c r="AV135" i="6" s="1"/>
  <c r="BJ52" i="6"/>
  <c r="BB5" i="6"/>
  <c r="AW52" i="6"/>
  <c r="BM5" i="6"/>
  <c r="BM51" i="6" s="1"/>
  <c r="AS52" i="6"/>
  <c r="CJ52" i="6"/>
  <c r="T5" i="6"/>
  <c r="T51" i="6" s="1"/>
  <c r="J5" i="6"/>
  <c r="J51" i="6" s="1"/>
  <c r="U52" i="6"/>
  <c r="CZ52" i="6"/>
  <c r="AG5" i="6"/>
  <c r="AG51" i="6" s="1"/>
  <c r="CB52" i="6"/>
  <c r="CZ5" i="6"/>
  <c r="CZ51" i="6" s="1"/>
  <c r="M5" i="6"/>
  <c r="M51" i="6" s="1"/>
  <c r="S11" i="6"/>
  <c r="S133" i="6" s="1"/>
  <c r="BN11" i="6"/>
  <c r="BN133" i="6" s="1"/>
  <c r="AK11" i="6"/>
  <c r="CC11" i="6"/>
  <c r="CC133" i="6" s="1"/>
  <c r="CH11" i="6"/>
  <c r="CH133" i="6" s="1"/>
  <c r="AM11" i="6"/>
  <c r="AM133" i="6" s="1"/>
  <c r="CD12" i="6"/>
  <c r="BI11" i="6"/>
  <c r="BI133" i="6" s="1"/>
  <c r="CC13" i="6"/>
  <c r="CC135" i="6" s="1"/>
  <c r="O13" i="6"/>
  <c r="O135" i="6" s="1"/>
  <c r="DA13" i="6"/>
  <c r="CL13" i="6"/>
  <c r="CL135" i="6" s="1"/>
  <c r="BH13" i="6"/>
  <c r="BH135" i="6" s="1"/>
  <c r="Y13" i="6"/>
  <c r="Y135" i="6" s="1"/>
  <c r="BA13" i="6"/>
  <c r="BA135" i="6" s="1"/>
  <c r="BR13" i="6"/>
  <c r="BR135" i="6" s="1"/>
  <c r="AH13" i="6"/>
  <c r="AH135" i="6" s="1"/>
  <c r="AD13" i="6"/>
  <c r="AD135" i="6" s="1"/>
  <c r="AQ13" i="6"/>
  <c r="AQ135" i="6" s="1"/>
  <c r="AF13" i="6"/>
  <c r="AP13" i="6"/>
  <c r="CY13" i="6"/>
  <c r="BV52" i="6"/>
  <c r="H5" i="6"/>
  <c r="H51" i="6" s="1"/>
  <c r="AW5" i="6"/>
  <c r="AW51" i="6" s="1"/>
  <c r="O5" i="6"/>
  <c r="O51" i="6" s="1"/>
  <c r="CW5" i="6"/>
  <c r="CW51" i="6" s="1"/>
  <c r="S5" i="6"/>
  <c r="S51" i="6" s="1"/>
  <c r="CR12" i="6"/>
  <c r="BA52" i="6"/>
  <c r="AE5" i="6"/>
  <c r="AS5" i="6"/>
  <c r="AS51" i="6" s="1"/>
  <c r="M52" i="6"/>
  <c r="BF52" i="6"/>
  <c r="AD12" i="6"/>
  <c r="AD134" i="6" s="1"/>
  <c r="AV11" i="6"/>
  <c r="AV133" i="6" s="1"/>
  <c r="G11" i="6"/>
  <c r="BN12" i="6"/>
  <c r="BO11" i="6"/>
  <c r="BO133" i="6" s="1"/>
  <c r="N13" i="6"/>
  <c r="N135" i="6" s="1"/>
  <c r="BC13" i="6"/>
  <c r="BC135" i="6" s="1"/>
  <c r="Z13" i="6"/>
  <c r="Z135" i="6" s="1"/>
  <c r="CD13" i="6"/>
  <c r="CD135" i="6" s="1"/>
  <c r="M13" i="6"/>
  <c r="M135" i="6" s="1"/>
  <c r="AQ5" i="6"/>
  <c r="AQ51" i="6" s="1"/>
  <c r="CO5" i="6"/>
  <c r="CO13" i="6"/>
  <c r="CO135" i="6" s="1"/>
  <c r="CO11" i="6"/>
  <c r="BO5" i="6"/>
  <c r="BO51" i="6" s="1"/>
  <c r="AK5" i="6"/>
  <c r="AK51" i="6" s="1"/>
  <c r="CV5" i="6"/>
  <c r="CV51" i="6" s="1"/>
  <c r="CW52" i="6"/>
  <c r="BI5" i="6"/>
  <c r="CT52" i="6"/>
  <c r="AB5" i="6"/>
  <c r="AB51" i="6" s="1"/>
  <c r="BV5" i="6"/>
  <c r="BV51" i="6" s="1"/>
  <c r="CR52" i="6"/>
  <c r="G5" i="6"/>
  <c r="BU52" i="6"/>
  <c r="K5" i="6"/>
  <c r="K51" i="6" s="1"/>
  <c r="CY5" i="6"/>
  <c r="CY51" i="6" s="1"/>
  <c r="BE52" i="6"/>
  <c r="CN52" i="6"/>
  <c r="BJ5" i="6"/>
  <c r="BT5" i="6"/>
  <c r="BT51" i="6" s="1"/>
  <c r="P52" i="6"/>
  <c r="AI52" i="6"/>
  <c r="BL5" i="6"/>
  <c r="BL51" i="6" s="1"/>
  <c r="AD5" i="6"/>
  <c r="AD51" i="6" s="1"/>
  <c r="AR52" i="6"/>
  <c r="L5" i="6"/>
  <c r="L51" i="6" s="1"/>
  <c r="AY52" i="6"/>
  <c r="CB5" i="6"/>
  <c r="CB51" i="6" s="1"/>
  <c r="CD5" i="6"/>
  <c r="CD51" i="6" s="1"/>
  <c r="BX5" i="6"/>
  <c r="BX51" i="6" s="1"/>
  <c r="BR5" i="6"/>
  <c r="BR51" i="6" s="1"/>
  <c r="CL12" i="6"/>
  <c r="BQ12" i="6"/>
  <c r="BQ134" i="6" s="1"/>
  <c r="T12" i="6"/>
  <c r="T134" i="6" s="1"/>
  <c r="BP11" i="6"/>
  <c r="BP133" i="6" s="1"/>
  <c r="AC12" i="6"/>
  <c r="AN13" i="6"/>
  <c r="AN135" i="6" s="1"/>
  <c r="BG13" i="6"/>
  <c r="BG135" i="6" s="1"/>
  <c r="CU13" i="6"/>
  <c r="CU135" i="6" s="1"/>
  <c r="BB13" i="6"/>
  <c r="BB135" i="6" s="1"/>
  <c r="AJ13" i="6"/>
  <c r="AJ135" i="6" s="1"/>
  <c r="K13" i="6"/>
  <c r="K135" i="6" s="1"/>
  <c r="AU52" i="6"/>
  <c r="BA5" i="6"/>
  <c r="BA51" i="6" s="1"/>
  <c r="R5" i="6"/>
  <c r="R51" i="6" s="1"/>
  <c r="CV52" i="6"/>
  <c r="Y52" i="6"/>
  <c r="AF52" i="6"/>
  <c r="BQ52" i="6"/>
  <c r="CE52" i="6"/>
  <c r="BN5" i="6"/>
  <c r="BN51" i="6" s="1"/>
  <c r="U5" i="6"/>
  <c r="U51" i="6" s="1"/>
  <c r="AI5" i="6"/>
  <c r="CL52" i="6"/>
  <c r="CQ5" i="6"/>
  <c r="BZ54" i="6"/>
  <c r="AP52" i="6"/>
  <c r="CS5" i="6"/>
  <c r="CS51" i="6" s="1"/>
  <c r="F7" i="6"/>
  <c r="BE56" i="6" s="1"/>
  <c r="N5" i="6"/>
  <c r="N51" i="6" s="1"/>
  <c r="AM7" i="6"/>
  <c r="AM53" i="6" s="1"/>
  <c r="AR7" i="6"/>
  <c r="AR53" i="6" s="1"/>
  <c r="BW52" i="6"/>
  <c r="CB11" i="6"/>
  <c r="CB133" i="6" s="1"/>
  <c r="AH12" i="6"/>
  <c r="AH134" i="6" s="1"/>
  <c r="BJ13" i="6"/>
  <c r="BJ135" i="6" s="1"/>
  <c r="I12" i="6"/>
  <c r="CO12" i="6"/>
  <c r="CO134" i="6" s="1"/>
  <c r="AT13" i="6"/>
  <c r="AT135" i="6" s="1"/>
  <c r="BX13" i="6"/>
  <c r="BX135" i="6" s="1"/>
  <c r="AM52" i="6"/>
  <c r="R52" i="6"/>
  <c r="Z52" i="6"/>
  <c r="BO52" i="6"/>
  <c r="AZ5" i="6"/>
  <c r="AZ51" i="6" s="1"/>
  <c r="X52" i="6"/>
  <c r="I52" i="6"/>
  <c r="CP5" i="6"/>
  <c r="CP51" i="6" s="1"/>
  <c r="Q5" i="6"/>
  <c r="Q51" i="6" s="1"/>
  <c r="CU5" i="6"/>
  <c r="CS52" i="6"/>
  <c r="CR5" i="6"/>
  <c r="CR51" i="6" s="1"/>
  <c r="CM52" i="6"/>
  <c r="Q52" i="6"/>
  <c r="BX52" i="6"/>
  <c r="BD5" i="6"/>
  <c r="BD51" i="6" s="1"/>
  <c r="AV5" i="6"/>
  <c r="AV51" i="6" s="1"/>
  <c r="AE52" i="6"/>
  <c r="BH52" i="6"/>
  <c r="AY5" i="6"/>
  <c r="AY51" i="6" s="1"/>
  <c r="BP5" i="6"/>
  <c r="BP51" i="6" s="1"/>
  <c r="Y7" i="6"/>
  <c r="Y53" i="6" s="1"/>
  <c r="BV7" i="6"/>
  <c r="BV53" i="6" s="1"/>
  <c r="CN7" i="6"/>
  <c r="CN53" i="6" s="1"/>
  <c r="BM7" i="6"/>
  <c r="BM53" i="6" s="1"/>
  <c r="CG7" i="6"/>
  <c r="CG53" i="6" s="1"/>
  <c r="BS7" i="6"/>
  <c r="BS53" i="6" s="1"/>
  <c r="BL7" i="6"/>
  <c r="BL53" i="6" s="1"/>
  <c r="BE5" i="6"/>
  <c r="AG55" i="6"/>
  <c r="BP12" i="6"/>
  <c r="BP134" i="6" s="1"/>
  <c r="CM12" i="6"/>
  <c r="CM134" i="6" s="1"/>
  <c r="AB11" i="6"/>
  <c r="AX11" i="6"/>
  <c r="AX133" i="6" s="1"/>
  <c r="BM13" i="6"/>
  <c r="BM135" i="6" s="1"/>
  <c r="CY11" i="6"/>
  <c r="CY133" i="6" s="1"/>
  <c r="L11" i="6"/>
  <c r="BW13" i="6"/>
  <c r="BW135" i="6" s="1"/>
  <c r="S13" i="6"/>
  <c r="S135" i="6" s="1"/>
  <c r="AE13" i="6"/>
  <c r="AX13" i="6"/>
  <c r="AX135" i="6" s="1"/>
  <c r="CG13" i="6"/>
  <c r="CG135" i="6" s="1"/>
  <c r="T13" i="6"/>
  <c r="T135" i="6" s="1"/>
  <c r="CQ52" i="6"/>
  <c r="BG52" i="6"/>
  <c r="CO52" i="6"/>
  <c r="J52" i="6"/>
  <c r="BL52" i="6"/>
  <c r="AB52" i="6"/>
  <c r="AF5" i="6"/>
  <c r="X5" i="6"/>
  <c r="X51" i="6" s="1"/>
  <c r="BF7" i="6"/>
  <c r="BF53" i="6" s="1"/>
  <c r="AU7" i="6"/>
  <c r="AU53" i="6" s="1"/>
  <c r="Z7" i="6"/>
  <c r="Z53" i="6" s="1"/>
  <c r="V7" i="6"/>
  <c r="V53" i="6" s="1"/>
  <c r="BT7" i="6"/>
  <c r="BT53" i="6" s="1"/>
  <c r="BE7" i="6"/>
  <c r="BE53" i="6" s="1"/>
  <c r="CT7" i="6"/>
  <c r="CT53" i="6" s="1"/>
  <c r="CP7" i="6"/>
  <c r="CP53" i="6" s="1"/>
  <c r="CK7" i="6"/>
  <c r="CK53" i="6" s="1"/>
  <c r="BU7" i="6"/>
  <c r="BU53" i="6" s="1"/>
  <c r="L7" i="6"/>
  <c r="L53" i="6" s="1"/>
  <c r="CQ7" i="6"/>
  <c r="CQ53" i="6" s="1"/>
  <c r="P7" i="6"/>
  <c r="P53" i="6" s="1"/>
  <c r="BA7" i="6"/>
  <c r="BA53" i="6" s="1"/>
  <c r="CY7" i="6"/>
  <c r="CY53" i="6" s="1"/>
  <c r="CP52" i="6"/>
  <c r="CV7" i="6"/>
  <c r="CV53" i="6" s="1"/>
  <c r="BP7" i="6"/>
  <c r="BP53" i="6" s="1"/>
  <c r="Q7" i="6"/>
  <c r="Q53" i="6" s="1"/>
  <c r="K7" i="6"/>
  <c r="K53" i="6" s="1"/>
  <c r="AW12" i="6"/>
  <c r="AW134" i="6" s="1"/>
  <c r="AC13" i="6"/>
  <c r="AC135" i="6" s="1"/>
  <c r="AJ5" i="6"/>
  <c r="AJ51" i="6" s="1"/>
  <c r="AL52" i="6"/>
  <c r="BW5" i="6"/>
  <c r="BW51" i="6" s="1"/>
  <c r="BY52" i="6"/>
  <c r="CA52" i="6"/>
  <c r="P5" i="6"/>
  <c r="P51" i="6" s="1"/>
  <c r="AN7" i="6"/>
  <c r="AN53" i="6" s="1"/>
  <c r="M7" i="6"/>
  <c r="BK7" i="6"/>
  <c r="BK53" i="6" s="1"/>
  <c r="CU7" i="6"/>
  <c r="CU53" i="6" s="1"/>
  <c r="R7" i="6"/>
  <c r="R53" i="6" s="1"/>
  <c r="N7" i="6"/>
  <c r="Y5" i="6"/>
  <c r="Y51" i="6" s="1"/>
  <c r="CB7" i="6"/>
  <c r="CB53" i="6" s="1"/>
  <c r="AS12" i="6"/>
  <c r="AS134" i="6" s="1"/>
  <c r="W12" i="6"/>
  <c r="W134" i="6" s="1"/>
  <c r="BP13" i="6"/>
  <c r="BP135" i="6" s="1"/>
  <c r="CX13" i="6"/>
  <c r="CX135" i="6" s="1"/>
  <c r="CN13" i="6"/>
  <c r="CN135" i="6" s="1"/>
  <c r="CF13" i="6"/>
  <c r="AH52" i="6"/>
  <c r="W5" i="6"/>
  <c r="BC5" i="6"/>
  <c r="BC51" i="6" s="1"/>
  <c r="CE5" i="6"/>
  <c r="CI5" i="6"/>
  <c r="CI51" i="6" s="1"/>
  <c r="G52" i="6"/>
  <c r="BH5" i="6"/>
  <c r="BH51" i="6" s="1"/>
  <c r="BU5" i="6"/>
  <c r="BU51" i="6" s="1"/>
  <c r="CA7" i="6"/>
  <c r="CA53" i="6" s="1"/>
  <c r="CR7" i="6"/>
  <c r="H12" i="6"/>
  <c r="H134" i="6" s="1"/>
  <c r="CA12" i="6"/>
  <c r="CA134" i="6" s="1"/>
  <c r="AN11" i="6"/>
  <c r="T11" i="6"/>
  <c r="T133" i="6" s="1"/>
  <c r="I13" i="6"/>
  <c r="I135" i="6" s="1"/>
  <c r="CP13" i="6"/>
  <c r="CK52" i="6"/>
  <c r="BQ5" i="6"/>
  <c r="BQ51" i="6" s="1"/>
  <c r="BK5" i="6"/>
  <c r="BK51" i="6" s="1"/>
  <c r="AG52" i="6"/>
  <c r="AX5" i="6"/>
  <c r="BZ52" i="6"/>
  <c r="N11" i="6"/>
  <c r="CR13" i="6"/>
  <c r="CR135" i="6" s="1"/>
  <c r="AO13" i="6"/>
  <c r="AO135" i="6" s="1"/>
  <c r="BO13" i="6"/>
  <c r="BO135" i="6" s="1"/>
  <c r="CV13" i="6"/>
  <c r="CV135" i="6" s="1"/>
  <c r="AX7" i="6"/>
  <c r="AX53" i="6" s="1"/>
  <c r="BB11" i="6"/>
  <c r="AU12" i="6"/>
  <c r="AA11" i="6"/>
  <c r="BV13" i="6"/>
  <c r="AP5" i="6"/>
  <c r="AP51" i="6" s="1"/>
  <c r="AQ7" i="6"/>
  <c r="AQ53" i="6" s="1"/>
  <c r="BR7" i="6"/>
  <c r="BR53" i="6" s="1"/>
  <c r="K52" i="6"/>
  <c r="G7" i="6"/>
  <c r="G53" i="6" s="1"/>
  <c r="DA5" i="6"/>
  <c r="DA51" i="6" s="1"/>
  <c r="CO7" i="6"/>
  <c r="CO53" i="6" s="1"/>
  <c r="I5" i="6"/>
  <c r="I51" i="6" s="1"/>
  <c r="AK7" i="6"/>
  <c r="AK53" i="6" s="1"/>
  <c r="CI7" i="6"/>
  <c r="CI53" i="6" s="1"/>
  <c r="CE7" i="6"/>
  <c r="CE53" i="6" s="1"/>
  <c r="AL7" i="6"/>
  <c r="AL53" i="6" s="1"/>
  <c r="AY7" i="6"/>
  <c r="AY53" i="6" s="1"/>
  <c r="BG7" i="6"/>
  <c r="BG53" i="6" s="1"/>
  <c r="BB7" i="6"/>
  <c r="BB53" i="6" s="1"/>
  <c r="BC7" i="6"/>
  <c r="BC53" i="6" s="1"/>
  <c r="CG11" i="6"/>
  <c r="BY5" i="6"/>
  <c r="BY51" i="6" s="1"/>
  <c r="BF5" i="6"/>
  <c r="BF51" i="6" s="1"/>
  <c r="BH7" i="6"/>
  <c r="BH53" i="6" s="1"/>
  <c r="U7" i="6"/>
  <c r="CX7" i="6"/>
  <c r="CX53" i="6" s="1"/>
  <c r="CC7" i="6"/>
  <c r="CC53" i="6" s="1"/>
  <c r="BX7" i="6"/>
  <c r="BX53" i="6" s="1"/>
  <c r="AZ11" i="6"/>
  <c r="CK11" i="6"/>
  <c r="CK133" i="6" s="1"/>
  <c r="BT11" i="6"/>
  <c r="BT133" i="6" s="1"/>
  <c r="BD52" i="6"/>
  <c r="BP52" i="6"/>
  <c r="CF5" i="6"/>
  <c r="CF51" i="6" s="1"/>
  <c r="AR5" i="6"/>
  <c r="AR51" i="6" s="1"/>
  <c r="AO7" i="6"/>
  <c r="AO53" i="6" s="1"/>
  <c r="BZ7" i="6"/>
  <c r="BZ53" i="6" s="1"/>
  <c r="O7" i="6"/>
  <c r="O53" i="6" s="1"/>
  <c r="AP7" i="6"/>
  <c r="AP53" i="6" s="1"/>
  <c r="AJ7" i="6"/>
  <c r="AJ53" i="6" s="1"/>
  <c r="AV7" i="6"/>
  <c r="AV53" i="6" s="1"/>
  <c r="BQ7" i="6"/>
  <c r="BQ53" i="6" s="1"/>
  <c r="X7" i="6"/>
  <c r="X53" i="6" s="1"/>
  <c r="CR11" i="6"/>
  <c r="CR133" i="6" s="1"/>
  <c r="BG5" i="6"/>
  <c r="CA5" i="6"/>
  <c r="AH7" i="6"/>
  <c r="AH53" i="6" s="1"/>
  <c r="AW7" i="6"/>
  <c r="AW53" i="6" s="1"/>
  <c r="AE7" i="6"/>
  <c r="AE53" i="6" s="1"/>
  <c r="AO5" i="6"/>
  <c r="AO51" i="6" s="1"/>
  <c r="AK52" i="6"/>
  <c r="S7" i="6"/>
  <c r="S53" i="6" s="1"/>
  <c r="CS7" i="6"/>
  <c r="CS53" i="6" s="1"/>
  <c r="AB7" i="6"/>
  <c r="AB53" i="6" s="1"/>
  <c r="AG7" i="6"/>
  <c r="AG53" i="6" s="1"/>
  <c r="AT7" i="6"/>
  <c r="AT53" i="6" s="1"/>
  <c r="CF7" i="6"/>
  <c r="CF53" i="6" s="1"/>
  <c r="DA7" i="6"/>
  <c r="DA53" i="6" s="1"/>
  <c r="AK12" i="6"/>
  <c r="AK134" i="6" s="1"/>
  <c r="AZ13" i="6"/>
  <c r="AZ135" i="6" s="1"/>
  <c r="BM52" i="6"/>
  <c r="CL7" i="6"/>
  <c r="CL53" i="6" s="1"/>
  <c r="CW7" i="6"/>
  <c r="CW53" i="6" s="1"/>
  <c r="AD52" i="6"/>
  <c r="W13" i="6"/>
  <c r="W135" i="6" s="1"/>
  <c r="AF11" i="6"/>
  <c r="AF133" i="6" s="1"/>
  <c r="BS11" i="6"/>
  <c r="BS133" i="6" s="1"/>
  <c r="AC7" i="6"/>
  <c r="AC53" i="6" s="1"/>
  <c r="AS7" i="6"/>
  <c r="AS53" i="6" s="1"/>
  <c r="BJ7" i="6"/>
  <c r="BJ53" i="6" s="1"/>
  <c r="CQ13" i="6"/>
  <c r="CQ135" i="6" s="1"/>
  <c r="BI7" i="6"/>
  <c r="BI53" i="6" s="1"/>
  <c r="CD7" i="6"/>
  <c r="CD53" i="6" s="1"/>
  <c r="AD7" i="6"/>
  <c r="AD53" i="6" s="1"/>
  <c r="AZ7" i="6"/>
  <c r="AZ53" i="6" s="1"/>
  <c r="AF7" i="6"/>
  <c r="AF53" i="6" s="1"/>
  <c r="CM7" i="6"/>
  <c r="CM53" i="6" s="1"/>
  <c r="AS11" i="6"/>
  <c r="AS133" i="6" s="1"/>
  <c r="Z11" i="6"/>
  <c r="Z133" i="6" s="1"/>
  <c r="CH7" i="6"/>
  <c r="CH53" i="6" s="1"/>
  <c r="W7" i="6"/>
  <c r="W53" i="6" s="1"/>
  <c r="CA11" i="6"/>
  <c r="CE12" i="6"/>
  <c r="CE134" i="6" s="1"/>
  <c r="BF13" i="6"/>
  <c r="BF135" i="6" s="1"/>
  <c r="CZ7" i="6"/>
  <c r="CZ53" i="6" s="1"/>
  <c r="T7" i="6"/>
  <c r="T53" i="6" s="1"/>
  <c r="BW7" i="6"/>
  <c r="BW53" i="6" s="1"/>
  <c r="CJ7" i="6"/>
  <c r="CJ53" i="6" s="1"/>
  <c r="AT5" i="6"/>
  <c r="AT51" i="6" s="1"/>
  <c r="CK5" i="6"/>
  <c r="CK51" i="6" s="1"/>
  <c r="H13" i="6"/>
  <c r="H135" i="6" s="1"/>
  <c r="AI7" i="6"/>
  <c r="AI53" i="6" s="1"/>
  <c r="H7" i="6"/>
  <c r="H53" i="6" s="1"/>
  <c r="K12" i="6"/>
  <c r="K134" i="6" s="1"/>
  <c r="BA12" i="6"/>
  <c r="BL11" i="6"/>
  <c r="AA7" i="6"/>
  <c r="AA53" i="6" s="1"/>
  <c r="I7" i="6"/>
  <c r="I53" i="6" s="1"/>
  <c r="J7" i="6"/>
  <c r="J53" i="6" s="1"/>
  <c r="BO7" i="6"/>
  <c r="BY7" i="6"/>
  <c r="BY53" i="6" s="1"/>
  <c r="BD7" i="6"/>
  <c r="BD53" i="6" s="1"/>
  <c r="BN7" i="6"/>
  <c r="BN53" i="6" s="1"/>
  <c r="BN15" i="6" l="1"/>
  <c r="AE15" i="6"/>
  <c r="AT138" i="6"/>
  <c r="BE14" i="6"/>
  <c r="CY14" i="6"/>
  <c r="BS14" i="6"/>
  <c r="CJ146" i="6" a="1"/>
  <c r="CJ148" i="6" s="1"/>
  <c r="AM136" i="6"/>
  <c r="X15" i="6"/>
  <c r="CI136" i="6"/>
  <c r="W15" i="6"/>
  <c r="AR14" i="6"/>
  <c r="BT14" i="6"/>
  <c r="Q14" i="6"/>
  <c r="AC15" i="6"/>
  <c r="CC14" i="6"/>
  <c r="CP14" i="6"/>
  <c r="BN134" i="6"/>
  <c r="N15" i="6"/>
  <c r="CS14" i="6"/>
  <c r="CJ15" i="6"/>
  <c r="K15" i="6"/>
  <c r="AS146" i="6" a="1"/>
  <c r="AS147" i="6" s="1"/>
  <c r="CG14" i="6"/>
  <c r="AN14" i="6"/>
  <c r="V14" i="6"/>
  <c r="AI136" i="6"/>
  <c r="BH14" i="6"/>
  <c r="BR138" i="6"/>
  <c r="CP137" i="6"/>
  <c r="CP142" i="6" s="1"/>
  <c r="CF14" i="6"/>
  <c r="CU15" i="6"/>
  <c r="BV14" i="6"/>
  <c r="CC146" i="6" a="1"/>
  <c r="CC146" i="6" s="1"/>
  <c r="AF14" i="6"/>
  <c r="AK14" i="6"/>
  <c r="BK146" i="6" a="1"/>
  <c r="BK146" i="6" s="1"/>
  <c r="AL14" i="6"/>
  <c r="K136" i="6"/>
  <c r="AD138" i="6"/>
  <c r="AW146" i="6" a="1"/>
  <c r="AW148" i="6" s="1"/>
  <c r="CS15" i="6"/>
  <c r="CP136" i="6"/>
  <c r="AY14" i="6"/>
  <c r="BN136" i="6"/>
  <c r="AE135" i="6"/>
  <c r="AE146" i="6" s="1" a="1"/>
  <c r="BI14" i="6"/>
  <c r="CZ14" i="6"/>
  <c r="X136" i="6"/>
  <c r="J15" i="6"/>
  <c r="G138" i="6"/>
  <c r="R146" i="6" a="1"/>
  <c r="R147" i="6" s="1"/>
  <c r="AY15" i="6"/>
  <c r="CL14" i="6"/>
  <c r="AV136" i="6"/>
  <c r="CX136" i="6"/>
  <c r="N136" i="6"/>
  <c r="AH136" i="6"/>
  <c r="AN136" i="6"/>
  <c r="F136" i="6"/>
  <c r="DA15" i="6"/>
  <c r="M15" i="6"/>
  <c r="BE15" i="6"/>
  <c r="Y146" i="6" a="1"/>
  <c r="Y148" i="6" s="1"/>
  <c r="G137" i="6"/>
  <c r="G142" i="6" s="1"/>
  <c r="BV135" i="6"/>
  <c r="T146" i="6" a="1"/>
  <c r="T147" i="6" s="1"/>
  <c r="CF135" i="6"/>
  <c r="CF146" i="6" s="1" a="1"/>
  <c r="CF148" i="6" s="1"/>
  <c r="AH15" i="6"/>
  <c r="AF135" i="6"/>
  <c r="AF146" i="6" s="1" a="1"/>
  <c r="AR146" i="6" a="1"/>
  <c r="AR146" i="6" s="1"/>
  <c r="R14" i="6"/>
  <c r="CN15" i="6"/>
  <c r="CH15" i="6"/>
  <c r="AY133" i="6"/>
  <c r="AY146" i="6" s="1" a="1"/>
  <c r="AT136" i="6"/>
  <c r="AY136" i="6"/>
  <c r="CV136" i="6"/>
  <c r="R136" i="6"/>
  <c r="BE136" i="6"/>
  <c r="AQ136" i="6"/>
  <c r="CO138" i="6"/>
  <c r="AC14" i="6"/>
  <c r="AD14" i="6"/>
  <c r="BJ136" i="6"/>
  <c r="AG136" i="6"/>
  <c r="U136" i="6"/>
  <c r="AL136" i="6"/>
  <c r="BR136" i="6"/>
  <c r="BI136" i="6"/>
  <c r="BX137" i="6"/>
  <c r="BX142" i="6" s="1"/>
  <c r="BT146" i="6" a="1"/>
  <c r="BT146" i="6" s="1"/>
  <c r="AW15" i="6"/>
  <c r="M14" i="6"/>
  <c r="O14" i="6"/>
  <c r="CF15" i="6"/>
  <c r="BY136" i="6"/>
  <c r="CD136" i="6"/>
  <c r="CF136" i="6"/>
  <c r="CS136" i="6"/>
  <c r="W136" i="6"/>
  <c r="CE136" i="6"/>
  <c r="AT15" i="6"/>
  <c r="M134" i="6"/>
  <c r="M146" i="6" s="1" a="1"/>
  <c r="M146" i="6" s="1"/>
  <c r="BY138" i="6"/>
  <c r="AG15" i="6"/>
  <c r="BP136" i="6"/>
  <c r="BC136" i="6"/>
  <c r="BL136" i="6"/>
  <c r="M136" i="6"/>
  <c r="H136" i="6"/>
  <c r="BB136" i="6"/>
  <c r="O15" i="6"/>
  <c r="AF15" i="6"/>
  <c r="CR14" i="6"/>
  <c r="CK14" i="6"/>
  <c r="BZ15" i="6"/>
  <c r="BD14" i="6"/>
  <c r="BX15" i="6"/>
  <c r="CI14" i="6"/>
  <c r="BJ15" i="6"/>
  <c r="BW136" i="6"/>
  <c r="BZ136" i="6"/>
  <c r="AF136" i="6"/>
  <c r="BX136" i="6"/>
  <c r="BO136" i="6"/>
  <c r="AU136" i="6"/>
  <c r="BJ14" i="6"/>
  <c r="CV15" i="6"/>
  <c r="P15" i="6"/>
  <c r="BH137" i="6"/>
  <c r="BH142" i="6" s="1"/>
  <c r="J146" i="6" a="1"/>
  <c r="J148" i="6" s="1"/>
  <c r="AX146" i="6" a="1"/>
  <c r="AX148" i="6" s="1"/>
  <c r="CM15" i="6"/>
  <c r="BQ14" i="6"/>
  <c r="CU146" i="6" a="1"/>
  <c r="CU146" i="6" s="1"/>
  <c r="CL15" i="6"/>
  <c r="BN146" i="6" a="1"/>
  <c r="BN146" i="6" s="1"/>
  <c r="BF14" i="6"/>
  <c r="N14" i="6"/>
  <c r="AC134" i="6"/>
  <c r="AC146" i="6" s="1" a="1"/>
  <c r="G14" i="6"/>
  <c r="CY135" i="6"/>
  <c r="CY146" i="6" s="1" a="1"/>
  <c r="BU15" i="6"/>
  <c r="BR14" i="6"/>
  <c r="F14" i="6"/>
  <c r="CI133" i="6"/>
  <c r="AL15" i="6"/>
  <c r="AW14" i="6"/>
  <c r="CU136" i="6"/>
  <c r="L136" i="6"/>
  <c r="BV136" i="6"/>
  <c r="AE136" i="6"/>
  <c r="CC136" i="6"/>
  <c r="CQ136" i="6"/>
  <c r="AO136" i="6"/>
  <c r="CN14" i="6"/>
  <c r="CU138" i="6"/>
  <c r="U137" i="6"/>
  <c r="U142" i="6" s="1"/>
  <c r="AM55" i="6"/>
  <c r="AM60" i="6" s="1"/>
  <c r="CY55" i="6"/>
  <c r="CY60" i="6" s="1"/>
  <c r="AX8" i="6"/>
  <c r="AR64" i="6" a="1"/>
  <c r="AR65" i="6" s="1"/>
  <c r="BS54" i="6"/>
  <c r="CG56" i="6"/>
  <c r="AG9" i="6"/>
  <c r="AG56" i="6"/>
  <c r="AT54" i="6"/>
  <c r="N9" i="6"/>
  <c r="CO9" i="6"/>
  <c r="F53" i="6"/>
  <c r="AQ54" i="6"/>
  <c r="S9" i="6"/>
  <c r="CY8" i="6"/>
  <c r="M55" i="6"/>
  <c r="M60" i="6" s="1"/>
  <c r="M61" i="6" s="1"/>
  <c r="CI56" i="6"/>
  <c r="BN56" i="6"/>
  <c r="W54" i="6"/>
  <c r="CS64" i="6" a="1"/>
  <c r="CS64" i="6" s="1"/>
  <c r="M56" i="6"/>
  <c r="CI54" i="6"/>
  <c r="K64" i="6" a="1"/>
  <c r="K65" i="6" s="1"/>
  <c r="BG8" i="6"/>
  <c r="AL56" i="6"/>
  <c r="AW56" i="6"/>
  <c r="U54" i="6"/>
  <c r="CJ55" i="6"/>
  <c r="CJ60" i="6" s="1"/>
  <c r="CK64" i="6" a="1"/>
  <c r="CK64" i="6" s="1"/>
  <c r="R64" i="6" a="1"/>
  <c r="R64" i="6" s="1"/>
  <c r="AH56" i="6"/>
  <c r="CM56" i="6"/>
  <c r="CT54" i="6"/>
  <c r="BD55" i="6"/>
  <c r="BD60" i="6" s="1"/>
  <c r="U8" i="6"/>
  <c r="AX51" i="6"/>
  <c r="CE8" i="6"/>
  <c r="AO8" i="6"/>
  <c r="BR56" i="6"/>
  <c r="Z56" i="6"/>
  <c r="BE54" i="6"/>
  <c r="BL8" i="6"/>
  <c r="AC55" i="6"/>
  <c r="AC60" i="6" s="1"/>
  <c r="CE51" i="6"/>
  <c r="CE64" i="6" s="1" a="1"/>
  <c r="CE64" i="6" s="1"/>
  <c r="BW9" i="6"/>
  <c r="CC56" i="6"/>
  <c r="P56" i="6"/>
  <c r="BT56" i="6"/>
  <c r="J56" i="6"/>
  <c r="X56" i="6"/>
  <c r="AD54" i="6"/>
  <c r="CL54" i="6"/>
  <c r="BQ54" i="6"/>
  <c r="BN54" i="6"/>
  <c r="CZ64" i="6" a="1"/>
  <c r="CZ66" i="6" s="1"/>
  <c r="CL8" i="6"/>
  <c r="BN9" i="6"/>
  <c r="BN18" i="6" s="1"/>
  <c r="CA8" i="6"/>
  <c r="BC8" i="6"/>
  <c r="AO52" i="6"/>
  <c r="AO64" i="6" s="1" a="1"/>
  <c r="AO64" i="6" s="1"/>
  <c r="N56" i="6"/>
  <c r="BL56" i="6"/>
  <c r="T56" i="6"/>
  <c r="AD56" i="6"/>
  <c r="CW56" i="6"/>
  <c r="AM56" i="6"/>
  <c r="K54" i="6"/>
  <c r="CQ54" i="6"/>
  <c r="BH54" i="6"/>
  <c r="CF54" i="6"/>
  <c r="CQ8" i="6"/>
  <c r="BV8" i="6"/>
  <c r="CT8" i="6"/>
  <c r="BA56" i="6"/>
  <c r="CL56" i="6"/>
  <c r="CZ56" i="6"/>
  <c r="AU56" i="6"/>
  <c r="BL54" i="6"/>
  <c r="CN54" i="6"/>
  <c r="AC54" i="6"/>
  <c r="O54" i="6"/>
  <c r="BM9" i="6"/>
  <c r="W9" i="6"/>
  <c r="CX9" i="6"/>
  <c r="AM9" i="6"/>
  <c r="CS56" i="6"/>
  <c r="AQ56" i="6"/>
  <c r="S56" i="6"/>
  <c r="BY56" i="6"/>
  <c r="AX56" i="6"/>
  <c r="CB56" i="6"/>
  <c r="CA54" i="6"/>
  <c r="CC54" i="6"/>
  <c r="CP54" i="6"/>
  <c r="AX54" i="6"/>
  <c r="AI8" i="6"/>
  <c r="DA55" i="6"/>
  <c r="DA60" i="6" s="1"/>
  <c r="DA61" i="6" s="1"/>
  <c r="AD64" i="6" a="1"/>
  <c r="AD64" i="6" s="1"/>
  <c r="Y64" i="6" a="1"/>
  <c r="Y65" i="6" s="1"/>
  <c r="AJ9" i="6"/>
  <c r="BD64" i="6" a="1"/>
  <c r="BD64" i="6" s="1"/>
  <c r="F56" i="6"/>
  <c r="AJ56" i="6"/>
  <c r="AM8" i="6"/>
  <c r="BX56" i="6"/>
  <c r="BI56" i="6"/>
  <c r="AE56" i="6"/>
  <c r="BJ56" i="6"/>
  <c r="CY56" i="6"/>
  <c r="AN54" i="6"/>
  <c r="M54" i="6"/>
  <c r="CR54" i="6"/>
  <c r="N54" i="6"/>
  <c r="BR64" i="6" a="1"/>
  <c r="BR66" i="6" s="1"/>
  <c r="BV55" i="6"/>
  <c r="BV60" i="6" s="1"/>
  <c r="CE55" i="6"/>
  <c r="CE60" i="6" s="1"/>
  <c r="CE61" i="6" s="1"/>
  <c r="AX9" i="6"/>
  <c r="AT9" i="6"/>
  <c r="CL9" i="6"/>
  <c r="CI8" i="6"/>
  <c r="BP8" i="6"/>
  <c r="BU56" i="6"/>
  <c r="BD56" i="6"/>
  <c r="BO56" i="6"/>
  <c r="AT56" i="6"/>
  <c r="CJ56" i="6"/>
  <c r="BS9" i="6"/>
  <c r="AO54" i="6"/>
  <c r="AF54" i="6"/>
  <c r="BU54" i="6"/>
  <c r="Z54" i="6"/>
  <c r="BX64" i="6" a="1"/>
  <c r="BX66" i="6" s="1"/>
  <c r="AD8" i="6"/>
  <c r="BI8" i="6"/>
  <c r="AA9" i="6"/>
  <c r="Q64" i="6" a="1"/>
  <c r="Q64" i="6" s="1"/>
  <c r="CY64" i="6" a="1"/>
  <c r="CY65" i="6" s="1"/>
  <c r="AL9" i="6"/>
  <c r="BT9" i="6"/>
  <c r="AI51" i="6"/>
  <c r="AI64" i="6" s="1" a="1"/>
  <c r="BV64" i="6" a="1"/>
  <c r="BV66" i="6" s="1"/>
  <c r="M8" i="6"/>
  <c r="CZ9" i="6"/>
  <c r="AS9" i="6"/>
  <c r="CT64" i="6" a="1"/>
  <c r="CT64" i="6" s="1"/>
  <c r="H9" i="6"/>
  <c r="BP55" i="6"/>
  <c r="BP60" i="6" s="1"/>
  <c r="CD55" i="6"/>
  <c r="CD60" i="6" s="1"/>
  <c r="BM55" i="6"/>
  <c r="BM60" i="6" s="1"/>
  <c r="BM61" i="6" s="1"/>
  <c r="BG55" i="6"/>
  <c r="BG60" i="6" s="1"/>
  <c r="BI55" i="6"/>
  <c r="BI60" i="6" s="1"/>
  <c r="AX52" i="6"/>
  <c r="AD9" i="6"/>
  <c r="CA51" i="6"/>
  <c r="CA64" i="6" s="1" a="1"/>
  <c r="CA65" i="6" s="1"/>
  <c r="DA8" i="6"/>
  <c r="AY64" i="6" a="1"/>
  <c r="AY64" i="6" s="1"/>
  <c r="BT52" i="6"/>
  <c r="BT64" i="6" s="1" a="1"/>
  <c r="BT64" i="6" s="1"/>
  <c r="CP56" i="6"/>
  <c r="Q56" i="6"/>
  <c r="BG56" i="6"/>
  <c r="V56" i="6"/>
  <c r="BH56" i="6"/>
  <c r="CR56" i="6"/>
  <c r="DA56" i="6"/>
  <c r="AF56" i="6"/>
  <c r="AB56" i="6"/>
  <c r="AV56" i="6"/>
  <c r="BQ56" i="6"/>
  <c r="AU64" i="6" a="1"/>
  <c r="AU65" i="6" s="1"/>
  <c r="CV64" i="6" a="1"/>
  <c r="CV64" i="6" s="1"/>
  <c r="BK9" i="6"/>
  <c r="AI55" i="6"/>
  <c r="AI60" i="6" s="1"/>
  <c r="AI62" i="6" s="1"/>
  <c r="CY9" i="6"/>
  <c r="AE55" i="6"/>
  <c r="AE60" i="6" s="1"/>
  <c r="BN55" i="6"/>
  <c r="AB55" i="6"/>
  <c r="AB60" i="6" s="1"/>
  <c r="BW64" i="6" a="1"/>
  <c r="BW66" i="6" s="1"/>
  <c r="BJ8" i="6"/>
  <c r="J64" i="6" a="1"/>
  <c r="J66" i="6" s="1"/>
  <c r="BZ8" i="6"/>
  <c r="AS8" i="6"/>
  <c r="AW9" i="6"/>
  <c r="AL8" i="6"/>
  <c r="AC8" i="6"/>
  <c r="BS55" i="6"/>
  <c r="BS60" i="6" s="1"/>
  <c r="BZ55" i="6"/>
  <c r="BZ60" i="6" s="1"/>
  <c r="AW55" i="6"/>
  <c r="AW60" i="6" s="1"/>
  <c r="AW63" i="6" s="1"/>
  <c r="AO55" i="6"/>
  <c r="AO60" i="6" s="1"/>
  <c r="CZ55" i="6"/>
  <c r="CZ60" i="6" s="1"/>
  <c r="AK55" i="6"/>
  <c r="AK60" i="6" s="1"/>
  <c r="AZ9" i="6"/>
  <c r="BG51" i="6"/>
  <c r="BG64" i="6" s="1" a="1"/>
  <c r="BG64" i="6" s="1"/>
  <c r="CF8" i="6"/>
  <c r="K9" i="6"/>
  <c r="W51" i="6"/>
  <c r="BE8" i="6"/>
  <c r="AV64" i="6" a="1"/>
  <c r="AV65" i="6" s="1"/>
  <c r="BI9" i="6"/>
  <c r="CE56" i="6"/>
  <c r="BB56" i="6"/>
  <c r="AR56" i="6"/>
  <c r="CO56" i="6"/>
  <c r="BW56" i="6"/>
  <c r="AK56" i="6"/>
  <c r="CN56" i="6"/>
  <c r="W56" i="6"/>
  <c r="BP56" i="6"/>
  <c r="BF56" i="6"/>
  <c r="CD56" i="6"/>
  <c r="AA54" i="6"/>
  <c r="BK54" i="6"/>
  <c r="AJ54" i="6"/>
  <c r="CX54" i="6"/>
  <c r="AW54" i="6"/>
  <c r="CE54" i="6"/>
  <c r="CN9" i="6"/>
  <c r="G8" i="6"/>
  <c r="AS64" i="6" a="1"/>
  <c r="AS66" i="6" s="1"/>
  <c r="O8" i="6"/>
  <c r="T55" i="6"/>
  <c r="T60" i="6" s="1"/>
  <c r="T63" i="6" s="1"/>
  <c r="CI9" i="6"/>
  <c r="CH8" i="6"/>
  <c r="CM55" i="6"/>
  <c r="CM60" i="6" s="1"/>
  <c r="CV55" i="6"/>
  <c r="CV60" i="6" s="1"/>
  <c r="BW55" i="6"/>
  <c r="BW60" i="6" s="1"/>
  <c r="CA9" i="6"/>
  <c r="CG9" i="6"/>
  <c r="Q8" i="6"/>
  <c r="CT9" i="6"/>
  <c r="BO9" i="6"/>
  <c r="AT8" i="6"/>
  <c r="BF9" i="6"/>
  <c r="Y8" i="6"/>
  <c r="M9" i="6"/>
  <c r="BW8" i="6"/>
  <c r="BI52" i="6"/>
  <c r="CH56" i="6"/>
  <c r="I56" i="6"/>
  <c r="AZ56" i="6"/>
  <c r="BS56" i="6"/>
  <c r="CK56" i="6"/>
  <c r="CX56" i="6"/>
  <c r="BK56" i="6"/>
  <c r="BM56" i="6"/>
  <c r="CT56" i="6"/>
  <c r="L56" i="6"/>
  <c r="AN56" i="6"/>
  <c r="AU54" i="6"/>
  <c r="J54" i="6"/>
  <c r="G54" i="6"/>
  <c r="AK54" i="6"/>
  <c r="BX54" i="6"/>
  <c r="CD54" i="6"/>
  <c r="AR54" i="6"/>
  <c r="CH9" i="6"/>
  <c r="AW64" i="6" a="1"/>
  <c r="AW64" i="6" s="1"/>
  <c r="CD9" i="6"/>
  <c r="CI64" i="6" a="1"/>
  <c r="CI64" i="6" s="1"/>
  <c r="O64" i="6" a="1"/>
  <c r="O66" i="6" s="1"/>
  <c r="CC55" i="6"/>
  <c r="CC60" i="6" s="1"/>
  <c r="CU55" i="6"/>
  <c r="CU60" i="6" s="1"/>
  <c r="CH55" i="6"/>
  <c r="CH60" i="6" s="1"/>
  <c r="AH55" i="6"/>
  <c r="AH60" i="6" s="1"/>
  <c r="AH63" i="6" s="1"/>
  <c r="BN52" i="6"/>
  <c r="BN64" i="6" s="1" a="1"/>
  <c r="T64" i="6" a="1"/>
  <c r="T65" i="6" s="1"/>
  <c r="AF8" i="6"/>
  <c r="CU8" i="6"/>
  <c r="CC9" i="6"/>
  <c r="CW64" i="6" a="1"/>
  <c r="CW66" i="6" s="1"/>
  <c r="CZ8" i="6"/>
  <c r="CR8" i="6"/>
  <c r="CM64" i="6" a="1"/>
  <c r="CM65" i="6" s="1"/>
  <c r="BN8" i="6"/>
  <c r="CS8" i="6"/>
  <c r="BP9" i="6"/>
  <c r="BY64" i="6" a="1"/>
  <c r="BY66" i="6" s="1"/>
  <c r="N53" i="6"/>
  <c r="CP64" i="6" a="1"/>
  <c r="CP66" i="6" s="1"/>
  <c r="AS56" i="6"/>
  <c r="CQ56" i="6"/>
  <c r="AA56" i="6"/>
  <c r="BV56" i="6"/>
  <c r="BZ56" i="6"/>
  <c r="CF56" i="6"/>
  <c r="CA56" i="6"/>
  <c r="BC56" i="6"/>
  <c r="H56" i="6"/>
  <c r="G56" i="6"/>
  <c r="AP56" i="6"/>
  <c r="T54" i="6"/>
  <c r="CB54" i="6"/>
  <c r="AE54" i="6"/>
  <c r="BO54" i="6"/>
  <c r="CU54" i="6"/>
  <c r="AI54" i="6"/>
  <c r="DA9" i="6"/>
  <c r="AI9" i="6"/>
  <c r="BI51" i="6"/>
  <c r="CO8" i="6"/>
  <c r="AS55" i="6"/>
  <c r="AS60" i="6" s="1"/>
  <c r="AS61" i="6" s="1"/>
  <c r="CS55" i="6"/>
  <c r="CS60" i="6" s="1"/>
  <c r="CC8" i="6"/>
  <c r="L9" i="6"/>
  <c r="BK55" i="6"/>
  <c r="BK60" i="6" s="1"/>
  <c r="BA55" i="6"/>
  <c r="BA60" i="6" s="1"/>
  <c r="BA61" i="6" s="1"/>
  <c r="Z55" i="6"/>
  <c r="Z60" i="6" s="1"/>
  <c r="BO55" i="6"/>
  <c r="BO60" i="6" s="1"/>
  <c r="BO61" i="6" s="1"/>
  <c r="BH55" i="6"/>
  <c r="BH60" i="6" s="1"/>
  <c r="CP55" i="6"/>
  <c r="CP60" i="6" s="1"/>
  <c r="CP61" i="6" s="1"/>
  <c r="BH64" i="6" a="1"/>
  <c r="X64" i="6" a="1"/>
  <c r="R65" i="6"/>
  <c r="BN147" i="6"/>
  <c r="BZ142" i="6"/>
  <c r="BA14" i="6"/>
  <c r="BA134" i="6"/>
  <c r="BA146" i="6" s="1" a="1"/>
  <c r="BA15" i="6"/>
  <c r="AP8" i="6"/>
  <c r="CK9" i="6"/>
  <c r="AF51" i="6"/>
  <c r="AF64" i="6" s="1" a="1"/>
  <c r="AB133" i="6"/>
  <c r="AB146" i="6" s="1" a="1"/>
  <c r="AB14" i="6"/>
  <c r="Z9" i="6"/>
  <c r="W8" i="6"/>
  <c r="W52" i="6"/>
  <c r="BS52" i="6"/>
  <c r="BS64" i="6" s="1" a="1"/>
  <c r="BA64" i="6" a="1"/>
  <c r="BP146" i="6" a="1"/>
  <c r="BR9" i="6"/>
  <c r="BR8" i="6"/>
  <c r="CW8" i="6"/>
  <c r="S14" i="6"/>
  <c r="BB8" i="6"/>
  <c r="CX8" i="6"/>
  <c r="CJ8" i="6"/>
  <c r="CJ9" i="6"/>
  <c r="CT14" i="6"/>
  <c r="CT15" i="6"/>
  <c r="CT133" i="6"/>
  <c r="CT146" i="6" s="1" a="1"/>
  <c r="CD133" i="6"/>
  <c r="CD14" i="6"/>
  <c r="CX14" i="6"/>
  <c r="CX133" i="6"/>
  <c r="CX146" i="6" s="1" a="1"/>
  <c r="CW14" i="6"/>
  <c r="CW133" i="6"/>
  <c r="AD133" i="6"/>
  <c r="AD146" i="6" s="1" a="1"/>
  <c r="AD15" i="6"/>
  <c r="CK8" i="6"/>
  <c r="CE15" i="6"/>
  <c r="AZ52" i="6"/>
  <c r="AZ64" i="6" s="1" a="1"/>
  <c r="AR8" i="6"/>
  <c r="BD9" i="6"/>
  <c r="BF64" i="6" a="1"/>
  <c r="CG133" i="6"/>
  <c r="CG146" i="6" s="1" a="1"/>
  <c r="I8" i="6"/>
  <c r="BB14" i="6"/>
  <c r="AN133" i="6"/>
  <c r="AN146" i="6" s="1" a="1"/>
  <c r="CR53" i="6"/>
  <c r="CR64" i="6" s="1" a="1"/>
  <c r="M53" i="6"/>
  <c r="M64" i="6" s="1" a="1"/>
  <c r="BY9" i="6"/>
  <c r="AJ8" i="6"/>
  <c r="AB8" i="6"/>
  <c r="AB9" i="6"/>
  <c r="L133" i="6"/>
  <c r="L146" i="6" s="1" a="1"/>
  <c r="L15" i="6"/>
  <c r="L14" i="6"/>
  <c r="AY8" i="6"/>
  <c r="BD8" i="6"/>
  <c r="R9" i="6"/>
  <c r="CE9" i="6"/>
  <c r="Y9" i="6"/>
  <c r="BA8" i="6"/>
  <c r="BP14" i="6"/>
  <c r="CB64" i="6" a="1"/>
  <c r="S52" i="6"/>
  <c r="S64" i="6" s="1" a="1"/>
  <c r="BU9" i="6"/>
  <c r="CW9" i="6"/>
  <c r="CD15" i="6"/>
  <c r="U9" i="6"/>
  <c r="BB51" i="6"/>
  <c r="BB64" i="6" s="1" a="1"/>
  <c r="AN9" i="6"/>
  <c r="BS8" i="6"/>
  <c r="CJ51" i="6"/>
  <c r="CJ64" i="6" s="1" a="1"/>
  <c r="O9" i="6"/>
  <c r="AC51" i="6"/>
  <c r="AC64" i="6" s="1" a="1"/>
  <c r="N8" i="6"/>
  <c r="N52" i="6"/>
  <c r="BR146" i="6" a="1"/>
  <c r="BU133" i="6"/>
  <c r="BU146" i="6" s="1" a="1"/>
  <c r="BU14" i="6"/>
  <c r="BS146" i="6" a="1"/>
  <c r="BS15" i="6"/>
  <c r="AX15" i="6"/>
  <c r="M137" i="6"/>
  <c r="V8" i="6"/>
  <c r="V9" i="6"/>
  <c r="AU134" i="6"/>
  <c r="AU146" i="6" s="1" a="1"/>
  <c r="AU15" i="6"/>
  <c r="CO133" i="6"/>
  <c r="CO146" i="6" s="1" a="1"/>
  <c r="CO14" i="6"/>
  <c r="Z8" i="6"/>
  <c r="BX133" i="6"/>
  <c r="BX146" i="6" s="1" a="1"/>
  <c r="BX14" i="6"/>
  <c r="CP8" i="6"/>
  <c r="CP9" i="6"/>
  <c r="CO15" i="6"/>
  <c r="CB8" i="6"/>
  <c r="G133" i="6"/>
  <c r="G146" i="6" s="1" a="1"/>
  <c r="G15" i="6"/>
  <c r="CB9" i="6"/>
  <c r="BQ133" i="6"/>
  <c r="BQ146" i="6" s="1" a="1"/>
  <c r="BQ15" i="6"/>
  <c r="CP15" i="6"/>
  <c r="CP135" i="6"/>
  <c r="CP146" i="6" s="1" a="1"/>
  <c r="N133" i="6"/>
  <c r="N146" i="6" s="1" a="1"/>
  <c r="AS15" i="6"/>
  <c r="CX52" i="6"/>
  <c r="CX64" i="6" s="1" a="1"/>
  <c r="BX9" i="6"/>
  <c r="AU9" i="6"/>
  <c r="BA9" i="6"/>
  <c r="BK52" i="6"/>
  <c r="BK64" i="6" s="1" a="1"/>
  <c r="AN64" i="6" a="1"/>
  <c r="CS146" i="6" a="1"/>
  <c r="CA15" i="6"/>
  <c r="AS14" i="6"/>
  <c r="AK9" i="6"/>
  <c r="BY8" i="6"/>
  <c r="BZ9" i="6"/>
  <c r="BK8" i="6"/>
  <c r="BU64" i="6" a="1"/>
  <c r="AH9" i="6"/>
  <c r="P64" i="6" a="1"/>
  <c r="Q9" i="6"/>
  <c r="I9" i="6"/>
  <c r="AZ8" i="6"/>
  <c r="AO9" i="6"/>
  <c r="I134" i="6"/>
  <c r="I146" i="6" s="1" a="1"/>
  <c r="I15" i="6"/>
  <c r="BQ9" i="6"/>
  <c r="CV9" i="6"/>
  <c r="L8" i="6"/>
  <c r="AK64" i="6" a="1"/>
  <c r="CR15" i="6"/>
  <c r="AW8" i="6"/>
  <c r="AG8" i="6"/>
  <c r="J8" i="6"/>
  <c r="BM8" i="6"/>
  <c r="AQ9" i="6"/>
  <c r="CQ133" i="6"/>
  <c r="CQ14" i="6"/>
  <c r="AV9" i="6"/>
  <c r="CD52" i="6"/>
  <c r="CD64" i="6" s="1" a="1"/>
  <c r="AA64" i="6" a="1"/>
  <c r="AC9" i="6"/>
  <c r="L52" i="6"/>
  <c r="L64" i="6" s="1" a="1"/>
  <c r="AN8" i="6"/>
  <c r="AH64" i="6" a="1"/>
  <c r="AO15" i="6"/>
  <c r="BE146" i="6" a="1"/>
  <c r="CB15" i="6"/>
  <c r="CB134" i="6"/>
  <c r="CB146" i="6" s="1" a="1"/>
  <c r="K14" i="6"/>
  <c r="X14" i="6"/>
  <c r="X133" i="6"/>
  <c r="X146" i="6" s="1" a="1"/>
  <c r="AV137" i="6"/>
  <c r="AU137" i="6"/>
  <c r="AP64" i="6" a="1"/>
  <c r="CU51" i="6"/>
  <c r="CU64" i="6" s="1" a="1"/>
  <c r="CU9" i="6"/>
  <c r="CG52" i="6"/>
  <c r="CG64" i="6" s="1" a="1"/>
  <c r="CG8" i="6"/>
  <c r="CQ15" i="6"/>
  <c r="CQ134" i="6"/>
  <c r="BM133" i="6"/>
  <c r="BM146" i="6" s="1" a="1"/>
  <c r="BM14" i="6"/>
  <c r="BM15" i="6"/>
  <c r="BH9" i="6"/>
  <c r="AP9" i="6"/>
  <c r="T15" i="6"/>
  <c r="AP14" i="6"/>
  <c r="AP135" i="6"/>
  <c r="AP146" i="6" s="1" a="1"/>
  <c r="AM15" i="6"/>
  <c r="AM134" i="6"/>
  <c r="AM146" i="6" s="1" a="1"/>
  <c r="BI134" i="6"/>
  <c r="BI146" i="6" s="1" a="1"/>
  <c r="BI15" i="6"/>
  <c r="I64" i="6" a="1"/>
  <c r="G9" i="6"/>
  <c r="BL64" i="6" a="1"/>
  <c r="P9" i="6"/>
  <c r="G51" i="6"/>
  <c r="G64" i="6" s="1" a="1"/>
  <c r="AV14" i="6"/>
  <c r="AK133" i="6"/>
  <c r="AK146" i="6" s="1" a="1"/>
  <c r="AK15" i="6"/>
  <c r="CL64" i="6" a="1"/>
  <c r="BZ51" i="6"/>
  <c r="BZ64" i="6" s="1" a="1"/>
  <c r="CN8" i="6"/>
  <c r="CW134" i="6"/>
  <c r="CW15" i="6"/>
  <c r="Q146" i="6" a="1"/>
  <c r="BZ14" i="6"/>
  <c r="BO53" i="6"/>
  <c r="BO64" i="6" s="1" a="1"/>
  <c r="AA14" i="6"/>
  <c r="AA133" i="6"/>
  <c r="BQ64" i="6" a="1"/>
  <c r="H15" i="6"/>
  <c r="BU8" i="6"/>
  <c r="BC64" i="6" a="1"/>
  <c r="P8" i="6"/>
  <c r="BG9" i="6"/>
  <c r="BP15" i="6"/>
  <c r="CQ51" i="6"/>
  <c r="CQ64" i="6" s="1" a="1"/>
  <c r="CQ9" i="6"/>
  <c r="AF9" i="6"/>
  <c r="R8" i="6"/>
  <c r="CL134" i="6"/>
  <c r="CL146" i="6" s="1" a="1"/>
  <c r="CD8" i="6"/>
  <c r="BO14" i="6"/>
  <c r="BV9" i="6"/>
  <c r="AG64" i="6" a="1"/>
  <c r="T9" i="6"/>
  <c r="T8" i="6"/>
  <c r="BM64" i="6" a="1"/>
  <c r="AQ8" i="6"/>
  <c r="AQ52" i="6"/>
  <c r="AQ64" i="6" s="1" a="1"/>
  <c r="CY15" i="6"/>
  <c r="BC9" i="6"/>
  <c r="AU8" i="6"/>
  <c r="CM8" i="6"/>
  <c r="AH8" i="6"/>
  <c r="CF9" i="6"/>
  <c r="AV134" i="6"/>
  <c r="AV146" i="6" s="1" a="1"/>
  <c r="AV15" i="6"/>
  <c r="AH137" i="6"/>
  <c r="BV137" i="6"/>
  <c r="CS137" i="6"/>
  <c r="BR137" i="6"/>
  <c r="O137" i="6"/>
  <c r="AF137" i="6"/>
  <c r="CX137" i="6"/>
  <c r="AB137" i="6"/>
  <c r="T137" i="6"/>
  <c r="CW137" i="6"/>
  <c r="AK137" i="6"/>
  <c r="CO137" i="6"/>
  <c r="Z137" i="6"/>
  <c r="BM137" i="6"/>
  <c r="V137" i="6"/>
  <c r="AY137" i="6"/>
  <c r="AW137" i="6"/>
  <c r="K137" i="6"/>
  <c r="Y137" i="6"/>
  <c r="AS137" i="6"/>
  <c r="CA137" i="6"/>
  <c r="W137" i="6"/>
  <c r="BO137" i="6"/>
  <c r="CE137" i="6"/>
  <c r="CT137" i="6"/>
  <c r="CQ137" i="6"/>
  <c r="CV137" i="6"/>
  <c r="BY137" i="6"/>
  <c r="BQ137" i="6"/>
  <c r="AC137" i="6"/>
  <c r="BL137" i="6"/>
  <c r="BP137" i="6"/>
  <c r="CM137" i="6"/>
  <c r="I137" i="6"/>
  <c r="CJ137" i="6"/>
  <c r="CG137" i="6"/>
  <c r="AR137" i="6"/>
  <c r="BI137" i="6"/>
  <c r="BK137" i="6"/>
  <c r="AJ137" i="6"/>
  <c r="AD137" i="6"/>
  <c r="BN137" i="6"/>
  <c r="F134" i="6"/>
  <c r="P137" i="6"/>
  <c r="CD137" i="6"/>
  <c r="AE137" i="6"/>
  <c r="AM137" i="6"/>
  <c r="F137" i="6"/>
  <c r="AZ137" i="6"/>
  <c r="BU137" i="6"/>
  <c r="AL137" i="6"/>
  <c r="CZ137" i="6"/>
  <c r="X137" i="6"/>
  <c r="AN137" i="6"/>
  <c r="CC137" i="6"/>
  <c r="BC137" i="6"/>
  <c r="CR137" i="6"/>
  <c r="BJ137" i="6"/>
  <c r="CK137" i="6"/>
  <c r="AQ137" i="6"/>
  <c r="AA137" i="6"/>
  <c r="AX137" i="6"/>
  <c r="DA137" i="6"/>
  <c r="BE137" i="6"/>
  <c r="CN137" i="6"/>
  <c r="L137" i="6"/>
  <c r="AI137" i="6"/>
  <c r="BA137" i="6"/>
  <c r="BD137" i="6"/>
  <c r="CU137" i="6"/>
  <c r="CH137" i="6"/>
  <c r="AO137" i="6"/>
  <c r="R137" i="6"/>
  <c r="CI137" i="6"/>
  <c r="CY137" i="6"/>
  <c r="J137" i="6"/>
  <c r="BW137" i="6"/>
  <c r="H137" i="6"/>
  <c r="AT137" i="6"/>
  <c r="BG137" i="6"/>
  <c r="BF137" i="6"/>
  <c r="AG137" i="6"/>
  <c r="Q137" i="6"/>
  <c r="N137" i="6"/>
  <c r="S137" i="6"/>
  <c r="CF137" i="6"/>
  <c r="CB137" i="6"/>
  <c r="CL137" i="6"/>
  <c r="BS137" i="6"/>
  <c r="F15" i="6"/>
  <c r="BB137" i="6"/>
  <c r="AP137" i="6"/>
  <c r="CA133" i="6"/>
  <c r="CA146" i="6" s="1" a="1"/>
  <c r="K146" i="6" a="1"/>
  <c r="BT137" i="6"/>
  <c r="AE8" i="6"/>
  <c r="AE9" i="6"/>
  <c r="AE18" i="6" s="1"/>
  <c r="AZ133" i="6"/>
  <c r="AZ146" i="6" s="1" a="1"/>
  <c r="AZ14" i="6"/>
  <c r="BE9" i="6"/>
  <c r="BE51" i="6"/>
  <c r="BE64" i="6" s="1" a="1"/>
  <c r="AB64" i="6" a="1"/>
  <c r="DA135" i="6"/>
  <c r="DA146" i="6" s="1" a="1"/>
  <c r="DA14" i="6"/>
  <c r="W133" i="6"/>
  <c r="W146" i="6" s="1" a="1"/>
  <c r="W14" i="6"/>
  <c r="AL64" i="6" a="1"/>
  <c r="H52" i="6"/>
  <c r="H64" i="6" s="1" a="1"/>
  <c r="H8" i="6"/>
  <c r="CN64" i="6" a="1"/>
  <c r="CA14" i="6"/>
  <c r="CF64" i="6" a="1"/>
  <c r="CV8" i="6"/>
  <c r="AM14" i="6"/>
  <c r="AA8" i="6"/>
  <c r="BL15" i="6"/>
  <c r="BL14" i="6"/>
  <c r="BL133" i="6"/>
  <c r="BL146" i="6" s="1" a="1"/>
  <c r="V52" i="6"/>
  <c r="V64" i="6" s="1" a="1"/>
  <c r="U53" i="6"/>
  <c r="U64" i="6" s="1" a="1"/>
  <c r="BQ8" i="6"/>
  <c r="T14" i="6"/>
  <c r="BH8" i="6"/>
  <c r="AJ52" i="6"/>
  <c r="AJ64" i="6" s="1" a="1"/>
  <c r="X8" i="6"/>
  <c r="J9" i="6"/>
  <c r="AX14" i="6"/>
  <c r="BP64" i="6" a="1"/>
  <c r="AV8" i="6"/>
  <c r="CM9" i="6"/>
  <c r="CS9" i="6"/>
  <c r="X9" i="6"/>
  <c r="AR9" i="6"/>
  <c r="BJ9" i="6"/>
  <c r="BJ51" i="6"/>
  <c r="BJ64" i="6" s="1" a="1"/>
  <c r="K8" i="6"/>
  <c r="CR9" i="6"/>
  <c r="BO8" i="6"/>
  <c r="BO146" i="6" a="1"/>
  <c r="AE51" i="6"/>
  <c r="AE64" i="6" s="1" a="1"/>
  <c r="S8" i="6"/>
  <c r="CH14" i="6"/>
  <c r="BB9" i="6"/>
  <c r="Z51" i="6"/>
  <c r="Z64" i="6" s="1" a="1"/>
  <c r="AM64" i="6" a="1"/>
  <c r="BC133" i="6"/>
  <c r="BC14" i="6"/>
  <c r="U134" i="6"/>
  <c r="U146" i="6" s="1" a="1"/>
  <c r="U15" i="6"/>
  <c r="U14" i="6"/>
  <c r="AU14" i="6"/>
  <c r="AJ133" i="6"/>
  <c r="AJ146" i="6" s="1" a="1"/>
  <c r="AJ14" i="6"/>
  <c r="AJ15" i="6"/>
  <c r="CN134" i="6"/>
  <c r="CN146" i="6" s="1" a="1"/>
  <c r="BO15" i="6"/>
  <c r="CM133" i="6"/>
  <c r="CM146" i="6" s="1" a="1"/>
  <c r="CM14" i="6"/>
  <c r="S15" i="6"/>
  <c r="S134" i="6"/>
  <c r="S146" i="6" s="1" a="1"/>
  <c r="CE133" i="6"/>
  <c r="CE146" i="6" s="1" a="1"/>
  <c r="CE14" i="6"/>
  <c r="H133" i="6"/>
  <c r="H146" i="6" s="1" a="1"/>
  <c r="H14" i="6"/>
  <c r="BF15" i="6"/>
  <c r="BF134" i="6"/>
  <c r="BF146" i="6" s="1" a="1"/>
  <c r="J147" i="6"/>
  <c r="CE138" i="6"/>
  <c r="AR138" i="6"/>
  <c r="BT138" i="6"/>
  <c r="I55" i="6"/>
  <c r="CB55" i="6"/>
  <c r="CG55" i="6"/>
  <c r="AN55" i="6"/>
  <c r="S55" i="6"/>
  <c r="K55" i="6"/>
  <c r="CT55" i="6"/>
  <c r="O55" i="6"/>
  <c r="CO55" i="6"/>
  <c r="U55" i="6"/>
  <c r="Q55" i="6"/>
  <c r="AZ55" i="6"/>
  <c r="BX55" i="6"/>
  <c r="CK55" i="6"/>
  <c r="L55" i="6"/>
  <c r="F52" i="6"/>
  <c r="CW55" i="6"/>
  <c r="AF55" i="6"/>
  <c r="V55" i="6"/>
  <c r="N55" i="6"/>
  <c r="CA55" i="6"/>
  <c r="P55" i="6"/>
  <c r="BC55" i="6"/>
  <c r="AY55" i="6"/>
  <c r="BU55" i="6"/>
  <c r="CN55" i="6"/>
  <c r="CI55" i="6"/>
  <c r="CL55" i="6"/>
  <c r="BJ55" i="6"/>
  <c r="AQ55" i="6"/>
  <c r="BQ55" i="6"/>
  <c r="AL55" i="6"/>
  <c r="CR55" i="6"/>
  <c r="CQ55" i="6"/>
  <c r="AC56" i="6"/>
  <c r="AI56" i="6"/>
  <c r="CV56" i="6"/>
  <c r="AY56" i="6"/>
  <c r="R56" i="6"/>
  <c r="O56" i="6"/>
  <c r="U56" i="6"/>
  <c r="K56" i="6"/>
  <c r="Y56" i="6"/>
  <c r="CU56" i="6"/>
  <c r="AO56" i="6"/>
  <c r="BT54" i="6"/>
  <c r="BP54" i="6"/>
  <c r="CJ54" i="6"/>
  <c r="V54" i="6"/>
  <c r="F8" i="6"/>
  <c r="X54" i="6"/>
  <c r="H54" i="6"/>
  <c r="F51" i="6"/>
  <c r="CS54" i="6"/>
  <c r="CG54" i="6"/>
  <c r="CY54" i="6"/>
  <c r="L54" i="6"/>
  <c r="R54" i="6"/>
  <c r="AO133" i="6"/>
  <c r="AO146" i="6" s="1" a="1"/>
  <c r="AO14" i="6"/>
  <c r="G55" i="6"/>
  <c r="AJ55" i="6"/>
  <c r="BL55" i="6"/>
  <c r="CX15" i="6"/>
  <c r="BY15" i="6"/>
  <c r="F55" i="6"/>
  <c r="BK14" i="6"/>
  <c r="BD15" i="6"/>
  <c r="CX55" i="6"/>
  <c r="AV55" i="6"/>
  <c r="BF55" i="6"/>
  <c r="CF55" i="6"/>
  <c r="BZ146" i="6" a="1"/>
  <c r="Y14" i="6"/>
  <c r="Y15" i="6"/>
  <c r="V133" i="6"/>
  <c r="AE14" i="6"/>
  <c r="BY134" i="6"/>
  <c r="BX138" i="6"/>
  <c r="CH138" i="6"/>
  <c r="AM138" i="6"/>
  <c r="CD138" i="6"/>
  <c r="O146" i="6" a="1"/>
  <c r="BC134" i="6"/>
  <c r="BC15" i="6"/>
  <c r="CZ134" i="6"/>
  <c r="CZ146" i="6" s="1" a="1"/>
  <c r="CZ15" i="6"/>
  <c r="BG15" i="6"/>
  <c r="BQ138" i="6"/>
  <c r="AP138" i="6"/>
  <c r="CK146" i="6" a="1"/>
  <c r="AT52" i="6"/>
  <c r="AT64" i="6" s="1" a="1"/>
  <c r="BL9" i="6"/>
  <c r="BF54" i="6"/>
  <c r="BB54" i="6"/>
  <c r="AG54" i="6"/>
  <c r="AH54" i="6"/>
  <c r="CW54" i="6"/>
  <c r="BA54" i="6"/>
  <c r="AS54" i="6"/>
  <c r="BJ54" i="6"/>
  <c r="BI54" i="6"/>
  <c r="BG54" i="6"/>
  <c r="BR54" i="6"/>
  <c r="AP54" i="6"/>
  <c r="DA52" i="6"/>
  <c r="DA64" i="6" s="1" a="1"/>
  <c r="CC52" i="6"/>
  <c r="CC64" i="6" s="1" a="1"/>
  <c r="AY9" i="6"/>
  <c r="BT8" i="6"/>
  <c r="CH52" i="6"/>
  <c r="CH64" i="6" s="1" a="1"/>
  <c r="AK8" i="6"/>
  <c r="CO51" i="6"/>
  <c r="CO64" i="6" s="1" a="1"/>
  <c r="CH146" i="6" a="1"/>
  <c r="AX55" i="6"/>
  <c r="AD55" i="6"/>
  <c r="CD134" i="6"/>
  <c r="BR55" i="6"/>
  <c r="AI15" i="6"/>
  <c r="X55" i="6"/>
  <c r="BR15" i="6"/>
  <c r="J55" i="6"/>
  <c r="AT55" i="6"/>
  <c r="AP55" i="6"/>
  <c r="CC15" i="6"/>
  <c r="BG14" i="6"/>
  <c r="BH15" i="6"/>
  <c r="BH134" i="6"/>
  <c r="BH146" i="6" s="1" a="1"/>
  <c r="AQ146" i="6" a="1"/>
  <c r="AP15" i="6"/>
  <c r="P14" i="6"/>
  <c r="P133" i="6"/>
  <c r="P146" i="6" s="1" a="1"/>
  <c r="AA15" i="6"/>
  <c r="J14" i="6"/>
  <c r="BG134" i="6"/>
  <c r="BG146" i="6" s="1" a="1"/>
  <c r="AI134" i="6"/>
  <c r="AV138" i="6"/>
  <c r="AB138" i="6"/>
  <c r="CS138" i="6"/>
  <c r="U138" i="6"/>
  <c r="H138" i="6"/>
  <c r="L138" i="6"/>
  <c r="AQ138" i="6"/>
  <c r="AC138" i="6"/>
  <c r="BS138" i="6"/>
  <c r="CY138" i="6"/>
  <c r="AF138" i="6"/>
  <c r="AO138" i="6"/>
  <c r="BW138" i="6"/>
  <c r="AK138" i="6"/>
  <c r="BD138" i="6"/>
  <c r="BL138" i="6"/>
  <c r="AZ138" i="6"/>
  <c r="T138" i="6"/>
  <c r="N138" i="6"/>
  <c r="AY138" i="6"/>
  <c r="CA138" i="6"/>
  <c r="CR138" i="6"/>
  <c r="BK138" i="6"/>
  <c r="AS138" i="6"/>
  <c r="BV138" i="6"/>
  <c r="AL138" i="6"/>
  <c r="CL138" i="6"/>
  <c r="BP138" i="6"/>
  <c r="AU138" i="6"/>
  <c r="CC138" i="6"/>
  <c r="BM138" i="6"/>
  <c r="CB138" i="6"/>
  <c r="BB138" i="6"/>
  <c r="BO138" i="6"/>
  <c r="K138" i="6"/>
  <c r="P138" i="6"/>
  <c r="BZ138" i="6"/>
  <c r="AN138" i="6"/>
  <c r="CX138" i="6"/>
  <c r="AH138" i="6"/>
  <c r="AG138" i="6"/>
  <c r="R138" i="6"/>
  <c r="W138" i="6"/>
  <c r="I138" i="6"/>
  <c r="BH138" i="6"/>
  <c r="CV138" i="6"/>
  <c r="CQ138" i="6"/>
  <c r="CF138" i="6"/>
  <c r="CK138" i="6"/>
  <c r="V138" i="6"/>
  <c r="BC138" i="6"/>
  <c r="Y138" i="6"/>
  <c r="CT138" i="6"/>
  <c r="BJ138" i="6"/>
  <c r="AE138" i="6"/>
  <c r="AW138" i="6"/>
  <c r="CM138" i="6"/>
  <c r="BG138" i="6"/>
  <c r="S138" i="6"/>
  <c r="F138" i="6"/>
  <c r="BA138" i="6"/>
  <c r="BE138" i="6"/>
  <c r="AI138" i="6"/>
  <c r="CW138" i="6"/>
  <c r="BI138" i="6"/>
  <c r="DA138" i="6"/>
  <c r="BU138" i="6"/>
  <c r="CG138" i="6"/>
  <c r="Z138" i="6"/>
  <c r="O138" i="6"/>
  <c r="CZ138" i="6"/>
  <c r="J138" i="6"/>
  <c r="CN138" i="6"/>
  <c r="BF138" i="6"/>
  <c r="X138" i="6"/>
  <c r="CP138" i="6"/>
  <c r="CI138" i="6"/>
  <c r="AG60" i="6"/>
  <c r="BJ134" i="6"/>
  <c r="BJ146" i="6" s="1" a="1"/>
  <c r="BN138" i="6"/>
  <c r="Z14" i="6"/>
  <c r="BF8" i="6"/>
  <c r="CB14" i="6"/>
  <c r="CO54" i="6"/>
  <c r="CZ54" i="6"/>
  <c r="BY54" i="6"/>
  <c r="I54" i="6"/>
  <c r="P54" i="6"/>
  <c r="Y54" i="6"/>
  <c r="CV54" i="6"/>
  <c r="DA54" i="6"/>
  <c r="BW54" i="6"/>
  <c r="BV54" i="6"/>
  <c r="CH54" i="6"/>
  <c r="CK54" i="6"/>
  <c r="F54" i="6"/>
  <c r="BX8" i="6"/>
  <c r="BN14" i="6"/>
  <c r="H55" i="6"/>
  <c r="Y55" i="6"/>
  <c r="CI15" i="6"/>
  <c r="CR134" i="6"/>
  <c r="CR146" i="6" s="1" a="1"/>
  <c r="AR15" i="6"/>
  <c r="F9" i="6"/>
  <c r="AU55" i="6"/>
  <c r="BB55" i="6"/>
  <c r="CU14" i="6"/>
  <c r="AT14" i="6"/>
  <c r="AT134" i="6"/>
  <c r="AT146" i="6" s="1" a="1"/>
  <c r="BK15" i="6"/>
  <c r="BD134" i="6"/>
  <c r="BD146" i="6" s="1" a="1"/>
  <c r="AA134" i="6"/>
  <c r="AJ138" i="6"/>
  <c r="CJ138" i="6"/>
  <c r="F135" i="6"/>
  <c r="BY14" i="6"/>
  <c r="BY133" i="6"/>
  <c r="BT15" i="6"/>
  <c r="BB15" i="6"/>
  <c r="BB133" i="6"/>
  <c r="BB146" i="6" s="1" a="1"/>
  <c r="CM54" i="6"/>
  <c r="BD54" i="6"/>
  <c r="AZ54" i="6"/>
  <c r="AM54" i="6"/>
  <c r="AV54" i="6"/>
  <c r="AB54" i="6"/>
  <c r="BM54" i="6"/>
  <c r="Q54" i="6"/>
  <c r="AL54" i="6"/>
  <c r="S54" i="6"/>
  <c r="BC54" i="6"/>
  <c r="AY54" i="6"/>
  <c r="BT55" i="6"/>
  <c r="AA55" i="6"/>
  <c r="AQ15" i="6"/>
  <c r="CI134" i="6"/>
  <c r="CG15" i="6"/>
  <c r="BY55" i="6"/>
  <c r="V15" i="6"/>
  <c r="W55" i="6"/>
  <c r="AR55" i="6"/>
  <c r="BE55" i="6"/>
  <c r="R55" i="6"/>
  <c r="BV134" i="6"/>
  <c r="BV15" i="6"/>
  <c r="CV14" i="6"/>
  <c r="CV133" i="6"/>
  <c r="CV146" i="6" s="1" a="1"/>
  <c r="AZ15" i="6"/>
  <c r="AL146" i="6" a="1"/>
  <c r="Q138" i="6"/>
  <c r="AA138" i="6"/>
  <c r="M138" i="6"/>
  <c r="Y136" i="6"/>
  <c r="S136" i="6"/>
  <c r="AR136" i="6"/>
  <c r="CL136" i="6"/>
  <c r="CR136" i="6"/>
  <c r="CM136" i="6"/>
  <c r="AZ136" i="6"/>
  <c r="CA136" i="6"/>
  <c r="BG136" i="6"/>
  <c r="BU136" i="6"/>
  <c r="BF136" i="6"/>
  <c r="AB136" i="6"/>
  <c r="AG14" i="6"/>
  <c r="V134" i="6"/>
  <c r="I14" i="6"/>
  <c r="AG133" i="6"/>
  <c r="AG146" i="6" s="1" a="1"/>
  <c r="AB15" i="6"/>
  <c r="Z136" i="6"/>
  <c r="BA136" i="6"/>
  <c r="BM136" i="6"/>
  <c r="CB136" i="6"/>
  <c r="O136" i="6"/>
  <c r="AC136" i="6"/>
  <c r="F133" i="6"/>
  <c r="BK136" i="6"/>
  <c r="AS136" i="6"/>
  <c r="J136" i="6"/>
  <c r="AD136" i="6"/>
  <c r="AW136" i="6"/>
  <c r="CN136" i="6"/>
  <c r="Q15" i="6"/>
  <c r="AQ14" i="6"/>
  <c r="CJ14" i="6"/>
  <c r="AN15" i="6"/>
  <c r="BD136" i="6"/>
  <c r="CO136" i="6"/>
  <c r="AK136" i="6"/>
  <c r="V136" i="6"/>
  <c r="CT136" i="6"/>
  <c r="T136" i="6"/>
  <c r="AJ136" i="6"/>
  <c r="CH136" i="6"/>
  <c r="AA136" i="6"/>
  <c r="CG136" i="6"/>
  <c r="DA136" i="6"/>
  <c r="I136" i="6"/>
  <c r="CK136" i="6"/>
  <c r="BW14" i="6"/>
  <c r="R15" i="6"/>
  <c r="CK15" i="6"/>
  <c r="CW136" i="6"/>
  <c r="BH136" i="6"/>
  <c r="AP136" i="6"/>
  <c r="CJ136" i="6"/>
  <c r="BQ136" i="6"/>
  <c r="P136" i="6"/>
  <c r="BT136" i="6"/>
  <c r="CZ136" i="6"/>
  <c r="G136" i="6"/>
  <c r="Q136" i="6"/>
  <c r="CY136" i="6"/>
  <c r="BS136" i="6"/>
  <c r="AI133" i="6"/>
  <c r="AI14" i="6"/>
  <c r="BW134" i="6"/>
  <c r="BW146" i="6" s="1" a="1"/>
  <c r="BW15" i="6"/>
  <c r="Z134" i="6"/>
  <c r="Z146" i="6" s="1" a="1"/>
  <c r="Z15" i="6"/>
  <c r="AH14" i="6"/>
  <c r="AH133" i="6"/>
  <c r="AH146" i="6" s="1" a="1"/>
  <c r="CP63" i="6" l="1"/>
  <c r="M17" i="6"/>
  <c r="BQ17" i="6"/>
  <c r="CK66" i="6"/>
  <c r="BE17" i="6"/>
  <c r="CY17" i="6"/>
  <c r="BS17" i="6"/>
  <c r="AL17" i="6"/>
  <c r="CZ65" i="6"/>
  <c r="AT18" i="6"/>
  <c r="CM18" i="6"/>
  <c r="CP17" i="6"/>
  <c r="BI17" i="6"/>
  <c r="CJ147" i="6"/>
  <c r="Q17" i="6"/>
  <c r="BM18" i="6"/>
  <c r="CJ146" i="6"/>
  <c r="AI146" i="6" a="1"/>
  <c r="AI147" i="6" s="1"/>
  <c r="AW149" i="6" a="1"/>
  <c r="AW149" i="6" s="1"/>
  <c r="AW155" i="6" s="1"/>
  <c r="AS146" i="6"/>
  <c r="K18" i="6"/>
  <c r="CS66" i="6"/>
  <c r="CX18" i="6"/>
  <c r="CS65" i="6"/>
  <c r="CE63" i="6"/>
  <c r="CJ67" i="6" a="1"/>
  <c r="CJ69" i="6" s="1"/>
  <c r="CY67" i="6" a="1"/>
  <c r="CY68" i="6" s="1"/>
  <c r="CB149" i="6" a="1"/>
  <c r="CB150" i="6" s="1"/>
  <c r="AF18" i="6"/>
  <c r="W149" i="6" a="1"/>
  <c r="W149" i="6" s="1"/>
  <c r="W155" i="6" s="1"/>
  <c r="BF17" i="6"/>
  <c r="AM149" i="6" a="1"/>
  <c r="AM149" i="6" s="1"/>
  <c r="AM155" i="6" s="1"/>
  <c r="F17" i="6"/>
  <c r="J18" i="6"/>
  <c r="CH18" i="6"/>
  <c r="AF149" i="6" a="1"/>
  <c r="AF149" i="6" s="1"/>
  <c r="AF155" i="6" s="1"/>
  <c r="X18" i="6"/>
  <c r="AG18" i="6"/>
  <c r="BV146" i="6" a="1"/>
  <c r="BV147" i="6" s="1"/>
  <c r="N18" i="6"/>
  <c r="CJ18" i="6"/>
  <c r="AF17" i="6"/>
  <c r="W18" i="6"/>
  <c r="BT147" i="6"/>
  <c r="DA18" i="6"/>
  <c r="BT148" i="6"/>
  <c r="DA149" i="6" a="1"/>
  <c r="DA149" i="6" s="1"/>
  <c r="AW146" i="6"/>
  <c r="AN17" i="6"/>
  <c r="CV18" i="6"/>
  <c r="AK17" i="6"/>
  <c r="BM149" i="6" a="1"/>
  <c r="BM151" i="6" s="1"/>
  <c r="CP149" i="6" a="1"/>
  <c r="CP151" i="6" s="1"/>
  <c r="AY18" i="6"/>
  <c r="J146" i="6"/>
  <c r="AX146" i="6"/>
  <c r="BH149" i="6" a="1"/>
  <c r="BH150" i="6" s="1"/>
  <c r="U149" i="6" a="1"/>
  <c r="U149" i="6" s="1"/>
  <c r="BT17" i="6"/>
  <c r="BH17" i="6"/>
  <c r="AS148" i="6"/>
  <c r="CN17" i="6"/>
  <c r="AR17" i="6"/>
  <c r="CC17" i="6"/>
  <c r="CZ17" i="6"/>
  <c r="AW18" i="6"/>
  <c r="BO149" i="6" a="1"/>
  <c r="BO151" i="6" s="1"/>
  <c r="CV149" i="6" a="1"/>
  <c r="CV150" i="6" s="1"/>
  <c r="CV156" i="6" s="1"/>
  <c r="CG17" i="6"/>
  <c r="Y149" i="6" a="1"/>
  <c r="Y151" i="6" s="1"/>
  <c r="Y157" i="6" s="1"/>
  <c r="CK17" i="6"/>
  <c r="O17" i="6"/>
  <c r="CU147" i="6"/>
  <c r="CU18" i="6"/>
  <c r="AH18" i="6"/>
  <c r="BX18" i="6"/>
  <c r="AR147" i="6"/>
  <c r="CS17" i="6"/>
  <c r="AL18" i="6"/>
  <c r="CK149" i="6" a="1"/>
  <c r="CK150" i="6" s="1"/>
  <c r="CK156" i="6" s="1"/>
  <c r="AC18" i="6"/>
  <c r="N17" i="6"/>
  <c r="CF17" i="6"/>
  <c r="BR17" i="6"/>
  <c r="CN18" i="6"/>
  <c r="BK148" i="6"/>
  <c r="G149" i="6" a="1"/>
  <c r="G149" i="6" s="1"/>
  <c r="CG149" i="6" a="1"/>
  <c r="CG149" i="6" s="1"/>
  <c r="CO149" i="6" a="1"/>
  <c r="CO151" i="6" s="1"/>
  <c r="CO157" i="6" s="1"/>
  <c r="AD149" i="6" a="1"/>
  <c r="AD151" i="6" s="1"/>
  <c r="CE149" i="6" a="1"/>
  <c r="CE149" i="6" s="1"/>
  <c r="CE155" i="6" s="1"/>
  <c r="CS18" i="6"/>
  <c r="V17" i="6"/>
  <c r="CW146" i="6" a="1"/>
  <c r="CW146" i="6" s="1"/>
  <c r="AX147" i="6"/>
  <c r="CI17" i="6"/>
  <c r="BV17" i="6"/>
  <c r="BK147" i="6"/>
  <c r="CL18" i="6"/>
  <c r="CD149" i="6" a="1"/>
  <c r="CD149" i="6" s="1"/>
  <c r="CD155" i="6" s="1"/>
  <c r="AO149" i="6" a="1"/>
  <c r="AO150" i="6" s="1"/>
  <c r="AO156" i="6" s="1"/>
  <c r="AY149" i="6" a="1"/>
  <c r="AY150" i="6" s="1"/>
  <c r="AY156" i="6" s="1"/>
  <c r="CC148" i="6"/>
  <c r="Y146" i="6"/>
  <c r="Q149" i="6" a="1"/>
  <c r="Q151" i="6" s="1"/>
  <c r="Q157" i="6" s="1"/>
  <c r="AK149" i="6" a="1"/>
  <c r="AK150" i="6" s="1"/>
  <c r="AK156" i="6" s="1"/>
  <c r="BQ149" i="6" a="1"/>
  <c r="BQ151" i="6" s="1"/>
  <c r="BQ157" i="6" s="1"/>
  <c r="T149" i="6" a="1"/>
  <c r="T150" i="6" s="1"/>
  <c r="T156" i="6" s="1"/>
  <c r="F146" i="6" a="1"/>
  <c r="F147" i="6" s="1"/>
  <c r="CA149" i="6" a="1"/>
  <c r="CA149" i="6" s="1"/>
  <c r="CA155" i="6" s="1"/>
  <c r="M149" i="6" a="1"/>
  <c r="M149" i="6" s="1"/>
  <c r="CC147" i="6"/>
  <c r="O18" i="6"/>
  <c r="BU18" i="6"/>
  <c r="BD17" i="6"/>
  <c r="Y147" i="6"/>
  <c r="BZ149" i="6" a="1"/>
  <c r="BZ151" i="6" s="1"/>
  <c r="BP149" i="6" a="1"/>
  <c r="BP150" i="6" s="1"/>
  <c r="BP156" i="6" s="1"/>
  <c r="AN149" i="6" a="1"/>
  <c r="AN151" i="6" s="1"/>
  <c r="CR149" i="6" a="1"/>
  <c r="CR151" i="6" s="1"/>
  <c r="CR157" i="6" s="1"/>
  <c r="BS149" i="6" a="1"/>
  <c r="BS151" i="6" s="1"/>
  <c r="BS157" i="6" s="1"/>
  <c r="CJ149" i="6" a="1"/>
  <c r="CJ150" i="6" s="1"/>
  <c r="CT149" i="6" a="1"/>
  <c r="CT150" i="6" s="1"/>
  <c r="AZ149" i="6" a="1"/>
  <c r="AZ150" i="6" s="1"/>
  <c r="AZ156" i="6" s="1"/>
  <c r="BJ18" i="6"/>
  <c r="CF18" i="6"/>
  <c r="R17" i="6"/>
  <c r="CU148" i="6"/>
  <c r="AW147" i="6"/>
  <c r="AY17" i="6"/>
  <c r="M18" i="6"/>
  <c r="BJ17" i="6"/>
  <c r="AC146" i="6"/>
  <c r="AC147" i="6"/>
  <c r="AC148" i="6"/>
  <c r="R146" i="6"/>
  <c r="CI146" i="6" a="1"/>
  <c r="CI148" i="6" s="1"/>
  <c r="BN148" i="6"/>
  <c r="BI149" i="6" a="1"/>
  <c r="BI150" i="6" s="1"/>
  <c r="BI156" i="6" s="1"/>
  <c r="AW17" i="6"/>
  <c r="BZ18" i="6"/>
  <c r="AR148" i="6"/>
  <c r="AD17" i="6"/>
  <c r="N149" i="6" a="1"/>
  <c r="N151" i="6" s="1"/>
  <c r="N157" i="6" s="1"/>
  <c r="AR149" i="6" a="1"/>
  <c r="AR149" i="6" s="1"/>
  <c r="AR152" i="6" s="1"/>
  <c r="BE18" i="6"/>
  <c r="T146" i="6"/>
  <c r="AL149" i="6" a="1"/>
  <c r="AL149" i="6" s="1"/>
  <c r="CS149" i="6" a="1"/>
  <c r="CS150" i="6" s="1"/>
  <c r="CQ146" i="6" a="1"/>
  <c r="CQ148" i="6" s="1"/>
  <c r="M148" i="6"/>
  <c r="CF146" i="6"/>
  <c r="G17" i="6"/>
  <c r="AB149" i="6" a="1"/>
  <c r="AB150" i="6" s="1"/>
  <c r="BX149" i="6" a="1"/>
  <c r="BX151" i="6" s="1"/>
  <c r="AQ149" i="6" a="1"/>
  <c r="AQ149" i="6" s="1"/>
  <c r="CF147" i="6"/>
  <c r="BA149" i="6" a="1"/>
  <c r="BA151" i="6" s="1"/>
  <c r="BA157" i="6" s="1"/>
  <c r="Z149" i="6" a="1"/>
  <c r="Z151" i="6" s="1"/>
  <c r="BW149" i="6" a="1"/>
  <c r="BW149" i="6" s="1"/>
  <c r="BW155" i="6" s="1"/>
  <c r="T148" i="6"/>
  <c r="AA146" i="6" a="1"/>
  <c r="AA146" i="6" s="1"/>
  <c r="M147" i="6"/>
  <c r="R148" i="6"/>
  <c r="AC17" i="6"/>
  <c r="P149" i="6" a="1"/>
  <c r="P151" i="6" s="1"/>
  <c r="F149" i="6" a="1"/>
  <c r="F150" i="6" s="1"/>
  <c r="P18" i="6"/>
  <c r="CR17" i="6"/>
  <c r="CL17" i="6"/>
  <c r="BT18" i="6"/>
  <c r="AW62" i="6"/>
  <c r="DA17" i="6"/>
  <c r="BD65" i="6"/>
  <c r="BX65" i="6"/>
  <c r="AM18" i="6"/>
  <c r="CE62" i="6"/>
  <c r="BD66" i="6"/>
  <c r="BW18" i="6"/>
  <c r="AM67" i="6" a="1"/>
  <c r="AM68" i="6" s="1"/>
  <c r="AI18" i="6"/>
  <c r="CP62" i="6"/>
  <c r="AJ18" i="6"/>
  <c r="CK65" i="6"/>
  <c r="AB18" i="6"/>
  <c r="AR64" i="6"/>
  <c r="CE17" i="6"/>
  <c r="AX17" i="6"/>
  <c r="W17" i="6"/>
  <c r="AR66" i="6"/>
  <c r="CW17" i="6"/>
  <c r="BX64" i="6"/>
  <c r="BR65" i="6"/>
  <c r="AV64" i="6"/>
  <c r="AW66" i="6"/>
  <c r="Y18" i="6"/>
  <c r="BO18" i="6"/>
  <c r="BG66" i="6"/>
  <c r="AH62" i="6"/>
  <c r="AR67" i="6" a="1"/>
  <c r="AR67" i="6" s="1"/>
  <c r="AR73" i="6" s="1"/>
  <c r="CH67" i="6" a="1"/>
  <c r="CH69" i="6" s="1"/>
  <c r="BV64" i="6"/>
  <c r="BT66" i="6"/>
  <c r="CI18" i="6"/>
  <c r="CZ67" i="6" a="1"/>
  <c r="CZ67" i="6" s="1"/>
  <c r="DA62" i="6"/>
  <c r="BT65" i="6"/>
  <c r="CA18" i="6"/>
  <c r="BG17" i="6"/>
  <c r="AG67" i="6" a="1"/>
  <c r="AG69" i="6" s="1"/>
  <c r="BL17" i="6"/>
  <c r="AS64" i="6"/>
  <c r="N64" i="6" a="1"/>
  <c r="N66" i="6" s="1"/>
  <c r="K64" i="6"/>
  <c r="K66" i="6"/>
  <c r="BS67" i="6" a="1"/>
  <c r="BS68" i="6" s="1"/>
  <c r="CV65" i="6"/>
  <c r="I17" i="6"/>
  <c r="CA66" i="6"/>
  <c r="CP64" i="6"/>
  <c r="CW65" i="6"/>
  <c r="BZ67" i="6" a="1"/>
  <c r="BZ67" i="6" s="1"/>
  <c r="CP65" i="6"/>
  <c r="CV66" i="6"/>
  <c r="BI64" i="6" a="1"/>
  <c r="BI66" i="6" s="1"/>
  <c r="AS65" i="6"/>
  <c r="AX67" i="6" a="1"/>
  <c r="AX69" i="6" s="1"/>
  <c r="AX75" i="6" s="1"/>
  <c r="CX17" i="6"/>
  <c r="AU66" i="6"/>
  <c r="BW65" i="6"/>
  <c r="M62" i="6"/>
  <c r="R18" i="6"/>
  <c r="CU17" i="6"/>
  <c r="U17" i="6"/>
  <c r="CA17" i="6"/>
  <c r="O64" i="6"/>
  <c r="BS18" i="6"/>
  <c r="BR64" i="6"/>
  <c r="AU64" i="6"/>
  <c r="BW64" i="6"/>
  <c r="CY66" i="6"/>
  <c r="M63" i="6"/>
  <c r="CE67" i="6" a="1"/>
  <c r="CE67" i="6" s="1"/>
  <c r="CE73" i="6" s="1"/>
  <c r="AX64" i="6" a="1"/>
  <c r="AX66" i="6" s="1"/>
  <c r="CA64" i="6"/>
  <c r="Z67" i="6" a="1"/>
  <c r="Z67" i="6" s="1"/>
  <c r="CF67" i="6" a="1"/>
  <c r="CF68" i="6" s="1"/>
  <c r="CF74" i="6" s="1"/>
  <c r="H18" i="6"/>
  <c r="CO18" i="6"/>
  <c r="Z17" i="6"/>
  <c r="CY18" i="6"/>
  <c r="BG65" i="6"/>
  <c r="CT66" i="6"/>
  <c r="I18" i="6"/>
  <c r="P17" i="6"/>
  <c r="CB18" i="6"/>
  <c r="AD66" i="6"/>
  <c r="CT65" i="6"/>
  <c r="AH17" i="6"/>
  <c r="AA67" i="6" a="1"/>
  <c r="AA69" i="6" s="1"/>
  <c r="AA75" i="6" s="1"/>
  <c r="CT18" i="6"/>
  <c r="BN64" i="6"/>
  <c r="BN65" i="6"/>
  <c r="BV18" i="6"/>
  <c r="AF67" i="6" a="1"/>
  <c r="AF67" i="6" s="1"/>
  <c r="AF73" i="6" s="1"/>
  <c r="DA63" i="6"/>
  <c r="T66" i="6"/>
  <c r="R66" i="6"/>
  <c r="CM67" i="6" a="1"/>
  <c r="CM68" i="6" s="1"/>
  <c r="BG67" i="6" a="1"/>
  <c r="BG67" i="6" s="1"/>
  <c r="CW18" i="6"/>
  <c r="AS17" i="6"/>
  <c r="CD18" i="6"/>
  <c r="CT17" i="6"/>
  <c r="T64" i="6"/>
  <c r="U18" i="6"/>
  <c r="CH17" i="6"/>
  <c r="AH61" i="6"/>
  <c r="AV66" i="6"/>
  <c r="CT67" i="6" a="1"/>
  <c r="CT68" i="6" s="1"/>
  <c r="CT74" i="6" s="1"/>
  <c r="AW61" i="6"/>
  <c r="BE67" i="6" a="1"/>
  <c r="BE68" i="6" s="1"/>
  <c r="BE74" i="6" s="1"/>
  <c r="AB67" i="6" a="1"/>
  <c r="AB67" i="6" s="1"/>
  <c r="CS67" i="6" a="1"/>
  <c r="CS67" i="6" s="1"/>
  <c r="BU17" i="6"/>
  <c r="CW64" i="6"/>
  <c r="F67" i="6" a="1"/>
  <c r="F69" i="6" s="1"/>
  <c r="F75" i="6" s="1"/>
  <c r="J67" i="6" a="1"/>
  <c r="J67" i="6" s="1"/>
  <c r="J73" i="6" s="1"/>
  <c r="S18" i="6"/>
  <c r="CM64" i="6"/>
  <c r="CC67" i="6" a="1"/>
  <c r="CC67" i="6" s="1"/>
  <c r="CC73" i="6" s="1"/>
  <c r="W67" i="6" a="1"/>
  <c r="W68" i="6" s="1"/>
  <c r="W74" i="6" s="1"/>
  <c r="AO17" i="6"/>
  <c r="CU67" i="6" a="1"/>
  <c r="CU69" i="6" s="1"/>
  <c r="N67" i="6" a="1"/>
  <c r="N67" i="6" s="1"/>
  <c r="N73" i="6" s="1"/>
  <c r="M67" i="6" a="1"/>
  <c r="M68" i="6" s="1"/>
  <c r="BP17" i="6"/>
  <c r="CM66" i="6"/>
  <c r="BN67" i="6" a="1"/>
  <c r="BN69" i="6" s="1"/>
  <c r="BJ67" i="6" a="1"/>
  <c r="BJ69" i="6" s="1"/>
  <c r="BJ75" i="6" s="1"/>
  <c r="BP67" i="6" a="1"/>
  <c r="BP69" i="6" s="1"/>
  <c r="BM62" i="6"/>
  <c r="O65" i="6"/>
  <c r="AK67" i="6" a="1"/>
  <c r="AK67" i="6" s="1"/>
  <c r="AW67" i="6" a="1"/>
  <c r="AW67" i="6" s="1"/>
  <c r="AW70" i="6" s="1"/>
  <c r="AV67" i="6" a="1"/>
  <c r="AV69" i="6" s="1"/>
  <c r="BK18" i="6"/>
  <c r="BC18" i="6"/>
  <c r="AQ67" i="6" a="1"/>
  <c r="AQ68" i="6" s="1"/>
  <c r="Y64" i="6"/>
  <c r="CQ17" i="6"/>
  <c r="AX18" i="6"/>
  <c r="BO67" i="6" a="1"/>
  <c r="BO68" i="6" s="1"/>
  <c r="CZ64" i="6"/>
  <c r="BX67" i="6" a="1"/>
  <c r="BX67" i="6" s="1"/>
  <c r="L18" i="6"/>
  <c r="BV67" i="6" a="1"/>
  <c r="BV69" i="6" s="1"/>
  <c r="AI17" i="6"/>
  <c r="CJ17" i="6"/>
  <c r="BD67" i="6" a="1"/>
  <c r="BD67" i="6" s="1"/>
  <c r="AH67" i="6" a="1"/>
  <c r="AH69" i="6" s="1"/>
  <c r="AC67" i="6" a="1"/>
  <c r="AC67" i="6" s="1"/>
  <c r="BC17" i="6"/>
  <c r="AM17" i="6"/>
  <c r="Y66" i="6"/>
  <c r="BA17" i="6"/>
  <c r="CB67" i="6" a="1"/>
  <c r="CB68" i="6" s="1"/>
  <c r="CB74" i="6" s="1"/>
  <c r="CG18" i="6"/>
  <c r="Y17" i="6"/>
  <c r="T62" i="6"/>
  <c r="W64" i="6" a="1"/>
  <c r="W64" i="6" s="1"/>
  <c r="AW65" i="6"/>
  <c r="AD65" i="6"/>
  <c r="AE67" i="6" a="1"/>
  <c r="AE68" i="6" s="1"/>
  <c r="AE74" i="6" s="1"/>
  <c r="BN17" i="6"/>
  <c r="CV67" i="6" a="1"/>
  <c r="CV69" i="6" s="1"/>
  <c r="AA18" i="6"/>
  <c r="BY18" i="6"/>
  <c r="AV18" i="6"/>
  <c r="BN66" i="6"/>
  <c r="AO66" i="6"/>
  <c r="BW17" i="6"/>
  <c r="AR18" i="6"/>
  <c r="CC18" i="6"/>
  <c r="BV65" i="6"/>
  <c r="BN60" i="6"/>
  <c r="BN61" i="6" s="1"/>
  <c r="BZ17" i="6"/>
  <c r="CQ18" i="6"/>
  <c r="AO65" i="6"/>
  <c r="AQ17" i="6"/>
  <c r="BC67" i="6" a="1"/>
  <c r="BC68" i="6" s="1"/>
  <c r="BC74" i="6" s="1"/>
  <c r="AZ67" i="6" a="1"/>
  <c r="AZ68" i="6" s="1"/>
  <c r="AT17" i="6"/>
  <c r="BI67" i="6" a="1"/>
  <c r="BI68" i="6" s="1"/>
  <c r="BF67" i="6" a="1"/>
  <c r="BF68" i="6" s="1"/>
  <c r="CX67" i="6" a="1"/>
  <c r="CX69" i="6" s="1"/>
  <c r="G67" i="6" a="1"/>
  <c r="G69" i="6" s="1"/>
  <c r="G75" i="6" s="1"/>
  <c r="F64" i="6" a="1"/>
  <c r="F65" i="6" s="1"/>
  <c r="AO67" i="6" a="1"/>
  <c r="AO68" i="6" s="1"/>
  <c r="H17" i="6"/>
  <c r="CE65" i="6"/>
  <c r="CP18" i="6"/>
  <c r="BX17" i="6"/>
  <c r="T67" i="6" a="1"/>
  <c r="AV17" i="6"/>
  <c r="AS62" i="6"/>
  <c r="AY66" i="6"/>
  <c r="CI66" i="6"/>
  <c r="CY64" i="6"/>
  <c r="AI65" i="6"/>
  <c r="AI64" i="6"/>
  <c r="AI66" i="6"/>
  <c r="Z18" i="6"/>
  <c r="AG17" i="6"/>
  <c r="Q67" i="6" a="1"/>
  <c r="Q69" i="6" s="1"/>
  <c r="BW67" i="6" a="1"/>
  <c r="BW68" i="6" s="1"/>
  <c r="BA67" i="6" a="1"/>
  <c r="BA67" i="6" s="1"/>
  <c r="U67" i="6" a="1"/>
  <c r="U68" i="6" s="1"/>
  <c r="AZ17" i="6"/>
  <c r="BP18" i="6"/>
  <c r="AP17" i="6"/>
  <c r="BO63" i="6"/>
  <c r="AI61" i="6"/>
  <c r="AS63" i="6"/>
  <c r="T61" i="6"/>
  <c r="AU18" i="6"/>
  <c r="AD18" i="6"/>
  <c r="AY65" i="6"/>
  <c r="BA62" i="6"/>
  <c r="BY65" i="6"/>
  <c r="CI65" i="6"/>
  <c r="J64" i="6"/>
  <c r="BH67" i="6" a="1"/>
  <c r="Q65" i="6"/>
  <c r="Q66" i="6"/>
  <c r="AS67" i="6" a="1"/>
  <c r="AS69" i="6" s="1"/>
  <c r="CM17" i="6"/>
  <c r="CE66" i="6"/>
  <c r="T17" i="6"/>
  <c r="AI67" i="6" a="1"/>
  <c r="AI67" i="6" s="1"/>
  <c r="BK67" i="6" a="1"/>
  <c r="AQ18" i="6"/>
  <c r="BM67" i="6" a="1"/>
  <c r="BM67" i="6" s="1"/>
  <c r="BB18" i="6"/>
  <c r="DA67" i="6" a="1"/>
  <c r="DA67" i="6" s="1"/>
  <c r="CB17" i="6"/>
  <c r="BR18" i="6"/>
  <c r="CZ18" i="6"/>
  <c r="L67" i="6" a="1"/>
  <c r="L69" i="6" s="1"/>
  <c r="L75" i="6" s="1"/>
  <c r="V67" i="6" a="1"/>
  <c r="V67" i="6" s="1"/>
  <c r="V73" i="6" s="1"/>
  <c r="BF18" i="6"/>
  <c r="AJ17" i="6"/>
  <c r="BM63" i="6"/>
  <c r="BI18" i="6"/>
  <c r="BM17" i="6"/>
  <c r="X17" i="6"/>
  <c r="BO62" i="6"/>
  <c r="AI63" i="6"/>
  <c r="CO17" i="6"/>
  <c r="BB17" i="6"/>
  <c r="BA63" i="6"/>
  <c r="BY64" i="6"/>
  <c r="J65" i="6"/>
  <c r="CD67" i="6" a="1"/>
  <c r="BY67" i="6" a="1"/>
  <c r="BY68" i="6" s="1"/>
  <c r="F18" i="6"/>
  <c r="AP18" i="6"/>
  <c r="CK18" i="6"/>
  <c r="AZ18" i="6"/>
  <c r="BH18" i="6"/>
  <c r="AS18" i="6"/>
  <c r="AB17" i="6"/>
  <c r="CP67" i="6" a="1"/>
  <c r="BO65" i="6"/>
  <c r="BO64" i="6"/>
  <c r="BO66" i="6"/>
  <c r="BI147" i="6"/>
  <c r="BI146" i="6"/>
  <c r="BI148" i="6"/>
  <c r="DA148" i="6"/>
  <c r="DA147" i="6"/>
  <c r="DA146" i="6"/>
  <c r="BK64" i="6"/>
  <c r="BK66" i="6"/>
  <c r="BK65" i="6"/>
  <c r="AT146" i="6"/>
  <c r="AT147" i="6"/>
  <c r="AT148" i="6"/>
  <c r="M64" i="6"/>
  <c r="M66" i="6"/>
  <c r="M65" i="6"/>
  <c r="AT64" i="6"/>
  <c r="AT66" i="6"/>
  <c r="AT65" i="6"/>
  <c r="CN148" i="6"/>
  <c r="CN147" i="6"/>
  <c r="CN146" i="6"/>
  <c r="CL147" i="6"/>
  <c r="CL148" i="6"/>
  <c r="CL146" i="6"/>
  <c r="AP146" i="6"/>
  <c r="AP147" i="6"/>
  <c r="AP148" i="6"/>
  <c r="AM148" i="6"/>
  <c r="AM147" i="6"/>
  <c r="AM146" i="6"/>
  <c r="CR147" i="6"/>
  <c r="CR148" i="6"/>
  <c r="CR146" i="6"/>
  <c r="BF147" i="6"/>
  <c r="BF146" i="6"/>
  <c r="BF148" i="6"/>
  <c r="BH146" i="6"/>
  <c r="BH148" i="6"/>
  <c r="BH147" i="6"/>
  <c r="DA65" i="6"/>
  <c r="DA66" i="6"/>
  <c r="DA64" i="6"/>
  <c r="L64" i="6"/>
  <c r="L66" i="6"/>
  <c r="L65" i="6"/>
  <c r="BB147" i="6"/>
  <c r="BB146" i="6"/>
  <c r="BB148" i="6"/>
  <c r="BB60" i="6"/>
  <c r="X60" i="6"/>
  <c r="CW60" i="6"/>
  <c r="CM147" i="6"/>
  <c r="CM148" i="6"/>
  <c r="CM146" i="6"/>
  <c r="CC64" i="6"/>
  <c r="CC65" i="6"/>
  <c r="CC66" i="6"/>
  <c r="AG142" i="6"/>
  <c r="CI142" i="6"/>
  <c r="CI149" i="6" a="1"/>
  <c r="L142" i="6"/>
  <c r="BJ142" i="6"/>
  <c r="BU142" i="6"/>
  <c r="BN142" i="6"/>
  <c r="I142" i="6"/>
  <c r="CQ142" i="6"/>
  <c r="K142" i="6"/>
  <c r="CW142" i="6"/>
  <c r="BV142" i="6"/>
  <c r="AQ66" i="6"/>
  <c r="AQ64" i="6"/>
  <c r="AQ65" i="6"/>
  <c r="BZ64" i="6"/>
  <c r="BZ65" i="6"/>
  <c r="BZ66" i="6"/>
  <c r="BJ149" i="6" a="1"/>
  <c r="BX145" i="6"/>
  <c r="BX143" i="6"/>
  <c r="BX144" i="6"/>
  <c r="CU66" i="6"/>
  <c r="CU64" i="6"/>
  <c r="CU65" i="6"/>
  <c r="AK66" i="6"/>
  <c r="AK65" i="6"/>
  <c r="AK64" i="6"/>
  <c r="CH63" i="6"/>
  <c r="CH61" i="6"/>
  <c r="CH62" i="6"/>
  <c r="G18" i="6"/>
  <c r="AC66" i="6"/>
  <c r="AC65" i="6"/>
  <c r="AC64" i="6"/>
  <c r="U143" i="6"/>
  <c r="U145" i="6"/>
  <c r="U144" i="6"/>
  <c r="CV61" i="6"/>
  <c r="CV63" i="6"/>
  <c r="CV62" i="6"/>
  <c r="AD148" i="6"/>
  <c r="AD146" i="6"/>
  <c r="AD147" i="6"/>
  <c r="AC61" i="6"/>
  <c r="AC63" i="6"/>
  <c r="AC62" i="6"/>
  <c r="H65" i="6"/>
  <c r="H64" i="6"/>
  <c r="H66" i="6"/>
  <c r="BA64" i="6"/>
  <c r="BA66" i="6"/>
  <c r="BA65" i="6"/>
  <c r="AV148" i="6"/>
  <c r="AV147" i="6"/>
  <c r="AV146" i="6"/>
  <c r="CD66" i="6"/>
  <c r="CD64" i="6"/>
  <c r="CD65" i="6"/>
  <c r="AH146" i="6"/>
  <c r="AH147" i="6"/>
  <c r="AH148" i="6"/>
  <c r="BS149" i="6"/>
  <c r="BS155" i="6" s="1"/>
  <c r="BS150" i="6"/>
  <c r="BS156" i="6" s="1"/>
  <c r="Q18" i="6"/>
  <c r="AC149" i="6" a="1"/>
  <c r="W60" i="6"/>
  <c r="AU60" i="6"/>
  <c r="Y60" i="6"/>
  <c r="AD60" i="6"/>
  <c r="AE17" i="6"/>
  <c r="CF60" i="6"/>
  <c r="AL60" i="6"/>
  <c r="AY60" i="6"/>
  <c r="O60" i="6"/>
  <c r="O67" i="6" a="1"/>
  <c r="AM66" i="6"/>
  <c r="AM64" i="6"/>
  <c r="AM65" i="6"/>
  <c r="BO148" i="6"/>
  <c r="BO147" i="6"/>
  <c r="BO146" i="6"/>
  <c r="AJ65" i="6"/>
  <c r="AJ66" i="6"/>
  <c r="AJ64" i="6"/>
  <c r="AL64" i="6"/>
  <c r="AL65" i="6"/>
  <c r="AL66" i="6"/>
  <c r="K147" i="6"/>
  <c r="K148" i="6"/>
  <c r="K146" i="6"/>
  <c r="CU61" i="6"/>
  <c r="CU63" i="6"/>
  <c r="CU62" i="6"/>
  <c r="BS142" i="6"/>
  <c r="BF142" i="6"/>
  <c r="R142" i="6"/>
  <c r="R149" i="6" a="1"/>
  <c r="CN142" i="6"/>
  <c r="CR142" i="6"/>
  <c r="AZ142" i="6"/>
  <c r="AD142" i="6"/>
  <c r="CM142" i="6"/>
  <c r="CT142" i="6"/>
  <c r="AW142" i="6"/>
  <c r="T142" i="6"/>
  <c r="AH142" i="6"/>
  <c r="BQ65" i="6"/>
  <c r="BQ64" i="6"/>
  <c r="BQ66" i="6"/>
  <c r="Q147" i="6"/>
  <c r="Q148" i="6"/>
  <c r="Q146" i="6"/>
  <c r="CL64" i="6"/>
  <c r="CL65" i="6"/>
  <c r="CL66" i="6"/>
  <c r="I64" i="6"/>
  <c r="I66" i="6"/>
  <c r="I65" i="6"/>
  <c r="BM147" i="6"/>
  <c r="BM148" i="6"/>
  <c r="BM146" i="6"/>
  <c r="CY63" i="6"/>
  <c r="CY61" i="6"/>
  <c r="CY62" i="6"/>
  <c r="AO18" i="6"/>
  <c r="AH66" i="6"/>
  <c r="AH65" i="6"/>
  <c r="AH64" i="6"/>
  <c r="G147" i="6"/>
  <c r="G146" i="6"/>
  <c r="G148" i="6"/>
  <c r="BX146" i="6"/>
  <c r="BX148" i="6"/>
  <c r="BX147" i="6"/>
  <c r="L17" i="6"/>
  <c r="CY149" i="6" a="1"/>
  <c r="AP149" i="6" a="1"/>
  <c r="I149" i="6" a="1"/>
  <c r="V149" i="6" a="1"/>
  <c r="CN149" i="6" a="1"/>
  <c r="O149" i="6" a="1"/>
  <c r="CM149" i="6" a="1"/>
  <c r="V18" i="6"/>
  <c r="AA60" i="6"/>
  <c r="CO67" i="6" a="1"/>
  <c r="AX60" i="6"/>
  <c r="CK148" i="6"/>
  <c r="CK146" i="6"/>
  <c r="CK147" i="6"/>
  <c r="O146" i="6"/>
  <c r="O147" i="6"/>
  <c r="O148" i="6"/>
  <c r="V146" i="6" a="1"/>
  <c r="BF60" i="6"/>
  <c r="BL60" i="6"/>
  <c r="CG67" i="6" a="1"/>
  <c r="BQ60" i="6"/>
  <c r="BQ67" i="6" a="1"/>
  <c r="BC60" i="6"/>
  <c r="L60" i="6"/>
  <c r="CT60" i="6"/>
  <c r="Z65" i="6"/>
  <c r="Z66" i="6"/>
  <c r="Z64" i="6"/>
  <c r="BL18" i="6"/>
  <c r="BT142" i="6"/>
  <c r="CL142" i="6"/>
  <c r="BG142" i="6"/>
  <c r="AO142" i="6"/>
  <c r="BE142" i="6"/>
  <c r="BC142" i="6"/>
  <c r="BC149" i="6" a="1"/>
  <c r="F142" i="6"/>
  <c r="AJ142" i="6"/>
  <c r="BP142" i="6"/>
  <c r="CE142" i="6"/>
  <c r="AY142" i="6"/>
  <c r="AB142" i="6"/>
  <c r="BM64" i="6"/>
  <c r="BM65" i="6"/>
  <c r="BM66" i="6"/>
  <c r="CY146" i="6"/>
  <c r="CY148" i="6"/>
  <c r="CY147" i="6"/>
  <c r="CP145" i="6"/>
  <c r="CP143" i="6"/>
  <c r="CP144" i="6"/>
  <c r="AK18" i="6"/>
  <c r="T18" i="6"/>
  <c r="K17" i="6"/>
  <c r="BQ18" i="6"/>
  <c r="M142" i="6"/>
  <c r="BU148" i="6"/>
  <c r="BU146" i="6"/>
  <c r="BU147" i="6"/>
  <c r="CJ65" i="6"/>
  <c r="CJ66" i="6"/>
  <c r="CJ64" i="6"/>
  <c r="BE149" i="6" a="1"/>
  <c r="CX146" i="6"/>
  <c r="CX148" i="6"/>
  <c r="CX147" i="6"/>
  <c r="BZ62" i="6"/>
  <c r="BZ61" i="6"/>
  <c r="BZ63" i="6"/>
  <c r="P147" i="6"/>
  <c r="P146" i="6"/>
  <c r="P148" i="6"/>
  <c r="CZ147" i="6"/>
  <c r="CZ146" i="6"/>
  <c r="CZ148" i="6"/>
  <c r="BL147" i="6"/>
  <c r="BL148" i="6"/>
  <c r="BL146" i="6"/>
  <c r="CB151" i="6"/>
  <c r="CB157" i="6" s="1"/>
  <c r="BY60" i="6"/>
  <c r="BT60" i="6"/>
  <c r="S148" i="6"/>
  <c r="S146" i="6"/>
  <c r="S147" i="6"/>
  <c r="BT67" i="6" a="1"/>
  <c r="BP64" i="6"/>
  <c r="BP66" i="6"/>
  <c r="BP65" i="6"/>
  <c r="AG149" i="6" a="1"/>
  <c r="AT142" i="6"/>
  <c r="DA142" i="6"/>
  <c r="CC142" i="6"/>
  <c r="BK142" i="6"/>
  <c r="BL142" i="6"/>
  <c r="BL149" i="6" a="1"/>
  <c r="CX142" i="6"/>
  <c r="AK147" i="6"/>
  <c r="AK146" i="6"/>
  <c r="AK148" i="6"/>
  <c r="AN66" i="6"/>
  <c r="AN65" i="6"/>
  <c r="AN64" i="6"/>
  <c r="BW61" i="6"/>
  <c r="BW62" i="6"/>
  <c r="BW63" i="6"/>
  <c r="CC63" i="6"/>
  <c r="CC61" i="6"/>
  <c r="CC62" i="6"/>
  <c r="L147" i="6"/>
  <c r="L148" i="6"/>
  <c r="L146" i="6"/>
  <c r="CE18" i="6"/>
  <c r="CL149" i="6" a="1"/>
  <c r="AY67" i="6" a="1"/>
  <c r="BY17" i="6"/>
  <c r="CH148" i="6"/>
  <c r="CH146" i="6"/>
  <c r="CH147" i="6"/>
  <c r="CQ149" i="6" a="1"/>
  <c r="H142" i="6"/>
  <c r="AN142" i="6"/>
  <c r="AC142" i="6"/>
  <c r="AF142" i="6"/>
  <c r="AA17" i="6"/>
  <c r="AT149" i="6" a="1"/>
  <c r="AU67" i="6" a="1"/>
  <c r="CM63" i="6"/>
  <c r="CM61" i="6"/>
  <c r="CM62" i="6"/>
  <c r="AH149" i="6" a="1"/>
  <c r="BS66" i="6"/>
  <c r="BS64" i="6"/>
  <c r="BS65" i="6"/>
  <c r="X65" i="6"/>
  <c r="X64" i="6"/>
  <c r="X66" i="6"/>
  <c r="AZ66" i="6"/>
  <c r="AZ65" i="6"/>
  <c r="AZ64" i="6"/>
  <c r="CZ149" i="6" a="1"/>
  <c r="AA149" i="6" a="1"/>
  <c r="BD149" i="6" a="1"/>
  <c r="J149" i="6" a="1"/>
  <c r="BF149" i="6" a="1"/>
  <c r="BN149" i="6" a="1"/>
  <c r="BV61" i="6"/>
  <c r="BV63" i="6"/>
  <c r="BV62" i="6"/>
  <c r="CC149" i="6" a="1"/>
  <c r="Y67" i="6" a="1"/>
  <c r="BG148" i="6"/>
  <c r="BG146" i="6"/>
  <c r="BG147" i="6"/>
  <c r="J60" i="6"/>
  <c r="CO66" i="6"/>
  <c r="CO65" i="6"/>
  <c r="CO64" i="6"/>
  <c r="BR67" i="6" a="1"/>
  <c r="BG18" i="6"/>
  <c r="BZ147" i="6"/>
  <c r="BZ146" i="6"/>
  <c r="BZ148" i="6"/>
  <c r="BD18" i="6"/>
  <c r="H67" i="6" a="1"/>
  <c r="CL60" i="6"/>
  <c r="CL67" i="6" a="1"/>
  <c r="N60" i="6"/>
  <c r="AZ60" i="6"/>
  <c r="AN60" i="6"/>
  <c r="H147" i="6"/>
  <c r="H148" i="6"/>
  <c r="H146" i="6"/>
  <c r="BI61" i="6"/>
  <c r="BI63" i="6"/>
  <c r="BI62" i="6"/>
  <c r="CF65" i="6"/>
  <c r="CF66" i="6"/>
  <c r="CF64" i="6"/>
  <c r="CN66" i="6"/>
  <c r="CN64" i="6"/>
  <c r="CN65" i="6"/>
  <c r="L149" i="6" a="1"/>
  <c r="AF146" i="6"/>
  <c r="AF147" i="6"/>
  <c r="AF148" i="6"/>
  <c r="S142" i="6"/>
  <c r="BW142" i="6"/>
  <c r="BD142" i="6"/>
  <c r="AA142" i="6"/>
  <c r="X142" i="6"/>
  <c r="X149" i="6" a="1"/>
  <c r="CD142" i="6"/>
  <c r="AR142" i="6"/>
  <c r="BQ142" i="6"/>
  <c r="CA142" i="6"/>
  <c r="Z142" i="6"/>
  <c r="O142" i="6"/>
  <c r="AG64" i="6"/>
  <c r="AG65" i="6"/>
  <c r="AG66" i="6"/>
  <c r="BO17" i="6"/>
  <c r="G65" i="6"/>
  <c r="G66" i="6"/>
  <c r="G64" i="6"/>
  <c r="BH145" i="6"/>
  <c r="BH144" i="6"/>
  <c r="BH143" i="6"/>
  <c r="AV142" i="6"/>
  <c r="BE147" i="6"/>
  <c r="BE148" i="6"/>
  <c r="BE146" i="6"/>
  <c r="AA64" i="6"/>
  <c r="AA66" i="6"/>
  <c r="AA65" i="6"/>
  <c r="BL67" i="6" a="1"/>
  <c r="P64" i="6"/>
  <c r="P66" i="6"/>
  <c r="P65" i="6"/>
  <c r="N148" i="6"/>
  <c r="N146" i="6"/>
  <c r="N147" i="6"/>
  <c r="CO148" i="6"/>
  <c r="CO146" i="6"/>
  <c r="CO147" i="6"/>
  <c r="AU146" i="6"/>
  <c r="AU147" i="6"/>
  <c r="AU148" i="6"/>
  <c r="AK63" i="6"/>
  <c r="AK62" i="6"/>
  <c r="AK61" i="6"/>
  <c r="CT146" i="6"/>
  <c r="CT148" i="6"/>
  <c r="CT147" i="6"/>
  <c r="AB148" i="6"/>
  <c r="AB147" i="6"/>
  <c r="AB146" i="6"/>
  <c r="BH64" i="6"/>
  <c r="BH65" i="6"/>
  <c r="BH66" i="6"/>
  <c r="BW146" i="6"/>
  <c r="BW147" i="6"/>
  <c r="BW148" i="6"/>
  <c r="AG147" i="6"/>
  <c r="AG146" i="6"/>
  <c r="AG148" i="6"/>
  <c r="AR60" i="6"/>
  <c r="CP146" i="6"/>
  <c r="CP147" i="6"/>
  <c r="CP148" i="6"/>
  <c r="I60" i="6"/>
  <c r="BE64" i="6"/>
  <c r="BE66" i="6"/>
  <c r="BE65" i="6"/>
  <c r="Q149" i="6"/>
  <c r="Q155" i="6" s="1"/>
  <c r="H60" i="6"/>
  <c r="BD63" i="6"/>
  <c r="BD61" i="6"/>
  <c r="BD62" i="6"/>
  <c r="AP60" i="6"/>
  <c r="CW67" i="6" a="1"/>
  <c r="AV60" i="6"/>
  <c r="AJ60" i="6"/>
  <c r="AQ60" i="6"/>
  <c r="P60" i="6"/>
  <c r="K60" i="6"/>
  <c r="U146" i="6"/>
  <c r="U148" i="6"/>
  <c r="U147" i="6"/>
  <c r="W147" i="6"/>
  <c r="W146" i="6"/>
  <c r="W148" i="6"/>
  <c r="AY146" i="6"/>
  <c r="AY147" i="6"/>
  <c r="AY148" i="6"/>
  <c r="CH142" i="6"/>
  <c r="V142" i="6"/>
  <c r="BP61" i="6"/>
  <c r="BP63" i="6"/>
  <c r="BP62" i="6"/>
  <c r="AP65" i="6"/>
  <c r="AP66" i="6"/>
  <c r="AP64" i="6"/>
  <c r="BQ146" i="6"/>
  <c r="BQ148" i="6"/>
  <c r="BQ147" i="6"/>
  <c r="CO150" i="6"/>
  <c r="CO156" i="6" s="1"/>
  <c r="K149" i="6" a="1"/>
  <c r="BX60" i="6"/>
  <c r="AZ147" i="6"/>
  <c r="AZ146" i="6"/>
  <c r="AZ148" i="6"/>
  <c r="AB62" i="6"/>
  <c r="AB61" i="6"/>
  <c r="AB63" i="6"/>
  <c r="CF142" i="6"/>
  <c r="AX142" i="6"/>
  <c r="BI142" i="6"/>
  <c r="BM142" i="6"/>
  <c r="K67" i="6" a="1"/>
  <c r="AU142" i="6"/>
  <c r="AU149" i="6" a="1"/>
  <c r="CB65" i="6"/>
  <c r="CB66" i="6"/>
  <c r="CB64" i="6"/>
  <c r="BT149" i="6" a="1"/>
  <c r="CH149" i="6" a="1"/>
  <c r="AN18" i="6"/>
  <c r="AS149" i="6" a="1"/>
  <c r="BU149" i="6" a="1"/>
  <c r="S149" i="6" a="1"/>
  <c r="CV148" i="6"/>
  <c r="CV146" i="6"/>
  <c r="CV147" i="6"/>
  <c r="R60" i="6"/>
  <c r="S67" i="6" a="1"/>
  <c r="BV149" i="6" a="1"/>
  <c r="P67" i="6" a="1"/>
  <c r="AG63" i="6"/>
  <c r="AG61" i="6"/>
  <c r="AG62" i="6"/>
  <c r="J17" i="6"/>
  <c r="AX149" i="6" a="1"/>
  <c r="BB67" i="6" a="1"/>
  <c r="CF149" i="6" a="1"/>
  <c r="BK17" i="6"/>
  <c r="AO148" i="6"/>
  <c r="AO146" i="6"/>
  <c r="AO147" i="6"/>
  <c r="X67" i="6" a="1"/>
  <c r="CI60" i="6"/>
  <c r="V60" i="6"/>
  <c r="Q60" i="6"/>
  <c r="CG60" i="6"/>
  <c r="AJ148" i="6"/>
  <c r="AJ146" i="6"/>
  <c r="AJ147" i="6"/>
  <c r="CD63" i="6"/>
  <c r="CD61" i="6"/>
  <c r="CD62" i="6"/>
  <c r="BC146" i="6" a="1"/>
  <c r="U64" i="6"/>
  <c r="U65" i="6"/>
  <c r="U66" i="6"/>
  <c r="CZ61" i="6"/>
  <c r="CZ62" i="6"/>
  <c r="CZ63" i="6"/>
  <c r="CJ63" i="6"/>
  <c r="CJ61" i="6"/>
  <c r="CJ62" i="6"/>
  <c r="BH62" i="6"/>
  <c r="BH63" i="6"/>
  <c r="BH61" i="6"/>
  <c r="AP142" i="6"/>
  <c r="N142" i="6"/>
  <c r="J142" i="6"/>
  <c r="BA142" i="6"/>
  <c r="AQ142" i="6"/>
  <c r="CZ142" i="6"/>
  <c r="P142" i="6"/>
  <c r="CG142" i="6"/>
  <c r="BY142" i="6"/>
  <c r="BY149" i="6" a="1"/>
  <c r="AS142" i="6"/>
  <c r="CO142" i="6"/>
  <c r="BR142" i="6"/>
  <c r="BC64" i="6"/>
  <c r="BC66" i="6"/>
  <c r="BC65" i="6"/>
  <c r="Z61" i="6"/>
  <c r="Z63" i="6"/>
  <c r="Z62" i="6"/>
  <c r="CG64" i="6"/>
  <c r="CG65" i="6"/>
  <c r="CG66" i="6"/>
  <c r="BA146" i="6"/>
  <c r="BA148" i="6"/>
  <c r="BA147" i="6"/>
  <c r="BK63" i="6"/>
  <c r="BK61" i="6"/>
  <c r="BK62" i="6"/>
  <c r="CS147" i="6"/>
  <c r="CS146" i="6"/>
  <c r="CS148" i="6"/>
  <c r="BS148" i="6"/>
  <c r="BS147" i="6"/>
  <c r="BS146" i="6"/>
  <c r="BB66" i="6"/>
  <c r="BB64" i="6"/>
  <c r="BB65" i="6"/>
  <c r="CG148" i="6"/>
  <c r="CG147" i="6"/>
  <c r="CG146" i="6"/>
  <c r="AO63" i="6"/>
  <c r="AO61" i="6"/>
  <c r="AO62" i="6"/>
  <c r="CD17" i="6"/>
  <c r="S17" i="6"/>
  <c r="BA18" i="6"/>
  <c r="BZ145" i="6"/>
  <c r="BZ143" i="6"/>
  <c r="BZ144" i="6"/>
  <c r="AD67" i="6" a="1"/>
  <c r="AN67" i="6" a="1"/>
  <c r="CR60" i="6"/>
  <c r="BU60" i="6"/>
  <c r="CO60" i="6"/>
  <c r="AE65" i="6"/>
  <c r="AE66" i="6"/>
  <c r="AE64" i="6"/>
  <c r="BH149" i="6"/>
  <c r="BY146" i="6" a="1"/>
  <c r="AQ146" i="6"/>
  <c r="AQ148" i="6"/>
  <c r="AQ147" i="6"/>
  <c r="CK60" i="6"/>
  <c r="CB142" i="6"/>
  <c r="AM142" i="6"/>
  <c r="BO142" i="6"/>
  <c r="CB148" i="6"/>
  <c r="CB147" i="6"/>
  <c r="CB146" i="6"/>
  <c r="CX66" i="6"/>
  <c r="CX64" i="6"/>
  <c r="CX65" i="6"/>
  <c r="S65" i="6"/>
  <c r="S66" i="6"/>
  <c r="S64" i="6"/>
  <c r="AN146" i="6"/>
  <c r="AN148" i="6"/>
  <c r="AN147" i="6"/>
  <c r="CS61" i="6"/>
  <c r="CS63" i="6"/>
  <c r="CS62" i="6"/>
  <c r="Z146" i="6"/>
  <c r="Z147" i="6"/>
  <c r="Z148" i="6"/>
  <c r="CW149" i="6" a="1"/>
  <c r="AL148" i="6"/>
  <c r="AL147" i="6"/>
  <c r="AL146" i="6"/>
  <c r="AT60" i="6"/>
  <c r="AT67" i="6" a="1"/>
  <c r="BR60" i="6"/>
  <c r="AP67" i="6" a="1"/>
  <c r="CX60" i="6"/>
  <c r="G60" i="6"/>
  <c r="BJ60" i="6"/>
  <c r="CA60" i="6"/>
  <c r="CA67" i="6" a="1"/>
  <c r="S60" i="6"/>
  <c r="AM63" i="6"/>
  <c r="AM61" i="6"/>
  <c r="AM62" i="6"/>
  <c r="CU142" i="6"/>
  <c r="AE149" i="6" a="1"/>
  <c r="AE142" i="6"/>
  <c r="W142" i="6"/>
  <c r="CR64" i="6"/>
  <c r="CR66" i="6"/>
  <c r="CR65" i="6"/>
  <c r="BR147" i="6"/>
  <c r="BR146" i="6"/>
  <c r="BR148" i="6"/>
  <c r="AJ149" i="6" a="1"/>
  <c r="BK149" i="6" a="1"/>
  <c r="BG149" i="6" a="1"/>
  <c r="CV17" i="6"/>
  <c r="BE60" i="6"/>
  <c r="AL67" i="6" a="1"/>
  <c r="CU149" i="6" a="1"/>
  <c r="CK67" i="6" a="1"/>
  <c r="I67" i="6" a="1"/>
  <c r="BJ148" i="6"/>
  <c r="BJ147" i="6"/>
  <c r="BJ146" i="6"/>
  <c r="BD147" i="6"/>
  <c r="BD146" i="6"/>
  <c r="BD148" i="6"/>
  <c r="CH65" i="6"/>
  <c r="CH64" i="6"/>
  <c r="CH66" i="6"/>
  <c r="AE63" i="6"/>
  <c r="AE61" i="6"/>
  <c r="AE62" i="6"/>
  <c r="AE148" i="6"/>
  <c r="AE146" i="6"/>
  <c r="AE147" i="6"/>
  <c r="H149" i="6" a="1"/>
  <c r="F60" i="6"/>
  <c r="R67" i="6" a="1"/>
  <c r="CQ60" i="6"/>
  <c r="CQ67" i="6" a="1"/>
  <c r="CN60" i="6"/>
  <c r="CN67" i="6" a="1"/>
  <c r="AF60" i="6"/>
  <c r="U60" i="6"/>
  <c r="CB60" i="6"/>
  <c r="CE146" i="6"/>
  <c r="CE147" i="6"/>
  <c r="CE148" i="6"/>
  <c r="BG61" i="6"/>
  <c r="BG62" i="6"/>
  <c r="BG63" i="6"/>
  <c r="AU17" i="6"/>
  <c r="BJ66" i="6"/>
  <c r="BJ64" i="6"/>
  <c r="BJ65" i="6"/>
  <c r="V65" i="6"/>
  <c r="V66" i="6"/>
  <c r="V64" i="6"/>
  <c r="AB66" i="6"/>
  <c r="AB64" i="6"/>
  <c r="AB65" i="6"/>
  <c r="CX149" i="6" a="1"/>
  <c r="AJ67" i="6" a="1"/>
  <c r="CA146" i="6"/>
  <c r="CA147" i="6"/>
  <c r="CA148" i="6"/>
  <c r="BB142" i="6"/>
  <c r="BB149" i="6" a="1"/>
  <c r="Q142" i="6"/>
  <c r="CY142" i="6"/>
  <c r="AI142" i="6"/>
  <c r="AI149" i="6" a="1"/>
  <c r="CK142" i="6"/>
  <c r="AL142" i="6"/>
  <c r="CJ142" i="6"/>
  <c r="CV142" i="6"/>
  <c r="Y142" i="6"/>
  <c r="AK142" i="6"/>
  <c r="CS142" i="6"/>
  <c r="CQ66" i="6"/>
  <c r="CQ64" i="6"/>
  <c r="CQ65" i="6"/>
  <c r="BL66" i="6"/>
  <c r="BL65" i="6"/>
  <c r="BL64" i="6"/>
  <c r="BR149" i="6" a="1"/>
  <c r="X147" i="6"/>
  <c r="X146" i="6"/>
  <c r="X148" i="6"/>
  <c r="CR18" i="6"/>
  <c r="I148" i="6"/>
  <c r="I146" i="6"/>
  <c r="I147" i="6"/>
  <c r="BU65" i="6"/>
  <c r="BU66" i="6"/>
  <c r="BU64" i="6"/>
  <c r="BU67" i="6" a="1"/>
  <c r="AV149" i="6" a="1"/>
  <c r="BS63" i="6"/>
  <c r="BS61" i="6"/>
  <c r="BS62" i="6"/>
  <c r="BF66" i="6"/>
  <c r="BF65" i="6"/>
  <c r="BF64" i="6"/>
  <c r="G143" i="6"/>
  <c r="G145" i="6"/>
  <c r="G144" i="6"/>
  <c r="CD146" i="6" a="1"/>
  <c r="BP146" i="6"/>
  <c r="BP148" i="6"/>
  <c r="BP147" i="6"/>
  <c r="AF64" i="6"/>
  <c r="AF66" i="6"/>
  <c r="AF65" i="6"/>
  <c r="CI67" i="6" a="1"/>
  <c r="CR67" i="6" a="1"/>
  <c r="AF69" i="6" l="1"/>
  <c r="AF75" i="6" s="1"/>
  <c r="W150" i="6"/>
  <c r="W156" i="6" s="1"/>
  <c r="BV148" i="6"/>
  <c r="CI147" i="6"/>
  <c r="BH151" i="6"/>
  <c r="BH157" i="6" s="1"/>
  <c r="CO149" i="6"/>
  <c r="CO155" i="6" s="1"/>
  <c r="CO161" i="6" s="1" a="1"/>
  <c r="Q150" i="6"/>
  <c r="Q156" i="6" s="1"/>
  <c r="Q161" i="6" s="1" a="1"/>
  <c r="AR151" i="6"/>
  <c r="AR157" i="6" s="1"/>
  <c r="CH67" i="6"/>
  <c r="CH70" i="6" s="1"/>
  <c r="AF151" i="6"/>
  <c r="AF157" i="6" s="1"/>
  <c r="AO151" i="6"/>
  <c r="AO157" i="6" s="1"/>
  <c r="AF150" i="6"/>
  <c r="T151" i="6"/>
  <c r="T157" i="6" s="1"/>
  <c r="W151" i="6"/>
  <c r="W157" i="6" s="1"/>
  <c r="BA150" i="6"/>
  <c r="BA156" i="6" s="1"/>
  <c r="BZ149" i="6"/>
  <c r="BZ152" i="6" s="1"/>
  <c r="F148" i="6"/>
  <c r="CM69" i="6"/>
  <c r="CM72" i="6" s="1"/>
  <c r="CA151" i="6"/>
  <c r="CA154" i="6" s="1"/>
  <c r="AO149" i="6"/>
  <c r="AO155" i="6" s="1"/>
  <c r="BZ150" i="6"/>
  <c r="BZ156" i="6" s="1"/>
  <c r="F146" i="6"/>
  <c r="CP149" i="6"/>
  <c r="CP155" i="6" s="1"/>
  <c r="BX70" i="6"/>
  <c r="AB151" i="6"/>
  <c r="AB154" i="6" s="1"/>
  <c r="CB149" i="6"/>
  <c r="CB155" i="6" s="1"/>
  <c r="AI146" i="6"/>
  <c r="CS149" i="6"/>
  <c r="CS155" i="6" s="1"/>
  <c r="CP150" i="6"/>
  <c r="CP156" i="6" s="1"/>
  <c r="CW148" i="6"/>
  <c r="AZ151" i="6"/>
  <c r="AZ157" i="6" s="1"/>
  <c r="CD150" i="6"/>
  <c r="CD156" i="6" s="1"/>
  <c r="CS151" i="6"/>
  <c r="CS157" i="6" s="1"/>
  <c r="Y150" i="6"/>
  <c r="Y156" i="6" s="1"/>
  <c r="CJ67" i="6"/>
  <c r="CJ73" i="6" s="1"/>
  <c r="AW151" i="6"/>
  <c r="AW157" i="6" s="1"/>
  <c r="AM150" i="6"/>
  <c r="AM156" i="6" s="1"/>
  <c r="AW150" i="6"/>
  <c r="AW153" i="6" s="1"/>
  <c r="AD150" i="6"/>
  <c r="AD156" i="6" s="1"/>
  <c r="AK149" i="6"/>
  <c r="AK155" i="6" s="1"/>
  <c r="AA147" i="6"/>
  <c r="DA151" i="6"/>
  <c r="DA157" i="6" s="1"/>
  <c r="AI148" i="6"/>
  <c r="U150" i="6"/>
  <c r="U153" i="6" s="1"/>
  <c r="BV146" i="6"/>
  <c r="U151" i="6"/>
  <c r="U157" i="6" s="1"/>
  <c r="AG68" i="6"/>
  <c r="AG71" i="6" s="1"/>
  <c r="CZ68" i="6"/>
  <c r="CZ71" i="6" s="1"/>
  <c r="CZ69" i="6"/>
  <c r="CZ75" i="6" s="1"/>
  <c r="CJ68" i="6"/>
  <c r="CJ74" i="6" s="1"/>
  <c r="BJ67" i="6"/>
  <c r="BJ70" i="6" s="1"/>
  <c r="BI65" i="6"/>
  <c r="BI71" i="6" s="1"/>
  <c r="AM67" i="6"/>
  <c r="AM73" i="6" s="1"/>
  <c r="CH68" i="6"/>
  <c r="CH71" i="6" s="1"/>
  <c r="BI64" i="6"/>
  <c r="CY67" i="6"/>
  <c r="CY70" i="6" s="1"/>
  <c r="AM69" i="6"/>
  <c r="AM75" i="6" s="1"/>
  <c r="BO69" i="6"/>
  <c r="BO75" i="6" s="1"/>
  <c r="AA67" i="6"/>
  <c r="AA70" i="6" s="1"/>
  <c r="AX65" i="6"/>
  <c r="CY69" i="6"/>
  <c r="CY75" i="6" s="1"/>
  <c r="BS67" i="6"/>
  <c r="BS73" i="6" s="1"/>
  <c r="CV68" i="6"/>
  <c r="CV71" i="6" s="1"/>
  <c r="AX67" i="6"/>
  <c r="AX73" i="6" s="1"/>
  <c r="CC68" i="6"/>
  <c r="CC74" i="6" s="1"/>
  <c r="AX68" i="6"/>
  <c r="AB68" i="6"/>
  <c r="AB71" i="6" s="1"/>
  <c r="CE70" i="6"/>
  <c r="AK151" i="6"/>
  <c r="AK157" i="6" s="1"/>
  <c r="AB149" i="6"/>
  <c r="AB155" i="6" s="1"/>
  <c r="DA150" i="6"/>
  <c r="DA156" i="6" s="1"/>
  <c r="CJ151" i="6"/>
  <c r="CJ157" i="6" s="1"/>
  <c r="AM151" i="6"/>
  <c r="AM157" i="6" s="1"/>
  <c r="CJ149" i="6"/>
  <c r="CJ152" i="6" s="1"/>
  <c r="CG150" i="6"/>
  <c r="CG156" i="6" s="1"/>
  <c r="BQ150" i="6"/>
  <c r="BQ156" i="6" s="1"/>
  <c r="F151" i="6"/>
  <c r="F157" i="6" s="1"/>
  <c r="P154" i="6"/>
  <c r="CA150" i="6"/>
  <c r="CA153" i="6" s="1"/>
  <c r="CK149" i="6"/>
  <c r="CK155" i="6" s="1"/>
  <c r="BM150" i="6"/>
  <c r="BM156" i="6" s="1"/>
  <c r="CK151" i="6"/>
  <c r="CK157" i="6" s="1"/>
  <c r="BP149" i="6"/>
  <c r="BP155" i="6" s="1"/>
  <c r="CR149" i="6"/>
  <c r="CR155" i="6" s="1"/>
  <c r="P149" i="6"/>
  <c r="P152" i="6" s="1"/>
  <c r="P150" i="6"/>
  <c r="P153" i="6" s="1"/>
  <c r="AY149" i="6"/>
  <c r="AY155" i="6" s="1"/>
  <c r="AR154" i="6"/>
  <c r="BM149" i="6"/>
  <c r="BM155" i="6" s="1"/>
  <c r="BP151" i="6"/>
  <c r="BP157" i="6" s="1"/>
  <c r="CR150" i="6"/>
  <c r="CR156" i="6" s="1"/>
  <c r="BS153" i="6"/>
  <c r="AY151" i="6"/>
  <c r="AY154" i="6" s="1"/>
  <c r="CB153" i="6"/>
  <c r="CQ147" i="6"/>
  <c r="BO149" i="6"/>
  <c r="BO155" i="6" s="1"/>
  <c r="CV153" i="6"/>
  <c r="G150" i="6"/>
  <c r="G153" i="6" s="1"/>
  <c r="AN150" i="6"/>
  <c r="AN156" i="6" s="1"/>
  <c r="CS153" i="6"/>
  <c r="F149" i="6"/>
  <c r="F155" i="6" s="1"/>
  <c r="AZ149" i="6"/>
  <c r="AZ155" i="6" s="1"/>
  <c r="M151" i="6"/>
  <c r="M157" i="6" s="1"/>
  <c r="M150" i="6"/>
  <c r="M156" i="6" s="1"/>
  <c r="Y149" i="6"/>
  <c r="T149" i="6"/>
  <c r="T155" i="6" s="1"/>
  <c r="Z149" i="6"/>
  <c r="Z155" i="6" s="1"/>
  <c r="CV149" i="6"/>
  <c r="CV155" i="6" s="1"/>
  <c r="CW147" i="6"/>
  <c r="CB154" i="6"/>
  <c r="Z150" i="6"/>
  <c r="Z156" i="6" s="1"/>
  <c r="BA149" i="6"/>
  <c r="BA155" i="6" s="1"/>
  <c r="CV151" i="6"/>
  <c r="CV157" i="6" s="1"/>
  <c r="DA152" i="6"/>
  <c r="CQ146" i="6"/>
  <c r="BO150" i="6"/>
  <c r="BO156" i="6" s="1"/>
  <c r="AL150" i="6"/>
  <c r="AL156" i="6" s="1"/>
  <c r="CD151" i="6"/>
  <c r="CD157" i="6" s="1"/>
  <c r="AF152" i="6"/>
  <c r="BM154" i="6"/>
  <c r="AB153" i="6"/>
  <c r="AB156" i="6"/>
  <c r="CJ156" i="6"/>
  <c r="CJ153" i="6"/>
  <c r="CG155" i="6"/>
  <c r="CG152" i="6"/>
  <c r="M152" i="6"/>
  <c r="M155" i="6"/>
  <c r="F153" i="6"/>
  <c r="F156" i="6"/>
  <c r="AN157" i="6"/>
  <c r="AN154" i="6"/>
  <c r="CG151" i="6"/>
  <c r="CG157" i="6" s="1"/>
  <c r="CT151" i="6"/>
  <c r="CT157" i="6" s="1"/>
  <c r="CT149" i="6"/>
  <c r="CT155" i="6" s="1"/>
  <c r="P157" i="6"/>
  <c r="CE150" i="6"/>
  <c r="CE153" i="6" s="1"/>
  <c r="CS156" i="6"/>
  <c r="BS152" i="6"/>
  <c r="BM157" i="6"/>
  <c r="AN149" i="6"/>
  <c r="AN155" i="6" s="1"/>
  <c r="AM152" i="6"/>
  <c r="CE151" i="6"/>
  <c r="CE157" i="6" s="1"/>
  <c r="BP153" i="6"/>
  <c r="AD149" i="6"/>
  <c r="AD155" i="6" s="1"/>
  <c r="G151" i="6"/>
  <c r="G154" i="6" s="1"/>
  <c r="AA148" i="6"/>
  <c r="BX149" i="6"/>
  <c r="BX155" i="6" s="1"/>
  <c r="BQ149" i="6"/>
  <c r="BQ155" i="6" s="1"/>
  <c r="AF153" i="6"/>
  <c r="CE152" i="6"/>
  <c r="BI151" i="6"/>
  <c r="BI157" i="6" s="1"/>
  <c r="AQ155" i="6"/>
  <c r="AQ152" i="6"/>
  <c r="AL152" i="6"/>
  <c r="AL155" i="6"/>
  <c r="CI146" i="6"/>
  <c r="AL151" i="6"/>
  <c r="AL157" i="6" s="1"/>
  <c r="CO154" i="6"/>
  <c r="Z154" i="6"/>
  <c r="CO153" i="6"/>
  <c r="AQ151" i="6"/>
  <c r="BI153" i="6"/>
  <c r="BA154" i="6"/>
  <c r="Q154" i="6"/>
  <c r="AR150" i="6"/>
  <c r="BX150" i="6"/>
  <c r="BX153" i="6" s="1"/>
  <c r="CT153" i="6"/>
  <c r="BS154" i="6"/>
  <c r="N150" i="6"/>
  <c r="BW151" i="6"/>
  <c r="AQ150" i="6"/>
  <c r="AQ156" i="6" s="1"/>
  <c r="Q152" i="6"/>
  <c r="AK153" i="6"/>
  <c r="AO152" i="6"/>
  <c r="N149" i="6"/>
  <c r="BW150" i="6"/>
  <c r="BW156" i="6" s="1"/>
  <c r="BI149" i="6"/>
  <c r="BI155" i="6" s="1"/>
  <c r="BW152" i="6"/>
  <c r="AD154" i="6"/>
  <c r="AZ153" i="6"/>
  <c r="BO154" i="6"/>
  <c r="AG67" i="6"/>
  <c r="AG73" i="6" s="1"/>
  <c r="AZ67" i="6"/>
  <c r="AZ73" i="6" s="1"/>
  <c r="AI68" i="6"/>
  <c r="AI71" i="6" s="1"/>
  <c r="AZ69" i="6"/>
  <c r="AZ75" i="6" s="1"/>
  <c r="U69" i="6"/>
  <c r="U72" i="6" s="1"/>
  <c r="AH67" i="6"/>
  <c r="AH70" i="6" s="1"/>
  <c r="AF68" i="6"/>
  <c r="AF71" i="6" s="1"/>
  <c r="CF67" i="6"/>
  <c r="CF73" i="6" s="1"/>
  <c r="BO67" i="6"/>
  <c r="BO70" i="6" s="1"/>
  <c r="BE67" i="6"/>
  <c r="BE70" i="6" s="1"/>
  <c r="CT69" i="6"/>
  <c r="CT72" i="6" s="1"/>
  <c r="AR69" i="6"/>
  <c r="Z68" i="6"/>
  <c r="Z74" i="6" s="1"/>
  <c r="BG69" i="6"/>
  <c r="BG72" i="6" s="1"/>
  <c r="J69" i="6"/>
  <c r="J72" i="6" s="1"/>
  <c r="F66" i="6"/>
  <c r="F72" i="6" s="1"/>
  <c r="L67" i="6"/>
  <c r="L70" i="6" s="1"/>
  <c r="N64" i="6"/>
  <c r="N70" i="6" s="1"/>
  <c r="CU67" i="6"/>
  <c r="CU70" i="6" s="1"/>
  <c r="AR68" i="6"/>
  <c r="AR74" i="6" s="1"/>
  <c r="BG68" i="6"/>
  <c r="BG74" i="6" s="1"/>
  <c r="N65" i="6"/>
  <c r="CV67" i="6"/>
  <c r="CV70" i="6" s="1"/>
  <c r="BF67" i="6"/>
  <c r="BF73" i="6" s="1"/>
  <c r="BS69" i="6"/>
  <c r="BS75" i="6" s="1"/>
  <c r="M69" i="6"/>
  <c r="M75" i="6" s="1"/>
  <c r="BF69" i="6"/>
  <c r="BF75" i="6" s="1"/>
  <c r="AA68" i="6"/>
  <c r="AA74" i="6" s="1"/>
  <c r="CB67" i="6"/>
  <c r="CB73" i="6" s="1"/>
  <c r="W67" i="6"/>
  <c r="W73" i="6" s="1"/>
  <c r="F68" i="6"/>
  <c r="F74" i="6" s="1"/>
  <c r="AX64" i="6"/>
  <c r="AI69" i="6"/>
  <c r="AI75" i="6" s="1"/>
  <c r="AC68" i="6"/>
  <c r="AC71" i="6" s="1"/>
  <c r="CU68" i="6"/>
  <c r="CU74" i="6" s="1"/>
  <c r="BZ68" i="6"/>
  <c r="BZ74" i="6" s="1"/>
  <c r="G68" i="6"/>
  <c r="G74" i="6" s="1"/>
  <c r="Z69" i="6"/>
  <c r="Z72" i="6" s="1"/>
  <c r="BZ69" i="6"/>
  <c r="BZ75" i="6" s="1"/>
  <c r="BX68" i="6"/>
  <c r="BX71" i="6" s="1"/>
  <c r="F67" i="6"/>
  <c r="F73" i="6" s="1"/>
  <c r="N69" i="6"/>
  <c r="N72" i="6" s="1"/>
  <c r="CF69" i="6"/>
  <c r="CF72" i="6" s="1"/>
  <c r="J68" i="6"/>
  <c r="J71" i="6" s="1"/>
  <c r="CB69" i="6"/>
  <c r="CB75" i="6" s="1"/>
  <c r="AB69" i="6"/>
  <c r="AB72" i="6" s="1"/>
  <c r="G67" i="6"/>
  <c r="G73" i="6" s="1"/>
  <c r="CT67" i="6"/>
  <c r="CT70" i="6" s="1"/>
  <c r="M67" i="6"/>
  <c r="M70" i="6" s="1"/>
  <c r="BE69" i="6"/>
  <c r="BE75" i="6" s="1"/>
  <c r="CE68" i="6"/>
  <c r="CE71" i="6" s="1"/>
  <c r="CC69" i="6"/>
  <c r="CC75" i="6" s="1"/>
  <c r="BD68" i="6"/>
  <c r="BD71" i="6" s="1"/>
  <c r="CC70" i="6"/>
  <c r="BX69" i="6"/>
  <c r="BX72" i="6" s="1"/>
  <c r="BD69" i="6"/>
  <c r="BD75" i="6" s="1"/>
  <c r="BN67" i="6"/>
  <c r="BN70" i="6" s="1"/>
  <c r="CE69" i="6"/>
  <c r="CE75" i="6" s="1"/>
  <c r="BN68" i="6"/>
  <c r="BN71" i="6" s="1"/>
  <c r="N68" i="6"/>
  <c r="N74" i="6" s="1"/>
  <c r="BN63" i="6"/>
  <c r="BI69" i="6"/>
  <c r="BI72" i="6" s="1"/>
  <c r="CB71" i="6"/>
  <c r="AQ67" i="6"/>
  <c r="W69" i="6"/>
  <c r="W75" i="6" s="1"/>
  <c r="BJ68" i="6"/>
  <c r="BJ74" i="6" s="1"/>
  <c r="AO67" i="6"/>
  <c r="AO73" i="6" s="1"/>
  <c r="F64" i="6"/>
  <c r="DA68" i="6"/>
  <c r="DA71" i="6" s="1"/>
  <c r="Q68" i="6"/>
  <c r="BP67" i="6"/>
  <c r="BP70" i="6" s="1"/>
  <c r="AQ69" i="6"/>
  <c r="AQ75" i="6" s="1"/>
  <c r="V68" i="6"/>
  <c r="V74" i="6" s="1"/>
  <c r="AR70" i="6"/>
  <c r="BP68" i="6"/>
  <c r="BP74" i="6" s="1"/>
  <c r="BV68" i="6"/>
  <c r="BV74" i="6" s="1"/>
  <c r="W65" i="6"/>
  <c r="W71" i="6" s="1"/>
  <c r="BJ72" i="6"/>
  <c r="CS68" i="6"/>
  <c r="CS71" i="6" s="1"/>
  <c r="W66" i="6"/>
  <c r="V69" i="6"/>
  <c r="V75" i="6" s="1"/>
  <c r="L68" i="6"/>
  <c r="L71" i="6" s="1"/>
  <c r="CS69" i="6"/>
  <c r="CS72" i="6" s="1"/>
  <c r="CM67" i="6"/>
  <c r="CM73" i="6" s="1"/>
  <c r="AV68" i="6"/>
  <c r="BC67" i="6"/>
  <c r="BC73" i="6" s="1"/>
  <c r="AS68" i="6"/>
  <c r="AS71" i="6" s="1"/>
  <c r="AV72" i="6"/>
  <c r="AV75" i="6"/>
  <c r="AQ74" i="6"/>
  <c r="AQ71" i="6"/>
  <c r="BX73" i="6"/>
  <c r="AV67" i="6"/>
  <c r="G72" i="6"/>
  <c r="BA68" i="6"/>
  <c r="BA71" i="6" s="1"/>
  <c r="AW73" i="6"/>
  <c r="BI67" i="6"/>
  <c r="CF71" i="6"/>
  <c r="BA69" i="6"/>
  <c r="BA72" i="6" s="1"/>
  <c r="AC69" i="6"/>
  <c r="AC75" i="6" s="1"/>
  <c r="AW68" i="6"/>
  <c r="AW69" i="6"/>
  <c r="AK68" i="6"/>
  <c r="AK74" i="6" s="1"/>
  <c r="BW69" i="6"/>
  <c r="BW75" i="6" s="1"/>
  <c r="AO69" i="6"/>
  <c r="AO75" i="6" s="1"/>
  <c r="AH68" i="6"/>
  <c r="AH71" i="6" s="1"/>
  <c r="BC69" i="6"/>
  <c r="BC75" i="6" s="1"/>
  <c r="DA69" i="6"/>
  <c r="DA72" i="6" s="1"/>
  <c r="AK69" i="6"/>
  <c r="AK75" i="6" s="1"/>
  <c r="BW67" i="6"/>
  <c r="BW70" i="6" s="1"/>
  <c r="BV67" i="6"/>
  <c r="BV73" i="6" s="1"/>
  <c r="BY67" i="6"/>
  <c r="BE71" i="6"/>
  <c r="AE67" i="6"/>
  <c r="AE73" i="6" s="1"/>
  <c r="AE69" i="6"/>
  <c r="AE75" i="6" s="1"/>
  <c r="AF70" i="6"/>
  <c r="BN62" i="6"/>
  <c r="BF71" i="6"/>
  <c r="BY74" i="6"/>
  <c r="BY71" i="6"/>
  <c r="CX72" i="6"/>
  <c r="CX75" i="6"/>
  <c r="U74" i="6"/>
  <c r="U71" i="6"/>
  <c r="Q72" i="6"/>
  <c r="Q75" i="6"/>
  <c r="AZ74" i="6"/>
  <c r="AZ71" i="6"/>
  <c r="J70" i="6"/>
  <c r="AS67" i="6"/>
  <c r="AS73" i="6" s="1"/>
  <c r="Q67" i="6"/>
  <c r="BM69" i="6"/>
  <c r="BM75" i="6" s="1"/>
  <c r="BY69" i="6"/>
  <c r="CX68" i="6"/>
  <c r="CD69" i="6"/>
  <c r="CD75" i="6" s="1"/>
  <c r="CD67" i="6"/>
  <c r="CD68" i="6"/>
  <c r="CD74" i="6" s="1"/>
  <c r="V70" i="6"/>
  <c r="BM68" i="6"/>
  <c r="BM71" i="6" s="1"/>
  <c r="U67" i="6"/>
  <c r="CX67" i="6"/>
  <c r="CX73" i="6" s="1"/>
  <c r="BK68" i="6"/>
  <c r="BK74" i="6" s="1"/>
  <c r="BK69" i="6"/>
  <c r="BK67" i="6"/>
  <c r="BK73" i="6" s="1"/>
  <c r="BH69" i="6"/>
  <c r="BH75" i="6" s="1"/>
  <c r="BH68" i="6"/>
  <c r="BH74" i="6" s="1"/>
  <c r="BH67" i="6"/>
  <c r="BH73" i="6" s="1"/>
  <c r="T68" i="6"/>
  <c r="T67" i="6"/>
  <c r="T69" i="6"/>
  <c r="L72" i="6"/>
  <c r="CP69" i="6"/>
  <c r="CP67" i="6"/>
  <c r="CP68" i="6"/>
  <c r="AE71" i="6"/>
  <c r="BU69" i="6"/>
  <c r="BU67" i="6"/>
  <c r="BU68" i="6"/>
  <c r="AQ61" i="6"/>
  <c r="AQ62" i="6"/>
  <c r="AQ63" i="6"/>
  <c r="L150" i="6"/>
  <c r="L151" i="6"/>
  <c r="L149" i="6"/>
  <c r="AN63" i="6"/>
  <c r="AN62" i="6"/>
  <c r="AN61" i="6"/>
  <c r="N63" i="6"/>
  <c r="N62" i="6"/>
  <c r="N61" i="6"/>
  <c r="AA150" i="6"/>
  <c r="AA149" i="6"/>
  <c r="AA151" i="6"/>
  <c r="BL150" i="6"/>
  <c r="BL149" i="6"/>
  <c r="BL151" i="6"/>
  <c r="DA145" i="6"/>
  <c r="DA143" i="6"/>
  <c r="DA144" i="6"/>
  <c r="AY153" i="6"/>
  <c r="F143" i="6"/>
  <c r="F144" i="6"/>
  <c r="F145" i="6"/>
  <c r="CL145" i="6"/>
  <c r="CL143" i="6"/>
  <c r="CL144" i="6"/>
  <c r="CT63" i="6"/>
  <c r="CT61" i="6"/>
  <c r="CT62" i="6"/>
  <c r="AX61" i="6"/>
  <c r="AX63" i="6"/>
  <c r="AX62" i="6"/>
  <c r="AA61" i="6"/>
  <c r="AA63" i="6"/>
  <c r="AA62" i="6"/>
  <c r="CM151" i="6"/>
  <c r="CM149" i="6"/>
  <c r="CM150" i="6"/>
  <c r="AI73" i="6"/>
  <c r="AI70" i="6"/>
  <c r="AW152" i="6"/>
  <c r="CT143" i="6"/>
  <c r="CT145" i="6"/>
  <c r="CT144" i="6"/>
  <c r="CJ72" i="6"/>
  <c r="CJ75" i="6"/>
  <c r="CF63" i="6"/>
  <c r="CF61" i="6"/>
  <c r="CF62" i="6"/>
  <c r="AS75" i="6"/>
  <c r="AS72" i="6"/>
  <c r="W61" i="6"/>
  <c r="W63" i="6"/>
  <c r="W62" i="6"/>
  <c r="CI149" i="6"/>
  <c r="CI150" i="6"/>
  <c r="CI151" i="6"/>
  <c r="Y143" i="6"/>
  <c r="Y144" i="6"/>
  <c r="Y145" i="6"/>
  <c r="CV143" i="6"/>
  <c r="CV144" i="6"/>
  <c r="CV145" i="6"/>
  <c r="CK153" i="6"/>
  <c r="CY145" i="6"/>
  <c r="CY143" i="6"/>
  <c r="CY144" i="6"/>
  <c r="Q144" i="6"/>
  <c r="Q145" i="6"/>
  <c r="Q143" i="6"/>
  <c r="CQ61" i="6"/>
  <c r="CQ62" i="6"/>
  <c r="CQ63" i="6"/>
  <c r="BS74" i="6"/>
  <c r="BS71" i="6"/>
  <c r="W152" i="6"/>
  <c r="S61" i="6"/>
  <c r="S63" i="6"/>
  <c r="S62" i="6"/>
  <c r="AP69" i="6"/>
  <c r="AP68" i="6"/>
  <c r="AP67" i="6"/>
  <c r="BO145" i="6"/>
  <c r="BO143" i="6"/>
  <c r="BO144" i="6"/>
  <c r="CB156" i="6"/>
  <c r="CK63" i="6"/>
  <c r="CK61" i="6"/>
  <c r="CK62" i="6"/>
  <c r="CS73" i="6"/>
  <c r="CS70" i="6"/>
  <c r="CR63" i="6"/>
  <c r="CR62" i="6"/>
  <c r="CR61" i="6"/>
  <c r="CZ143" i="6"/>
  <c r="CZ144" i="6"/>
  <c r="CZ145" i="6"/>
  <c r="N154" i="6"/>
  <c r="BC146" i="6"/>
  <c r="BC147" i="6"/>
  <c r="BC148" i="6"/>
  <c r="CG61" i="6"/>
  <c r="CG62" i="6"/>
  <c r="CG63" i="6"/>
  <c r="Q62" i="6"/>
  <c r="Q61" i="6"/>
  <c r="Q63" i="6"/>
  <c r="CI61" i="6"/>
  <c r="CI62" i="6"/>
  <c r="CI63" i="6"/>
  <c r="CF149" i="6"/>
  <c r="CF151" i="6"/>
  <c r="CF150" i="6"/>
  <c r="BM145" i="6"/>
  <c r="BM143" i="6"/>
  <c r="BM144" i="6"/>
  <c r="H61" i="6"/>
  <c r="H63" i="6"/>
  <c r="H62" i="6"/>
  <c r="CA145" i="6"/>
  <c r="CA143" i="6"/>
  <c r="CA144" i="6"/>
  <c r="BQ154" i="6"/>
  <c r="BD145" i="6"/>
  <c r="BD143" i="6"/>
  <c r="BD144" i="6"/>
  <c r="CL61" i="6"/>
  <c r="CL63" i="6"/>
  <c r="CL62" i="6"/>
  <c r="CZ149" i="6"/>
  <c r="CZ151" i="6"/>
  <c r="CZ150" i="6"/>
  <c r="AH150" i="6"/>
  <c r="AH149" i="6"/>
  <c r="AH151" i="6"/>
  <c r="BX154" i="6"/>
  <c r="BX157" i="6"/>
  <c r="DA155" i="6"/>
  <c r="BT61" i="6"/>
  <c r="BT62" i="6"/>
  <c r="BT63" i="6"/>
  <c r="AO145" i="6"/>
  <c r="AO143" i="6"/>
  <c r="AO144" i="6"/>
  <c r="BC63" i="6"/>
  <c r="BC62" i="6"/>
  <c r="BC61" i="6"/>
  <c r="BW71" i="6"/>
  <c r="BW74" i="6"/>
  <c r="O150" i="6"/>
  <c r="O151" i="6"/>
  <c r="O149" i="6"/>
  <c r="CM143" i="6"/>
  <c r="CM144" i="6"/>
  <c r="CM145" i="6"/>
  <c r="CR154" i="6"/>
  <c r="O69" i="6"/>
  <c r="O68" i="6"/>
  <c r="O67" i="6"/>
  <c r="Y63" i="6"/>
  <c r="Y62" i="6"/>
  <c r="Y61" i="6"/>
  <c r="BN75" i="6"/>
  <c r="BN72" i="6"/>
  <c r="CW143" i="6"/>
  <c r="CW144" i="6"/>
  <c r="CW145" i="6"/>
  <c r="BU143" i="6"/>
  <c r="BU145" i="6"/>
  <c r="BU144" i="6"/>
  <c r="BB63" i="6"/>
  <c r="BB61" i="6"/>
  <c r="BB62" i="6"/>
  <c r="CP154" i="6"/>
  <c r="CP157" i="6"/>
  <c r="CR68" i="6"/>
  <c r="CR67" i="6"/>
  <c r="CR69" i="6"/>
  <c r="CJ143" i="6"/>
  <c r="CJ145" i="6"/>
  <c r="CJ144" i="6"/>
  <c r="BB151" i="6"/>
  <c r="BB149" i="6"/>
  <c r="BB150" i="6"/>
  <c r="I69" i="6"/>
  <c r="I67" i="6"/>
  <c r="I68" i="6"/>
  <c r="CA61" i="6"/>
  <c r="CA63" i="6"/>
  <c r="CA62" i="6"/>
  <c r="BR61" i="6"/>
  <c r="BR63" i="6"/>
  <c r="BR62" i="6"/>
  <c r="AT69" i="6"/>
  <c r="AT68" i="6"/>
  <c r="AT67" i="6"/>
  <c r="CW149" i="6"/>
  <c r="CW151" i="6"/>
  <c r="CW150" i="6"/>
  <c r="BO157" i="6"/>
  <c r="BH152" i="6"/>
  <c r="BH155" i="6"/>
  <c r="CO61" i="6"/>
  <c r="CO62" i="6"/>
  <c r="CO63" i="6"/>
  <c r="BU63" i="6"/>
  <c r="BU61" i="6"/>
  <c r="BU62" i="6"/>
  <c r="CH75" i="6"/>
  <c r="CH72" i="6"/>
  <c r="BY151" i="6"/>
  <c r="BY149" i="6"/>
  <c r="BY150" i="6"/>
  <c r="AQ143" i="6"/>
  <c r="AQ144" i="6"/>
  <c r="AQ145" i="6"/>
  <c r="V63" i="6"/>
  <c r="V61" i="6"/>
  <c r="V62" i="6"/>
  <c r="BB67" i="6"/>
  <c r="BB68" i="6"/>
  <c r="BB69" i="6"/>
  <c r="BD70" i="6"/>
  <c r="BD73" i="6"/>
  <c r="K151" i="6"/>
  <c r="K149" i="6"/>
  <c r="K150" i="6"/>
  <c r="G155" i="6"/>
  <c r="G152" i="6"/>
  <c r="CH145" i="6"/>
  <c r="CH144" i="6"/>
  <c r="CH143" i="6"/>
  <c r="AP61" i="6"/>
  <c r="AP63" i="6"/>
  <c r="AP62" i="6"/>
  <c r="Z143" i="6"/>
  <c r="Z145" i="6"/>
  <c r="Z144" i="6"/>
  <c r="CA152" i="6"/>
  <c r="BF151" i="6"/>
  <c r="BF150" i="6"/>
  <c r="BF149" i="6"/>
  <c r="AF156" i="6"/>
  <c r="CV75" i="6"/>
  <c r="CV72" i="6"/>
  <c r="CE143" i="6"/>
  <c r="CE145" i="6"/>
  <c r="CE144" i="6"/>
  <c r="AJ143" i="6"/>
  <c r="AJ145" i="6"/>
  <c r="AJ144" i="6"/>
  <c r="BG145" i="6"/>
  <c r="BG143" i="6"/>
  <c r="BG144" i="6"/>
  <c r="CT71" i="6"/>
  <c r="BQ67" i="6"/>
  <c r="BQ69" i="6"/>
  <c r="BQ68" i="6"/>
  <c r="BF74" i="6"/>
  <c r="AB70" i="6"/>
  <c r="AB73" i="6"/>
  <c r="CN149" i="6"/>
  <c r="CN151" i="6"/>
  <c r="CN150" i="6"/>
  <c r="T153" i="6"/>
  <c r="AD157" i="6"/>
  <c r="AC151" i="6"/>
  <c r="AC149" i="6"/>
  <c r="AC150" i="6"/>
  <c r="BJ151" i="6"/>
  <c r="BJ150" i="6"/>
  <c r="BJ149" i="6"/>
  <c r="K145" i="6"/>
  <c r="K144" i="6"/>
  <c r="K143" i="6"/>
  <c r="L144" i="6"/>
  <c r="L145" i="6"/>
  <c r="L143" i="6"/>
  <c r="AG145" i="6"/>
  <c r="AG143" i="6"/>
  <c r="AG144" i="6"/>
  <c r="BI74" i="6"/>
  <c r="AR144" i="6"/>
  <c r="AR143" i="6"/>
  <c r="AR145" i="6"/>
  <c r="BW145" i="6"/>
  <c r="BW144" i="6"/>
  <c r="BW143" i="6"/>
  <c r="CK144" i="6"/>
  <c r="CK145" i="6"/>
  <c r="CK143" i="6"/>
  <c r="CK69" i="6"/>
  <c r="CK67" i="6"/>
  <c r="CK68" i="6"/>
  <c r="G63" i="6"/>
  <c r="G61" i="6"/>
  <c r="G62" i="6"/>
  <c r="AM74" i="6"/>
  <c r="AM71" i="6"/>
  <c r="AN69" i="6"/>
  <c r="AN67" i="6"/>
  <c r="AN68" i="6"/>
  <c r="J145" i="6"/>
  <c r="J143" i="6"/>
  <c r="J144" i="6"/>
  <c r="P67" i="6"/>
  <c r="P68" i="6"/>
  <c r="P69" i="6"/>
  <c r="H67" i="6"/>
  <c r="H68" i="6"/>
  <c r="H69" i="6"/>
  <c r="CQ149" i="6"/>
  <c r="CQ150" i="6"/>
  <c r="CQ151" i="6"/>
  <c r="AA72" i="6"/>
  <c r="CN143" i="6"/>
  <c r="CN145" i="6"/>
  <c r="CN144" i="6"/>
  <c r="BV145" i="6"/>
  <c r="BV143" i="6"/>
  <c r="BV144" i="6"/>
  <c r="CW62" i="6"/>
  <c r="CW61" i="6"/>
  <c r="CW63" i="6"/>
  <c r="CN67" i="6"/>
  <c r="CN68" i="6"/>
  <c r="CN69" i="6"/>
  <c r="H149" i="6"/>
  <c r="H150" i="6"/>
  <c r="H151" i="6"/>
  <c r="CA69" i="6"/>
  <c r="CA68" i="6"/>
  <c r="CA67" i="6"/>
  <c r="AP144" i="6"/>
  <c r="AP145" i="6"/>
  <c r="AP143" i="6"/>
  <c r="K69" i="6"/>
  <c r="K67" i="6"/>
  <c r="K68" i="6"/>
  <c r="CC151" i="6"/>
  <c r="CC149" i="6"/>
  <c r="CC150" i="6"/>
  <c r="AC143" i="6"/>
  <c r="AC145" i="6"/>
  <c r="AC144" i="6"/>
  <c r="H144" i="6"/>
  <c r="H145" i="6"/>
  <c r="H143" i="6"/>
  <c r="BL143" i="6"/>
  <c r="BL144" i="6"/>
  <c r="BL145" i="6"/>
  <c r="BK144" i="6"/>
  <c r="BK143" i="6"/>
  <c r="BK145" i="6"/>
  <c r="AB143" i="6"/>
  <c r="AB145" i="6"/>
  <c r="AB144" i="6"/>
  <c r="BC145" i="6"/>
  <c r="BC143" i="6"/>
  <c r="BC144" i="6"/>
  <c r="L61" i="6"/>
  <c r="L63" i="6"/>
  <c r="L62" i="6"/>
  <c r="BC71" i="6"/>
  <c r="V148" i="6"/>
  <c r="V147" i="6"/>
  <c r="V146" i="6"/>
  <c r="BA70" i="6"/>
  <c r="BA73" i="6"/>
  <c r="AX72" i="6"/>
  <c r="I149" i="6"/>
  <c r="I151" i="6"/>
  <c r="I150" i="6"/>
  <c r="AC73" i="6"/>
  <c r="AC70" i="6"/>
  <c r="R150" i="6"/>
  <c r="R151" i="6"/>
  <c r="R149" i="6"/>
  <c r="BS161" i="6" a="1"/>
  <c r="AY63" i="6"/>
  <c r="AY62" i="6"/>
  <c r="AY61" i="6"/>
  <c r="AL61" i="6"/>
  <c r="AL63" i="6"/>
  <c r="AL62" i="6"/>
  <c r="CY74" i="6"/>
  <c r="CY71" i="6"/>
  <c r="AD61" i="6"/>
  <c r="AD63" i="6"/>
  <c r="AD62" i="6"/>
  <c r="U155" i="6"/>
  <c r="U152" i="6"/>
  <c r="AK145" i="6"/>
  <c r="AK143" i="6"/>
  <c r="AK144" i="6"/>
  <c r="AI143" i="6"/>
  <c r="AI145" i="6"/>
  <c r="AI144" i="6"/>
  <c r="AJ68" i="6"/>
  <c r="AJ67" i="6"/>
  <c r="AJ69" i="6"/>
  <c r="BK149" i="6"/>
  <c r="BK150" i="6"/>
  <c r="BK151" i="6"/>
  <c r="BY146" i="6"/>
  <c r="BY147" i="6"/>
  <c r="BY148" i="6"/>
  <c r="AS143" i="6"/>
  <c r="AS145" i="6"/>
  <c r="AS144" i="6"/>
  <c r="BY144" i="6"/>
  <c r="BY145" i="6"/>
  <c r="BY143" i="6"/>
  <c r="N143" i="6"/>
  <c r="N145" i="6"/>
  <c r="N144" i="6"/>
  <c r="CH149" i="6"/>
  <c r="CH150" i="6"/>
  <c r="CH151" i="6"/>
  <c r="CF143" i="6"/>
  <c r="CF145" i="6"/>
  <c r="CF144" i="6"/>
  <c r="AH75" i="6"/>
  <c r="AH72" i="6"/>
  <c r="BO71" i="6"/>
  <c r="BO74" i="6"/>
  <c r="I62" i="6"/>
  <c r="I63" i="6"/>
  <c r="I61" i="6"/>
  <c r="BQ144" i="6"/>
  <c r="BQ143" i="6"/>
  <c r="BQ145" i="6"/>
  <c r="AR155" i="6"/>
  <c r="CD145" i="6"/>
  <c r="CD144" i="6"/>
  <c r="CD143" i="6"/>
  <c r="X149" i="6"/>
  <c r="X151" i="6"/>
  <c r="X150" i="6"/>
  <c r="AA143" i="6"/>
  <c r="AA145" i="6"/>
  <c r="AA144" i="6"/>
  <c r="BR68" i="6"/>
  <c r="BR69" i="6"/>
  <c r="BR67" i="6"/>
  <c r="AU68" i="6"/>
  <c r="AU67" i="6"/>
  <c r="AU69" i="6"/>
  <c r="CL149" i="6"/>
  <c r="CL151" i="6"/>
  <c r="CL150" i="6"/>
  <c r="CC144" i="6"/>
  <c r="CC145" i="6"/>
  <c r="CC143" i="6"/>
  <c r="AT143" i="6"/>
  <c r="AT145" i="6"/>
  <c r="AT144" i="6"/>
  <c r="AK73" i="6"/>
  <c r="AK70" i="6"/>
  <c r="BE151" i="6"/>
  <c r="BE150" i="6"/>
  <c r="BE149" i="6"/>
  <c r="M143" i="6"/>
  <c r="M145" i="6"/>
  <c r="M144" i="6"/>
  <c r="CG69" i="6"/>
  <c r="CG67" i="6"/>
  <c r="CG68" i="6"/>
  <c r="AA73" i="6"/>
  <c r="AP150" i="6"/>
  <c r="AP149" i="6"/>
  <c r="AP151" i="6"/>
  <c r="AW144" i="6"/>
  <c r="AW143" i="6"/>
  <c r="AW145" i="6"/>
  <c r="CT156" i="6"/>
  <c r="AD144" i="6"/>
  <c r="AD143" i="6"/>
  <c r="AD145" i="6"/>
  <c r="BS145" i="6"/>
  <c r="BS143" i="6"/>
  <c r="BS144" i="6"/>
  <c r="BV72" i="6"/>
  <c r="BV75" i="6"/>
  <c r="I143" i="6"/>
  <c r="I145" i="6"/>
  <c r="I144" i="6"/>
  <c r="BN143" i="6"/>
  <c r="BN144" i="6"/>
  <c r="BN145" i="6"/>
  <c r="BJ145" i="6"/>
  <c r="BJ144" i="6"/>
  <c r="BJ143" i="6"/>
  <c r="CN63" i="6"/>
  <c r="CN61" i="6"/>
  <c r="CN62" i="6"/>
  <c r="AV145" i="6"/>
  <c r="AV143" i="6"/>
  <c r="AV144" i="6"/>
  <c r="O145" i="6"/>
  <c r="O144" i="6"/>
  <c r="O143" i="6"/>
  <c r="CI67" i="6"/>
  <c r="CI69" i="6"/>
  <c r="CI68" i="6"/>
  <c r="AE143" i="6"/>
  <c r="AE145" i="6"/>
  <c r="AE144" i="6"/>
  <c r="BH156" i="6"/>
  <c r="BH153" i="6"/>
  <c r="CG143" i="6"/>
  <c r="CG144" i="6"/>
  <c r="CG145" i="6"/>
  <c r="BA145" i="6"/>
  <c r="BA143" i="6"/>
  <c r="BA144" i="6"/>
  <c r="AS150" i="6"/>
  <c r="AS149" i="6"/>
  <c r="AS151" i="6"/>
  <c r="AO71" i="6"/>
  <c r="AO74" i="6"/>
  <c r="V143" i="6"/>
  <c r="V145" i="6"/>
  <c r="V144" i="6"/>
  <c r="P63" i="6"/>
  <c r="P62" i="6"/>
  <c r="P61" i="6"/>
  <c r="AJ63" i="6"/>
  <c r="AJ61" i="6"/>
  <c r="AJ62" i="6"/>
  <c r="AV61" i="6"/>
  <c r="AV63" i="6"/>
  <c r="AV62" i="6"/>
  <c r="Z157" i="6"/>
  <c r="S144" i="6"/>
  <c r="S145" i="6"/>
  <c r="S143" i="6"/>
  <c r="Y69" i="6"/>
  <c r="Y67" i="6"/>
  <c r="Y68" i="6"/>
  <c r="DA70" i="6"/>
  <c r="DA73" i="6"/>
  <c r="BP145" i="6"/>
  <c r="BP143" i="6"/>
  <c r="BP144" i="6"/>
  <c r="BT145" i="6"/>
  <c r="BT143" i="6"/>
  <c r="BT144" i="6"/>
  <c r="BQ63" i="6"/>
  <c r="BQ61" i="6"/>
  <c r="BQ62" i="6"/>
  <c r="BL63" i="6"/>
  <c r="BL61" i="6"/>
  <c r="BL62" i="6"/>
  <c r="BF62" i="6"/>
  <c r="BF63" i="6"/>
  <c r="BF61" i="6"/>
  <c r="AU62" i="6"/>
  <c r="AU61" i="6"/>
  <c r="AU63" i="6"/>
  <c r="BZ154" i="6"/>
  <c r="BZ157" i="6"/>
  <c r="CB63" i="6"/>
  <c r="CB61" i="6"/>
  <c r="CB62" i="6"/>
  <c r="R68" i="6"/>
  <c r="R67" i="6"/>
  <c r="R69" i="6"/>
  <c r="BG150" i="6"/>
  <c r="BG149" i="6"/>
  <c r="BG151" i="6"/>
  <c r="BJ63" i="6"/>
  <c r="BJ62" i="6"/>
  <c r="BJ61" i="6"/>
  <c r="CB143" i="6"/>
  <c r="CB145" i="6"/>
  <c r="CB144" i="6"/>
  <c r="CO145" i="6"/>
  <c r="CO143" i="6"/>
  <c r="CO144" i="6"/>
  <c r="AU150" i="6"/>
  <c r="AU149" i="6"/>
  <c r="AU151" i="6"/>
  <c r="U63" i="6"/>
  <c r="U61" i="6"/>
  <c r="U62" i="6"/>
  <c r="CM71" i="6"/>
  <c r="CM74" i="6"/>
  <c r="BT150" i="6"/>
  <c r="BT151" i="6"/>
  <c r="BT149" i="6"/>
  <c r="AU143" i="6"/>
  <c r="AU145" i="6"/>
  <c r="AU144" i="6"/>
  <c r="AX145" i="6"/>
  <c r="AX144" i="6"/>
  <c r="AX143" i="6"/>
  <c r="K62" i="6"/>
  <c r="K61" i="6"/>
  <c r="K63" i="6"/>
  <c r="BZ73" i="6"/>
  <c r="BZ70" i="6"/>
  <c r="BL69" i="6"/>
  <c r="BL68" i="6"/>
  <c r="BL67" i="6"/>
  <c r="BN151" i="6"/>
  <c r="BN149" i="6"/>
  <c r="BN150" i="6"/>
  <c r="J151" i="6"/>
  <c r="J149" i="6"/>
  <c r="J150" i="6"/>
  <c r="AT151" i="6"/>
  <c r="AT150" i="6"/>
  <c r="AT149" i="6"/>
  <c r="AN144" i="6"/>
  <c r="AN145" i="6"/>
  <c r="AN143" i="6"/>
  <c r="BT68" i="6"/>
  <c r="BT67" i="6"/>
  <c r="BT69" i="6"/>
  <c r="AY145" i="6"/>
  <c r="AY143" i="6"/>
  <c r="AY144" i="6"/>
  <c r="BC150" i="6"/>
  <c r="BC151" i="6"/>
  <c r="BC149" i="6"/>
  <c r="AO153" i="6"/>
  <c r="CO67" i="6"/>
  <c r="CO69" i="6"/>
  <c r="CO68" i="6"/>
  <c r="CY151" i="6"/>
  <c r="CY150" i="6"/>
  <c r="CY149" i="6"/>
  <c r="R143" i="6"/>
  <c r="R145" i="6"/>
  <c r="R144" i="6"/>
  <c r="BF145" i="6"/>
  <c r="BF144" i="6"/>
  <c r="BF143" i="6"/>
  <c r="O61" i="6"/>
  <c r="O62" i="6"/>
  <c r="O63" i="6"/>
  <c r="X63" i="6"/>
  <c r="X62" i="6"/>
  <c r="X61" i="6"/>
  <c r="CU72" i="6"/>
  <c r="CU75" i="6"/>
  <c r="AL67" i="6"/>
  <c r="AL69" i="6"/>
  <c r="AL68" i="6"/>
  <c r="CD148" i="6"/>
  <c r="CD147" i="6"/>
  <c r="CD146" i="6"/>
  <c r="CD152" i="6" s="1"/>
  <c r="CS143" i="6"/>
  <c r="CS145" i="6"/>
  <c r="CS144" i="6"/>
  <c r="AT61" i="6"/>
  <c r="AT62" i="6"/>
  <c r="AT63" i="6"/>
  <c r="AM145" i="6"/>
  <c r="AM144" i="6"/>
  <c r="AM143" i="6"/>
  <c r="S67" i="6"/>
  <c r="S68" i="6"/>
  <c r="S69" i="6"/>
  <c r="CL69" i="6"/>
  <c r="CL67" i="6"/>
  <c r="CL68" i="6"/>
  <c r="AG72" i="6"/>
  <c r="AG75" i="6"/>
  <c r="J63" i="6"/>
  <c r="J61" i="6"/>
  <c r="J62" i="6"/>
  <c r="BE143" i="6"/>
  <c r="BE145" i="6"/>
  <c r="BE144" i="6"/>
  <c r="BP75" i="6"/>
  <c r="BP72" i="6"/>
  <c r="V149" i="6"/>
  <c r="V151" i="6"/>
  <c r="V150" i="6"/>
  <c r="CZ70" i="6"/>
  <c r="CZ73" i="6"/>
  <c r="BR151" i="6"/>
  <c r="BR149" i="6"/>
  <c r="BR150" i="6"/>
  <c r="AI149" i="6"/>
  <c r="AI150" i="6"/>
  <c r="AI151" i="6"/>
  <c r="BB143" i="6"/>
  <c r="BB145" i="6"/>
  <c r="BB144" i="6"/>
  <c r="CQ69" i="6"/>
  <c r="CQ67" i="6"/>
  <c r="CQ68" i="6"/>
  <c r="CU150" i="6"/>
  <c r="CU149" i="6"/>
  <c r="CU151" i="6"/>
  <c r="AE151" i="6"/>
  <c r="AE149" i="6"/>
  <c r="AE150" i="6"/>
  <c r="CX61" i="6"/>
  <c r="CX63" i="6"/>
  <c r="CX62" i="6"/>
  <c r="AD67" i="6"/>
  <c r="AD69" i="6"/>
  <c r="AD68" i="6"/>
  <c r="P143" i="6"/>
  <c r="P145" i="6"/>
  <c r="P144" i="6"/>
  <c r="X69" i="6"/>
  <c r="X68" i="6"/>
  <c r="X67" i="6"/>
  <c r="BG73" i="6"/>
  <c r="BG70" i="6"/>
  <c r="R63" i="6"/>
  <c r="R61" i="6"/>
  <c r="R62" i="6"/>
  <c r="CW69" i="6"/>
  <c r="CW68" i="6"/>
  <c r="CW67" i="6"/>
  <c r="M71" i="6"/>
  <c r="M74" i="6"/>
  <c r="AY68" i="6"/>
  <c r="AY69" i="6"/>
  <c r="AY67" i="6"/>
  <c r="Y154" i="6"/>
  <c r="CX150" i="6"/>
  <c r="CX149" i="6"/>
  <c r="CX151" i="6"/>
  <c r="AJ150" i="6"/>
  <c r="AJ151" i="6"/>
  <c r="AJ149" i="6"/>
  <c r="Z70" i="6"/>
  <c r="Z73" i="6"/>
  <c r="AX149" i="6"/>
  <c r="AX151" i="6"/>
  <c r="AX150" i="6"/>
  <c r="S150" i="6"/>
  <c r="S149" i="6"/>
  <c r="S151" i="6"/>
  <c r="BI145" i="6"/>
  <c r="BI143" i="6"/>
  <c r="BI144" i="6"/>
  <c r="BX63" i="6"/>
  <c r="BX61" i="6"/>
  <c r="BX62" i="6"/>
  <c r="AV149" i="6"/>
  <c r="AV151" i="6"/>
  <c r="AV150" i="6"/>
  <c r="AL143" i="6"/>
  <c r="AL145" i="6"/>
  <c r="AL144" i="6"/>
  <c r="AF63" i="6"/>
  <c r="AF61" i="6"/>
  <c r="AF62" i="6"/>
  <c r="F63" i="6"/>
  <c r="F61" i="6"/>
  <c r="F62" i="6"/>
  <c r="BE63" i="6"/>
  <c r="BE61" i="6"/>
  <c r="BE62" i="6"/>
  <c r="W145" i="6"/>
  <c r="W143" i="6"/>
  <c r="W144" i="6"/>
  <c r="CU143" i="6"/>
  <c r="CU145" i="6"/>
  <c r="CU144" i="6"/>
  <c r="BR144" i="6"/>
  <c r="BR143" i="6"/>
  <c r="BR145" i="6"/>
  <c r="BV149" i="6"/>
  <c r="BV151" i="6"/>
  <c r="BV150" i="6"/>
  <c r="BU151" i="6"/>
  <c r="BU150" i="6"/>
  <c r="BU149" i="6"/>
  <c r="AR61" i="6"/>
  <c r="AR63" i="6"/>
  <c r="AR62" i="6"/>
  <c r="X144" i="6"/>
  <c r="X145" i="6"/>
  <c r="X143" i="6"/>
  <c r="AZ61" i="6"/>
  <c r="AZ63" i="6"/>
  <c r="AZ62" i="6"/>
  <c r="BD149" i="6"/>
  <c r="BD150" i="6"/>
  <c r="BD151" i="6"/>
  <c r="AF144" i="6"/>
  <c r="AF145" i="6"/>
  <c r="AF143" i="6"/>
  <c r="CX145" i="6"/>
  <c r="CX143" i="6"/>
  <c r="CX144" i="6"/>
  <c r="AG150" i="6"/>
  <c r="AG149" i="6"/>
  <c r="AG151" i="6"/>
  <c r="BY63" i="6"/>
  <c r="BY61" i="6"/>
  <c r="BY62" i="6"/>
  <c r="AH145" i="6"/>
  <c r="AH143" i="6"/>
  <c r="AH144" i="6"/>
  <c r="T144" i="6"/>
  <c r="T143" i="6"/>
  <c r="T145" i="6"/>
  <c r="AZ143" i="6"/>
  <c r="AZ145" i="6"/>
  <c r="AZ144" i="6"/>
  <c r="CR145" i="6"/>
  <c r="CR143" i="6"/>
  <c r="CR144" i="6"/>
  <c r="BM73" i="6"/>
  <c r="BM70" i="6"/>
  <c r="CQ144" i="6"/>
  <c r="CQ143" i="6"/>
  <c r="CQ145" i="6"/>
  <c r="CI145" i="6"/>
  <c r="CI143" i="6"/>
  <c r="CI144" i="6"/>
  <c r="AF161" i="6" l="1" a="1"/>
  <c r="AF161" i="6" s="1"/>
  <c r="BP161" i="6" a="1"/>
  <c r="W153" i="6"/>
  <c r="BG75" i="6"/>
  <c r="BG79" i="6" s="1" a="1"/>
  <c r="AF72" i="6"/>
  <c r="AO154" i="6"/>
  <c r="Y153" i="6"/>
  <c r="CJ70" i="6"/>
  <c r="CR161" i="6" a="1"/>
  <c r="AO161" i="6" a="1"/>
  <c r="CH73" i="6"/>
  <c r="CA156" i="6"/>
  <c r="BH154" i="6"/>
  <c r="BH158" i="6" s="1" a="1"/>
  <c r="CP153" i="6"/>
  <c r="CZ74" i="6"/>
  <c r="BZ155" i="6"/>
  <c r="BZ161" i="6" s="1" a="1"/>
  <c r="CZ72" i="6"/>
  <c r="CZ76" i="6" s="1" a="1"/>
  <c r="CO152" i="6"/>
  <c r="CO158" i="6" s="1" a="1"/>
  <c r="AF154" i="6"/>
  <c r="AF158" i="6" s="1" a="1"/>
  <c r="AF159" i="6" s="1"/>
  <c r="CJ155" i="6"/>
  <c r="CJ161" i="6" s="1" a="1"/>
  <c r="CJ163" i="6" s="1"/>
  <c r="AS70" i="6"/>
  <c r="AS76" i="6" s="1" a="1"/>
  <c r="AS78" i="6" s="1"/>
  <c r="CM75" i="6"/>
  <c r="BP154" i="6"/>
  <c r="Q153" i="6"/>
  <c r="Q158" i="6" s="1" a="1"/>
  <c r="Q159" i="6" s="1"/>
  <c r="AL153" i="6"/>
  <c r="CJ154" i="6"/>
  <c r="CJ158" i="6" s="1" a="1"/>
  <c r="CJ158" i="6" s="1"/>
  <c r="AK161" i="6" a="1"/>
  <c r="AK163" i="6" s="1"/>
  <c r="CY73" i="6"/>
  <c r="CY79" i="6" s="1" a="1"/>
  <c r="AM70" i="6"/>
  <c r="AB157" i="6"/>
  <c r="AB152" i="6"/>
  <c r="AB158" i="6" s="1" a="1"/>
  <c r="AB159" i="6" s="1"/>
  <c r="BQ153" i="6"/>
  <c r="CS154" i="6"/>
  <c r="CV74" i="6"/>
  <c r="CD153" i="6"/>
  <c r="U154" i="6"/>
  <c r="U158" i="6" s="1" a="1"/>
  <c r="M153" i="6"/>
  <c r="CP152" i="6"/>
  <c r="BM161" i="6" a="1"/>
  <c r="BM163" i="6" s="1"/>
  <c r="W154" i="6"/>
  <c r="CD161" i="6" a="1"/>
  <c r="CD161" i="6" s="1"/>
  <c r="CD154" i="6"/>
  <c r="AZ154" i="6"/>
  <c r="T154" i="6"/>
  <c r="CR153" i="6"/>
  <c r="W161" i="6" a="1"/>
  <c r="W161" i="6" s="1"/>
  <c r="CY72" i="6"/>
  <c r="CY76" i="6" s="1" a="1"/>
  <c r="G156" i="6"/>
  <c r="AK154" i="6"/>
  <c r="CS161" i="6" a="1"/>
  <c r="CS161" i="6" s="1"/>
  <c r="AZ161" i="6" a="1"/>
  <c r="AD153" i="6"/>
  <c r="AG74" i="6"/>
  <c r="AG79" i="6" s="1" a="1"/>
  <c r="BZ153" i="6"/>
  <c r="BZ158" i="6" s="1" a="1"/>
  <c r="AW156" i="6"/>
  <c r="AW161" i="6" s="1" a="1"/>
  <c r="AW163" i="6" s="1"/>
  <c r="AW154" i="6"/>
  <c r="AW158" i="6" s="1" a="1"/>
  <c r="AW159" i="6" s="1"/>
  <c r="CK161" i="6" a="1"/>
  <c r="CK162" i="6" s="1"/>
  <c r="AX71" i="6"/>
  <c r="BQ152" i="6"/>
  <c r="CA157" i="6"/>
  <c r="CA161" i="6" s="1" a="1"/>
  <c r="AM161" i="6" a="1"/>
  <c r="AM163" i="6" s="1"/>
  <c r="CG153" i="6"/>
  <c r="BA161" i="6" a="1"/>
  <c r="BA162" i="6" s="1"/>
  <c r="BA153" i="6"/>
  <c r="U156" i="6"/>
  <c r="U161" i="6" s="1" a="1"/>
  <c r="U161" i="6" s="1"/>
  <c r="CE156" i="6"/>
  <c r="CE161" i="6" s="1" a="1"/>
  <c r="CG161" i="6" a="1"/>
  <c r="CS152" i="6"/>
  <c r="CB161" i="6" a="1"/>
  <c r="CB163" i="6" s="1"/>
  <c r="BX156" i="6"/>
  <c r="BX161" i="6" s="1" a="1"/>
  <c r="AM153" i="6"/>
  <c r="CB152" i="6"/>
  <c r="CB158" i="6" s="1" a="1"/>
  <c r="CR152" i="6"/>
  <c r="F161" i="6" a="1"/>
  <c r="F161" i="6" s="1"/>
  <c r="AM72" i="6"/>
  <c r="AK152" i="6"/>
  <c r="DA154" i="6"/>
  <c r="DA153" i="6"/>
  <c r="F154" i="6"/>
  <c r="P158" i="6" a="1"/>
  <c r="P158" i="6" s="1"/>
  <c r="BZ71" i="6"/>
  <c r="AR71" i="6"/>
  <c r="CJ71" i="6"/>
  <c r="CT152" i="6"/>
  <c r="AX74" i="6"/>
  <c r="AX79" i="6" s="1" a="1"/>
  <c r="AX81" i="6" s="1"/>
  <c r="DA161" i="6" a="1"/>
  <c r="DA161" i="6" s="1"/>
  <c r="CF75" i="6"/>
  <c r="CF79" i="6" s="1" a="1"/>
  <c r="CF80" i="6" s="1"/>
  <c r="AZ72" i="6"/>
  <c r="CH74" i="6"/>
  <c r="BJ73" i="6"/>
  <c r="BJ79" i="6" s="1" a="1"/>
  <c r="BJ81" i="6" s="1"/>
  <c r="BI70" i="6"/>
  <c r="BI76" i="6" s="1" a="1"/>
  <c r="CC79" i="6" a="1"/>
  <c r="CC79" i="6" s="1"/>
  <c r="U75" i="6"/>
  <c r="CC71" i="6"/>
  <c r="BO72" i="6"/>
  <c r="BO76" i="6" s="1" a="1"/>
  <c r="BO78" i="6" s="1"/>
  <c r="BG71" i="6"/>
  <c r="BG76" i="6" s="1" a="1"/>
  <c r="BS70" i="6"/>
  <c r="AX70" i="6"/>
  <c r="BE72" i="6"/>
  <c r="BE76" i="6" s="1" a="1"/>
  <c r="BE77" i="6" s="1"/>
  <c r="AC74" i="6"/>
  <c r="AC79" i="6" s="1" a="1"/>
  <c r="AC81" i="6" s="1"/>
  <c r="AA79" i="6" a="1"/>
  <c r="AA79" i="6" s="1"/>
  <c r="BN73" i="6"/>
  <c r="BC70" i="6"/>
  <c r="AQ72" i="6"/>
  <c r="G71" i="6"/>
  <c r="BX76" i="6" a="1"/>
  <c r="BX78" i="6" s="1"/>
  <c r="AG70" i="6"/>
  <c r="AG76" i="6" s="1" a="1"/>
  <c r="J74" i="6"/>
  <c r="L73" i="6"/>
  <c r="AZ70" i="6"/>
  <c r="Z71" i="6"/>
  <c r="Z76" i="6" s="1" a="1"/>
  <c r="Z76" i="6" s="1"/>
  <c r="BO73" i="6"/>
  <c r="BO79" i="6" s="1" a="1"/>
  <c r="BO79" i="6" s="1"/>
  <c r="BF70" i="6"/>
  <c r="AB74" i="6"/>
  <c r="AA71" i="6"/>
  <c r="AA76" i="6" s="1" a="1"/>
  <c r="AA76" i="6" s="1"/>
  <c r="M72" i="6"/>
  <c r="M76" i="6" s="1" a="1"/>
  <c r="BE73" i="6"/>
  <c r="BE79" i="6" s="1" a="1"/>
  <c r="BE81" i="6" s="1"/>
  <c r="G79" i="6" a="1"/>
  <c r="G80" i="6" s="1"/>
  <c r="CB79" i="6" a="1"/>
  <c r="CB79" i="6" s="1"/>
  <c r="P155" i="6"/>
  <c r="BM153" i="6"/>
  <c r="Z152" i="6"/>
  <c r="AM154" i="6"/>
  <c r="BA152" i="6"/>
  <c r="CV154" i="6"/>
  <c r="BO153" i="6"/>
  <c r="AY152" i="6"/>
  <c r="AY158" i="6" s="1" a="1"/>
  <c r="AY160" i="6" s="1"/>
  <c r="BO152" i="6"/>
  <c r="CK152" i="6"/>
  <c r="AY157" i="6"/>
  <c r="AY161" i="6" s="1" a="1"/>
  <c r="BP152" i="6"/>
  <c r="G157" i="6"/>
  <c r="P156" i="6"/>
  <c r="CV161" i="6" a="1"/>
  <c r="CV162" i="6" s="1"/>
  <c r="Z161" i="6" a="1"/>
  <c r="Z162" i="6" s="1"/>
  <c r="BM152" i="6"/>
  <c r="CK154" i="6"/>
  <c r="AN161" i="6" a="1"/>
  <c r="AN162" i="6" s="1"/>
  <c r="AD161" i="6" a="1"/>
  <c r="AD163" i="6" s="1"/>
  <c r="AD152" i="6"/>
  <c r="AD158" i="6" s="1" a="1"/>
  <c r="T161" i="6" a="1"/>
  <c r="T162" i="6" s="1"/>
  <c r="CV152" i="6"/>
  <c r="BQ161" i="6" a="1"/>
  <c r="BQ163" i="6" s="1"/>
  <c r="M154" i="6"/>
  <c r="AQ153" i="6"/>
  <c r="F152" i="6"/>
  <c r="BX152" i="6"/>
  <c r="BX158" i="6" s="1" a="1"/>
  <c r="BX160" i="6" s="1"/>
  <c r="T152" i="6"/>
  <c r="AZ152" i="6"/>
  <c r="Z153" i="6"/>
  <c r="CG154" i="6"/>
  <c r="AN153" i="6"/>
  <c r="Y155" i="6"/>
  <c r="Y161" i="6" s="1" a="1"/>
  <c r="Y163" i="6" s="1"/>
  <c r="Y152" i="6"/>
  <c r="Y158" i="6" s="1" a="1"/>
  <c r="BS158" i="6" a="1"/>
  <c r="BS158" i="6" s="1"/>
  <c r="M161" i="6" a="1"/>
  <c r="M163" i="6" s="1"/>
  <c r="CT154" i="6"/>
  <c r="BI154" i="6"/>
  <c r="BI161" i="6" a="1"/>
  <c r="AL161" i="6" a="1"/>
  <c r="AL163" i="6" s="1"/>
  <c r="AL154" i="6"/>
  <c r="BW153" i="6"/>
  <c r="BI152" i="6"/>
  <c r="AN152" i="6"/>
  <c r="CT161" i="6" a="1"/>
  <c r="CT163" i="6" s="1"/>
  <c r="AO158" i="6" a="1"/>
  <c r="AO159" i="6" s="1"/>
  <c r="CE154" i="6"/>
  <c r="CE158" i="6" s="1" a="1"/>
  <c r="CE159" i="6" s="1"/>
  <c r="BO161" i="6" a="1"/>
  <c r="BO162" i="6" s="1"/>
  <c r="AB161" i="6" a="1"/>
  <c r="AB162" i="6" s="1"/>
  <c r="BW154" i="6"/>
  <c r="BW157" i="6"/>
  <c r="BW161" i="6" s="1" a="1"/>
  <c r="BW161" i="6" s="1"/>
  <c r="AR156" i="6"/>
  <c r="AR161" i="6" s="1" a="1"/>
  <c r="AR153" i="6"/>
  <c r="AR158" i="6" s="1" a="1"/>
  <c r="AQ157" i="6"/>
  <c r="AQ161" i="6" s="1" a="1"/>
  <c r="AQ154" i="6"/>
  <c r="N155" i="6"/>
  <c r="N152" i="6"/>
  <c r="N153" i="6"/>
  <c r="N156" i="6"/>
  <c r="G158" i="6" a="1"/>
  <c r="G160" i="6" s="1"/>
  <c r="CA158" i="6" a="1"/>
  <c r="CA159" i="6" s="1"/>
  <c r="CP161" i="6" a="1"/>
  <c r="CP161" i="6" s="1"/>
  <c r="CF70" i="6"/>
  <c r="CF76" i="6" s="1" a="1"/>
  <c r="CF78" i="6" s="1"/>
  <c r="BZ72" i="6"/>
  <c r="BF72" i="6"/>
  <c r="W79" i="6" a="1"/>
  <c r="W79" i="6" s="1"/>
  <c r="AF74" i="6"/>
  <c r="AF79" i="6" s="1" a="1"/>
  <c r="AF79" i="6" s="1"/>
  <c r="CT75" i="6"/>
  <c r="CU73" i="6"/>
  <c r="CU79" i="6" s="1" a="1"/>
  <c r="CU79" i="6" s="1"/>
  <c r="AH73" i="6"/>
  <c r="BP73" i="6"/>
  <c r="BP79" i="6" s="1" a="1"/>
  <c r="AI74" i="6"/>
  <c r="AI79" i="6" s="1" a="1"/>
  <c r="Z75" i="6"/>
  <c r="Z79" i="6" s="1" a="1"/>
  <c r="Z80" i="6" s="1"/>
  <c r="CE74" i="6"/>
  <c r="CE79" i="6" s="1" a="1"/>
  <c r="CE79" i="6" s="1"/>
  <c r="F70" i="6"/>
  <c r="BP71" i="6"/>
  <c r="BP76" i="6" s="1" a="1"/>
  <c r="V79" i="6" a="1"/>
  <c r="V79" i="6" s="1"/>
  <c r="CS74" i="6"/>
  <c r="BX75" i="6"/>
  <c r="BS72" i="6"/>
  <c r="BF79" i="6" a="1"/>
  <c r="BF81" i="6" s="1"/>
  <c r="J75" i="6"/>
  <c r="CV73" i="6"/>
  <c r="W70" i="6"/>
  <c r="AI72" i="6"/>
  <c r="AI76" i="6" s="1" a="1"/>
  <c r="BX74" i="6"/>
  <c r="AR75" i="6"/>
  <c r="AR79" i="6" s="1" a="1"/>
  <c r="AR81" i="6" s="1"/>
  <c r="AR72" i="6"/>
  <c r="AR76" i="6" s="1" a="1"/>
  <c r="AR77" i="6" s="1"/>
  <c r="CS75" i="6"/>
  <c r="F79" i="6" a="1"/>
  <c r="F81" i="6" s="1"/>
  <c r="AS74" i="6"/>
  <c r="AS79" i="6" s="1" a="1"/>
  <c r="BI73" i="6"/>
  <c r="CB72" i="6"/>
  <c r="BC79" i="6" a="1"/>
  <c r="BC79" i="6" s="1"/>
  <c r="CU71" i="6"/>
  <c r="CU76" i="6" s="1" a="1"/>
  <c r="BV70" i="6"/>
  <c r="N75" i="6"/>
  <c r="N79" i="6" s="1" a="1"/>
  <c r="G70" i="6"/>
  <c r="BN74" i="6"/>
  <c r="BI75" i="6"/>
  <c r="CB70" i="6"/>
  <c r="J76" i="6" a="1"/>
  <c r="J78" i="6" s="1"/>
  <c r="F71" i="6"/>
  <c r="V72" i="6"/>
  <c r="V71" i="6"/>
  <c r="AB75" i="6"/>
  <c r="DA75" i="6"/>
  <c r="CM70" i="6"/>
  <c r="CM76" i="6" s="1" a="1"/>
  <c r="CT73" i="6"/>
  <c r="CE72" i="6"/>
  <c r="CE76" i="6" s="1" a="1"/>
  <c r="CE77" i="6" s="1"/>
  <c r="BD74" i="6"/>
  <c r="BD79" i="6" s="1" a="1"/>
  <c r="CT76" i="6" a="1"/>
  <c r="CT76" i="6" s="1"/>
  <c r="M73" i="6"/>
  <c r="M79" i="6" s="1" a="1"/>
  <c r="N71" i="6"/>
  <c r="N76" i="6" s="1" a="1"/>
  <c r="N76" i="6" s="1"/>
  <c r="BD72" i="6"/>
  <c r="BD76" i="6" s="1" a="1"/>
  <c r="AE79" i="6" a="1"/>
  <c r="AE79" i="6" s="1"/>
  <c r="BV71" i="6"/>
  <c r="AK71" i="6"/>
  <c r="BC72" i="6"/>
  <c r="AC72" i="6"/>
  <c r="AC76" i="6" s="1" a="1"/>
  <c r="L74" i="6"/>
  <c r="CC72" i="6"/>
  <c r="CD71" i="6"/>
  <c r="BJ71" i="6"/>
  <c r="BJ76" i="6" s="1" a="1"/>
  <c r="BJ78" i="6" s="1"/>
  <c r="L76" i="6" a="1"/>
  <c r="L78" i="6" s="1"/>
  <c r="Q74" i="6"/>
  <c r="Q71" i="6"/>
  <c r="BW72" i="6"/>
  <c r="BW76" i="6" s="1" a="1"/>
  <c r="DA74" i="6"/>
  <c r="AH74" i="6"/>
  <c r="CX70" i="6"/>
  <c r="AE72" i="6"/>
  <c r="AE70" i="6"/>
  <c r="W72" i="6"/>
  <c r="AK72" i="6"/>
  <c r="AO70" i="6"/>
  <c r="AQ73" i="6"/>
  <c r="AQ79" i="6" s="1" a="1"/>
  <c r="AQ70" i="6"/>
  <c r="BA74" i="6"/>
  <c r="AV74" i="6"/>
  <c r="AV71" i="6"/>
  <c r="AO72" i="6"/>
  <c r="BH71" i="6"/>
  <c r="BY73" i="6"/>
  <c r="BY70" i="6"/>
  <c r="AW72" i="6"/>
  <c r="AW75" i="6"/>
  <c r="AF76" i="6" a="1"/>
  <c r="AW74" i="6"/>
  <c r="AW71" i="6"/>
  <c r="BA76" i="6" a="1"/>
  <c r="BA78" i="6" s="1"/>
  <c r="CM79" i="6" a="1"/>
  <c r="CM80" i="6" s="1"/>
  <c r="BW73" i="6"/>
  <c r="BW79" i="6" s="1" a="1"/>
  <c r="BK71" i="6"/>
  <c r="BH72" i="6"/>
  <c r="BA75" i="6"/>
  <c r="BH79" i="6" a="1"/>
  <c r="BH81" i="6" s="1"/>
  <c r="AV70" i="6"/>
  <c r="AV73" i="6"/>
  <c r="AK79" i="6" a="1"/>
  <c r="AK81" i="6" s="1"/>
  <c r="CP71" i="6"/>
  <c r="CP74" i="6"/>
  <c r="BK72" i="6"/>
  <c r="BK75" i="6"/>
  <c r="BK79" i="6" s="1" a="1"/>
  <c r="CX71" i="6"/>
  <c r="CX74" i="6"/>
  <c r="CX79" i="6" s="1" a="1"/>
  <c r="CX80" i="6" s="1"/>
  <c r="CP73" i="6"/>
  <c r="CP70" i="6"/>
  <c r="T75" i="6"/>
  <c r="T72" i="6"/>
  <c r="BY75" i="6"/>
  <c r="BY72" i="6"/>
  <c r="BM72" i="6"/>
  <c r="BM76" i="6" s="1" a="1"/>
  <c r="BM78" i="6" s="1"/>
  <c r="CP72" i="6"/>
  <c r="CP75" i="6"/>
  <c r="T73" i="6"/>
  <c r="T70" i="6"/>
  <c r="Q70" i="6"/>
  <c r="Q73" i="6"/>
  <c r="CD72" i="6"/>
  <c r="BM74" i="6"/>
  <c r="BM79" i="6" s="1" a="1"/>
  <c r="AO79" i="6" a="1"/>
  <c r="AO79" i="6" s="1"/>
  <c r="CS76" i="6" a="1"/>
  <c r="CS77" i="6" s="1"/>
  <c r="BH70" i="6"/>
  <c r="T71" i="6"/>
  <c r="T74" i="6"/>
  <c r="BK70" i="6"/>
  <c r="U70" i="6"/>
  <c r="U76" i="6" s="1" a="1"/>
  <c r="U76" i="6" s="1"/>
  <c r="U73" i="6"/>
  <c r="CD73" i="6"/>
  <c r="CD79" i="6" s="1" a="1"/>
  <c r="CD70" i="6"/>
  <c r="CO71" i="6"/>
  <c r="CO74" i="6"/>
  <c r="BT73" i="6"/>
  <c r="BT70" i="6"/>
  <c r="AF163" i="6"/>
  <c r="AF162" i="6"/>
  <c r="CA72" i="6"/>
  <c r="CA75" i="6"/>
  <c r="H70" i="6"/>
  <c r="H73" i="6"/>
  <c r="AP74" i="6"/>
  <c r="AP71" i="6"/>
  <c r="CM156" i="6"/>
  <c r="CM153" i="6"/>
  <c r="CB81" i="6"/>
  <c r="BD152" i="6"/>
  <c r="BD155" i="6"/>
  <c r="BU157" i="6"/>
  <c r="BU154" i="6"/>
  <c r="AV154" i="6"/>
  <c r="AV157" i="6"/>
  <c r="CX153" i="6"/>
  <c r="CX156" i="6"/>
  <c r="X72" i="6"/>
  <c r="X75" i="6"/>
  <c r="CU153" i="6"/>
  <c r="CU156" i="6"/>
  <c r="AI153" i="6"/>
  <c r="AI156" i="6"/>
  <c r="S71" i="6"/>
  <c r="S74" i="6"/>
  <c r="CO75" i="6"/>
  <c r="CO72" i="6"/>
  <c r="BT71" i="6"/>
  <c r="BT74" i="6"/>
  <c r="J155" i="6"/>
  <c r="J152" i="6"/>
  <c r="BL70" i="6"/>
  <c r="BL73" i="6"/>
  <c r="BG152" i="6"/>
  <c r="BG155" i="6"/>
  <c r="Q162" i="6"/>
  <c r="Q163" i="6"/>
  <c r="Q161" i="6"/>
  <c r="AP156" i="6"/>
  <c r="AP153" i="6"/>
  <c r="BR73" i="6"/>
  <c r="BR70" i="6"/>
  <c r="X155" i="6"/>
  <c r="X152" i="6"/>
  <c r="I156" i="6"/>
  <c r="I153" i="6"/>
  <c r="CC156" i="6"/>
  <c r="CC153" i="6"/>
  <c r="H157" i="6"/>
  <c r="H154" i="6"/>
  <c r="P73" i="6"/>
  <c r="P70" i="6"/>
  <c r="AC152" i="6"/>
  <c r="AC155" i="6"/>
  <c r="CN153" i="6"/>
  <c r="CN156" i="6"/>
  <c r="BQ71" i="6"/>
  <c r="BQ74" i="6"/>
  <c r="BF156" i="6"/>
  <c r="BF153" i="6"/>
  <c r="BY153" i="6"/>
  <c r="BY156" i="6"/>
  <c r="CW155" i="6"/>
  <c r="CW152" i="6"/>
  <c r="I71" i="6"/>
  <c r="I74" i="6"/>
  <c r="BB157" i="6"/>
  <c r="BB154" i="6"/>
  <c r="CJ79" i="6" a="1"/>
  <c r="CF156" i="6"/>
  <c r="CF153" i="6"/>
  <c r="AP72" i="6"/>
  <c r="AP75" i="6"/>
  <c r="CM152" i="6"/>
  <c r="CM155" i="6"/>
  <c r="BV153" i="6"/>
  <c r="BV156" i="6"/>
  <c r="AV152" i="6"/>
  <c r="AV155" i="6"/>
  <c r="S157" i="6"/>
  <c r="S154" i="6"/>
  <c r="CQ71" i="6"/>
  <c r="CQ74" i="6"/>
  <c r="AI155" i="6"/>
  <c r="AI152" i="6"/>
  <c r="S73" i="6"/>
  <c r="S70" i="6"/>
  <c r="CO70" i="6"/>
  <c r="CO73" i="6"/>
  <c r="J157" i="6"/>
  <c r="J154" i="6"/>
  <c r="BL74" i="6"/>
  <c r="BL71" i="6"/>
  <c r="BG156" i="6"/>
  <c r="BG153" i="6"/>
  <c r="CI74" i="6"/>
  <c r="CI71" i="6"/>
  <c r="CL153" i="6"/>
  <c r="CL156" i="6"/>
  <c r="BR75" i="6"/>
  <c r="BR72" i="6"/>
  <c r="AJ72" i="6"/>
  <c r="AJ75" i="6"/>
  <c r="BS162" i="6"/>
  <c r="BS161" i="6"/>
  <c r="BS163" i="6"/>
  <c r="I154" i="6"/>
  <c r="I157" i="6"/>
  <c r="CC152" i="6"/>
  <c r="CC155" i="6"/>
  <c r="H156" i="6"/>
  <c r="H153" i="6"/>
  <c r="AC157" i="6"/>
  <c r="AC154" i="6"/>
  <c r="CN154" i="6"/>
  <c r="CN157" i="6"/>
  <c r="BQ72" i="6"/>
  <c r="BQ75" i="6"/>
  <c r="BF154" i="6"/>
  <c r="BF157" i="6"/>
  <c r="BY152" i="6"/>
  <c r="BY155" i="6"/>
  <c r="I73" i="6"/>
  <c r="I70" i="6"/>
  <c r="AH154" i="6"/>
  <c r="AH157" i="6"/>
  <c r="CF154" i="6"/>
  <c r="CF157" i="6"/>
  <c r="CP158" i="6" a="1"/>
  <c r="CM157" i="6"/>
  <c r="CM154" i="6"/>
  <c r="CX155" i="6"/>
  <c r="CX152" i="6"/>
  <c r="X71" i="6"/>
  <c r="X74" i="6"/>
  <c r="AD70" i="6"/>
  <c r="AD73" i="6"/>
  <c r="CU155" i="6"/>
  <c r="CU152" i="6"/>
  <c r="J156" i="6"/>
  <c r="J153" i="6"/>
  <c r="AP155" i="6"/>
  <c r="AP152" i="6"/>
  <c r="P71" i="6"/>
  <c r="P74" i="6"/>
  <c r="AC153" i="6"/>
  <c r="AC156" i="6"/>
  <c r="BF155" i="6"/>
  <c r="BF152" i="6"/>
  <c r="CW154" i="6"/>
  <c r="CW157" i="6"/>
  <c r="CR74" i="6"/>
  <c r="CR71" i="6"/>
  <c r="L156" i="6"/>
  <c r="L153" i="6"/>
  <c r="BV157" i="6"/>
  <c r="BV154" i="6"/>
  <c r="AU154" i="6"/>
  <c r="AU157" i="6"/>
  <c r="R72" i="6"/>
  <c r="R75" i="6"/>
  <c r="CI75" i="6"/>
  <c r="CI72" i="6"/>
  <c r="AJ73" i="6"/>
  <c r="AJ70" i="6"/>
  <c r="H155" i="6"/>
  <c r="H152" i="6"/>
  <c r="BJ152" i="6"/>
  <c r="BJ155" i="6"/>
  <c r="BQ73" i="6"/>
  <c r="BQ70" i="6"/>
  <c r="AG155" i="6"/>
  <c r="AG152" i="6"/>
  <c r="BV152" i="6"/>
  <c r="BV155" i="6"/>
  <c r="CL71" i="6"/>
  <c r="CL74" i="6"/>
  <c r="AL74" i="6"/>
  <c r="AL71" i="6"/>
  <c r="AS154" i="6"/>
  <c r="AS157" i="6"/>
  <c r="CI73" i="6"/>
  <c r="CI70" i="6"/>
  <c r="K74" i="6"/>
  <c r="K71" i="6"/>
  <c r="BH161" i="6" a="1"/>
  <c r="AT73" i="6"/>
  <c r="AT70" i="6"/>
  <c r="O71" i="6"/>
  <c r="O74" i="6"/>
  <c r="AG153" i="6"/>
  <c r="AG156" i="6"/>
  <c r="AX156" i="6"/>
  <c r="AX153" i="6"/>
  <c r="AJ154" i="6"/>
  <c r="AJ157" i="6"/>
  <c r="AE155" i="6"/>
  <c r="AE152" i="6"/>
  <c r="BR154" i="6"/>
  <c r="BR157" i="6"/>
  <c r="V154" i="6"/>
  <c r="V157" i="6"/>
  <c r="CL73" i="6"/>
  <c r="CL70" i="6"/>
  <c r="AL75" i="6"/>
  <c r="AL72" i="6"/>
  <c r="CY155" i="6"/>
  <c r="CY152" i="6"/>
  <c r="BC155" i="6"/>
  <c r="BC152" i="6"/>
  <c r="AT155" i="6"/>
  <c r="AT152" i="6"/>
  <c r="BN154" i="6"/>
  <c r="BN157" i="6"/>
  <c r="BZ79" i="6" a="1"/>
  <c r="BT152" i="6"/>
  <c r="BT155" i="6"/>
  <c r="AU153" i="6"/>
  <c r="AU156" i="6"/>
  <c r="R74" i="6"/>
  <c r="R71" i="6"/>
  <c r="Y71" i="6"/>
  <c r="Y74" i="6"/>
  <c r="AS152" i="6"/>
  <c r="AS155" i="6"/>
  <c r="CG74" i="6"/>
  <c r="CG71" i="6"/>
  <c r="BE155" i="6"/>
  <c r="BE152" i="6"/>
  <c r="AU72" i="6"/>
  <c r="AU75" i="6"/>
  <c r="CH157" i="6"/>
  <c r="CH154" i="6"/>
  <c r="CO161" i="6"/>
  <c r="CO163" i="6"/>
  <c r="CO162" i="6"/>
  <c r="BK156" i="6"/>
  <c r="BK153" i="6"/>
  <c r="BV79" i="6" a="1"/>
  <c r="R153" i="6"/>
  <c r="R156" i="6"/>
  <c r="K73" i="6"/>
  <c r="K70" i="6"/>
  <c r="CN74" i="6"/>
  <c r="CN71" i="6"/>
  <c r="CQ155" i="6"/>
  <c r="CQ152" i="6"/>
  <c r="AN74" i="6"/>
  <c r="AN71" i="6"/>
  <c r="CK71" i="6"/>
  <c r="CK74" i="6"/>
  <c r="BJ154" i="6"/>
  <c r="BJ157" i="6"/>
  <c r="AB76" i="6" a="1"/>
  <c r="K153" i="6"/>
  <c r="K156" i="6"/>
  <c r="BB75" i="6"/>
  <c r="BB72" i="6"/>
  <c r="AT74" i="6"/>
  <c r="AT71" i="6"/>
  <c r="O72" i="6"/>
  <c r="O75" i="6"/>
  <c r="CZ156" i="6"/>
  <c r="CZ153" i="6"/>
  <c r="AZ79" i="6" a="1"/>
  <c r="CI153" i="6"/>
  <c r="CI156" i="6"/>
  <c r="BL155" i="6"/>
  <c r="BL152" i="6"/>
  <c r="AA155" i="6"/>
  <c r="AA152" i="6"/>
  <c r="BU75" i="6"/>
  <c r="BU72" i="6"/>
  <c r="AO161" i="6"/>
  <c r="AO163" i="6"/>
  <c r="AO162" i="6"/>
  <c r="AV156" i="6"/>
  <c r="AV153" i="6"/>
  <c r="CW75" i="6"/>
  <c r="CW72" i="6"/>
  <c r="S72" i="6"/>
  <c r="S75" i="6"/>
  <c r="BG157" i="6"/>
  <c r="BG154" i="6"/>
  <c r="S152" i="6"/>
  <c r="S155" i="6"/>
  <c r="CQ73" i="6"/>
  <c r="CQ70" i="6"/>
  <c r="BR153" i="6"/>
  <c r="BR156" i="6"/>
  <c r="BN153" i="6"/>
  <c r="BN156" i="6"/>
  <c r="BR74" i="6"/>
  <c r="BR71" i="6"/>
  <c r="I72" i="6"/>
  <c r="I75" i="6"/>
  <c r="AH155" i="6"/>
  <c r="AH152" i="6"/>
  <c r="S156" i="6"/>
  <c r="S153" i="6"/>
  <c r="AJ155" i="6"/>
  <c r="AJ152" i="6"/>
  <c r="BR155" i="6"/>
  <c r="BR152" i="6"/>
  <c r="BN152" i="6"/>
  <c r="BN155" i="6"/>
  <c r="DA76" i="6" a="1"/>
  <c r="CL155" i="6"/>
  <c r="CL152" i="6"/>
  <c r="CH76" i="6" a="1"/>
  <c r="CN72" i="6"/>
  <c r="CN75" i="6"/>
  <c r="CQ153" i="6"/>
  <c r="CQ156" i="6"/>
  <c r="BJ156" i="6"/>
  <c r="BJ153" i="6"/>
  <c r="AH153" i="6"/>
  <c r="AH156" i="6"/>
  <c r="CI154" i="6"/>
  <c r="CI157" i="6"/>
  <c r="AX154" i="6"/>
  <c r="AX157" i="6"/>
  <c r="AJ156" i="6"/>
  <c r="AJ153" i="6"/>
  <c r="AY70" i="6"/>
  <c r="AY73" i="6"/>
  <c r="CW70" i="6"/>
  <c r="CW73" i="6"/>
  <c r="AD71" i="6"/>
  <c r="AD74" i="6"/>
  <c r="AE157" i="6"/>
  <c r="AE154" i="6"/>
  <c r="CZ79" i="6" a="1"/>
  <c r="V152" i="6"/>
  <c r="V155" i="6"/>
  <c r="CL72" i="6"/>
  <c r="CL75" i="6"/>
  <c r="AL70" i="6"/>
  <c r="AL73" i="6"/>
  <c r="CY153" i="6"/>
  <c r="CY156" i="6"/>
  <c r="BC157" i="6"/>
  <c r="BC154" i="6"/>
  <c r="AT153" i="6"/>
  <c r="AT156" i="6"/>
  <c r="AH76" i="6" a="1"/>
  <c r="BT157" i="6"/>
  <c r="BT154" i="6"/>
  <c r="Y70" i="6"/>
  <c r="Y73" i="6"/>
  <c r="AS153" i="6"/>
  <c r="AS156" i="6"/>
  <c r="CG70" i="6"/>
  <c r="CG73" i="6"/>
  <c r="BE153" i="6"/>
  <c r="BE156" i="6"/>
  <c r="AU73" i="6"/>
  <c r="AU70" i="6"/>
  <c r="CH156" i="6"/>
  <c r="CH153" i="6"/>
  <c r="BK155" i="6"/>
  <c r="BK152" i="6"/>
  <c r="K75" i="6"/>
  <c r="K72" i="6"/>
  <c r="CA73" i="6"/>
  <c r="CA70" i="6"/>
  <c r="CN70" i="6"/>
  <c r="CN73" i="6"/>
  <c r="H75" i="6"/>
  <c r="H72" i="6"/>
  <c r="AN70" i="6"/>
  <c r="AN73" i="6"/>
  <c r="CK70" i="6"/>
  <c r="CK73" i="6"/>
  <c r="K155" i="6"/>
  <c r="K152" i="6"/>
  <c r="BB74" i="6"/>
  <c r="BB71" i="6"/>
  <c r="AT75" i="6"/>
  <c r="AT72" i="6"/>
  <c r="CR72" i="6"/>
  <c r="CR75" i="6"/>
  <c r="O155" i="6"/>
  <c r="O152" i="6"/>
  <c r="CZ157" i="6"/>
  <c r="CZ154" i="6"/>
  <c r="AM79" i="6" a="1"/>
  <c r="CI152" i="6"/>
  <c r="CI155" i="6"/>
  <c r="AZ162" i="6"/>
  <c r="AZ163" i="6"/>
  <c r="AZ161" i="6"/>
  <c r="BL153" i="6"/>
  <c r="BL156" i="6"/>
  <c r="AA153" i="6"/>
  <c r="AA156" i="6"/>
  <c r="L155" i="6"/>
  <c r="L152" i="6"/>
  <c r="CR161" i="6"/>
  <c r="CR162" i="6"/>
  <c r="CR163" i="6"/>
  <c r="BD153" i="6"/>
  <c r="BD156" i="6"/>
  <c r="BU153" i="6"/>
  <c r="BU156" i="6"/>
  <c r="AY74" i="6"/>
  <c r="AY71" i="6"/>
  <c r="AI157" i="6"/>
  <c r="AI154" i="6"/>
  <c r="CG163" i="6"/>
  <c r="CG161" i="6"/>
  <c r="CG162" i="6"/>
  <c r="X154" i="6"/>
  <c r="X157" i="6"/>
  <c r="BB155" i="6"/>
  <c r="BB152" i="6"/>
  <c r="O156" i="6"/>
  <c r="O153" i="6"/>
  <c r="AG157" i="6"/>
  <c r="AG154" i="6"/>
  <c r="M162" i="6"/>
  <c r="BL72" i="6"/>
  <c r="BL75" i="6"/>
  <c r="CL154" i="6"/>
  <c r="CL157" i="6"/>
  <c r="R152" i="6"/>
  <c r="R155" i="6"/>
  <c r="I155" i="6"/>
  <c r="I152" i="6"/>
  <c r="CC157" i="6"/>
  <c r="CC154" i="6"/>
  <c r="CQ157" i="6"/>
  <c r="CQ154" i="6"/>
  <c r="CN155" i="6"/>
  <c r="CN152" i="6"/>
  <c r="BY157" i="6"/>
  <c r="BY154" i="6"/>
  <c r="O73" i="6"/>
  <c r="O70" i="6"/>
  <c r="CF152" i="6"/>
  <c r="CF155" i="6"/>
  <c r="BU74" i="6"/>
  <c r="BU71" i="6"/>
  <c r="AE156" i="6"/>
  <c r="AE153" i="6"/>
  <c r="CQ72" i="6"/>
  <c r="CQ75" i="6"/>
  <c r="V153" i="6"/>
  <c r="V156" i="6"/>
  <c r="AU155" i="6"/>
  <c r="AU152" i="6"/>
  <c r="R73" i="6"/>
  <c r="R70" i="6"/>
  <c r="BK154" i="6"/>
  <c r="BK157" i="6"/>
  <c r="AJ71" i="6"/>
  <c r="AJ74" i="6"/>
  <c r="R154" i="6"/>
  <c r="R157" i="6"/>
  <c r="BL154" i="6"/>
  <c r="BL157" i="6"/>
  <c r="AA154" i="6"/>
  <c r="AA157" i="6"/>
  <c r="BU70" i="6"/>
  <c r="BU73" i="6"/>
  <c r="BP161" i="6"/>
  <c r="BP162" i="6"/>
  <c r="BP163" i="6"/>
  <c r="BD157" i="6"/>
  <c r="BD154" i="6"/>
  <c r="BU152" i="6"/>
  <c r="BU155" i="6"/>
  <c r="AX155" i="6"/>
  <c r="AX152" i="6"/>
  <c r="CX157" i="6"/>
  <c r="CX154" i="6"/>
  <c r="AY75" i="6"/>
  <c r="AY72" i="6"/>
  <c r="CW74" i="6"/>
  <c r="CW71" i="6"/>
  <c r="X73" i="6"/>
  <c r="X70" i="6"/>
  <c r="AD72" i="6"/>
  <c r="AD75" i="6"/>
  <c r="CU154" i="6"/>
  <c r="CU157" i="6"/>
  <c r="CY154" i="6"/>
  <c r="CY157" i="6"/>
  <c r="BC156" i="6"/>
  <c r="BC153" i="6"/>
  <c r="BT75" i="6"/>
  <c r="BT72" i="6"/>
  <c r="AT154" i="6"/>
  <c r="AT157" i="6"/>
  <c r="BT156" i="6"/>
  <c r="BT153" i="6"/>
  <c r="Y72" i="6"/>
  <c r="Y75" i="6"/>
  <c r="AP154" i="6"/>
  <c r="AP157" i="6"/>
  <c r="CG72" i="6"/>
  <c r="CG75" i="6"/>
  <c r="BE157" i="6"/>
  <c r="BE154" i="6"/>
  <c r="AU74" i="6"/>
  <c r="AU71" i="6"/>
  <c r="X153" i="6"/>
  <c r="X156" i="6"/>
  <c r="CH155" i="6"/>
  <c r="CH152" i="6"/>
  <c r="CA74" i="6"/>
  <c r="CA71" i="6"/>
  <c r="H71" i="6"/>
  <c r="H74" i="6"/>
  <c r="P72" i="6"/>
  <c r="P75" i="6"/>
  <c r="AN75" i="6"/>
  <c r="AN72" i="6"/>
  <c r="CK75" i="6"/>
  <c r="CK72" i="6"/>
  <c r="K154" i="6"/>
  <c r="K157" i="6"/>
  <c r="BB73" i="6"/>
  <c r="BB70" i="6"/>
  <c r="CW153" i="6"/>
  <c r="CW156" i="6"/>
  <c r="BS79" i="6" a="1"/>
  <c r="BB156" i="6"/>
  <c r="BB153" i="6"/>
  <c r="CR73" i="6"/>
  <c r="CR70" i="6"/>
  <c r="O157" i="6"/>
  <c r="O154" i="6"/>
  <c r="CV76" i="6" a="1"/>
  <c r="CZ152" i="6"/>
  <c r="CZ155" i="6"/>
  <c r="AP73" i="6"/>
  <c r="AP70" i="6"/>
  <c r="BN76" i="6" a="1"/>
  <c r="L157" i="6"/>
  <c r="L154" i="6"/>
  <c r="CJ76" i="6" l="1" a="1"/>
  <c r="W158" i="6" a="1"/>
  <c r="W159" i="6" s="1"/>
  <c r="AK161" i="6"/>
  <c r="AK162" i="6"/>
  <c r="CH79" i="6" a="1"/>
  <c r="CH79" i="6" s="1"/>
  <c r="CD158" i="6" a="1"/>
  <c r="W163" i="6"/>
  <c r="AM161" i="6"/>
  <c r="BQ158" i="6" a="1"/>
  <c r="BQ159" i="6" s="1"/>
  <c r="AM76" i="6" a="1"/>
  <c r="CE161" i="6"/>
  <c r="CE162" i="6"/>
  <c r="CO158" i="6"/>
  <c r="CO159" i="6"/>
  <c r="AL158" i="6" a="1"/>
  <c r="AL159" i="6" s="1"/>
  <c r="G76" i="6" a="1"/>
  <c r="G76" i="6" s="1"/>
  <c r="CV161" i="6"/>
  <c r="CA158" i="6"/>
  <c r="CS162" i="6"/>
  <c r="CD163" i="6"/>
  <c r="CS163" i="6"/>
  <c r="F162" i="6"/>
  <c r="CD162" i="6"/>
  <c r="CV79" i="6" a="1"/>
  <c r="CV80" i="6" s="1"/>
  <c r="BP158" i="6" a="1"/>
  <c r="BP158" i="6" s="1"/>
  <c r="CK163" i="6"/>
  <c r="CK161" i="6"/>
  <c r="P160" i="6"/>
  <c r="CS158" i="6" a="1"/>
  <c r="CS160" i="6" s="1"/>
  <c r="CB161" i="6"/>
  <c r="AM162" i="6"/>
  <c r="P159" i="6"/>
  <c r="CB162" i="6"/>
  <c r="BA158" i="6" a="1"/>
  <c r="BA160" i="6" s="1"/>
  <c r="DA158" i="6" a="1"/>
  <c r="DA158" i="6" s="1"/>
  <c r="AN161" i="6"/>
  <c r="AQ158" i="6" a="1"/>
  <c r="AQ159" i="6" s="1"/>
  <c r="AN163" i="6"/>
  <c r="BW163" i="6"/>
  <c r="Y161" i="6"/>
  <c r="AR79" i="6"/>
  <c r="AZ158" i="6" a="1"/>
  <c r="AZ160" i="6" s="1"/>
  <c r="M158" i="6" a="1"/>
  <c r="M159" i="6" s="1"/>
  <c r="CB80" i="6"/>
  <c r="CB85" i="6" s="1" a="1"/>
  <c r="T158" i="6" a="1"/>
  <c r="T159" i="6" s="1"/>
  <c r="CR158" i="6" a="1"/>
  <c r="CR159" i="6" s="1"/>
  <c r="BQ162" i="6"/>
  <c r="G161" i="6" a="1"/>
  <c r="G161" i="6" s="1"/>
  <c r="BA161" i="6"/>
  <c r="BZ76" i="6" a="1"/>
  <c r="BZ77" i="6" s="1"/>
  <c r="AK158" i="6" a="1"/>
  <c r="AK158" i="6" s="1"/>
  <c r="BA163" i="6"/>
  <c r="BQ161" i="6"/>
  <c r="AX76" i="6" a="1"/>
  <c r="AX78" i="6" s="1"/>
  <c r="CA163" i="6"/>
  <c r="CA161" i="6"/>
  <c r="CA162" i="6"/>
  <c r="AB158" i="6"/>
  <c r="F163" i="6"/>
  <c r="AB160" i="6"/>
  <c r="CJ161" i="6"/>
  <c r="BF76" i="6" a="1"/>
  <c r="BF78" i="6" s="1"/>
  <c r="CK158" i="6" a="1"/>
  <c r="CK159" i="6" s="1"/>
  <c r="AM158" i="6" a="1"/>
  <c r="AM160" i="6" s="1"/>
  <c r="BM161" i="6"/>
  <c r="W162" i="6"/>
  <c r="BM162" i="6"/>
  <c r="DA163" i="6"/>
  <c r="W80" i="6"/>
  <c r="BM158" i="6" a="1"/>
  <c r="BM159" i="6" s="1"/>
  <c r="CB160" i="6"/>
  <c r="CB158" i="6"/>
  <c r="CB159" i="6"/>
  <c r="AQ76" i="6" a="1"/>
  <c r="AQ78" i="6" s="1"/>
  <c r="P161" i="6" a="1"/>
  <c r="P163" i="6" s="1"/>
  <c r="BO158" i="6" a="1"/>
  <c r="BO160" i="6" s="1"/>
  <c r="AW162" i="6"/>
  <c r="CE163" i="6"/>
  <c r="AR80" i="6"/>
  <c r="CC80" i="6"/>
  <c r="CG158" i="6" a="1"/>
  <c r="CG160" i="6" s="1"/>
  <c r="AZ76" i="6" a="1"/>
  <c r="AZ76" i="6" s="1"/>
  <c r="AW161" i="6"/>
  <c r="AA80" i="6"/>
  <c r="CF79" i="6"/>
  <c r="AF158" i="6"/>
  <c r="CJ160" i="6"/>
  <c r="DA162" i="6"/>
  <c r="CV158" i="6" a="1"/>
  <c r="CV160" i="6" s="1"/>
  <c r="AF160" i="6"/>
  <c r="Y162" i="6"/>
  <c r="U163" i="6"/>
  <c r="F158" i="6" a="1"/>
  <c r="F160" i="6" s="1"/>
  <c r="CP163" i="6"/>
  <c r="CJ162" i="6"/>
  <c r="CJ159" i="6"/>
  <c r="T163" i="6"/>
  <c r="CC81" i="6"/>
  <c r="AA81" i="6"/>
  <c r="U79" i="6" a="1"/>
  <c r="U81" i="6" s="1"/>
  <c r="AB163" i="6"/>
  <c r="CP162" i="6"/>
  <c r="CP167" i="6" s="1" a="1"/>
  <c r="BX77" i="6"/>
  <c r="CT158" i="6" a="1"/>
  <c r="CT158" i="6" s="1"/>
  <c r="CV163" i="6"/>
  <c r="J79" i="6" a="1"/>
  <c r="J81" i="6" s="1"/>
  <c r="AL161" i="6"/>
  <c r="AL162" i="6"/>
  <c r="AH79" i="6" a="1"/>
  <c r="AH80" i="6" s="1"/>
  <c r="CC76" i="6" a="1"/>
  <c r="CC77" i="6" s="1"/>
  <c r="F80" i="6"/>
  <c r="G79" i="6"/>
  <c r="V80" i="6"/>
  <c r="AF80" i="6"/>
  <c r="BN79" i="6" a="1"/>
  <c r="BN79" i="6" s="1"/>
  <c r="BC76" i="6" a="1"/>
  <c r="BC78" i="6" s="1"/>
  <c r="BX76" i="6"/>
  <c r="G81" i="6"/>
  <c r="CS79" i="6" a="1"/>
  <c r="CS81" i="6" s="1"/>
  <c r="BE78" i="6"/>
  <c r="BS76" i="6" a="1"/>
  <c r="BS77" i="6" s="1"/>
  <c r="CM81" i="6"/>
  <c r="CU81" i="6"/>
  <c r="CM79" i="6"/>
  <c r="CE81" i="6"/>
  <c r="CB76" i="6" a="1"/>
  <c r="CB76" i="6" s="1"/>
  <c r="BX79" i="6" a="1"/>
  <c r="BX80" i="6" s="1"/>
  <c r="CE80" i="6"/>
  <c r="BF79" i="6"/>
  <c r="L79" i="6" a="1"/>
  <c r="L79" i="6" s="1"/>
  <c r="V81" i="6"/>
  <c r="AO81" i="6"/>
  <c r="AB79" i="6" a="1"/>
  <c r="AB81" i="6" s="1"/>
  <c r="AF81" i="6"/>
  <c r="BE76" i="6"/>
  <c r="CF81" i="6"/>
  <c r="CT78" i="6"/>
  <c r="CH80" i="6"/>
  <c r="BI79" i="6" a="1"/>
  <c r="BI80" i="6" s="1"/>
  <c r="CO160" i="6"/>
  <c r="M161" i="6"/>
  <c r="M167" i="6" s="1" a="1"/>
  <c r="CF161" i="6" a="1"/>
  <c r="CF162" i="6" s="1"/>
  <c r="AY158" i="6"/>
  <c r="AY159" i="6"/>
  <c r="AW160" i="6"/>
  <c r="CE158" i="6"/>
  <c r="Q158" i="6"/>
  <c r="Z158" i="6" a="1"/>
  <c r="Z160" i="6" s="1"/>
  <c r="Q160" i="6"/>
  <c r="AY163" i="6"/>
  <c r="AY162" i="6"/>
  <c r="AY161" i="6"/>
  <c r="T161" i="6"/>
  <c r="AB161" i="6"/>
  <c r="G158" i="6"/>
  <c r="BS159" i="6"/>
  <c r="W160" i="6"/>
  <c r="Z163" i="6"/>
  <c r="W158" i="6"/>
  <c r="AD161" i="6"/>
  <c r="Z161" i="6"/>
  <c r="CE160" i="6"/>
  <c r="AD162" i="6"/>
  <c r="N158" i="6" a="1"/>
  <c r="N158" i="6" s="1"/>
  <c r="BW158" i="6" a="1"/>
  <c r="BW158" i="6" s="1"/>
  <c r="BI158" i="6" a="1"/>
  <c r="BI158" i="6" s="1"/>
  <c r="BS160" i="6"/>
  <c r="I161" i="6" a="1"/>
  <c r="I161" i="6" s="1"/>
  <c r="AD158" i="6"/>
  <c r="AD160" i="6"/>
  <c r="AD159" i="6"/>
  <c r="Y160" i="6"/>
  <c r="Y159" i="6"/>
  <c r="Y158" i="6"/>
  <c r="AU158" i="6" a="1"/>
  <c r="AU159" i="6" s="1"/>
  <c r="AN158" i="6" a="1"/>
  <c r="AN158" i="6" s="1"/>
  <c r="BO161" i="6"/>
  <c r="CZ158" i="6" a="1"/>
  <c r="CZ160" i="6" s="1"/>
  <c r="CA160" i="6"/>
  <c r="CA164" i="6" s="1" a="1"/>
  <c r="G159" i="6"/>
  <c r="AX158" i="6" a="1"/>
  <c r="AX158" i="6" s="1"/>
  <c r="M160" i="6"/>
  <c r="BW162" i="6"/>
  <c r="BW167" i="6" s="1" a="1"/>
  <c r="AO160" i="6"/>
  <c r="N161" i="6" a="1"/>
  <c r="N163" i="6" s="1"/>
  <c r="BT158" i="6" a="1"/>
  <c r="BT158" i="6" s="1"/>
  <c r="AO158" i="6"/>
  <c r="CT162" i="6"/>
  <c r="U162" i="6"/>
  <c r="X158" i="6" a="1"/>
  <c r="X159" i="6" s="1"/>
  <c r="CT161" i="6"/>
  <c r="BB161" i="6" a="1"/>
  <c r="BB162" i="6" s="1"/>
  <c r="BU158" i="6" a="1"/>
  <c r="BU158" i="6" s="1"/>
  <c r="J158" i="6" a="1"/>
  <c r="J160" i="6" s="1"/>
  <c r="BI161" i="6"/>
  <c r="BI162" i="6"/>
  <c r="BI163" i="6"/>
  <c r="CQ158" i="6" a="1"/>
  <c r="CQ160" i="6" s="1"/>
  <c r="CI161" i="6" a="1"/>
  <c r="CI163" i="6" s="1"/>
  <c r="CI158" i="6" a="1"/>
  <c r="CI158" i="6" s="1"/>
  <c r="AS161" i="6" a="1"/>
  <c r="AS161" i="6" s="1"/>
  <c r="AV161" i="6" a="1"/>
  <c r="AV163" i="6" s="1"/>
  <c r="AR163" i="6"/>
  <c r="AR161" i="6"/>
  <c r="AR162" i="6"/>
  <c r="CL158" i="6" a="1"/>
  <c r="CL159" i="6" s="1"/>
  <c r="AH161" i="6" a="1"/>
  <c r="AH161" i="6" s="1"/>
  <c r="BF158" i="6" a="1"/>
  <c r="BF158" i="6" s="1"/>
  <c r="AV158" i="6" a="1"/>
  <c r="AV158" i="6" s="1"/>
  <c r="BO163" i="6"/>
  <c r="CH158" i="6" a="1"/>
  <c r="CH160" i="6" s="1"/>
  <c r="AU161" i="6" a="1"/>
  <c r="AU161" i="6" s="1"/>
  <c r="BV161" i="6" a="1"/>
  <c r="BV163" i="6" s="1"/>
  <c r="BF161" i="6" a="1"/>
  <c r="BF161" i="6" s="1"/>
  <c r="AC161" i="6" a="1"/>
  <c r="AC163" i="6" s="1"/>
  <c r="CU158" i="6" a="1"/>
  <c r="CU160" i="6" s="1"/>
  <c r="AQ161" i="6"/>
  <c r="AQ162" i="6"/>
  <c r="AQ163" i="6"/>
  <c r="CN158" i="6" a="1"/>
  <c r="CN159" i="6" s="1"/>
  <c r="BX159" i="6"/>
  <c r="AR158" i="6"/>
  <c r="AR159" i="6"/>
  <c r="AR160" i="6"/>
  <c r="CQ161" i="6" a="1"/>
  <c r="CQ162" i="6" s="1"/>
  <c r="CW158" i="6" a="1"/>
  <c r="CW159" i="6" s="1"/>
  <c r="CG167" i="6" a="1"/>
  <c r="CG167" i="6" s="1"/>
  <c r="CG173" i="6" s="1"/>
  <c r="O161" i="6" a="1"/>
  <c r="O161" i="6" s="1"/>
  <c r="K158" i="6" a="1"/>
  <c r="K160" i="6" s="1"/>
  <c r="BN158" i="6" a="1"/>
  <c r="BN160" i="6" s="1"/>
  <c r="AW158" i="6"/>
  <c r="BX158" i="6"/>
  <c r="CZ161" i="6" a="1"/>
  <c r="CZ161" i="6" s="1"/>
  <c r="BC161" i="6" a="1"/>
  <c r="BC162" i="6" s="1"/>
  <c r="BJ161" i="6" a="1"/>
  <c r="BJ162" i="6" s="1"/>
  <c r="Z78" i="6"/>
  <c r="CT79" i="6" a="1"/>
  <c r="CT81" i="6" s="1"/>
  <c r="F76" i="6" a="1"/>
  <c r="F77" i="6" s="1"/>
  <c r="U78" i="6"/>
  <c r="BC81" i="6"/>
  <c r="W76" i="6" a="1"/>
  <c r="W76" i="6" s="1"/>
  <c r="W81" i="6"/>
  <c r="AO76" i="6" a="1"/>
  <c r="AO78" i="6" s="1"/>
  <c r="N79" i="6"/>
  <c r="N80" i="6"/>
  <c r="BA79" i="6" a="1"/>
  <c r="BA79" i="6" s="1"/>
  <c r="Q76" i="6" a="1"/>
  <c r="Q77" i="6" s="1"/>
  <c r="BF80" i="6"/>
  <c r="AC79" i="6"/>
  <c r="BC80" i="6"/>
  <c r="BJ77" i="6"/>
  <c r="F79" i="6"/>
  <c r="CS78" i="6"/>
  <c r="AR78" i="6"/>
  <c r="CF77" i="6"/>
  <c r="BV76" i="6" a="1"/>
  <c r="BV78" i="6" s="1"/>
  <c r="AR76" i="6"/>
  <c r="CF76" i="6"/>
  <c r="CX76" i="6" a="1"/>
  <c r="CX78" i="6" s="1"/>
  <c r="AE81" i="6"/>
  <c r="AE80" i="6"/>
  <c r="V76" i="6" a="1"/>
  <c r="V77" i="6" s="1"/>
  <c r="J76" i="6"/>
  <c r="J77" i="6"/>
  <c r="BE79" i="6"/>
  <c r="N81" i="6"/>
  <c r="BE80" i="6"/>
  <c r="AC80" i="6"/>
  <c r="DA79" i="6" a="1"/>
  <c r="DA80" i="6" s="1"/>
  <c r="AQ81" i="6"/>
  <c r="AQ80" i="6"/>
  <c r="AQ79" i="6"/>
  <c r="CT77" i="6"/>
  <c r="AL76" i="6" a="1"/>
  <c r="AL78" i="6" s="1"/>
  <c r="CH81" i="6"/>
  <c r="BJ80" i="6"/>
  <c r="AV79" i="6" a="1"/>
  <c r="AV79" i="6" s="1"/>
  <c r="AE76" i="6" a="1"/>
  <c r="AE78" i="6" s="1"/>
  <c r="BH79" i="6"/>
  <c r="Z77" i="6"/>
  <c r="BO76" i="6"/>
  <c r="BJ76" i="6"/>
  <c r="AO80" i="6"/>
  <c r="AK76" i="6" a="1"/>
  <c r="AK78" i="6" s="1"/>
  <c r="CE76" i="6"/>
  <c r="CE78" i="6"/>
  <c r="BJ79" i="6"/>
  <c r="L76" i="6"/>
  <c r="Q79" i="6" a="1"/>
  <c r="Q80" i="6" s="1"/>
  <c r="AV76" i="6" a="1"/>
  <c r="AV77" i="6" s="1"/>
  <c r="L77" i="6"/>
  <c r="CU80" i="6"/>
  <c r="AA77" i="6"/>
  <c r="CN76" i="6" a="1"/>
  <c r="CN77" i="6" s="1"/>
  <c r="BO81" i="6"/>
  <c r="AA78" i="6"/>
  <c r="CS76" i="6"/>
  <c r="BO80" i="6"/>
  <c r="AW76" i="6" a="1"/>
  <c r="AW76" i="6" s="1"/>
  <c r="AW79" i="6" a="1"/>
  <c r="AW81" i="6" s="1"/>
  <c r="BM81" i="6"/>
  <c r="BM80" i="6"/>
  <c r="AX79" i="6"/>
  <c r="BO77" i="6"/>
  <c r="BK76" i="6" a="1"/>
  <c r="BK78" i="6" s="1"/>
  <c r="O76" i="6" a="1"/>
  <c r="O78" i="6" s="1"/>
  <c r="CA76" i="6" a="1"/>
  <c r="CA76" i="6" s="1"/>
  <c r="CX79" i="6"/>
  <c r="CD76" i="6" a="1"/>
  <c r="CD77" i="6" s="1"/>
  <c r="AF77" i="6"/>
  <c r="AF76" i="6"/>
  <c r="AF78" i="6"/>
  <c r="BA76" i="6"/>
  <c r="Z81" i="6"/>
  <c r="BA77" i="6"/>
  <c r="BH76" i="6" a="1"/>
  <c r="BH77" i="6" s="1"/>
  <c r="BH80" i="6"/>
  <c r="BY79" i="6" a="1"/>
  <c r="BY80" i="6" s="1"/>
  <c r="BY76" i="6" a="1"/>
  <c r="Y79" i="6" a="1"/>
  <c r="Y81" i="6" s="1"/>
  <c r="CW79" i="6" a="1"/>
  <c r="CW80" i="6" s="1"/>
  <c r="CI76" i="6" a="1"/>
  <c r="CI77" i="6" s="1"/>
  <c r="BQ76" i="6" a="1"/>
  <c r="BQ76" i="6" s="1"/>
  <c r="Z79" i="6"/>
  <c r="AX80" i="6"/>
  <c r="CQ76" i="6" a="1"/>
  <c r="CQ76" i="6" s="1"/>
  <c r="CR79" i="6" a="1"/>
  <c r="CR81" i="6" s="1"/>
  <c r="CI79" i="6" a="1"/>
  <c r="CI80" i="6" s="1"/>
  <c r="AJ76" i="6" a="1"/>
  <c r="AJ76" i="6" s="1"/>
  <c r="BM79" i="6"/>
  <c r="CK79" i="6" a="1"/>
  <c r="CK81" i="6" s="1"/>
  <c r="CX81" i="6"/>
  <c r="U77" i="6"/>
  <c r="CD81" i="6"/>
  <c r="CD79" i="6"/>
  <c r="CD80" i="6"/>
  <c r="BB79" i="6" a="1"/>
  <c r="BB79" i="6" s="1"/>
  <c r="I79" i="6" a="1"/>
  <c r="I81" i="6" s="1"/>
  <c r="BQ79" i="6" a="1"/>
  <c r="BQ81" i="6" s="1"/>
  <c r="AS76" i="6"/>
  <c r="AJ79" i="6" a="1"/>
  <c r="AJ81" i="6" s="1"/>
  <c r="S79" i="6" a="1"/>
  <c r="S80" i="6" s="1"/>
  <c r="AK79" i="6"/>
  <c r="N77" i="6"/>
  <c r="AU76" i="6" a="1"/>
  <c r="AU77" i="6" s="1"/>
  <c r="AP79" i="6" a="1"/>
  <c r="AP81" i="6" s="1"/>
  <c r="BM76" i="6"/>
  <c r="K79" i="6" a="1"/>
  <c r="K79" i="6" s="1"/>
  <c r="AS77" i="6"/>
  <c r="AK80" i="6"/>
  <c r="N78" i="6"/>
  <c r="T76" i="6" a="1"/>
  <c r="CP76" i="6" a="1"/>
  <c r="BK79" i="6"/>
  <c r="BK80" i="6"/>
  <c r="BK81" i="6"/>
  <c r="BM77" i="6"/>
  <c r="P76" i="6" a="1"/>
  <c r="P77" i="6" s="1"/>
  <c r="T79" i="6" a="1"/>
  <c r="CP79" i="6" a="1"/>
  <c r="CM78" i="6"/>
  <c r="CM76" i="6"/>
  <c r="CM77" i="6"/>
  <c r="BY158" i="6" a="1"/>
  <c r="CV78" i="6"/>
  <c r="CV77" i="6"/>
  <c r="CV76" i="6"/>
  <c r="BD78" i="6"/>
  <c r="BD76" i="6"/>
  <c r="BD77" i="6"/>
  <c r="AA158" i="6" a="1"/>
  <c r="AM78" i="6"/>
  <c r="AM77" i="6"/>
  <c r="AM76" i="6"/>
  <c r="M80" i="6"/>
  <c r="M79" i="6"/>
  <c r="M81" i="6"/>
  <c r="CY158" i="6" a="1"/>
  <c r="CU161" i="6" a="1"/>
  <c r="BZ162" i="6"/>
  <c r="BZ161" i="6"/>
  <c r="BZ163" i="6"/>
  <c r="CO79" i="6" a="1"/>
  <c r="AI158" i="6" a="1"/>
  <c r="BX161" i="6"/>
  <c r="BX163" i="6"/>
  <c r="BX162" i="6"/>
  <c r="AC158" i="6" a="1"/>
  <c r="Q167" i="6" a="1"/>
  <c r="BL79" i="6" a="1"/>
  <c r="BT76" i="6" a="1"/>
  <c r="BB76" i="6" a="1"/>
  <c r="CH161" i="6" a="1"/>
  <c r="CD160" i="6"/>
  <c r="CD158" i="6"/>
  <c r="CD159" i="6"/>
  <c r="CF158" i="6" a="1"/>
  <c r="BD80" i="6"/>
  <c r="BD81" i="6"/>
  <c r="BD79" i="6"/>
  <c r="I158" i="6" a="1"/>
  <c r="O158" i="6" a="1"/>
  <c r="CY79" i="6"/>
  <c r="CY80" i="6"/>
  <c r="CY81" i="6"/>
  <c r="CN79" i="6" a="1"/>
  <c r="AU79" i="6" a="1"/>
  <c r="BI76" i="6"/>
  <c r="BI78" i="6"/>
  <c r="BI77" i="6"/>
  <c r="BG81" i="6"/>
  <c r="BG80" i="6"/>
  <c r="BG79" i="6"/>
  <c r="AS79" i="6"/>
  <c r="AS80" i="6"/>
  <c r="AS81" i="6"/>
  <c r="AG78" i="6"/>
  <c r="AG77" i="6"/>
  <c r="AG76" i="6"/>
  <c r="CH77" i="6"/>
  <c r="CH78" i="6"/>
  <c r="CH76" i="6"/>
  <c r="AH158" i="6" a="1"/>
  <c r="CQ79" i="6" a="1"/>
  <c r="AA161" i="6" a="1"/>
  <c r="BH158" i="6"/>
  <c r="BH159" i="6"/>
  <c r="BH160" i="6"/>
  <c r="BZ79" i="6"/>
  <c r="BZ81" i="6"/>
  <c r="BZ80" i="6"/>
  <c r="CY161" i="6" a="1"/>
  <c r="BJ158" i="6" a="1"/>
  <c r="AD79" i="6" a="1"/>
  <c r="CO76" i="6" a="1"/>
  <c r="AI161" i="6" a="1"/>
  <c r="P79" i="6" a="1"/>
  <c r="BL76" i="6" a="1"/>
  <c r="H79" i="6" a="1"/>
  <c r="BT79" i="6" a="1"/>
  <c r="AI80" i="6"/>
  <c r="AI81" i="6"/>
  <c r="AI79" i="6"/>
  <c r="BS81" i="6"/>
  <c r="BS80" i="6"/>
  <c r="BS79" i="6"/>
  <c r="AM80" i="6"/>
  <c r="AM81" i="6"/>
  <c r="AM79" i="6"/>
  <c r="BL158" i="6" a="1"/>
  <c r="CU76" i="6"/>
  <c r="CU77" i="6"/>
  <c r="CU78" i="6"/>
  <c r="X76" i="6" a="1"/>
  <c r="CN161" i="6" a="1"/>
  <c r="V158" i="6" a="1"/>
  <c r="BP80" i="6"/>
  <c r="BP81" i="6"/>
  <c r="BP79" i="6"/>
  <c r="BL161" i="6" a="1"/>
  <c r="X161" i="6" a="1"/>
  <c r="J161" i="6" a="1"/>
  <c r="AP76" i="6" a="1"/>
  <c r="AC78" i="6"/>
  <c r="AC77" i="6"/>
  <c r="AC76" i="6"/>
  <c r="X79" i="6" a="1"/>
  <c r="AX161" i="6" a="1"/>
  <c r="BP167" i="6" a="1"/>
  <c r="R76" i="6" a="1"/>
  <c r="R158" i="6" a="1"/>
  <c r="L158" i="6" a="1"/>
  <c r="AZ167" i="6" a="1"/>
  <c r="K161" i="6" a="1"/>
  <c r="AN79" i="6" a="1"/>
  <c r="CA79" i="6" a="1"/>
  <c r="BK158" i="6" a="1"/>
  <c r="CG79" i="6" a="1"/>
  <c r="Y76" i="6" a="1"/>
  <c r="AH77" i="6"/>
  <c r="AH76" i="6"/>
  <c r="AH78" i="6"/>
  <c r="CZ79" i="6"/>
  <c r="CZ80" i="6"/>
  <c r="CZ81" i="6"/>
  <c r="AY79" i="6" a="1"/>
  <c r="BR161" i="6" a="1"/>
  <c r="S158" i="6" a="1"/>
  <c r="AO167" i="6" a="1"/>
  <c r="AZ79" i="6"/>
  <c r="AZ80" i="6"/>
  <c r="AZ81" i="6"/>
  <c r="CO167" i="6" a="1"/>
  <c r="AS158" i="6" a="1"/>
  <c r="AT158" i="6" a="1"/>
  <c r="AE158" i="6" a="1"/>
  <c r="AT79" i="6" a="1"/>
  <c r="AG158" i="6" a="1"/>
  <c r="CW161" i="6" a="1"/>
  <c r="BR76" i="6" a="1"/>
  <c r="BG158" i="6" a="1"/>
  <c r="BD161" i="6" a="1"/>
  <c r="V161" i="6" a="1"/>
  <c r="BZ159" i="6"/>
  <c r="BZ158" i="6"/>
  <c r="BZ160" i="6"/>
  <c r="I76" i="6" a="1"/>
  <c r="O79" i="6" a="1"/>
  <c r="CR167" i="6" a="1"/>
  <c r="CK76" i="6" a="1"/>
  <c r="CL161" i="6" a="1"/>
  <c r="S161" i="6" a="1"/>
  <c r="BV158" i="6" a="1"/>
  <c r="BS167" i="6" a="1"/>
  <c r="BG161" i="6" a="1"/>
  <c r="BP76" i="6"/>
  <c r="BP78" i="6"/>
  <c r="BP77" i="6"/>
  <c r="BU79" i="6" a="1"/>
  <c r="R79" i="6" a="1"/>
  <c r="L161" i="6" a="1"/>
  <c r="M78" i="6"/>
  <c r="M76" i="6"/>
  <c r="M77" i="6"/>
  <c r="AN76" i="6" a="1"/>
  <c r="BK161" i="6" a="1"/>
  <c r="CG76" i="6" a="1"/>
  <c r="AY76" i="6" a="1"/>
  <c r="DA76" i="6"/>
  <c r="DA78" i="6"/>
  <c r="DA77" i="6"/>
  <c r="AJ158" i="6" a="1"/>
  <c r="BE158" i="6" a="1"/>
  <c r="BI81" i="6"/>
  <c r="AT161" i="6" a="1"/>
  <c r="CL76" i="6" a="1"/>
  <c r="AE161" i="6" a="1"/>
  <c r="BH162" i="6"/>
  <c r="BH161" i="6"/>
  <c r="BH163" i="6"/>
  <c r="AG161" i="6" a="1"/>
  <c r="H158" i="6" a="1"/>
  <c r="AP158" i="6" a="1"/>
  <c r="CX158" i="6" a="1"/>
  <c r="CC161" i="6" a="1"/>
  <c r="U159" i="6"/>
  <c r="U158" i="6"/>
  <c r="U160" i="6"/>
  <c r="CM161" i="6" a="1"/>
  <c r="CJ79" i="6"/>
  <c r="CJ81" i="6"/>
  <c r="CJ80" i="6"/>
  <c r="BR79" i="6" a="1"/>
  <c r="BD158" i="6" a="1"/>
  <c r="AG79" i="6"/>
  <c r="AG80" i="6"/>
  <c r="AG81" i="6"/>
  <c r="CJ78" i="6"/>
  <c r="CJ77" i="6"/>
  <c r="CJ76" i="6"/>
  <c r="BB158" i="6" a="1"/>
  <c r="BW81" i="6"/>
  <c r="BW80" i="6"/>
  <c r="BW79" i="6"/>
  <c r="AB78" i="6"/>
  <c r="AB77" i="6"/>
  <c r="AB76" i="6"/>
  <c r="AD76" i="6" a="1"/>
  <c r="H76" i="6" a="1"/>
  <c r="BN77" i="6"/>
  <c r="BN76" i="6"/>
  <c r="BN78" i="6"/>
  <c r="R161" i="6" a="1"/>
  <c r="AI78" i="6"/>
  <c r="AI77" i="6"/>
  <c r="AI76" i="6"/>
  <c r="CW76" i="6" a="1"/>
  <c r="BR158" i="6" a="1"/>
  <c r="AT76" i="6" a="1"/>
  <c r="BW77" i="6"/>
  <c r="BW78" i="6"/>
  <c r="BW76" i="6"/>
  <c r="CR76" i="6" a="1"/>
  <c r="CY78" i="6"/>
  <c r="CY77" i="6"/>
  <c r="CY76" i="6"/>
  <c r="CZ78" i="6"/>
  <c r="CZ76" i="6"/>
  <c r="CZ77" i="6"/>
  <c r="BU161" i="6" a="1"/>
  <c r="BU76" i="6" a="1"/>
  <c r="AL79" i="6" a="1"/>
  <c r="BN161" i="6" a="1"/>
  <c r="AJ161" i="6" a="1"/>
  <c r="K76" i="6" a="1"/>
  <c r="BV80" i="6"/>
  <c r="BV79" i="6"/>
  <c r="BV81" i="6"/>
  <c r="BE161" i="6" a="1"/>
  <c r="BT161" i="6" a="1"/>
  <c r="BC158" i="6" a="1"/>
  <c r="CL79" i="6" a="1"/>
  <c r="BG77" i="6"/>
  <c r="BG76" i="6"/>
  <c r="BG78" i="6"/>
  <c r="H161" i="6" a="1"/>
  <c r="BN80" i="6"/>
  <c r="AP161" i="6" a="1"/>
  <c r="CX161" i="6" a="1"/>
  <c r="CP159" i="6"/>
  <c r="CP160" i="6"/>
  <c r="CP158" i="6"/>
  <c r="BY161" i="6" a="1"/>
  <c r="CC158" i="6" a="1"/>
  <c r="S76" i="6" a="1"/>
  <c r="CM158" i="6" a="1"/>
  <c r="AF167" i="6" a="1"/>
  <c r="AK167" i="6" l="1" a="1"/>
  <c r="AK169" i="6" s="1"/>
  <c r="AK175" i="6" s="1"/>
  <c r="CV81" i="6"/>
  <c r="CV79" i="6"/>
  <c r="CU85" i="6" a="1"/>
  <c r="CU86" i="6" s="1"/>
  <c r="CU92" i="6" s="1"/>
  <c r="BX82" i="6" a="1"/>
  <c r="W167" i="6" a="1"/>
  <c r="W168" i="6" s="1"/>
  <c r="W174" i="6" s="1"/>
  <c r="CK167" i="6" a="1"/>
  <c r="CK168" i="6" s="1"/>
  <c r="CK174" i="6" s="1"/>
  <c r="CD167" i="6" a="1"/>
  <c r="CD168" i="6" s="1"/>
  <c r="CD174" i="6" s="1"/>
  <c r="G163" i="6"/>
  <c r="G162" i="6"/>
  <c r="M158" i="6"/>
  <c r="CE167" i="6" a="1"/>
  <c r="BQ158" i="6"/>
  <c r="BZ76" i="6"/>
  <c r="DA159" i="6"/>
  <c r="DA160" i="6"/>
  <c r="Y167" i="6" a="1"/>
  <c r="Y169" i="6" s="1"/>
  <c r="Y175" i="6" s="1"/>
  <c r="AM167" i="6" a="1"/>
  <c r="AM169" i="6" s="1"/>
  <c r="AM175" i="6" s="1"/>
  <c r="AQ77" i="6"/>
  <c r="CS167" i="6" a="1"/>
  <c r="CS169" i="6" s="1"/>
  <c r="CS175" i="6" s="1"/>
  <c r="CV159" i="6"/>
  <c r="CS158" i="6"/>
  <c r="CS159" i="6"/>
  <c r="AQ160" i="6"/>
  <c r="CJ167" i="6" a="1"/>
  <c r="BQ160" i="6"/>
  <c r="BQ164" i="6" s="1" a="1"/>
  <c r="BQ166" i="6" s="1"/>
  <c r="BQ172" i="6" s="1"/>
  <c r="P164" i="6" a="1"/>
  <c r="P165" i="6" s="1"/>
  <c r="P171" i="6" s="1"/>
  <c r="AF85" i="6" a="1"/>
  <c r="AF87" i="6" s="1"/>
  <c r="AF93" i="6" s="1"/>
  <c r="AN167" i="6" a="1"/>
  <c r="AN167" i="6" s="1"/>
  <c r="AN173" i="6" s="1"/>
  <c r="F167" i="6" a="1"/>
  <c r="F169" i="6" s="1"/>
  <c r="F175" i="6" s="1"/>
  <c r="AK160" i="6"/>
  <c r="AR85" i="6" a="1"/>
  <c r="AR85" i="6" s="1"/>
  <c r="AR91" i="6" s="1"/>
  <c r="CB167" i="6" a="1"/>
  <c r="CB169" i="6" s="1"/>
  <c r="CB175" i="6" s="1"/>
  <c r="CV167" i="6" a="1"/>
  <c r="CV169" i="6" s="1"/>
  <c r="CV175" i="6" s="1"/>
  <c r="G77" i="6"/>
  <c r="CS79" i="6"/>
  <c r="AH79" i="6"/>
  <c r="BQ167" i="6" a="1"/>
  <c r="BQ168" i="6" s="1"/>
  <c r="BQ174" i="6" s="1"/>
  <c r="BP160" i="6"/>
  <c r="G78" i="6"/>
  <c r="CR160" i="6"/>
  <c r="BP159" i="6"/>
  <c r="G85" i="6" a="1"/>
  <c r="G87" i="6" s="1"/>
  <c r="G93" i="6" s="1"/>
  <c r="AL160" i="6"/>
  <c r="AB164" i="6" a="1"/>
  <c r="AB165" i="6" s="1"/>
  <c r="AB171" i="6" s="1"/>
  <c r="AL158" i="6"/>
  <c r="CV158" i="6"/>
  <c r="CV164" i="6" s="1" a="1"/>
  <c r="CV165" i="6" s="1"/>
  <c r="CV171" i="6" s="1"/>
  <c r="CO164" i="6" a="1"/>
  <c r="CO166" i="6" s="1"/>
  <c r="CO172" i="6" s="1"/>
  <c r="DA167" i="6" a="1"/>
  <c r="DA169" i="6" s="1"/>
  <c r="DA175" i="6" s="1"/>
  <c r="BA167" i="6" a="1"/>
  <c r="BA167" i="6" s="1"/>
  <c r="BA173" i="6" s="1"/>
  <c r="BI159" i="6"/>
  <c r="BM158" i="6"/>
  <c r="AK168" i="6"/>
  <c r="AK174" i="6" s="1"/>
  <c r="BW160" i="6"/>
  <c r="CK160" i="6"/>
  <c r="AX76" i="6"/>
  <c r="BZ78" i="6"/>
  <c r="BZ82" i="6" s="1" a="1"/>
  <c r="AK167" i="6"/>
  <c r="AK173" i="6" s="1"/>
  <c r="AX77" i="6"/>
  <c r="CT159" i="6"/>
  <c r="CR158" i="6"/>
  <c r="BA159" i="6"/>
  <c r="AZ158" i="6"/>
  <c r="CF85" i="6" a="1"/>
  <c r="CF86" i="6" s="1"/>
  <c r="CF92" i="6" s="1"/>
  <c r="AZ78" i="6"/>
  <c r="CJ164" i="6" a="1"/>
  <c r="CJ166" i="6" s="1"/>
  <c r="CJ172" i="6" s="1"/>
  <c r="CA167" i="6" a="1"/>
  <c r="CA167" i="6" s="1"/>
  <c r="CA173" i="6" s="1"/>
  <c r="AQ76" i="6"/>
  <c r="BA158" i="6"/>
  <c r="CT160" i="6"/>
  <c r="AQ158" i="6"/>
  <c r="AZ77" i="6"/>
  <c r="CC78" i="6"/>
  <c r="T158" i="6"/>
  <c r="CK158" i="6"/>
  <c r="T160" i="6"/>
  <c r="AZ159" i="6"/>
  <c r="AM158" i="6"/>
  <c r="CE85" i="6" a="1"/>
  <c r="CE85" i="6" s="1"/>
  <c r="CE91" i="6" s="1"/>
  <c r="BM167" i="6" a="1"/>
  <c r="BM168" i="6" s="1"/>
  <c r="BM174" i="6" s="1"/>
  <c r="CF163" i="6"/>
  <c r="AM159" i="6"/>
  <c r="AF164" i="6" a="1"/>
  <c r="AF165" i="6" s="1"/>
  <c r="AF171" i="6" s="1"/>
  <c r="AK159" i="6"/>
  <c r="CB164" i="6" a="1"/>
  <c r="CB165" i="6" s="1"/>
  <c r="CB171" i="6" s="1"/>
  <c r="AA82" i="6" a="1"/>
  <c r="AA83" i="6" s="1"/>
  <c r="AA89" i="6" s="1"/>
  <c r="CG158" i="6"/>
  <c r="CZ162" i="6"/>
  <c r="BM160" i="6"/>
  <c r="X158" i="6"/>
  <c r="BF76" i="6"/>
  <c r="AW167" i="6" a="1"/>
  <c r="AW169" i="6" s="1"/>
  <c r="AW175" i="6" s="1"/>
  <c r="BF77" i="6"/>
  <c r="CF161" i="6"/>
  <c r="W85" i="6" a="1"/>
  <c r="W87" i="6" s="1"/>
  <c r="W93" i="6" s="1"/>
  <c r="BI160" i="6"/>
  <c r="V85" i="6" a="1"/>
  <c r="V87" i="6" s="1"/>
  <c r="V93" i="6" s="1"/>
  <c r="CG159" i="6"/>
  <c r="AY164" i="6" a="1"/>
  <c r="AY165" i="6" s="1"/>
  <c r="AY171" i="6" s="1"/>
  <c r="AH81" i="6"/>
  <c r="M164" i="6" a="1"/>
  <c r="M164" i="6" s="1"/>
  <c r="M170" i="6" s="1"/>
  <c r="BN81" i="6"/>
  <c r="BN85" i="6" s="1" a="1"/>
  <c r="BN86" i="6" s="1"/>
  <c r="BN92" i="6" s="1"/>
  <c r="CF82" i="6" a="1"/>
  <c r="CF84" i="6" s="1"/>
  <c r="CF90" i="6" s="1"/>
  <c r="BO159" i="6"/>
  <c r="AB167" i="6" a="1"/>
  <c r="AB169" i="6" s="1"/>
  <c r="AB175" i="6" s="1"/>
  <c r="BO158" i="6"/>
  <c r="AA85" i="6" a="1"/>
  <c r="AA85" i="6" s="1"/>
  <c r="AA91" i="6" s="1"/>
  <c r="W169" i="6"/>
  <c r="W175" i="6" s="1"/>
  <c r="BX79" i="6"/>
  <c r="P161" i="6"/>
  <c r="AD164" i="6" a="1"/>
  <c r="AD164" i="6" s="1"/>
  <c r="AD170" i="6" s="1"/>
  <c r="Z167" i="6" a="1"/>
  <c r="Z169" i="6" s="1"/>
  <c r="Z175" i="6" s="1"/>
  <c r="T167" i="6" a="1"/>
  <c r="T167" i="6" s="1"/>
  <c r="T173" i="6" s="1"/>
  <c r="CC85" i="6" a="1"/>
  <c r="CC85" i="6" s="1"/>
  <c r="CC91" i="6" s="1"/>
  <c r="BB163" i="6"/>
  <c r="AX160" i="6"/>
  <c r="W167" i="6"/>
  <c r="W173" i="6" s="1"/>
  <c r="U167" i="6" a="1"/>
  <c r="U168" i="6" s="1"/>
  <c r="U174" i="6" s="1"/>
  <c r="P162" i="6"/>
  <c r="Z158" i="6"/>
  <c r="AL167" i="6" a="1"/>
  <c r="AL169" i="6" s="1"/>
  <c r="AL175" i="6" s="1"/>
  <c r="Z82" i="6" a="1"/>
  <c r="Z83" i="6" s="1"/>
  <c r="Z89" i="6" s="1"/>
  <c r="P166" i="6"/>
  <c r="P172" i="6" s="1"/>
  <c r="U79" i="6"/>
  <c r="J80" i="6"/>
  <c r="G164" i="6" a="1"/>
  <c r="G164" i="6" s="1"/>
  <c r="G170" i="6" s="1"/>
  <c r="BE82" i="6" a="1"/>
  <c r="BE84" i="6" s="1"/>
  <c r="BE90" i="6" s="1"/>
  <c r="F159" i="6"/>
  <c r="F158" i="6"/>
  <c r="J79" i="6"/>
  <c r="AD167" i="6" a="1"/>
  <c r="AD167" i="6" s="1"/>
  <c r="AD173" i="6" s="1"/>
  <c r="CM85" i="6" a="1"/>
  <c r="CM85" i="6" s="1"/>
  <c r="CM91" i="6" s="1"/>
  <c r="AY167" i="6" a="1"/>
  <c r="AY169" i="6" s="1"/>
  <c r="AY175" i="6" s="1"/>
  <c r="Q164" i="6" a="1"/>
  <c r="Q166" i="6" s="1"/>
  <c r="Q172" i="6" s="1"/>
  <c r="I79" i="6"/>
  <c r="AO164" i="6" a="1"/>
  <c r="AO166" i="6" s="1"/>
  <c r="AO172" i="6" s="1"/>
  <c r="AR82" i="6" a="1"/>
  <c r="AR84" i="6" s="1"/>
  <c r="AR90" i="6" s="1"/>
  <c r="U80" i="6"/>
  <c r="BX81" i="6"/>
  <c r="F85" i="6" a="1"/>
  <c r="F85" i="6" s="1"/>
  <c r="F91" i="6" s="1"/>
  <c r="CC76" i="6"/>
  <c r="AB79" i="6"/>
  <c r="BC77" i="6"/>
  <c r="AB80" i="6"/>
  <c r="AE85" i="6" a="1"/>
  <c r="AE85" i="6" s="1"/>
  <c r="AE91" i="6" s="1"/>
  <c r="BS78" i="6"/>
  <c r="CB77" i="6"/>
  <c r="BS76" i="6"/>
  <c r="L82" i="6" a="1"/>
  <c r="L82" i="6" s="1"/>
  <c r="L88" i="6" s="1"/>
  <c r="BC76" i="6"/>
  <c r="BK77" i="6"/>
  <c r="CS80" i="6"/>
  <c r="CS85" i="6" s="1" a="1"/>
  <c r="CS86" i="6" s="1"/>
  <c r="CS92" i="6" s="1"/>
  <c r="CH85" i="6" a="1"/>
  <c r="CH86" i="6" s="1"/>
  <c r="CH92" i="6" s="1"/>
  <c r="N85" i="6" a="1"/>
  <c r="N86" i="6" s="1"/>
  <c r="N92" i="6" s="1"/>
  <c r="AO85" i="6" a="1"/>
  <c r="AO87" i="6" s="1"/>
  <c r="AO93" i="6" s="1"/>
  <c r="BC85" i="6" a="1"/>
  <c r="BC87" i="6" s="1"/>
  <c r="BC93" i="6" s="1"/>
  <c r="CB78" i="6"/>
  <c r="BV76" i="6"/>
  <c r="BJ82" i="6" a="1"/>
  <c r="BJ82" i="6" s="1"/>
  <c r="BJ88" i="6" s="1"/>
  <c r="BV77" i="6"/>
  <c r="AE77" i="6"/>
  <c r="AO77" i="6"/>
  <c r="CT80" i="6"/>
  <c r="BI79" i="6"/>
  <c r="BI85" i="6" s="1" a="1"/>
  <c r="BA81" i="6"/>
  <c r="BA80" i="6"/>
  <c r="L81" i="6"/>
  <c r="L80" i="6"/>
  <c r="BF85" i="6" a="1"/>
  <c r="BF86" i="6" s="1"/>
  <c r="BF92" i="6" s="1"/>
  <c r="AC85" i="6" a="1"/>
  <c r="AC85" i="6" s="1"/>
  <c r="AC91" i="6" s="1"/>
  <c r="BQ77" i="6"/>
  <c r="J82" i="6" a="1"/>
  <c r="J83" i="6" s="1"/>
  <c r="J89" i="6" s="1"/>
  <c r="CI76" i="6"/>
  <c r="U82" i="6" a="1"/>
  <c r="U82" i="6" s="1"/>
  <c r="U88" i="6" s="1"/>
  <c r="BO82" i="6" a="1"/>
  <c r="BO83" i="6" s="1"/>
  <c r="BO89" i="6" s="1"/>
  <c r="CS82" i="6" a="1"/>
  <c r="CS82" i="6" s="1"/>
  <c r="CS88" i="6" s="1"/>
  <c r="Q78" i="6"/>
  <c r="W77" i="6"/>
  <c r="CT82" i="6" a="1"/>
  <c r="CT84" i="6" s="1"/>
  <c r="CT90" i="6" s="1"/>
  <c r="BQ78" i="6"/>
  <c r="BH85" i="6" a="1"/>
  <c r="BH85" i="6" s="1"/>
  <c r="BH91" i="6" s="1"/>
  <c r="AQ85" i="6" a="1"/>
  <c r="AQ86" i="6" s="1"/>
  <c r="AQ92" i="6" s="1"/>
  <c r="AV160" i="6"/>
  <c r="CZ163" i="6"/>
  <c r="X160" i="6"/>
  <c r="CI160" i="6"/>
  <c r="CN158" i="6"/>
  <c r="CI159" i="6"/>
  <c r="W164" i="6" a="1"/>
  <c r="W166" i="6" s="1"/>
  <c r="W172" i="6" s="1"/>
  <c r="Z159" i="6"/>
  <c r="CE164" i="6" a="1"/>
  <c r="CE165" i="6" s="1"/>
  <c r="CE171" i="6" s="1"/>
  <c r="CU158" i="6"/>
  <c r="BS164" i="6" a="1"/>
  <c r="BS165" i="6" s="1"/>
  <c r="BS171" i="6" s="1"/>
  <c r="CN160" i="6"/>
  <c r="AH162" i="6"/>
  <c r="AW164" i="6" a="1"/>
  <c r="AW165" i="6" s="1"/>
  <c r="AW171" i="6" s="1"/>
  <c r="CT167" i="6" a="1"/>
  <c r="CT168" i="6" s="1"/>
  <c r="CT174" i="6" s="1"/>
  <c r="AH163" i="6"/>
  <c r="BO167" i="6" a="1"/>
  <c r="BO167" i="6" s="1"/>
  <c r="BO173" i="6" s="1"/>
  <c r="N162" i="6"/>
  <c r="AU160" i="6"/>
  <c r="I163" i="6"/>
  <c r="BC163" i="6"/>
  <c r="CG169" i="6"/>
  <c r="CG175" i="6" s="1"/>
  <c r="AU163" i="6"/>
  <c r="N160" i="6"/>
  <c r="BF160" i="6"/>
  <c r="AV161" i="6"/>
  <c r="I162" i="6"/>
  <c r="O163" i="6"/>
  <c r="AU162" i="6"/>
  <c r="CQ158" i="6"/>
  <c r="N161" i="6"/>
  <c r="N159" i="6"/>
  <c r="BW159" i="6"/>
  <c r="BW164" i="6" s="1" a="1"/>
  <c r="Y164" i="6" a="1"/>
  <c r="Y164" i="6" s="1"/>
  <c r="Y170" i="6" s="1"/>
  <c r="BV161" i="6"/>
  <c r="CQ159" i="6"/>
  <c r="AF164" i="6"/>
  <c r="AF170" i="6" s="1"/>
  <c r="CI161" i="6"/>
  <c r="AN160" i="6"/>
  <c r="AV162" i="6"/>
  <c r="BB161" i="6"/>
  <c r="O162" i="6"/>
  <c r="CI162" i="6"/>
  <c r="AN159" i="6"/>
  <c r="CQ161" i="6"/>
  <c r="CQ163" i="6"/>
  <c r="AU158" i="6"/>
  <c r="AX159" i="6"/>
  <c r="J159" i="6"/>
  <c r="BV162" i="6"/>
  <c r="CZ158" i="6"/>
  <c r="BT159" i="6"/>
  <c r="AR167" i="6" a="1"/>
  <c r="AR167" i="6" s="1"/>
  <c r="AR173" i="6" s="1"/>
  <c r="J158" i="6"/>
  <c r="CZ159" i="6"/>
  <c r="BT160" i="6"/>
  <c r="CL160" i="6"/>
  <c r="AS163" i="6"/>
  <c r="CU159" i="6"/>
  <c r="AV159" i="6"/>
  <c r="BC161" i="6"/>
  <c r="AS162" i="6"/>
  <c r="AQ167" i="6" a="1"/>
  <c r="AQ168" i="6" s="1"/>
  <c r="AQ174" i="6" s="1"/>
  <c r="BI167" i="6" a="1"/>
  <c r="AC161" i="6"/>
  <c r="BN158" i="6"/>
  <c r="CW160" i="6"/>
  <c r="K159" i="6"/>
  <c r="AC162" i="6"/>
  <c r="BU159" i="6"/>
  <c r="BF159" i="6"/>
  <c r="AM168" i="6"/>
  <c r="AM174" i="6" s="1"/>
  <c r="CW158" i="6"/>
  <c r="BU160" i="6"/>
  <c r="CL158" i="6"/>
  <c r="BN159" i="6"/>
  <c r="BH167" i="6" a="1"/>
  <c r="BH168" i="6" s="1"/>
  <c r="BH174" i="6" s="1"/>
  <c r="CG168" i="6"/>
  <c r="CG174" i="6" s="1"/>
  <c r="K158" i="6"/>
  <c r="Y167" i="6"/>
  <c r="Y173" i="6" s="1"/>
  <c r="BJ163" i="6"/>
  <c r="AR164" i="6" a="1"/>
  <c r="BJ161" i="6"/>
  <c r="BQ167" i="6"/>
  <c r="BQ173" i="6" s="1"/>
  <c r="BF163" i="6"/>
  <c r="CH158" i="6"/>
  <c r="BX164" i="6" a="1"/>
  <c r="BF162" i="6"/>
  <c r="CH159" i="6"/>
  <c r="AK77" i="6"/>
  <c r="I80" i="6"/>
  <c r="S81" i="6"/>
  <c r="BA82" i="6" a="1"/>
  <c r="BA82" i="6" s="1"/>
  <c r="BA88" i="6" s="1"/>
  <c r="BO85" i="6" a="1"/>
  <c r="BO85" i="6" s="1"/>
  <c r="BO91" i="6" s="1"/>
  <c r="CI78" i="6"/>
  <c r="F78" i="6"/>
  <c r="AO76" i="6"/>
  <c r="CN78" i="6"/>
  <c r="W78" i="6"/>
  <c r="F76" i="6"/>
  <c r="S79" i="6"/>
  <c r="AF86" i="6"/>
  <c r="AF92" i="6" s="1"/>
  <c r="CN76" i="6"/>
  <c r="CX77" i="6"/>
  <c r="CT79" i="6"/>
  <c r="P78" i="6"/>
  <c r="P76" i="6"/>
  <c r="Q76" i="6"/>
  <c r="AM82" i="6" a="1"/>
  <c r="AM83" i="6" s="1"/>
  <c r="AM89" i="6" s="1"/>
  <c r="AU76" i="6"/>
  <c r="BE85" i="6" a="1"/>
  <c r="BE87" i="6" s="1"/>
  <c r="BE93" i="6" s="1"/>
  <c r="O76" i="6"/>
  <c r="CI81" i="6"/>
  <c r="AU78" i="6"/>
  <c r="AL77" i="6"/>
  <c r="Y80" i="6"/>
  <c r="BK76" i="6"/>
  <c r="AL76" i="6"/>
  <c r="V76" i="6"/>
  <c r="CR79" i="6"/>
  <c r="DA79" i="6"/>
  <c r="V78" i="6"/>
  <c r="CE82" i="6" a="1"/>
  <c r="CE82" i="6" s="1"/>
  <c r="CE88" i="6" s="1"/>
  <c r="CX76" i="6"/>
  <c r="BJ85" i="6" a="1"/>
  <c r="BJ87" i="6" s="1"/>
  <c r="BJ93" i="6" s="1"/>
  <c r="DA81" i="6"/>
  <c r="CI79" i="6"/>
  <c r="CA78" i="6"/>
  <c r="AC82" i="6" a="1"/>
  <c r="AC84" i="6" s="1"/>
  <c r="AC90" i="6" s="1"/>
  <c r="BM85" i="6" a="1"/>
  <c r="BM85" i="6" s="1"/>
  <c r="BM91" i="6" s="1"/>
  <c r="AE76" i="6"/>
  <c r="AK76" i="6"/>
  <c r="AJ77" i="6"/>
  <c r="BW85" i="6" a="1"/>
  <c r="BW85" i="6" s="1"/>
  <c r="BW91" i="6" s="1"/>
  <c r="K80" i="6"/>
  <c r="BM82" i="6" a="1"/>
  <c r="BM84" i="6" s="1"/>
  <c r="BM90" i="6" s="1"/>
  <c r="AV81" i="6"/>
  <c r="AV80" i="6"/>
  <c r="Y79" i="6"/>
  <c r="AW79" i="6"/>
  <c r="BG85" i="6" a="1"/>
  <c r="BG85" i="6" s="1"/>
  <c r="BG91" i="6" s="1"/>
  <c r="CQ78" i="6"/>
  <c r="CV82" i="6" a="1"/>
  <c r="CV83" i="6" s="1"/>
  <c r="CV89" i="6" s="1"/>
  <c r="CQ77" i="6"/>
  <c r="AX85" i="6" a="1"/>
  <c r="AX86" i="6" s="1"/>
  <c r="AX92" i="6" s="1"/>
  <c r="AW78" i="6"/>
  <c r="AW80" i="6"/>
  <c r="O77" i="6"/>
  <c r="BZ85" i="6" a="1"/>
  <c r="BZ86" i="6" s="1"/>
  <c r="BZ92" i="6" s="1"/>
  <c r="AJ80" i="6"/>
  <c r="Q81" i="6"/>
  <c r="AW77" i="6"/>
  <c r="Z85" i="6" a="1"/>
  <c r="Z87" i="6" s="1"/>
  <c r="Z93" i="6" s="1"/>
  <c r="BQ80" i="6"/>
  <c r="K81" i="6"/>
  <c r="CW81" i="6"/>
  <c r="AJ78" i="6"/>
  <c r="AS82" i="6" a="1"/>
  <c r="AS82" i="6" s="1"/>
  <c r="AS88" i="6" s="1"/>
  <c r="Q79" i="6"/>
  <c r="AJ79" i="6"/>
  <c r="CK79" i="6"/>
  <c r="CW79" i="6"/>
  <c r="CK80" i="6"/>
  <c r="AV76" i="6"/>
  <c r="AV78" i="6"/>
  <c r="AB82" i="6" a="1"/>
  <c r="AB82" i="6" s="1"/>
  <c r="AB88" i="6" s="1"/>
  <c r="CR80" i="6"/>
  <c r="BY79" i="6"/>
  <c r="AP79" i="6"/>
  <c r="AI85" i="6" a="1"/>
  <c r="AI87" i="6" s="1"/>
  <c r="AI93" i="6" s="1"/>
  <c r="N82" i="6" a="1"/>
  <c r="N83" i="6" s="1"/>
  <c r="N89" i="6" s="1"/>
  <c r="AF82" i="6" a="1"/>
  <c r="BK85" i="6" a="1"/>
  <c r="BK86" i="6" s="1"/>
  <c r="BK92" i="6" s="1"/>
  <c r="CA77" i="6"/>
  <c r="AH82" i="6" a="1"/>
  <c r="AH84" i="6" s="1"/>
  <c r="AH90" i="6" s="1"/>
  <c r="AM85" i="6" a="1"/>
  <c r="AM85" i="6" s="1"/>
  <c r="AM91" i="6" s="1"/>
  <c r="CX85" i="6" a="1"/>
  <c r="CX86" i="6" s="1"/>
  <c r="CX92" i="6" s="1"/>
  <c r="BH78" i="6"/>
  <c r="BH76" i="6"/>
  <c r="BY76" i="6"/>
  <c r="BY77" i="6"/>
  <c r="BY78" i="6"/>
  <c r="CH82" i="6" a="1"/>
  <c r="CH83" i="6" s="1"/>
  <c r="CH89" i="6" s="1"/>
  <c r="BY81" i="6"/>
  <c r="CD78" i="6"/>
  <c r="CD76" i="6"/>
  <c r="CP76" i="6"/>
  <c r="CP77" i="6"/>
  <c r="CP78" i="6"/>
  <c r="AP80" i="6"/>
  <c r="T76" i="6"/>
  <c r="T78" i="6"/>
  <c r="T77" i="6"/>
  <c r="AK85" i="6" a="1"/>
  <c r="T80" i="6"/>
  <c r="T81" i="6"/>
  <c r="T79" i="6"/>
  <c r="CP81" i="6"/>
  <c r="CP80" i="6"/>
  <c r="CP79" i="6"/>
  <c r="BB81" i="6"/>
  <c r="BQ79" i="6"/>
  <c r="BB80" i="6"/>
  <c r="CD85" i="6" a="1"/>
  <c r="BG82" i="6" a="1"/>
  <c r="BG82" i="6" s="1"/>
  <c r="BG88" i="6" s="1"/>
  <c r="BS85" i="6" a="1"/>
  <c r="BS85" i="6" s="1"/>
  <c r="BS91" i="6" s="1"/>
  <c r="CM82" i="6" a="1"/>
  <c r="CM84" i="6" s="1"/>
  <c r="CM90" i="6" s="1"/>
  <c r="H163" i="6"/>
  <c r="H162" i="6"/>
  <c r="H161" i="6"/>
  <c r="AG158" i="6"/>
  <c r="AG159" i="6"/>
  <c r="AG160" i="6"/>
  <c r="R160" i="6"/>
  <c r="R159" i="6"/>
  <c r="R158" i="6"/>
  <c r="BX84" i="6"/>
  <c r="BX90" i="6" s="1"/>
  <c r="BX83" i="6"/>
  <c r="BX89" i="6" s="1"/>
  <c r="BX82" i="6"/>
  <c r="BX88" i="6" s="1"/>
  <c r="O159" i="6"/>
  <c r="O160" i="6"/>
  <c r="O158" i="6"/>
  <c r="S78" i="6"/>
  <c r="S77" i="6"/>
  <c r="S76" i="6"/>
  <c r="AP162" i="6"/>
  <c r="AP161" i="6"/>
  <c r="AP163" i="6"/>
  <c r="AL81" i="6"/>
  <c r="AL79" i="6"/>
  <c r="AL80" i="6"/>
  <c r="CJ85" i="6" a="1"/>
  <c r="U164" i="6" a="1"/>
  <c r="AY76" i="6"/>
  <c r="AY77" i="6"/>
  <c r="AY78" i="6"/>
  <c r="BG161" i="6"/>
  <c r="BG163" i="6"/>
  <c r="BG162" i="6"/>
  <c r="BV158" i="6"/>
  <c r="BV159" i="6"/>
  <c r="BV160" i="6"/>
  <c r="AT79" i="6"/>
  <c r="AT80" i="6"/>
  <c r="AT81" i="6"/>
  <c r="AZ85" i="6" a="1"/>
  <c r="BR161" i="6"/>
  <c r="BR162" i="6"/>
  <c r="BR163" i="6"/>
  <c r="L159" i="6"/>
  <c r="L160" i="6"/>
  <c r="L158" i="6"/>
  <c r="CJ167" i="6"/>
  <c r="CJ173" i="6" s="1"/>
  <c r="CJ168" i="6"/>
  <c r="CJ174" i="6" s="1"/>
  <c r="CJ169" i="6"/>
  <c r="CJ175" i="6" s="1"/>
  <c r="X76" i="6"/>
  <c r="X78" i="6"/>
  <c r="X77" i="6"/>
  <c r="BT81" i="6"/>
  <c r="BT80" i="6"/>
  <c r="BT79" i="6"/>
  <c r="AD79" i="6"/>
  <c r="AD80" i="6"/>
  <c r="AD81" i="6"/>
  <c r="CQ81" i="6"/>
  <c r="CQ79" i="6"/>
  <c r="CQ80" i="6"/>
  <c r="CF159" i="6"/>
  <c r="CF160" i="6"/>
  <c r="CF158" i="6"/>
  <c r="CD164" i="6" a="1"/>
  <c r="AC159" i="6"/>
  <c r="AC158" i="6"/>
  <c r="AC160" i="6"/>
  <c r="BZ167" i="6" a="1"/>
  <c r="CY158" i="6"/>
  <c r="CY160" i="6"/>
  <c r="CY159" i="6"/>
  <c r="CE168" i="6"/>
  <c r="CE174" i="6" s="1"/>
  <c r="CE169" i="6"/>
  <c r="CE175" i="6" s="1"/>
  <c r="CE167" i="6"/>
  <c r="CE173" i="6" s="1"/>
  <c r="CC160" i="6"/>
  <c r="CC158" i="6"/>
  <c r="CC159" i="6"/>
  <c r="BV85" i="6" a="1"/>
  <c r="BU78" i="6"/>
  <c r="BU77" i="6"/>
  <c r="BU76" i="6"/>
  <c r="BR160" i="6"/>
  <c r="BR159" i="6"/>
  <c r="BR158" i="6"/>
  <c r="R161" i="6"/>
  <c r="R163" i="6"/>
  <c r="R162" i="6"/>
  <c r="AG85" i="6" a="1"/>
  <c r="CM161" i="6"/>
  <c r="CM163" i="6"/>
  <c r="CM162" i="6"/>
  <c r="H160" i="6"/>
  <c r="H158" i="6"/>
  <c r="H159" i="6"/>
  <c r="AJ160" i="6"/>
  <c r="AJ158" i="6"/>
  <c r="AJ159" i="6"/>
  <c r="CG78" i="6"/>
  <c r="CG77" i="6"/>
  <c r="CG76" i="6"/>
  <c r="BU81" i="6"/>
  <c r="BU79" i="6"/>
  <c r="BU80" i="6"/>
  <c r="BS168" i="6"/>
  <c r="BS174" i="6" s="1"/>
  <c r="BS169" i="6"/>
  <c r="BS175" i="6" s="1"/>
  <c r="BS167" i="6"/>
  <c r="BS173" i="6" s="1"/>
  <c r="CK76" i="6"/>
  <c r="CK78" i="6"/>
  <c r="CK77" i="6"/>
  <c r="AO169" i="6"/>
  <c r="AO175" i="6" s="1"/>
  <c r="AO167" i="6"/>
  <c r="AO173" i="6" s="1"/>
  <c r="AO168" i="6"/>
  <c r="AO174" i="6" s="1"/>
  <c r="Y77" i="6"/>
  <c r="Y78" i="6"/>
  <c r="Y76" i="6"/>
  <c r="R78" i="6"/>
  <c r="R77" i="6"/>
  <c r="R76" i="6"/>
  <c r="BW167" i="6"/>
  <c r="BW173" i="6" s="1"/>
  <c r="BW168" i="6"/>
  <c r="BW174" i="6" s="1"/>
  <c r="BW169" i="6"/>
  <c r="BW175" i="6" s="1"/>
  <c r="BL158" i="6"/>
  <c r="BL160" i="6"/>
  <c r="BL159" i="6"/>
  <c r="AI163" i="6"/>
  <c r="AI162" i="6"/>
  <c r="AI161" i="6"/>
  <c r="CJ164" i="6"/>
  <c r="CJ170" i="6" s="1"/>
  <c r="AH159" i="6"/>
  <c r="AH160" i="6"/>
  <c r="AH158" i="6"/>
  <c r="BI82" i="6" a="1"/>
  <c r="BT77" i="6"/>
  <c r="BT76" i="6"/>
  <c r="BT78" i="6"/>
  <c r="M85" i="6" a="1"/>
  <c r="BD82" i="6" a="1"/>
  <c r="BE161" i="6"/>
  <c r="BE163" i="6"/>
  <c r="BE162" i="6"/>
  <c r="AA161" i="6"/>
  <c r="AA163" i="6"/>
  <c r="AA162" i="6"/>
  <c r="AF169" i="6"/>
  <c r="AF175" i="6" s="1"/>
  <c r="AF167" i="6"/>
  <c r="AF173" i="6" s="1"/>
  <c r="AF168" i="6"/>
  <c r="AF174" i="6" s="1"/>
  <c r="CR77" i="6"/>
  <c r="CR78" i="6"/>
  <c r="CR76" i="6"/>
  <c r="CC163" i="6"/>
  <c r="CC161" i="6"/>
  <c r="CC162" i="6"/>
  <c r="BE160" i="6"/>
  <c r="BE159" i="6"/>
  <c r="BE158" i="6"/>
  <c r="AP78" i="6"/>
  <c r="AP76" i="6"/>
  <c r="AP77" i="6"/>
  <c r="CO77" i="6"/>
  <c r="CO76" i="6"/>
  <c r="CO78" i="6"/>
  <c r="AU79" i="6"/>
  <c r="AU80" i="6"/>
  <c r="AU81" i="6"/>
  <c r="CH163" i="6"/>
  <c r="CH161" i="6"/>
  <c r="CH162" i="6"/>
  <c r="CU163" i="6"/>
  <c r="CU162" i="6"/>
  <c r="CU161" i="6"/>
  <c r="K78" i="6"/>
  <c r="K76" i="6"/>
  <c r="K77" i="6"/>
  <c r="AT77" i="6"/>
  <c r="AT76" i="6"/>
  <c r="AT78" i="6"/>
  <c r="BD162" i="6"/>
  <c r="BD161" i="6"/>
  <c r="BD163" i="6"/>
  <c r="AT160" i="6"/>
  <c r="AT159" i="6"/>
  <c r="AT158" i="6"/>
  <c r="BH164" i="6" a="1"/>
  <c r="AS85" i="6" a="1"/>
  <c r="BX167" i="6" a="1"/>
  <c r="M168" i="6"/>
  <c r="M174" i="6" s="1"/>
  <c r="M169" i="6"/>
  <c r="M175" i="6" s="1"/>
  <c r="M167" i="6"/>
  <c r="M173" i="6" s="1"/>
  <c r="CP164" i="6" a="1"/>
  <c r="CL81" i="6"/>
  <c r="CL79" i="6"/>
  <c r="CL80" i="6"/>
  <c r="CB168" i="6"/>
  <c r="CB174" i="6" s="1"/>
  <c r="CB167" i="6"/>
  <c r="CB173" i="6" s="1"/>
  <c r="CZ82" i="6" a="1"/>
  <c r="AE161" i="6"/>
  <c r="AE162" i="6"/>
  <c r="AE163" i="6"/>
  <c r="DA82" i="6" a="1"/>
  <c r="CV168" i="6"/>
  <c r="CV174" i="6" s="1"/>
  <c r="CV167" i="6"/>
  <c r="CV173" i="6" s="1"/>
  <c r="BP82" i="6" a="1"/>
  <c r="S163" i="6"/>
  <c r="S162" i="6"/>
  <c r="S161" i="6"/>
  <c r="BG160" i="6"/>
  <c r="BG158" i="6"/>
  <c r="BG159" i="6"/>
  <c r="AS160" i="6"/>
  <c r="AS159" i="6"/>
  <c r="AS158" i="6"/>
  <c r="CA81" i="6"/>
  <c r="CA79" i="6"/>
  <c r="CA80" i="6"/>
  <c r="AX162" i="6"/>
  <c r="AX163" i="6"/>
  <c r="AX161" i="6"/>
  <c r="V159" i="6"/>
  <c r="V158" i="6"/>
  <c r="V160" i="6"/>
  <c r="CU82" i="6" a="1"/>
  <c r="BL76" i="6"/>
  <c r="BL78" i="6"/>
  <c r="BL77" i="6"/>
  <c r="CY162" i="6"/>
  <c r="CY161" i="6"/>
  <c r="CY163" i="6"/>
  <c r="I158" i="6"/>
  <c r="I159" i="6"/>
  <c r="I160" i="6"/>
  <c r="BB76" i="6"/>
  <c r="BB77" i="6"/>
  <c r="BB78" i="6"/>
  <c r="Q169" i="6"/>
  <c r="Q175" i="6" s="1"/>
  <c r="Q167" i="6"/>
  <c r="Q173" i="6" s="1"/>
  <c r="Q168" i="6"/>
  <c r="Q174" i="6" s="1"/>
  <c r="AI160" i="6"/>
  <c r="AI159" i="6"/>
  <c r="AI158" i="6"/>
  <c r="CW163" i="6"/>
  <c r="CW162" i="6"/>
  <c r="CW161" i="6"/>
  <c r="BY161" i="6"/>
  <c r="BY163" i="6"/>
  <c r="BY162" i="6"/>
  <c r="BU162" i="6"/>
  <c r="BU163" i="6"/>
  <c r="BU161" i="6"/>
  <c r="CW78" i="6"/>
  <c r="CW76" i="6"/>
  <c r="CW77" i="6"/>
  <c r="CB86" i="6"/>
  <c r="CB92" i="6" s="1"/>
  <c r="CB85" i="6"/>
  <c r="CB91" i="6" s="1"/>
  <c r="CB87" i="6"/>
  <c r="CB93" i="6" s="1"/>
  <c r="AG163" i="6"/>
  <c r="AG161" i="6"/>
  <c r="AG162" i="6"/>
  <c r="BK163" i="6"/>
  <c r="BK162" i="6"/>
  <c r="BK161" i="6"/>
  <c r="CR168" i="6"/>
  <c r="CR174" i="6" s="1"/>
  <c r="CR167" i="6"/>
  <c r="CR173" i="6" s="1"/>
  <c r="CR169" i="6"/>
  <c r="CR175" i="6" s="1"/>
  <c r="AE159" i="6"/>
  <c r="AE160" i="6"/>
  <c r="AE158" i="6"/>
  <c r="CG81" i="6"/>
  <c r="CG80" i="6"/>
  <c r="CG79" i="6"/>
  <c r="H81" i="6"/>
  <c r="H80" i="6"/>
  <c r="H79" i="6"/>
  <c r="V86" i="6"/>
  <c r="V92" i="6" s="1"/>
  <c r="V85" i="6"/>
  <c r="V91" i="6" s="1"/>
  <c r="CP167" i="6"/>
  <c r="CP173" i="6" s="1"/>
  <c r="CP169" i="6"/>
  <c r="CP175" i="6" s="1"/>
  <c r="CP168" i="6"/>
  <c r="CP174" i="6" s="1"/>
  <c r="BD159" i="6"/>
  <c r="BD158" i="6"/>
  <c r="BD160" i="6"/>
  <c r="BZ164" i="6" a="1"/>
  <c r="BK159" i="6"/>
  <c r="BK160" i="6"/>
  <c r="BK158" i="6"/>
  <c r="G167" i="6" a="1"/>
  <c r="BC159" i="6"/>
  <c r="BC160" i="6"/>
  <c r="BC158" i="6"/>
  <c r="AD77" i="6"/>
  <c r="AD76" i="6"/>
  <c r="AD78" i="6"/>
  <c r="BR81" i="6"/>
  <c r="BR80" i="6"/>
  <c r="BR79" i="6"/>
  <c r="CL77" i="6"/>
  <c r="CL76" i="6"/>
  <c r="CL78" i="6"/>
  <c r="M82" i="6" a="1"/>
  <c r="R79" i="6"/>
  <c r="R81" i="6"/>
  <c r="R80" i="6"/>
  <c r="CL161" i="6"/>
  <c r="CL163" i="6"/>
  <c r="CL162" i="6"/>
  <c r="CU85" i="6"/>
  <c r="CU91" i="6" s="1"/>
  <c r="CO169" i="6"/>
  <c r="CO175" i="6" s="1"/>
  <c r="CO167" i="6"/>
  <c r="CO173" i="6" s="1"/>
  <c r="CO168" i="6"/>
  <c r="CO174" i="6" s="1"/>
  <c r="CZ85" i="6" a="1"/>
  <c r="AN80" i="6"/>
  <c r="AN79" i="6"/>
  <c r="AN81" i="6"/>
  <c r="X80" i="6"/>
  <c r="X79" i="6"/>
  <c r="X81" i="6"/>
  <c r="J161" i="6"/>
  <c r="J163" i="6"/>
  <c r="J162" i="6"/>
  <c r="BL163" i="6"/>
  <c r="BL161" i="6"/>
  <c r="BL162" i="6"/>
  <c r="P79" i="6"/>
  <c r="P81" i="6"/>
  <c r="P80" i="6"/>
  <c r="BD85" i="6" a="1"/>
  <c r="CO81" i="6"/>
  <c r="CO79" i="6"/>
  <c r="CO80" i="6"/>
  <c r="BY158" i="6"/>
  <c r="BY159" i="6"/>
  <c r="BY160" i="6"/>
  <c r="CX162" i="6"/>
  <c r="CX163" i="6"/>
  <c r="CX161" i="6"/>
  <c r="BN161" i="6"/>
  <c r="BN162" i="6"/>
  <c r="BN163" i="6"/>
  <c r="AP159" i="6"/>
  <c r="AP160" i="6"/>
  <c r="AP158" i="6"/>
  <c r="AZ169" i="6"/>
  <c r="AZ175" i="6" s="1"/>
  <c r="AZ167" i="6"/>
  <c r="AZ173" i="6" s="1"/>
  <c r="AZ168" i="6"/>
  <c r="AZ174" i="6" s="1"/>
  <c r="CA164" i="6"/>
  <c r="CA170" i="6" s="1"/>
  <c r="CA166" i="6"/>
  <c r="CA172" i="6" s="1"/>
  <c r="CA165" i="6"/>
  <c r="CA171" i="6" s="1"/>
  <c r="L162" i="6"/>
  <c r="L161" i="6"/>
  <c r="L163" i="6"/>
  <c r="AY81" i="6"/>
  <c r="AY79" i="6"/>
  <c r="AY80" i="6"/>
  <c r="BJ159" i="6"/>
  <c r="BJ158" i="6"/>
  <c r="BJ160" i="6"/>
  <c r="H76" i="6"/>
  <c r="H77" i="6"/>
  <c r="H78" i="6"/>
  <c r="AN78" i="6"/>
  <c r="AN77" i="6"/>
  <c r="AN76" i="6"/>
  <c r="S160" i="6"/>
  <c r="S158" i="6"/>
  <c r="S159" i="6"/>
  <c r="BP168" i="6"/>
  <c r="BP174" i="6" s="1"/>
  <c r="BP167" i="6"/>
  <c r="BP173" i="6" s="1"/>
  <c r="BP169" i="6"/>
  <c r="BP175" i="6" s="1"/>
  <c r="CV85" i="6" a="1"/>
  <c r="CN81" i="6"/>
  <c r="CN79" i="6"/>
  <c r="CN80" i="6"/>
  <c r="BL80" i="6"/>
  <c r="BL79" i="6"/>
  <c r="BL81" i="6"/>
  <c r="CM160" i="6"/>
  <c r="CM159" i="6"/>
  <c r="CM158" i="6"/>
  <c r="BT163" i="6"/>
  <c r="BT161" i="6"/>
  <c r="BT162" i="6"/>
  <c r="AJ163" i="6"/>
  <c r="AJ162" i="6"/>
  <c r="AJ161" i="6"/>
  <c r="CY82" i="6" a="1"/>
  <c r="BW82" i="6" a="1"/>
  <c r="AI82" i="6" a="1"/>
  <c r="BN82" i="6" a="1"/>
  <c r="BB159" i="6"/>
  <c r="BB158" i="6"/>
  <c r="BB160" i="6"/>
  <c r="CJ82" i="6" a="1"/>
  <c r="CX159" i="6"/>
  <c r="CX160" i="6"/>
  <c r="CX158" i="6"/>
  <c r="AT162" i="6"/>
  <c r="AT163" i="6"/>
  <c r="AT161" i="6"/>
  <c r="O80" i="6"/>
  <c r="O81" i="6"/>
  <c r="O79" i="6"/>
  <c r="I78" i="6"/>
  <c r="I76" i="6"/>
  <c r="I77" i="6"/>
  <c r="V163" i="6"/>
  <c r="V162" i="6"/>
  <c r="V161" i="6"/>
  <c r="BR78" i="6"/>
  <c r="BR77" i="6"/>
  <c r="BR76" i="6"/>
  <c r="K161" i="6"/>
  <c r="K163" i="6"/>
  <c r="K162" i="6"/>
  <c r="X161" i="6"/>
  <c r="X163" i="6"/>
  <c r="X162" i="6"/>
  <c r="BP85" i="6" a="1"/>
  <c r="CN162" i="6"/>
  <c r="CN161" i="6"/>
  <c r="CN163" i="6"/>
  <c r="AG82" i="6" a="1"/>
  <c r="CY85" i="6" a="1"/>
  <c r="AA158" i="6"/>
  <c r="AA160" i="6"/>
  <c r="AA159" i="6"/>
  <c r="AD165" i="6"/>
  <c r="AD171" i="6" s="1"/>
  <c r="CU87" i="6" l="1"/>
  <c r="CU93" i="6" s="1"/>
  <c r="DA164" i="6" a="1"/>
  <c r="CD169" i="6"/>
  <c r="CD175" i="6" s="1"/>
  <c r="AQ164" i="6" a="1"/>
  <c r="BM169" i="6"/>
  <c r="BM175" i="6" s="1"/>
  <c r="CS164" i="6" a="1"/>
  <c r="CS164" i="6" s="1"/>
  <c r="CS170" i="6" s="1"/>
  <c r="BM167" i="6"/>
  <c r="BM173" i="6" s="1"/>
  <c r="AR86" i="6"/>
  <c r="AR92" i="6" s="1"/>
  <c r="AD166" i="6"/>
  <c r="AD172" i="6" s="1"/>
  <c r="AD177" i="6" s="1"/>
  <c r="CD167" i="6"/>
  <c r="CD173" i="6" s="1"/>
  <c r="CO164" i="6"/>
  <c r="CO170" i="6" s="1"/>
  <c r="CO165" i="6"/>
  <c r="CO171" i="6" s="1"/>
  <c r="I85" i="6" a="1"/>
  <c r="CK169" i="6"/>
  <c r="CK175" i="6" s="1"/>
  <c r="CK167" i="6"/>
  <c r="CK173" i="6" s="1"/>
  <c r="AH85" i="6" a="1"/>
  <c r="AH85" i="6" s="1"/>
  <c r="AH91" i="6" s="1"/>
  <c r="AK164" i="6" a="1"/>
  <c r="AK166" i="6" s="1"/>
  <c r="AK172" i="6" s="1"/>
  <c r="N167" i="6" a="1"/>
  <c r="N168" i="6" s="1"/>
  <c r="N174" i="6" s="1"/>
  <c r="AZ164" i="6" a="1"/>
  <c r="AZ165" i="6" s="1"/>
  <c r="AZ171" i="6" s="1"/>
  <c r="AO86" i="6"/>
  <c r="AO92" i="6" s="1"/>
  <c r="AO104" i="6" s="1"/>
  <c r="CS166" i="6"/>
  <c r="CS172" i="6" s="1"/>
  <c r="AN169" i="6"/>
  <c r="AN175" i="6" s="1"/>
  <c r="U167" i="6"/>
  <c r="U173" i="6" s="1"/>
  <c r="AR87" i="6"/>
  <c r="AR93" i="6" s="1"/>
  <c r="AW167" i="6"/>
  <c r="AW173" i="6" s="1"/>
  <c r="Y168" i="6"/>
  <c r="Y174" i="6" s="1"/>
  <c r="U169" i="6"/>
  <c r="U175" i="6" s="1"/>
  <c r="AN168" i="6"/>
  <c r="AN174" i="6" s="1"/>
  <c r="AB166" i="6"/>
  <c r="AB172" i="6" s="1"/>
  <c r="BM164" i="6" a="1"/>
  <c r="BM165" i="6" s="1"/>
  <c r="BM171" i="6" s="1"/>
  <c r="BA168" i="6"/>
  <c r="BA174" i="6" s="1"/>
  <c r="G86" i="6"/>
  <c r="G92" i="6" s="1"/>
  <c r="G85" i="6"/>
  <c r="G91" i="6" s="1"/>
  <c r="BI164" i="6" a="1"/>
  <c r="BI166" i="6" s="1"/>
  <c r="BI172" i="6" s="1"/>
  <c r="AF85" i="6"/>
  <c r="AF91" i="6" s="1"/>
  <c r="AF104" i="6" s="1"/>
  <c r="BQ169" i="6"/>
  <c r="BQ175" i="6" s="1"/>
  <c r="F167" i="6"/>
  <c r="F173" i="6" s="1"/>
  <c r="BQ165" i="6"/>
  <c r="BQ171" i="6" s="1"/>
  <c r="BQ177" i="6" s="1"/>
  <c r="BQ164" i="6"/>
  <c r="BQ170" i="6" s="1"/>
  <c r="CS168" i="6"/>
  <c r="CS174" i="6" s="1"/>
  <c r="AB164" i="6"/>
  <c r="AB170" i="6" s="1"/>
  <c r="BA169" i="6"/>
  <c r="BA175" i="6" s="1"/>
  <c r="AO85" i="6"/>
  <c r="AO91" i="6" s="1"/>
  <c r="CS167" i="6"/>
  <c r="CS173" i="6" s="1"/>
  <c r="AM167" i="6"/>
  <c r="AM173" i="6" s="1"/>
  <c r="F168" i="6"/>
  <c r="F174" i="6" s="1"/>
  <c r="AQ82" i="6" a="1"/>
  <c r="AQ82" i="6" s="1"/>
  <c r="AQ88" i="6" s="1"/>
  <c r="AM164" i="6" a="1"/>
  <c r="AM166" i="6" s="1"/>
  <c r="AM172" i="6" s="1"/>
  <c r="G82" i="6" a="1"/>
  <c r="G82" i="6" s="1"/>
  <c r="G88" i="6" s="1"/>
  <c r="BP164" i="6" a="1"/>
  <c r="BP164" i="6" s="1"/>
  <c r="BP170" i="6" s="1"/>
  <c r="P164" i="6"/>
  <c r="P170" i="6" s="1"/>
  <c r="P185" i="6" s="1"/>
  <c r="AZ82" i="6" a="1"/>
  <c r="AZ82" i="6" s="1"/>
  <c r="AZ88" i="6" s="1"/>
  <c r="CR164" i="6" a="1"/>
  <c r="CR166" i="6" s="1"/>
  <c r="CR172" i="6" s="1"/>
  <c r="CW164" i="6" a="1"/>
  <c r="CW166" i="6" s="1"/>
  <c r="CW172" i="6" s="1"/>
  <c r="CK164" i="6" a="1"/>
  <c r="CK165" i="6" s="1"/>
  <c r="CK171" i="6" s="1"/>
  <c r="BA164" i="6" a="1"/>
  <c r="BA166" i="6" s="1"/>
  <c r="BA172" i="6" s="1"/>
  <c r="AL164" i="6" a="1"/>
  <c r="AL166" i="6" s="1"/>
  <c r="AL172" i="6" s="1"/>
  <c r="BP165" i="6"/>
  <c r="BP171" i="6" s="1"/>
  <c r="CF87" i="6"/>
  <c r="CF93" i="6" s="1"/>
  <c r="BM164" i="6"/>
  <c r="BM170" i="6" s="1"/>
  <c r="CG164" i="6" a="1"/>
  <c r="CG166" i="6" s="1"/>
  <c r="CG172" i="6" s="1"/>
  <c r="T164" i="6" a="1"/>
  <c r="T165" i="6" s="1"/>
  <c r="T171" i="6" s="1"/>
  <c r="AK186" i="6"/>
  <c r="AA84" i="6"/>
  <c r="AA90" i="6" s="1"/>
  <c r="AA95" i="6" s="1"/>
  <c r="CF85" i="6"/>
  <c r="CF91" i="6" s="1"/>
  <c r="X164" i="6" a="1"/>
  <c r="X165" i="6" s="1"/>
  <c r="X171" i="6" s="1"/>
  <c r="CB164" i="6"/>
  <c r="CB170" i="6" s="1"/>
  <c r="AF166" i="6"/>
  <c r="AF172" i="6" s="1"/>
  <c r="AF176" i="6" s="1"/>
  <c r="AA82" i="6"/>
  <c r="AA88" i="6" s="1"/>
  <c r="AO82" i="6" a="1"/>
  <c r="CB166" i="6"/>
  <c r="CB172" i="6" s="1"/>
  <c r="CT164" i="6" a="1"/>
  <c r="CT165" i="6" s="1"/>
  <c r="CT171" i="6" s="1"/>
  <c r="DA167" i="6"/>
  <c r="DA173" i="6" s="1"/>
  <c r="DA168" i="6"/>
  <c r="DA174" i="6" s="1"/>
  <c r="AX82" i="6" a="1"/>
  <c r="AX83" i="6" s="1"/>
  <c r="AX89" i="6" s="1"/>
  <c r="BH86" i="6"/>
  <c r="BH92" i="6" s="1"/>
  <c r="CZ167" i="6" a="1"/>
  <c r="CZ167" i="6" s="1"/>
  <c r="CZ173" i="6" s="1"/>
  <c r="CF83" i="6"/>
  <c r="CF89" i="6" s="1"/>
  <c r="AL168" i="6"/>
  <c r="AL174" i="6" s="1"/>
  <c r="BO169" i="6"/>
  <c r="BO175" i="6" s="1"/>
  <c r="CJ165" i="6"/>
  <c r="CJ171" i="6" s="1"/>
  <c r="CJ177" i="6" s="1"/>
  <c r="CA169" i="6"/>
  <c r="CA175" i="6" s="1"/>
  <c r="BO164" i="6" a="1"/>
  <c r="BO164" i="6" s="1"/>
  <c r="BO170" i="6" s="1"/>
  <c r="CF82" i="6"/>
  <c r="CF88" i="6" s="1"/>
  <c r="CF95" i="6" s="1"/>
  <c r="AL167" i="6"/>
  <c r="AL173" i="6" s="1"/>
  <c r="CU164" i="6" a="1"/>
  <c r="CC82" i="6" a="1"/>
  <c r="CC82" i="6" s="1"/>
  <c r="CC88" i="6" s="1"/>
  <c r="U85" i="6" a="1"/>
  <c r="U85" i="6" s="1"/>
  <c r="U91" i="6" s="1"/>
  <c r="CA168" i="6"/>
  <c r="CA174" i="6" s="1"/>
  <c r="Z167" i="6"/>
  <c r="Z173" i="6" s="1"/>
  <c r="CI85" i="6" a="1"/>
  <c r="CI87" i="6" s="1"/>
  <c r="CI93" i="6" s="1"/>
  <c r="AE87" i="6"/>
  <c r="AE93" i="6" s="1"/>
  <c r="BS164" i="6"/>
  <c r="BS170" i="6" s="1"/>
  <c r="J164" i="6" a="1"/>
  <c r="J164" i="6" s="1"/>
  <c r="J170" i="6" s="1"/>
  <c r="BV167" i="6" a="1"/>
  <c r="BV167" i="6" s="1"/>
  <c r="BV173" i="6" s="1"/>
  <c r="CF167" i="6" a="1"/>
  <c r="AO164" i="6"/>
  <c r="AO170" i="6" s="1"/>
  <c r="BF82" i="6" a="1"/>
  <c r="BF84" i="6" s="1"/>
  <c r="BF90" i="6" s="1"/>
  <c r="W86" i="6"/>
  <c r="W92" i="6" s="1"/>
  <c r="N164" i="6" a="1"/>
  <c r="N166" i="6" s="1"/>
  <c r="N172" i="6" s="1"/>
  <c r="CK186" i="6"/>
  <c r="BO168" i="6"/>
  <c r="BO174" i="6" s="1"/>
  <c r="CE87" i="6"/>
  <c r="CE93" i="6" s="1"/>
  <c r="CE86" i="6"/>
  <c r="CE92" i="6" s="1"/>
  <c r="CE104" i="6" s="1"/>
  <c r="W85" i="6"/>
  <c r="W91" i="6" s="1"/>
  <c r="BU164" i="6" a="1"/>
  <c r="BU164" i="6" s="1"/>
  <c r="BU170" i="6" s="1"/>
  <c r="CE166" i="6"/>
  <c r="CE172" i="6" s="1"/>
  <c r="P167" i="6" a="1"/>
  <c r="P168" i="6" s="1"/>
  <c r="P174" i="6" s="1"/>
  <c r="BQ176" i="6"/>
  <c r="T168" i="6"/>
  <c r="T174" i="6" s="1"/>
  <c r="AW168" i="6"/>
  <c r="AW174" i="6" s="1"/>
  <c r="CN164" i="6" a="1"/>
  <c r="CN166" i="6" s="1"/>
  <c r="CN172" i="6" s="1"/>
  <c r="BE83" i="6"/>
  <c r="BE89" i="6" s="1"/>
  <c r="Z82" i="6"/>
  <c r="Z88" i="6" s="1"/>
  <c r="T169" i="6"/>
  <c r="T175" i="6" s="1"/>
  <c r="AB168" i="6"/>
  <c r="AB174" i="6" s="1"/>
  <c r="Z168" i="6"/>
  <c r="Z174" i="6" s="1"/>
  <c r="AY164" i="6"/>
  <c r="AY170" i="6" s="1"/>
  <c r="Z84" i="6"/>
  <c r="Z90" i="6" s="1"/>
  <c r="BC82" i="6" a="1"/>
  <c r="BC82" i="6" s="1"/>
  <c r="BC88" i="6" s="1"/>
  <c r="CG165" i="6"/>
  <c r="CG171" i="6" s="1"/>
  <c r="Z164" i="6" a="1"/>
  <c r="Z165" i="6" s="1"/>
  <c r="Z171" i="6" s="1"/>
  <c r="BX85" i="6" a="1"/>
  <c r="BX85" i="6" s="1"/>
  <c r="BX91" i="6" s="1"/>
  <c r="CM86" i="6"/>
  <c r="CM92" i="6" s="1"/>
  <c r="AB167" i="6"/>
  <c r="AB173" i="6" s="1"/>
  <c r="AB186" i="6" s="1"/>
  <c r="AH167" i="6" a="1"/>
  <c r="AH168" i="6" s="1"/>
  <c r="AH174" i="6" s="1"/>
  <c r="AY166" i="6"/>
  <c r="AY172" i="6" s="1"/>
  <c r="CH87" i="6"/>
  <c r="CH93" i="6" s="1"/>
  <c r="BK82" i="6" a="1"/>
  <c r="BK82" i="6" s="1"/>
  <c r="BK88" i="6" s="1"/>
  <c r="AX164" i="6" a="1"/>
  <c r="AX166" i="6" s="1"/>
  <c r="AX172" i="6" s="1"/>
  <c r="W186" i="6"/>
  <c r="M166" i="6"/>
  <c r="M172" i="6" s="1"/>
  <c r="AV167" i="6" a="1"/>
  <c r="AV167" i="6" s="1"/>
  <c r="AV173" i="6" s="1"/>
  <c r="M165" i="6"/>
  <c r="M171" i="6" s="1"/>
  <c r="BF167" i="6" a="1"/>
  <c r="BF169" i="6" s="1"/>
  <c r="BF175" i="6" s="1"/>
  <c r="F186" i="6"/>
  <c r="BB167" i="6" a="1"/>
  <c r="BB169" i="6" s="1"/>
  <c r="BB175" i="6" s="1"/>
  <c r="Q164" i="6"/>
  <c r="Q170" i="6" s="1"/>
  <c r="BF87" i="6"/>
  <c r="BF93" i="6" s="1"/>
  <c r="L84" i="6"/>
  <c r="L90" i="6" s="1"/>
  <c r="AE86" i="6"/>
  <c r="AE92" i="6" s="1"/>
  <c r="G165" i="6"/>
  <c r="G171" i="6" s="1"/>
  <c r="AY168" i="6"/>
  <c r="AY174" i="6" s="1"/>
  <c r="BS166" i="6"/>
  <c r="BS172" i="6" s="1"/>
  <c r="BS82" i="6" a="1"/>
  <c r="BS84" i="6" s="1"/>
  <c r="BS90" i="6" s="1"/>
  <c r="AO165" i="6"/>
  <c r="AO171" i="6" s="1"/>
  <c r="G166" i="6"/>
  <c r="G172" i="6" s="1"/>
  <c r="AV164" i="6" a="1"/>
  <c r="AV165" i="6" s="1"/>
  <c r="AV171" i="6" s="1"/>
  <c r="AA86" i="6"/>
  <c r="AA92" i="6" s="1"/>
  <c r="BF85" i="6"/>
  <c r="BF91" i="6" s="1"/>
  <c r="AY167" i="6"/>
  <c r="AY173" i="6" s="1"/>
  <c r="AU167" i="6" a="1"/>
  <c r="AU169" i="6" s="1"/>
  <c r="AU175" i="6" s="1"/>
  <c r="BV82" i="6" a="1"/>
  <c r="BV84" i="6" s="1"/>
  <c r="BV90" i="6" s="1"/>
  <c r="CC86" i="6"/>
  <c r="CC92" i="6" s="1"/>
  <c r="AA87" i="6"/>
  <c r="AA93" i="6" s="1"/>
  <c r="CB82" i="6" a="1"/>
  <c r="CB82" i="6" s="1"/>
  <c r="CB88" i="6" s="1"/>
  <c r="CC87" i="6"/>
  <c r="CC93" i="6" s="1"/>
  <c r="AS164" i="6" a="1"/>
  <c r="AM186" i="6"/>
  <c r="Q165" i="6"/>
  <c r="Q171" i="6" s="1"/>
  <c r="L83" i="6"/>
  <c r="L89" i="6" s="1"/>
  <c r="AB85" i="6" a="1"/>
  <c r="AB85" i="6" s="1"/>
  <c r="AB91" i="6" s="1"/>
  <c r="J85" i="6" a="1"/>
  <c r="J86" i="6" s="1"/>
  <c r="J92" i="6" s="1"/>
  <c r="DA164" i="6"/>
  <c r="DA170" i="6" s="1"/>
  <c r="DA166" i="6"/>
  <c r="DA172" i="6" s="1"/>
  <c r="CM87" i="6"/>
  <c r="CM93" i="6" s="1"/>
  <c r="F86" i="6"/>
  <c r="F92" i="6" s="1"/>
  <c r="F87" i="6"/>
  <c r="F93" i="6" s="1"/>
  <c r="AW164" i="6"/>
  <c r="AW170" i="6" s="1"/>
  <c r="CT167" i="6"/>
  <c r="CT173" i="6" s="1"/>
  <c r="BE82" i="6"/>
  <c r="BE88" i="6" s="1"/>
  <c r="CR165" i="6"/>
  <c r="CR171" i="6" s="1"/>
  <c r="W165" i="6"/>
  <c r="W171" i="6" s="1"/>
  <c r="AD168" i="6"/>
  <c r="AD174" i="6" s="1"/>
  <c r="CV164" i="6"/>
  <c r="CV170" i="6" s="1"/>
  <c r="AW166" i="6"/>
  <c r="AW172" i="6" s="1"/>
  <c r="W164" i="6"/>
  <c r="W170" i="6" s="1"/>
  <c r="CV166" i="6"/>
  <c r="CV172" i="6" s="1"/>
  <c r="BZ85" i="6"/>
  <c r="BZ91" i="6" s="1"/>
  <c r="AR169" i="6"/>
  <c r="AR175" i="6" s="1"/>
  <c r="AD169" i="6"/>
  <c r="AD175" i="6" s="1"/>
  <c r="BJ83" i="6"/>
  <c r="BJ89" i="6" s="1"/>
  <c r="AR83" i="6"/>
  <c r="AR89" i="6" s="1"/>
  <c r="CQ167" i="6" a="1"/>
  <c r="CT169" i="6"/>
  <c r="CT175" i="6" s="1"/>
  <c r="BZ87" i="6"/>
  <c r="BZ93" i="6" s="1"/>
  <c r="AQ169" i="6"/>
  <c r="AQ175" i="6" s="1"/>
  <c r="BC167" i="6" a="1"/>
  <c r="BC167" i="6" s="1"/>
  <c r="BC173" i="6" s="1"/>
  <c r="CZ164" i="6" a="1"/>
  <c r="CZ164" i="6" s="1"/>
  <c r="CZ170" i="6" s="1"/>
  <c r="DA165" i="6"/>
  <c r="DA171" i="6" s="1"/>
  <c r="CI164" i="6" a="1"/>
  <c r="CI164" i="6" s="1"/>
  <c r="CI170" i="6" s="1"/>
  <c r="Q82" i="6" a="1"/>
  <c r="Q84" i="6" s="1"/>
  <c r="Q90" i="6" s="1"/>
  <c r="AC86" i="6"/>
  <c r="AC92" i="6" s="1"/>
  <c r="AR82" i="6"/>
  <c r="AR88" i="6" s="1"/>
  <c r="K164" i="6" a="1"/>
  <c r="K165" i="6" s="1"/>
  <c r="K171" i="6" s="1"/>
  <c r="I167" i="6" a="1"/>
  <c r="I168" i="6" s="1"/>
  <c r="I174" i="6" s="1"/>
  <c r="F164" i="6" a="1"/>
  <c r="N85" i="6"/>
  <c r="N91" i="6" s="1"/>
  <c r="AE82" i="6" a="1"/>
  <c r="AE82" i="6" s="1"/>
  <c r="AE88" i="6" s="1"/>
  <c r="BA85" i="6" a="1"/>
  <c r="BA86" i="6" s="1"/>
  <c r="BA92" i="6" s="1"/>
  <c r="AC87" i="6"/>
  <c r="AC93" i="6" s="1"/>
  <c r="BA84" i="6"/>
  <c r="BA90" i="6" s="1"/>
  <c r="CH85" i="6"/>
  <c r="CH91" i="6" s="1"/>
  <c r="L85" i="6" a="1"/>
  <c r="L86" i="6" s="1"/>
  <c r="L92" i="6" s="1"/>
  <c r="Q85" i="6" a="1"/>
  <c r="Q85" i="6" s="1"/>
  <c r="Q91" i="6" s="1"/>
  <c r="CT85" i="6" a="1"/>
  <c r="CT85" i="6" s="1"/>
  <c r="CT91" i="6" s="1"/>
  <c r="CI82" i="6" a="1"/>
  <c r="CI82" i="6" s="1"/>
  <c r="CI88" i="6" s="1"/>
  <c r="AM82" i="6"/>
  <c r="AM88" i="6" s="1"/>
  <c r="BC86" i="6"/>
  <c r="BC92" i="6" s="1"/>
  <c r="W82" i="6" a="1"/>
  <c r="W83" i="6" s="1"/>
  <c r="W89" i="6" s="1"/>
  <c r="BO84" i="6"/>
  <c r="BO90" i="6" s="1"/>
  <c r="N87" i="6"/>
  <c r="N93" i="6" s="1"/>
  <c r="BO82" i="6"/>
  <c r="BO88" i="6" s="1"/>
  <c r="BQ82" i="6" a="1"/>
  <c r="BQ84" i="6" s="1"/>
  <c r="BQ90" i="6" s="1"/>
  <c r="BC85" i="6"/>
  <c r="BC91" i="6" s="1"/>
  <c r="BJ84" i="6"/>
  <c r="BJ90" i="6" s="1"/>
  <c r="AH82" i="6"/>
  <c r="AH88" i="6" s="1"/>
  <c r="CT83" i="6"/>
  <c r="CT89" i="6" s="1"/>
  <c r="U83" i="6"/>
  <c r="U89" i="6" s="1"/>
  <c r="J82" i="6"/>
  <c r="J88" i="6" s="1"/>
  <c r="N82" i="6"/>
  <c r="N88" i="6" s="1"/>
  <c r="CS87" i="6"/>
  <c r="CS93" i="6" s="1"/>
  <c r="AW82" i="6" a="1"/>
  <c r="AW84" i="6" s="1"/>
  <c r="AW90" i="6" s="1"/>
  <c r="CT82" i="6"/>
  <c r="CT88" i="6" s="1"/>
  <c r="AQ85" i="6"/>
  <c r="AQ91" i="6" s="1"/>
  <c r="AL82" i="6" a="1"/>
  <c r="AL82" i="6" s="1"/>
  <c r="AL88" i="6" s="1"/>
  <c r="BM82" i="6"/>
  <c r="BM88" i="6" s="1"/>
  <c r="AC83" i="6"/>
  <c r="AC89" i="6" s="1"/>
  <c r="BA83" i="6"/>
  <c r="BA89" i="6" s="1"/>
  <c r="J84" i="6"/>
  <c r="J90" i="6" s="1"/>
  <c r="S85" i="6" a="1"/>
  <c r="S85" i="6" s="1"/>
  <c r="S91" i="6" s="1"/>
  <c r="DA85" i="6" a="1"/>
  <c r="DA86" i="6" s="1"/>
  <c r="DA92" i="6" s="1"/>
  <c r="CN82" i="6" a="1"/>
  <c r="CN83" i="6" s="1"/>
  <c r="CN89" i="6" s="1"/>
  <c r="BO87" i="6"/>
  <c r="BO93" i="6" s="1"/>
  <c r="BO86" i="6"/>
  <c r="BO92" i="6" s="1"/>
  <c r="N84" i="6"/>
  <c r="N90" i="6" s="1"/>
  <c r="AQ87" i="6"/>
  <c r="AQ93" i="6" s="1"/>
  <c r="AM87" i="6"/>
  <c r="AM93" i="6" s="1"/>
  <c r="U84" i="6"/>
  <c r="U90" i="6" s="1"/>
  <c r="BH87" i="6"/>
  <c r="BH93" i="6" s="1"/>
  <c r="CS84" i="6"/>
  <c r="CS90" i="6" s="1"/>
  <c r="AM86" i="6"/>
  <c r="AM92" i="6" s="1"/>
  <c r="CM82" i="6"/>
  <c r="CM88" i="6" s="1"/>
  <c r="CS83" i="6"/>
  <c r="CS89" i="6" s="1"/>
  <c r="F82" i="6" a="1"/>
  <c r="F83" i="6" s="1"/>
  <c r="F89" i="6" s="1"/>
  <c r="N169" i="6"/>
  <c r="N175" i="6" s="1"/>
  <c r="Y165" i="6"/>
  <c r="Y171" i="6" s="1"/>
  <c r="BT164" i="6" a="1"/>
  <c r="BT164" i="6" s="1"/>
  <c r="BT170" i="6" s="1"/>
  <c r="CQ164" i="6" a="1"/>
  <c r="CQ166" i="6" s="1"/>
  <c r="CQ172" i="6" s="1"/>
  <c r="BP166" i="6"/>
  <c r="BP172" i="6" s="1"/>
  <c r="O167" i="6" a="1"/>
  <c r="O168" i="6" s="1"/>
  <c r="O174" i="6" s="1"/>
  <c r="Y186" i="6"/>
  <c r="CE164" i="6"/>
  <c r="CE170" i="6" s="1"/>
  <c r="Y166" i="6"/>
  <c r="Y172" i="6" s="1"/>
  <c r="BF164" i="6" a="1"/>
  <c r="BF164" i="6" s="1"/>
  <c r="BF170" i="6" s="1"/>
  <c r="CL164" i="6" a="1"/>
  <c r="CL166" i="6" s="1"/>
  <c r="CL172" i="6" s="1"/>
  <c r="CU164" i="6"/>
  <c r="CU170" i="6" s="1"/>
  <c r="CU166" i="6"/>
  <c r="CU172" i="6" s="1"/>
  <c r="BH169" i="6"/>
  <c r="BH175" i="6" s="1"/>
  <c r="CM164" i="6" a="1"/>
  <c r="CM165" i="6" s="1"/>
  <c r="CM171" i="6" s="1"/>
  <c r="BH167" i="6"/>
  <c r="BH173" i="6" s="1"/>
  <c r="CI167" i="6" a="1"/>
  <c r="CI168" i="6" s="1"/>
  <c r="CI174" i="6" s="1"/>
  <c r="CH164" i="6" a="1"/>
  <c r="CH164" i="6" s="1"/>
  <c r="CH170" i="6" s="1"/>
  <c r="CG186" i="6"/>
  <c r="AS167" i="6" a="1"/>
  <c r="AS168" i="6" s="1"/>
  <c r="AS174" i="6" s="1"/>
  <c r="AU164" i="6" a="1"/>
  <c r="AU165" i="6" s="1"/>
  <c r="AU171" i="6" s="1"/>
  <c r="BN164" i="6" a="1"/>
  <c r="BN165" i="6" s="1"/>
  <c r="BN171" i="6" s="1"/>
  <c r="CT164" i="6"/>
  <c r="CT170" i="6" s="1"/>
  <c r="AR168" i="6"/>
  <c r="AR174" i="6" s="1"/>
  <c r="CU165" i="6"/>
  <c r="CU171" i="6" s="1"/>
  <c r="AN164" i="6" a="1"/>
  <c r="AN186" i="6"/>
  <c r="CE186" i="6"/>
  <c r="AC167" i="6" a="1"/>
  <c r="AC169" i="6" s="1"/>
  <c r="AC175" i="6" s="1"/>
  <c r="AP164" i="6" a="1"/>
  <c r="AP164" i="6" s="1"/>
  <c r="AP170" i="6" s="1"/>
  <c r="CW167" i="6" a="1"/>
  <c r="CW167" i="6" s="1"/>
  <c r="CW173" i="6" s="1"/>
  <c r="BE164" i="6" a="1"/>
  <c r="BE165" i="6" s="1"/>
  <c r="BE171" i="6" s="1"/>
  <c r="CW165" i="6"/>
  <c r="CW171" i="6" s="1"/>
  <c r="CW164" i="6"/>
  <c r="CW170" i="6" s="1"/>
  <c r="AT164" i="6" a="1"/>
  <c r="AT164" i="6" s="1"/>
  <c r="AT170" i="6" s="1"/>
  <c r="CM167" i="6" a="1"/>
  <c r="CM168" i="6" s="1"/>
  <c r="CM174" i="6" s="1"/>
  <c r="R167" i="6" a="1"/>
  <c r="R169" i="6" s="1"/>
  <c r="R175" i="6" s="1"/>
  <c r="CY167" i="6" a="1"/>
  <c r="CY168" i="6" s="1"/>
  <c r="CY174" i="6" s="1"/>
  <c r="AJ164" i="6" a="1"/>
  <c r="AJ166" i="6" s="1"/>
  <c r="AJ172" i="6" s="1"/>
  <c r="AQ167" i="6"/>
  <c r="AQ173" i="6" s="1"/>
  <c r="AZ186" i="6"/>
  <c r="BI168" i="6"/>
  <c r="BI174" i="6" s="1"/>
  <c r="BI169" i="6"/>
  <c r="BI175" i="6" s="1"/>
  <c r="BI167" i="6"/>
  <c r="BI173" i="6" s="1"/>
  <c r="BJ167" i="6" a="1"/>
  <c r="BJ168" i="6" s="1"/>
  <c r="BJ174" i="6" s="1"/>
  <c r="CN167" i="6" a="1"/>
  <c r="CN168" i="6" s="1"/>
  <c r="CN174" i="6" s="1"/>
  <c r="BY167" i="6" a="1"/>
  <c r="BY168" i="6" s="1"/>
  <c r="BY174" i="6" s="1"/>
  <c r="AG167" i="6" a="1"/>
  <c r="AG167" i="6" s="1"/>
  <c r="AG173" i="6" s="1"/>
  <c r="I164" i="6" a="1"/>
  <c r="I164" i="6" s="1"/>
  <c r="I170" i="6" s="1"/>
  <c r="BD167" i="6" a="1"/>
  <c r="BD169" i="6" s="1"/>
  <c r="BD175" i="6" s="1"/>
  <c r="CC167" i="6" a="1"/>
  <c r="CC169" i="6" s="1"/>
  <c r="CC175" i="6" s="1"/>
  <c r="AA167" i="6" a="1"/>
  <c r="AA167" i="6" s="1"/>
  <c r="AA173" i="6" s="1"/>
  <c r="L164" i="6" a="1"/>
  <c r="L165" i="6" s="1"/>
  <c r="L171" i="6" s="1"/>
  <c r="BI164" i="6"/>
  <c r="BI170" i="6" s="1"/>
  <c r="BI165" i="6"/>
  <c r="BI171" i="6" s="1"/>
  <c r="AA164" i="6" a="1"/>
  <c r="AA165" i="6" s="1"/>
  <c r="AA171" i="6" s="1"/>
  <c r="BN167" i="6" a="1"/>
  <c r="BN169" i="6" s="1"/>
  <c r="BN175" i="6" s="1"/>
  <c r="U186" i="6"/>
  <c r="AG164" i="6" a="1"/>
  <c r="AG165" i="6" s="1"/>
  <c r="AG171" i="6" s="1"/>
  <c r="AJ167" i="6" a="1"/>
  <c r="AJ169" i="6" s="1"/>
  <c r="AJ175" i="6" s="1"/>
  <c r="L167" i="6" a="1"/>
  <c r="L168" i="6" s="1"/>
  <c r="L174" i="6" s="1"/>
  <c r="J167" i="6" a="1"/>
  <c r="J167" i="6" s="1"/>
  <c r="J173" i="6" s="1"/>
  <c r="S167" i="6" a="1"/>
  <c r="S169" i="6" s="1"/>
  <c r="S175" i="6" s="1"/>
  <c r="CD186" i="6"/>
  <c r="H167" i="6" a="1"/>
  <c r="H168" i="6" s="1"/>
  <c r="H174" i="6" s="1"/>
  <c r="BX164" i="6"/>
  <c r="BX170" i="6" s="1"/>
  <c r="BX165" i="6"/>
  <c r="BX171" i="6" s="1"/>
  <c r="BX166" i="6"/>
  <c r="BX172" i="6" s="1"/>
  <c r="BQ186" i="6"/>
  <c r="BW164" i="6"/>
  <c r="BW170" i="6" s="1"/>
  <c r="BW166" i="6"/>
  <c r="BW172" i="6" s="1"/>
  <c r="BW165" i="6"/>
  <c r="BW171" i="6" s="1"/>
  <c r="CP186" i="6"/>
  <c r="AC164" i="6" a="1"/>
  <c r="AC164" i="6" s="1"/>
  <c r="AC170" i="6" s="1"/>
  <c r="O164" i="6" a="1"/>
  <c r="O164" i="6" s="1"/>
  <c r="O170" i="6" s="1"/>
  <c r="AQ164" i="6"/>
  <c r="AQ170" i="6" s="1"/>
  <c r="AQ165" i="6"/>
  <c r="AQ171" i="6" s="1"/>
  <c r="AQ166" i="6"/>
  <c r="AQ172" i="6" s="1"/>
  <c r="AR165" i="6"/>
  <c r="AR171" i="6" s="1"/>
  <c r="AR164" i="6"/>
  <c r="AR170" i="6" s="1"/>
  <c r="AR166" i="6"/>
  <c r="AR172" i="6" s="1"/>
  <c r="CE83" i="6"/>
  <c r="CE89" i="6" s="1"/>
  <c r="P82" i="6" a="1"/>
  <c r="P82" i="6" s="1"/>
  <c r="P88" i="6" s="1"/>
  <c r="BH82" i="6" a="1"/>
  <c r="BH84" i="6" s="1"/>
  <c r="BH90" i="6" s="1"/>
  <c r="AQ83" i="6"/>
  <c r="AQ89" i="6" s="1"/>
  <c r="AK82" i="6" a="1"/>
  <c r="AK84" i="6" s="1"/>
  <c r="AK90" i="6" s="1"/>
  <c r="CX82" i="6" a="1"/>
  <c r="CX82" i="6" s="1"/>
  <c r="CX88" i="6" s="1"/>
  <c r="AU82" i="6" a="1"/>
  <c r="AU83" i="6" s="1"/>
  <c r="AU89" i="6" s="1"/>
  <c r="BW86" i="6"/>
  <c r="BW92" i="6" s="1"/>
  <c r="AS83" i="6"/>
  <c r="AS89" i="6" s="1"/>
  <c r="AX85" i="6"/>
  <c r="AX91" i="6" s="1"/>
  <c r="BE85" i="6"/>
  <c r="BE91" i="6" s="1"/>
  <c r="CV82" i="6"/>
  <c r="CV88" i="6" s="1"/>
  <c r="BK85" i="6"/>
  <c r="BK91" i="6" s="1"/>
  <c r="Y85" i="6" a="1"/>
  <c r="Y85" i="6" s="1"/>
  <c r="Y91" i="6" s="1"/>
  <c r="AJ82" i="6" a="1"/>
  <c r="AJ84" i="6" s="1"/>
  <c r="AJ90" i="6" s="1"/>
  <c r="V82" i="6" a="1"/>
  <c r="V83" i="6" s="1"/>
  <c r="V89" i="6" s="1"/>
  <c r="AS84" i="6"/>
  <c r="AS90" i="6" s="1"/>
  <c r="AS94" i="6" s="1"/>
  <c r="AX87" i="6"/>
  <c r="AX93" i="6" s="1"/>
  <c r="AM84" i="6"/>
  <c r="AM90" i="6" s="1"/>
  <c r="BE86" i="6"/>
  <c r="BE92" i="6" s="1"/>
  <c r="BM86" i="6"/>
  <c r="BM92" i="6" s="1"/>
  <c r="BK87" i="6"/>
  <c r="BK93" i="6" s="1"/>
  <c r="O82" i="6" a="1"/>
  <c r="O83" i="6" s="1"/>
  <c r="O89" i="6" s="1"/>
  <c r="AB84" i="6"/>
  <c r="AB90" i="6" s="1"/>
  <c r="BM83" i="6"/>
  <c r="BM89" i="6" s="1"/>
  <c r="BM87" i="6"/>
  <c r="BM93" i="6" s="1"/>
  <c r="CH82" i="6"/>
  <c r="CH88" i="6" s="1"/>
  <c r="AC82" i="6"/>
  <c r="AC88" i="6" s="1"/>
  <c r="CS85" i="6"/>
  <c r="CS91" i="6" s="1"/>
  <c r="CE84" i="6"/>
  <c r="CE90" i="6" s="1"/>
  <c r="BJ85" i="6"/>
  <c r="BJ91" i="6" s="1"/>
  <c r="AW85" i="6" a="1"/>
  <c r="AW85" i="6" s="1"/>
  <c r="AW91" i="6" s="1"/>
  <c r="AJ85" i="6" a="1"/>
  <c r="AJ87" i="6" s="1"/>
  <c r="AJ93" i="6" s="1"/>
  <c r="BW87" i="6"/>
  <c r="BW93" i="6" s="1"/>
  <c r="CD82" i="6" a="1"/>
  <c r="CD83" i="6" s="1"/>
  <c r="CD89" i="6" s="1"/>
  <c r="BJ86" i="6"/>
  <c r="BJ92" i="6" s="1"/>
  <c r="CR85" i="6" a="1"/>
  <c r="CR86" i="6" s="1"/>
  <c r="CR92" i="6" s="1"/>
  <c r="AV85" i="6" a="1"/>
  <c r="AV85" i="6" s="1"/>
  <c r="AV91" i="6" s="1"/>
  <c r="Z85" i="6"/>
  <c r="Z91" i="6" s="1"/>
  <c r="AQ84" i="6"/>
  <c r="AQ90" i="6" s="1"/>
  <c r="CQ82" i="6" a="1"/>
  <c r="CQ82" i="6" s="1"/>
  <c r="CQ88" i="6" s="1"/>
  <c r="Z86" i="6"/>
  <c r="Z92" i="6" s="1"/>
  <c r="BQ85" i="6" a="1"/>
  <c r="BQ87" i="6" s="1"/>
  <c r="BQ93" i="6" s="1"/>
  <c r="AI86" i="6"/>
  <c r="AI92" i="6" s="1"/>
  <c r="CW85" i="6" a="1"/>
  <c r="CW85" i="6" s="1"/>
  <c r="CW91" i="6" s="1"/>
  <c r="CA82" i="6" a="1"/>
  <c r="CA83" i="6" s="1"/>
  <c r="CA89" i="6" s="1"/>
  <c r="BN85" i="6"/>
  <c r="BN91" i="6" s="1"/>
  <c r="CM83" i="6"/>
  <c r="CM89" i="6" s="1"/>
  <c r="BU82" i="6" a="1"/>
  <c r="BU84" i="6" s="1"/>
  <c r="BU90" i="6" s="1"/>
  <c r="BB85" i="6" a="1"/>
  <c r="BB85" i="6" s="1"/>
  <c r="BB91" i="6" s="1"/>
  <c r="K85" i="6" a="1"/>
  <c r="K85" i="6" s="1"/>
  <c r="K91" i="6" s="1"/>
  <c r="CH84" i="6"/>
  <c r="CH90" i="6" s="1"/>
  <c r="BG86" i="6"/>
  <c r="BG92" i="6" s="1"/>
  <c r="BG87" i="6"/>
  <c r="BG93" i="6" s="1"/>
  <c r="CR82" i="6" a="1"/>
  <c r="CR82" i="6" s="1"/>
  <c r="CR88" i="6" s="1"/>
  <c r="CK85" i="6" a="1"/>
  <c r="CK86" i="6" s="1"/>
  <c r="CK92" i="6" s="1"/>
  <c r="AI85" i="6"/>
  <c r="AI91" i="6" s="1"/>
  <c r="CX85" i="6"/>
  <c r="CX91" i="6" s="1"/>
  <c r="AB83" i="6"/>
  <c r="AB89" i="6" s="1"/>
  <c r="CP82" i="6" a="1"/>
  <c r="CP84" i="6" s="1"/>
  <c r="CP90" i="6" s="1"/>
  <c r="BS86" i="6"/>
  <c r="BS92" i="6" s="1"/>
  <c r="CV84" i="6"/>
  <c r="CV90" i="6" s="1"/>
  <c r="CP85" i="6" a="1"/>
  <c r="CP85" i="6" s="1"/>
  <c r="CP91" i="6" s="1"/>
  <c r="BR85" i="6" a="1"/>
  <c r="BR87" i="6" s="1"/>
  <c r="BR93" i="6" s="1"/>
  <c r="BY85" i="6" a="1"/>
  <c r="BY85" i="6" s="1"/>
  <c r="BY91" i="6" s="1"/>
  <c r="AV82" i="6" a="1"/>
  <c r="BS87" i="6"/>
  <c r="BS93" i="6" s="1"/>
  <c r="CX87" i="6"/>
  <c r="CX93" i="6" s="1"/>
  <c r="AH83" i="6"/>
  <c r="AH89" i="6" s="1"/>
  <c r="BY82" i="6" a="1"/>
  <c r="AF82" i="6"/>
  <c r="AF88" i="6" s="1"/>
  <c r="AF84" i="6"/>
  <c r="AF90" i="6" s="1"/>
  <c r="AF83" i="6"/>
  <c r="AF89" i="6" s="1"/>
  <c r="AP85" i="6" a="1"/>
  <c r="AP86" i="6" s="1"/>
  <c r="AP92" i="6" s="1"/>
  <c r="O85" i="6" a="1"/>
  <c r="O86" i="6" s="1"/>
  <c r="O92" i="6" s="1"/>
  <c r="Y82" i="6" a="1"/>
  <c r="Y82" i="6" s="1"/>
  <c r="Y88" i="6" s="1"/>
  <c r="CK82" i="6" a="1"/>
  <c r="CK82" i="6" s="1"/>
  <c r="CK88" i="6" s="1"/>
  <c r="X82" i="6" a="1"/>
  <c r="X82" i="6" s="1"/>
  <c r="X88" i="6" s="1"/>
  <c r="P85" i="6" a="1"/>
  <c r="P86" i="6" s="1"/>
  <c r="P92" i="6" s="1"/>
  <c r="CL82" i="6" a="1"/>
  <c r="CL83" i="6" s="1"/>
  <c r="CL89" i="6" s="1"/>
  <c r="K82" i="6" a="1"/>
  <c r="K82" i="6" s="1"/>
  <c r="K88" i="6" s="1"/>
  <c r="BG83" i="6"/>
  <c r="BG89" i="6" s="1"/>
  <c r="CD87" i="6"/>
  <c r="CD93" i="6" s="1"/>
  <c r="CD85" i="6"/>
  <c r="CD91" i="6" s="1"/>
  <c r="CD86" i="6"/>
  <c r="CD92" i="6" s="1"/>
  <c r="T85" i="6" a="1"/>
  <c r="AK87" i="6"/>
  <c r="AK93" i="6" s="1"/>
  <c r="AK86" i="6"/>
  <c r="AK92" i="6" s="1"/>
  <c r="AK85" i="6"/>
  <c r="AK91" i="6" s="1"/>
  <c r="BN87" i="6"/>
  <c r="BN93" i="6" s="1"/>
  <c r="BG84" i="6"/>
  <c r="BG90" i="6" s="1"/>
  <c r="AL85" i="6" a="1"/>
  <c r="AL87" i="6" s="1"/>
  <c r="AL93" i="6" s="1"/>
  <c r="S82" i="6" a="1"/>
  <c r="S84" i="6" s="1"/>
  <c r="S90" i="6" s="1"/>
  <c r="I82" i="6" a="1"/>
  <c r="I84" i="6" s="1"/>
  <c r="I90" i="6" s="1"/>
  <c r="AN82" i="6" a="1"/>
  <c r="AN82" i="6" s="1"/>
  <c r="AN88" i="6" s="1"/>
  <c r="CG85" i="6" a="1"/>
  <c r="CG85" i="6" s="1"/>
  <c r="CG91" i="6" s="1"/>
  <c r="T82" i="6" a="1"/>
  <c r="R82" i="6" a="1"/>
  <c r="R84" i="6" s="1"/>
  <c r="R90" i="6" s="1"/>
  <c r="BT85" i="6" a="1"/>
  <c r="BT85" i="6" s="1"/>
  <c r="BT91" i="6" s="1"/>
  <c r="BW82" i="6"/>
  <c r="BW88" i="6" s="1"/>
  <c r="BW84" i="6"/>
  <c r="BW90" i="6" s="1"/>
  <c r="BW83" i="6"/>
  <c r="BW89" i="6" s="1"/>
  <c r="BP84" i="6"/>
  <c r="BP90" i="6" s="1"/>
  <c r="BP83" i="6"/>
  <c r="BP89" i="6" s="1"/>
  <c r="BP82" i="6"/>
  <c r="BP88" i="6" s="1"/>
  <c r="BI84" i="6"/>
  <c r="BI90" i="6" s="1"/>
  <c r="BI82" i="6"/>
  <c r="BI88" i="6" s="1"/>
  <c r="BI83" i="6"/>
  <c r="BI89" i="6" s="1"/>
  <c r="BR82" i="6" a="1"/>
  <c r="CX164" i="6" a="1"/>
  <c r="CJ83" i="6"/>
  <c r="CJ89" i="6" s="1"/>
  <c r="CJ84" i="6"/>
  <c r="CJ90" i="6" s="1"/>
  <c r="CJ82" i="6"/>
  <c r="CJ88" i="6" s="1"/>
  <c r="CY84" i="6"/>
  <c r="CY90" i="6" s="1"/>
  <c r="CY82" i="6"/>
  <c r="CY88" i="6" s="1"/>
  <c r="CY83" i="6"/>
  <c r="CY89" i="6" s="1"/>
  <c r="BJ164" i="6" a="1"/>
  <c r="CX167" i="6" a="1"/>
  <c r="G167" i="6"/>
  <c r="G173" i="6" s="1"/>
  <c r="G169" i="6"/>
  <c r="G175" i="6" s="1"/>
  <c r="G168" i="6"/>
  <c r="G174" i="6" s="1"/>
  <c r="V164" i="6" a="1"/>
  <c r="CV186" i="6"/>
  <c r="CB186" i="6"/>
  <c r="AL186" i="6"/>
  <c r="AU85" i="6" a="1"/>
  <c r="AP82" i="6" a="1"/>
  <c r="AH164" i="6" a="1"/>
  <c r="BL164" i="6" a="1"/>
  <c r="BS186" i="6"/>
  <c r="BR164" i="6" a="1"/>
  <c r="CC164" i="6" a="1"/>
  <c r="AD85" i="6" a="1"/>
  <c r="AP167" i="6" a="1"/>
  <c r="BP87" i="6"/>
  <c r="BP93" i="6" s="1"/>
  <c r="BP85" i="6"/>
  <c r="BP91" i="6" s="1"/>
  <c r="BP86" i="6"/>
  <c r="BP92" i="6" s="1"/>
  <c r="AY85" i="6" a="1"/>
  <c r="CA177" i="6"/>
  <c r="CA176" i="6"/>
  <c r="CA185" i="6"/>
  <c r="CO85" i="6" a="1"/>
  <c r="X85" i="6" a="1"/>
  <c r="CO186" i="6"/>
  <c r="H85" i="6" a="1"/>
  <c r="AI164" i="6" a="1"/>
  <c r="BB82" i="6" a="1"/>
  <c r="AX167" i="6" a="1"/>
  <c r="AE167" i="6" a="1"/>
  <c r="M186" i="6"/>
  <c r="AS86" i="6"/>
  <c r="AS92" i="6" s="1"/>
  <c r="AS87" i="6"/>
  <c r="AS93" i="6" s="1"/>
  <c r="AS85" i="6"/>
  <c r="AS91" i="6" s="1"/>
  <c r="CH167" i="6" a="1"/>
  <c r="BE167" i="6" a="1"/>
  <c r="AG85" i="6"/>
  <c r="AG91" i="6" s="1"/>
  <c r="AG86" i="6"/>
  <c r="AG92" i="6" s="1"/>
  <c r="AG87" i="6"/>
  <c r="AG93" i="6" s="1"/>
  <c r="CQ85" i="6" a="1"/>
  <c r="BR167" i="6" a="1"/>
  <c r="BI87" i="6"/>
  <c r="BI93" i="6" s="1"/>
  <c r="BI85" i="6"/>
  <c r="BI91" i="6" s="1"/>
  <c r="BI86" i="6"/>
  <c r="BI92" i="6" s="1"/>
  <c r="AS164" i="6"/>
  <c r="AS170" i="6" s="1"/>
  <c r="AS166" i="6"/>
  <c r="AS172" i="6" s="1"/>
  <c r="AS165" i="6"/>
  <c r="AS171" i="6" s="1"/>
  <c r="M85" i="6"/>
  <c r="M91" i="6" s="1"/>
  <c r="M86" i="6"/>
  <c r="M92" i="6" s="1"/>
  <c r="M87" i="6"/>
  <c r="M93" i="6" s="1"/>
  <c r="CY86" i="6"/>
  <c r="CY92" i="6" s="1"/>
  <c r="CY87" i="6"/>
  <c r="CY93" i="6" s="1"/>
  <c r="CY85" i="6"/>
  <c r="CY91" i="6" s="1"/>
  <c r="BP186" i="6"/>
  <c r="CU84" i="6"/>
  <c r="CU90" i="6" s="1"/>
  <c r="CU82" i="6"/>
  <c r="CU88" i="6" s="1"/>
  <c r="CU83" i="6"/>
  <c r="CU89" i="6" s="1"/>
  <c r="CZ84" i="6"/>
  <c r="CZ90" i="6" s="1"/>
  <c r="CZ82" i="6"/>
  <c r="CZ88" i="6" s="1"/>
  <c r="CZ83" i="6"/>
  <c r="CZ89" i="6" s="1"/>
  <c r="AF186" i="6"/>
  <c r="CY164" i="6" a="1"/>
  <c r="CJ186" i="6"/>
  <c r="X167" i="6" a="1"/>
  <c r="BY164" i="6" a="1"/>
  <c r="BD86" i="6"/>
  <c r="BD92" i="6" s="1"/>
  <c r="BD85" i="6"/>
  <c r="BD91" i="6" s="1"/>
  <c r="BD87" i="6"/>
  <c r="BD93" i="6" s="1"/>
  <c r="AN85" i="6" a="1"/>
  <c r="BZ165" i="6"/>
  <c r="BZ171" i="6" s="1"/>
  <c r="BZ164" i="6"/>
  <c r="BZ170" i="6" s="1"/>
  <c r="BZ166" i="6"/>
  <c r="BZ172" i="6" s="1"/>
  <c r="CR186" i="6"/>
  <c r="BF83" i="6"/>
  <c r="BF89" i="6" s="1"/>
  <c r="AT82" i="6" a="1"/>
  <c r="BT82" i="6" a="1"/>
  <c r="BU85" i="6" a="1"/>
  <c r="CD165" i="6"/>
  <c r="CD171" i="6" s="1"/>
  <c r="CD164" i="6"/>
  <c r="CD170" i="6" s="1"/>
  <c r="CD166" i="6"/>
  <c r="CD172" i="6" s="1"/>
  <c r="H167" i="6"/>
  <c r="H173" i="6" s="1"/>
  <c r="BN82" i="6"/>
  <c r="BN88" i="6" s="1"/>
  <c r="BN83" i="6"/>
  <c r="BN89" i="6" s="1"/>
  <c r="BN84" i="6"/>
  <c r="BN90" i="6" s="1"/>
  <c r="BZ84" i="6"/>
  <c r="BZ90" i="6" s="1"/>
  <c r="BZ83" i="6"/>
  <c r="BZ89" i="6" s="1"/>
  <c r="BZ82" i="6"/>
  <c r="BZ88" i="6" s="1"/>
  <c r="BH164" i="6"/>
  <c r="BH170" i="6" s="1"/>
  <c r="BH166" i="6"/>
  <c r="BH172" i="6" s="1"/>
  <c r="BH165" i="6"/>
  <c r="BH171" i="6" s="1"/>
  <c r="AI82" i="6"/>
  <c r="AI88" i="6" s="1"/>
  <c r="AI83" i="6"/>
  <c r="AI89" i="6" s="1"/>
  <c r="AI84" i="6"/>
  <c r="AI90" i="6" s="1"/>
  <c r="BL85" i="6" a="1"/>
  <c r="BL167" i="6" a="1"/>
  <c r="AD82" i="6" a="1"/>
  <c r="CW82" i="6" a="1"/>
  <c r="BW186" i="6"/>
  <c r="CF168" i="6"/>
  <c r="CF174" i="6" s="1"/>
  <c r="CF167" i="6"/>
  <c r="CF173" i="6" s="1"/>
  <c r="CF169" i="6"/>
  <c r="CF175" i="6" s="1"/>
  <c r="V167" i="6" a="1"/>
  <c r="AT167" i="6" a="1"/>
  <c r="BB164" i="6" a="1"/>
  <c r="AO82" i="6"/>
  <c r="AO88" i="6" s="1"/>
  <c r="AO83" i="6"/>
  <c r="AO89" i="6" s="1"/>
  <c r="AO84" i="6"/>
  <c r="AO90" i="6" s="1"/>
  <c r="CL167" i="6" a="1"/>
  <c r="M82" i="6"/>
  <c r="M88" i="6" s="1"/>
  <c r="M83" i="6"/>
  <c r="M89" i="6" s="1"/>
  <c r="M84" i="6"/>
  <c r="M90" i="6" s="1"/>
  <c r="BC164" i="6" a="1"/>
  <c r="AE164" i="6" a="1"/>
  <c r="CB104" i="6"/>
  <c r="BU167" i="6" a="1"/>
  <c r="Q186" i="6"/>
  <c r="CA85" i="6" a="1"/>
  <c r="CP165" i="6"/>
  <c r="CP171" i="6" s="1"/>
  <c r="CP164" i="6"/>
  <c r="CP170" i="6" s="1"/>
  <c r="CP166" i="6"/>
  <c r="CP172" i="6" s="1"/>
  <c r="BX167" i="6"/>
  <c r="BX173" i="6" s="1"/>
  <c r="BX168" i="6"/>
  <c r="BX174" i="6" s="1"/>
  <c r="BX169" i="6"/>
  <c r="BX175" i="6" s="1"/>
  <c r="CU167" i="6" a="1"/>
  <c r="CO82" i="6" a="1"/>
  <c r="BV86" i="6"/>
  <c r="BV92" i="6" s="1"/>
  <c r="BV85" i="6"/>
  <c r="BV91" i="6" s="1"/>
  <c r="BV87" i="6"/>
  <c r="BV93" i="6" s="1"/>
  <c r="BZ169" i="6"/>
  <c r="BZ175" i="6" s="1"/>
  <c r="BZ167" i="6"/>
  <c r="BZ173" i="6" s="1"/>
  <c r="BZ168" i="6"/>
  <c r="BZ174" i="6" s="1"/>
  <c r="CF164" i="6" a="1"/>
  <c r="AT85" i="6" a="1"/>
  <c r="AY82" i="6" a="1"/>
  <c r="U165" i="6"/>
  <c r="U171" i="6" s="1"/>
  <c r="U164" i="6"/>
  <c r="U170" i="6" s="1"/>
  <c r="U166" i="6"/>
  <c r="U172" i="6" s="1"/>
  <c r="R164" i="6" a="1"/>
  <c r="BN164" i="6"/>
  <c r="BN170" i="6" s="1"/>
  <c r="AZ85" i="6"/>
  <c r="AZ91" i="6" s="1"/>
  <c r="AZ87" i="6"/>
  <c r="AZ93" i="6" s="1"/>
  <c r="AZ86" i="6"/>
  <c r="AZ92" i="6" s="1"/>
  <c r="BX95" i="6"/>
  <c r="BX103" i="6"/>
  <c r="BX94" i="6"/>
  <c r="K167" i="6" a="1"/>
  <c r="CV86" i="6"/>
  <c r="CV92" i="6" s="1"/>
  <c r="CV85" i="6"/>
  <c r="CV91" i="6" s="1"/>
  <c r="CV87" i="6"/>
  <c r="CV93" i="6" s="1"/>
  <c r="R85" i="6" a="1"/>
  <c r="BD164" i="6" a="1"/>
  <c r="DA84" i="6"/>
  <c r="DA90" i="6" s="1"/>
  <c r="DA82" i="6"/>
  <c r="DA88" i="6" s="1"/>
  <c r="DA83" i="6"/>
  <c r="DA89" i="6" s="1"/>
  <c r="CL85" i="6" a="1"/>
  <c r="BV164" i="6" a="1"/>
  <c r="AG82" i="6"/>
  <c r="AG88" i="6" s="1"/>
  <c r="AG84" i="6"/>
  <c r="AG90" i="6" s="1"/>
  <c r="AG83" i="6"/>
  <c r="AG89" i="6" s="1"/>
  <c r="BT167" i="6" a="1"/>
  <c r="CN85" i="6" a="1"/>
  <c r="S164" i="6" a="1"/>
  <c r="H82" i="6" a="1"/>
  <c r="CQ169" i="6"/>
  <c r="CQ175" i="6" s="1"/>
  <c r="CQ167" i="6"/>
  <c r="CQ173" i="6" s="1"/>
  <c r="CQ168" i="6"/>
  <c r="CQ174" i="6" s="1"/>
  <c r="CZ86" i="6"/>
  <c r="CZ92" i="6" s="1"/>
  <c r="CZ87" i="6"/>
  <c r="CZ93" i="6" s="1"/>
  <c r="CZ85" i="6"/>
  <c r="CZ91" i="6" s="1"/>
  <c r="CU104" i="6"/>
  <c r="BK164" i="6" a="1"/>
  <c r="V104" i="6"/>
  <c r="BM186" i="6"/>
  <c r="BK167" i="6" a="1"/>
  <c r="BL82" i="6" a="1"/>
  <c r="BG164" i="6" a="1"/>
  <c r="I87" i="6"/>
  <c r="I93" i="6" s="1"/>
  <c r="I85" i="6"/>
  <c r="I91" i="6" s="1"/>
  <c r="I86" i="6"/>
  <c r="I92" i="6" s="1"/>
  <c r="X166" i="6"/>
  <c r="X172" i="6" s="1"/>
  <c r="BD82" i="6"/>
  <c r="BD88" i="6" s="1"/>
  <c r="BD83" i="6"/>
  <c r="BD89" i="6" s="1"/>
  <c r="BD84" i="6"/>
  <c r="BD90" i="6" s="1"/>
  <c r="AI167" i="6" a="1"/>
  <c r="AO186" i="6"/>
  <c r="CG82" i="6" a="1"/>
  <c r="H164" i="6" a="1"/>
  <c r="BG167" i="6" a="1"/>
  <c r="CJ85" i="6"/>
  <c r="CJ91" i="6" s="1"/>
  <c r="CJ87" i="6"/>
  <c r="CJ93" i="6" s="1"/>
  <c r="CJ86" i="6"/>
  <c r="CJ92" i="6" s="1"/>
  <c r="AR104" i="6" l="1"/>
  <c r="AZ84" i="6"/>
  <c r="AZ90" i="6" s="1"/>
  <c r="AA94" i="6"/>
  <c r="AH87" i="6"/>
  <c r="AH93" i="6" s="1"/>
  <c r="CM164" i="6"/>
  <c r="CM170" i="6" s="1"/>
  <c r="AD176" i="6"/>
  <c r="AM164" i="6"/>
  <c r="AM170" i="6" s="1"/>
  <c r="CS165" i="6"/>
  <c r="CS171" i="6" s="1"/>
  <c r="CS176" i="6" s="1"/>
  <c r="CS178" i="6" s="1"/>
  <c r="AA103" i="6"/>
  <c r="AH86" i="6"/>
  <c r="AH92" i="6" s="1"/>
  <c r="AD185" i="6"/>
  <c r="CO177" i="6"/>
  <c r="BO186" i="6"/>
  <c r="AB177" i="6"/>
  <c r="CS177" i="6"/>
  <c r="AB176" i="6"/>
  <c r="AB178" i="6" s="1"/>
  <c r="CO185" i="6"/>
  <c r="AK165" i="6"/>
  <c r="AK171" i="6" s="1"/>
  <c r="AK164" i="6"/>
  <c r="AK170" i="6" s="1"/>
  <c r="U87" i="6"/>
  <c r="U93" i="6" s="1"/>
  <c r="CO176" i="6"/>
  <c r="U86" i="6"/>
  <c r="U92" i="6" s="1"/>
  <c r="G104" i="6"/>
  <c r="CT186" i="6"/>
  <c r="CS186" i="6"/>
  <c r="G83" i="6"/>
  <c r="G89" i="6" s="1"/>
  <c r="BQ185" i="6"/>
  <c r="BM166" i="6"/>
  <c r="BM172" i="6" s="1"/>
  <c r="BM177" i="6" s="1"/>
  <c r="CI86" i="6"/>
  <c r="CI92" i="6" s="1"/>
  <c r="AZ83" i="6"/>
  <c r="AZ89" i="6" s="1"/>
  <c r="AM165" i="6"/>
  <c r="AM171" i="6" s="1"/>
  <c r="AM176" i="6" s="1"/>
  <c r="AU167" i="6"/>
  <c r="AU173" i="6" s="1"/>
  <c r="AH169" i="6"/>
  <c r="AH175" i="6" s="1"/>
  <c r="CT166" i="6"/>
  <c r="CT172" i="6" s="1"/>
  <c r="N167" i="6"/>
  <c r="N173" i="6" s="1"/>
  <c r="G84" i="6"/>
  <c r="G90" i="6" s="1"/>
  <c r="G95" i="6" s="1"/>
  <c r="AF177" i="6"/>
  <c r="AF178" i="6" s="1"/>
  <c r="AB185" i="6"/>
  <c r="AB187" i="6" s="1"/>
  <c r="T186" i="6"/>
  <c r="CK166" i="6"/>
  <c r="CK172" i="6" s="1"/>
  <c r="CK177" i="6" s="1"/>
  <c r="AW186" i="6"/>
  <c r="AZ166" i="6"/>
  <c r="AZ172" i="6" s="1"/>
  <c r="AO177" i="6"/>
  <c r="CG164" i="6"/>
  <c r="CG170" i="6" s="1"/>
  <c r="CG177" i="6" s="1"/>
  <c r="BQ178" i="6"/>
  <c r="BQ179" i="6" s="1"/>
  <c r="P177" i="6"/>
  <c r="AZ164" i="6"/>
  <c r="AZ170" i="6" s="1"/>
  <c r="CR164" i="6"/>
  <c r="CR170" i="6" s="1"/>
  <c r="CR176" i="6" s="1"/>
  <c r="AE104" i="6"/>
  <c r="CB177" i="6"/>
  <c r="Q87" i="6"/>
  <c r="Q93" i="6" s="1"/>
  <c r="CI165" i="6"/>
  <c r="CI171" i="6" s="1"/>
  <c r="BA186" i="6"/>
  <c r="AX82" i="6"/>
  <c r="AX88" i="6" s="1"/>
  <c r="AB87" i="6"/>
  <c r="AB93" i="6" s="1"/>
  <c r="CI166" i="6"/>
  <c r="CI172" i="6" s="1"/>
  <c r="CI176" i="6" s="1"/>
  <c r="P176" i="6"/>
  <c r="CB176" i="6"/>
  <c r="CB178" i="6" s="1"/>
  <c r="BP185" i="6"/>
  <c r="BP187" i="6" s="1"/>
  <c r="AA104" i="6"/>
  <c r="BA165" i="6"/>
  <c r="BA171" i="6" s="1"/>
  <c r="CF104" i="6"/>
  <c r="T166" i="6"/>
  <c r="T172" i="6" s="1"/>
  <c r="T176" i="6" s="1"/>
  <c r="T164" i="6"/>
  <c r="T170" i="6" s="1"/>
  <c r="CB185" i="6"/>
  <c r="CB187" i="6" s="1"/>
  <c r="CF103" i="6"/>
  <c r="CF105" i="6" s="1"/>
  <c r="CF126" i="6" s="1"/>
  <c r="CF21" i="6" s="1"/>
  <c r="CA186" i="6"/>
  <c r="CA187" i="6" s="1"/>
  <c r="CK164" i="6"/>
  <c r="CK170" i="6" s="1"/>
  <c r="CK176" i="6" s="1"/>
  <c r="AC104" i="6"/>
  <c r="CM104" i="6"/>
  <c r="BA164" i="6"/>
  <c r="BA170" i="6" s="1"/>
  <c r="BA185" i="6" s="1"/>
  <c r="BA187" i="6" s="1"/>
  <c r="BO94" i="6"/>
  <c r="AW177" i="6"/>
  <c r="AL164" i="6"/>
  <c r="AL170" i="6" s="1"/>
  <c r="BC104" i="6"/>
  <c r="W177" i="6"/>
  <c r="AL165" i="6"/>
  <c r="AL171" i="6" s="1"/>
  <c r="AS95" i="6"/>
  <c r="BT166" i="6"/>
  <c r="BT172" i="6" s="1"/>
  <c r="AY185" i="6"/>
  <c r="CZ168" i="6"/>
  <c r="CZ174" i="6" s="1"/>
  <c r="CH166" i="6"/>
  <c r="CH172" i="6" s="1"/>
  <c r="AX84" i="6"/>
  <c r="AX90" i="6" s="1"/>
  <c r="AV164" i="6"/>
  <c r="AV170" i="6" s="1"/>
  <c r="AV166" i="6"/>
  <c r="AV172" i="6" s="1"/>
  <c r="CF94" i="6"/>
  <c r="AX165" i="6"/>
  <c r="AX171" i="6" s="1"/>
  <c r="AX177" i="6" s="1"/>
  <c r="Q185" i="6"/>
  <c r="Q187" i="6" s="1"/>
  <c r="Q188" i="6" s="1"/>
  <c r="AZ176" i="6"/>
  <c r="BS177" i="6"/>
  <c r="AF185" i="6"/>
  <c r="X164" i="6"/>
  <c r="X170" i="6" s="1"/>
  <c r="X185" i="6" s="1"/>
  <c r="BU166" i="6"/>
  <c r="BU172" i="6" s="1"/>
  <c r="BV82" i="6"/>
  <c r="BV88" i="6" s="1"/>
  <c r="N164" i="6"/>
  <c r="N170" i="6" s="1"/>
  <c r="Z164" i="6"/>
  <c r="Z170" i="6" s="1"/>
  <c r="BX86" i="6"/>
  <c r="BX92" i="6" s="1"/>
  <c r="BX87" i="6"/>
  <c r="BX93" i="6" s="1"/>
  <c r="CC104" i="6"/>
  <c r="Z94" i="6"/>
  <c r="W104" i="6"/>
  <c r="CZ169" i="6"/>
  <c r="CZ175" i="6" s="1"/>
  <c r="DA186" i="6"/>
  <c r="BU165" i="6"/>
  <c r="BU171" i="6" s="1"/>
  <c r="BF167" i="6"/>
  <c r="BF173" i="6" s="1"/>
  <c r="BV83" i="6"/>
  <c r="BV89" i="6" s="1"/>
  <c r="CO178" i="6"/>
  <c r="BK83" i="6"/>
  <c r="BK89" i="6" s="1"/>
  <c r="BO165" i="6"/>
  <c r="BO171" i="6" s="1"/>
  <c r="AY177" i="6"/>
  <c r="DA87" i="6"/>
  <c r="DA93" i="6" s="1"/>
  <c r="BS83" i="6"/>
  <c r="BS89" i="6" s="1"/>
  <c r="BK84" i="6"/>
  <c r="BK90" i="6" s="1"/>
  <c r="J87" i="6"/>
  <c r="J93" i="6" s="1"/>
  <c r="J94" i="6"/>
  <c r="N104" i="6"/>
  <c r="AZ95" i="6"/>
  <c r="BZ104" i="6"/>
  <c r="BO166" i="6"/>
  <c r="BO172" i="6" s="1"/>
  <c r="Z186" i="6"/>
  <c r="I167" i="6"/>
  <c r="I173" i="6" s="1"/>
  <c r="DA85" i="6"/>
  <c r="DA91" i="6" s="1"/>
  <c r="CJ185" i="6"/>
  <c r="BS82" i="6"/>
  <c r="BS88" i="6" s="1"/>
  <c r="I169" i="6"/>
  <c r="I175" i="6" s="1"/>
  <c r="I186" i="6" s="1"/>
  <c r="CQ164" i="6"/>
  <c r="CQ170" i="6" s="1"/>
  <c r="BA94" i="6"/>
  <c r="CC83" i="6"/>
  <c r="CC89" i="6" s="1"/>
  <c r="BE103" i="6"/>
  <c r="BP176" i="6"/>
  <c r="M176" i="6"/>
  <c r="BQ83" i="6"/>
  <c r="BQ89" i="6" s="1"/>
  <c r="BF82" i="6"/>
  <c r="BF88" i="6" s="1"/>
  <c r="BF95" i="6" s="1"/>
  <c r="CJ176" i="6"/>
  <c r="CI85" i="6"/>
  <c r="CI91" i="6" s="1"/>
  <c r="BH104" i="6"/>
  <c r="CC84" i="6"/>
  <c r="CC90" i="6" s="1"/>
  <c r="CQ165" i="6"/>
  <c r="CQ171" i="6" s="1"/>
  <c r="P167" i="6"/>
  <c r="P173" i="6" s="1"/>
  <c r="AY176" i="6"/>
  <c r="BV169" i="6"/>
  <c r="BV175" i="6" s="1"/>
  <c r="CE176" i="6"/>
  <c r="N165" i="6"/>
  <c r="N171" i="6" s="1"/>
  <c r="BC83" i="6"/>
  <c r="BC89" i="6" s="1"/>
  <c r="BP177" i="6"/>
  <c r="BE166" i="6"/>
  <c r="BE172" i="6" s="1"/>
  <c r="BE164" i="6"/>
  <c r="BE170" i="6" s="1"/>
  <c r="AV168" i="6"/>
  <c r="AV174" i="6" s="1"/>
  <c r="CN165" i="6"/>
  <c r="CN171" i="6" s="1"/>
  <c r="BB87" i="6"/>
  <c r="BB93" i="6" s="1"/>
  <c r="AE83" i="6"/>
  <c r="AE89" i="6" s="1"/>
  <c r="AQ103" i="6"/>
  <c r="AZ94" i="6"/>
  <c r="BF168" i="6"/>
  <c r="BF174" i="6" s="1"/>
  <c r="CW169" i="6"/>
  <c r="CW175" i="6" s="1"/>
  <c r="CN164" i="6"/>
  <c r="CN170" i="6" s="1"/>
  <c r="AU166" i="6"/>
  <c r="AU172" i="6" s="1"/>
  <c r="J165" i="6"/>
  <c r="J171" i="6" s="1"/>
  <c r="AE84" i="6"/>
  <c r="AE90" i="6" s="1"/>
  <c r="DA176" i="6"/>
  <c r="G176" i="6"/>
  <c r="BF104" i="6"/>
  <c r="BV168" i="6"/>
  <c r="BV174" i="6" s="1"/>
  <c r="BV186" i="6" s="1"/>
  <c r="J166" i="6"/>
  <c r="J172" i="6" s="1"/>
  <c r="BQ187" i="6"/>
  <c r="BQ188" i="6" s="1"/>
  <c r="AH167" i="6"/>
  <c r="AH173" i="6" s="1"/>
  <c r="CH104" i="6"/>
  <c r="CV177" i="6"/>
  <c r="Z95" i="6"/>
  <c r="P169" i="6"/>
  <c r="P175" i="6" s="1"/>
  <c r="AI104" i="6"/>
  <c r="M185" i="6"/>
  <c r="M187" i="6" s="1"/>
  <c r="BC84" i="6"/>
  <c r="BC90" i="6" s="1"/>
  <c r="BE94" i="6"/>
  <c r="H169" i="6"/>
  <c r="H175" i="6" s="1"/>
  <c r="H186" i="6" s="1"/>
  <c r="AX164" i="6"/>
  <c r="AX170" i="6" s="1"/>
  <c r="BS185" i="6"/>
  <c r="BS187" i="6" s="1"/>
  <c r="G177" i="6"/>
  <c r="Q176" i="6"/>
  <c r="BQ82" i="6"/>
  <c r="BQ88" i="6" s="1"/>
  <c r="AU168" i="6"/>
  <c r="AU174" i="6" s="1"/>
  <c r="S167" i="6"/>
  <c r="S173" i="6" s="1"/>
  <c r="O169" i="6"/>
  <c r="O175" i="6" s="1"/>
  <c r="Z103" i="6"/>
  <c r="CE185" i="6"/>
  <c r="CE187" i="6" s="1"/>
  <c r="CE188" i="6" s="1"/>
  <c r="BS176" i="6"/>
  <c r="BS178" i="6" s="1"/>
  <c r="BE95" i="6"/>
  <c r="L94" i="6"/>
  <c r="AM103" i="6"/>
  <c r="AS103" i="6"/>
  <c r="DA185" i="6"/>
  <c r="G185" i="6"/>
  <c r="AR95" i="6"/>
  <c r="Z166" i="6"/>
  <c r="Z172" i="6" s="1"/>
  <c r="AV169" i="6"/>
  <c r="AV175" i="6" s="1"/>
  <c r="BQ85" i="6"/>
  <c r="BQ91" i="6" s="1"/>
  <c r="AZ185" i="6"/>
  <c r="AZ187" i="6" s="1"/>
  <c r="AZ208" i="6" s="1"/>
  <c r="AZ25" i="6" s="1"/>
  <c r="AM185" i="6"/>
  <c r="AM187" i="6" s="1"/>
  <c r="AM208" i="6" s="1"/>
  <c r="AM25" i="6" s="1"/>
  <c r="AZ177" i="6"/>
  <c r="AM104" i="6"/>
  <c r="BJ94" i="6"/>
  <c r="W176" i="6"/>
  <c r="W178" i="6" s="1"/>
  <c r="CM166" i="6"/>
  <c r="CM172" i="6" s="1"/>
  <c r="CM185" i="6" s="1"/>
  <c r="J85" i="6"/>
  <c r="J91" i="6" s="1"/>
  <c r="M177" i="6"/>
  <c r="AU164" i="6"/>
  <c r="AU170" i="6" s="1"/>
  <c r="F104" i="6"/>
  <c r="AO185" i="6"/>
  <c r="AO187" i="6" s="1"/>
  <c r="AB86" i="6"/>
  <c r="AB92" i="6" s="1"/>
  <c r="AB104" i="6" s="1"/>
  <c r="AR186" i="6"/>
  <c r="AR103" i="6"/>
  <c r="AR105" i="6" s="1"/>
  <c r="AR126" i="6" s="1"/>
  <c r="AR21" i="6" s="1"/>
  <c r="Q177" i="6"/>
  <c r="AJ168" i="6"/>
  <c r="AJ174" i="6" s="1"/>
  <c r="AO176" i="6"/>
  <c r="AO178" i="6" s="1"/>
  <c r="AO184" i="6" s="1"/>
  <c r="AO189" i="6" s="1"/>
  <c r="AZ103" i="6"/>
  <c r="CE177" i="6"/>
  <c r="CT177" i="6"/>
  <c r="AY186" i="6"/>
  <c r="AY187" i="6" s="1"/>
  <c r="AY208" i="6" s="1"/>
  <c r="AY25" i="6" s="1"/>
  <c r="Y177" i="6"/>
  <c r="BC168" i="6"/>
  <c r="BC174" i="6" s="1"/>
  <c r="L95" i="6"/>
  <c r="L103" i="6"/>
  <c r="BC169" i="6"/>
  <c r="BC175" i="6" s="1"/>
  <c r="AG164" i="6"/>
  <c r="AG170" i="6" s="1"/>
  <c r="Q82" i="6"/>
  <c r="Q88" i="6" s="1"/>
  <c r="BB168" i="6"/>
  <c r="BB174" i="6" s="1"/>
  <c r="BB167" i="6"/>
  <c r="BB173" i="6" s="1"/>
  <c r="CB84" i="6"/>
  <c r="CB90" i="6" s="1"/>
  <c r="L85" i="6"/>
  <c r="L91" i="6" s="1"/>
  <c r="BA87" i="6"/>
  <c r="BA93" i="6" s="1"/>
  <c r="AG169" i="6"/>
  <c r="AG175" i="6" s="1"/>
  <c r="AG166" i="6"/>
  <c r="AG172" i="6" s="1"/>
  <c r="W185" i="6"/>
  <c r="W187" i="6" s="1"/>
  <c r="W188" i="6" s="1"/>
  <c r="Q83" i="6"/>
  <c r="Q89" i="6" s="1"/>
  <c r="CB83" i="6"/>
  <c r="CB89" i="6" s="1"/>
  <c r="BO95" i="6"/>
  <c r="DA177" i="6"/>
  <c r="AD186" i="6"/>
  <c r="AD187" i="6" s="1"/>
  <c r="AP166" i="6"/>
  <c r="AP172" i="6" s="1"/>
  <c r="BJ103" i="6"/>
  <c r="P178" i="6"/>
  <c r="P184" i="6" s="1"/>
  <c r="P189" i="6" s="1"/>
  <c r="AW176" i="6"/>
  <c r="CT176" i="6"/>
  <c r="CV185" i="6"/>
  <c r="CV187" i="6" s="1"/>
  <c r="CV188" i="6" s="1"/>
  <c r="K164" i="6"/>
  <c r="K170" i="6" s="1"/>
  <c r="AR94" i="6"/>
  <c r="CI167" i="6"/>
  <c r="CI173" i="6" s="1"/>
  <c r="CH165" i="6"/>
  <c r="CH171" i="6" s="1"/>
  <c r="AC168" i="6"/>
  <c r="AC174" i="6" s="1"/>
  <c r="N186" i="6"/>
  <c r="CU176" i="6"/>
  <c r="W82" i="6"/>
  <c r="W88" i="6" s="1"/>
  <c r="BA103" i="6"/>
  <c r="K166" i="6"/>
  <c r="K172" i="6" s="1"/>
  <c r="CV176" i="6"/>
  <c r="BF166" i="6"/>
  <c r="BF172" i="6" s="1"/>
  <c r="AQ186" i="6"/>
  <c r="F165" i="6"/>
  <c r="F171" i="6" s="1"/>
  <c r="F166" i="6"/>
  <c r="F172" i="6" s="1"/>
  <c r="F164" i="6"/>
  <c r="F170" i="6" s="1"/>
  <c r="BA95" i="6"/>
  <c r="CZ165" i="6"/>
  <c r="CZ171" i="6" s="1"/>
  <c r="BA85" i="6"/>
  <c r="BA91" i="6" s="1"/>
  <c r="AW185" i="6"/>
  <c r="CY169" i="6"/>
  <c r="CY175" i="6" s="1"/>
  <c r="BD168" i="6"/>
  <c r="BD174" i="6" s="1"/>
  <c r="Y176" i="6"/>
  <c r="Y185" i="6"/>
  <c r="Y187" i="6" s="1"/>
  <c r="Y188" i="6" s="1"/>
  <c r="AJ165" i="6"/>
  <c r="AJ171" i="6" s="1"/>
  <c r="AJ164" i="6"/>
  <c r="AJ170" i="6" s="1"/>
  <c r="CN169" i="6"/>
  <c r="CN175" i="6" s="1"/>
  <c r="CZ166" i="6"/>
  <c r="CZ172" i="6" s="1"/>
  <c r="BJ95" i="6"/>
  <c r="BU82" i="6"/>
  <c r="BU88" i="6" s="1"/>
  <c r="Q86" i="6"/>
  <c r="Q92" i="6" s="1"/>
  <c r="L87" i="6"/>
  <c r="L93" i="6" s="1"/>
  <c r="AL84" i="6"/>
  <c r="AL90" i="6" s="1"/>
  <c r="N95" i="6"/>
  <c r="AL83" i="6"/>
  <c r="AL89" i="6" s="1"/>
  <c r="CR87" i="6"/>
  <c r="CR93" i="6" s="1"/>
  <c r="W84" i="6"/>
  <c r="W90" i="6" s="1"/>
  <c r="BJ104" i="6"/>
  <c r="BM104" i="6"/>
  <c r="AX103" i="6"/>
  <c r="BO103" i="6"/>
  <c r="CT87" i="6"/>
  <c r="CT93" i="6" s="1"/>
  <c r="J95" i="6"/>
  <c r="J96" i="6" s="1"/>
  <c r="AX94" i="6"/>
  <c r="AQ104" i="6"/>
  <c r="CT86" i="6"/>
  <c r="CT92" i="6" s="1"/>
  <c r="CI84" i="6"/>
  <c r="CI90" i="6" s="1"/>
  <c r="O84" i="6"/>
  <c r="O90" i="6" s="1"/>
  <c r="CT94" i="6"/>
  <c r="U94" i="6"/>
  <c r="P87" i="6"/>
  <c r="P93" i="6" s="1"/>
  <c r="AX104" i="6"/>
  <c r="CI83" i="6"/>
  <c r="CI89" i="6" s="1"/>
  <c r="BR86" i="6"/>
  <c r="BR92" i="6" s="1"/>
  <c r="AC94" i="6"/>
  <c r="CN82" i="6"/>
  <c r="CN88" i="6" s="1"/>
  <c r="CN84" i="6"/>
  <c r="CN90" i="6" s="1"/>
  <c r="CT95" i="6"/>
  <c r="U95" i="6"/>
  <c r="AW83" i="6"/>
  <c r="AW89" i="6" s="1"/>
  <c r="BM103" i="6"/>
  <c r="U103" i="6"/>
  <c r="AW82" i="6"/>
  <c r="AW88" i="6" s="1"/>
  <c r="O82" i="6"/>
  <c r="O88" i="6" s="1"/>
  <c r="AH94" i="6"/>
  <c r="J103" i="6"/>
  <c r="CP86" i="6"/>
  <c r="CP92" i="6" s="1"/>
  <c r="S86" i="6"/>
  <c r="S92" i="6" s="1"/>
  <c r="CT103" i="6"/>
  <c r="CA84" i="6"/>
  <c r="CA90" i="6" s="1"/>
  <c r="AC95" i="6"/>
  <c r="CI104" i="6"/>
  <c r="CA82" i="6"/>
  <c r="CA88" i="6" s="1"/>
  <c r="BU83" i="6"/>
  <c r="BU89" i="6" s="1"/>
  <c r="CM95" i="6"/>
  <c r="CX83" i="6"/>
  <c r="CX89" i="6" s="1"/>
  <c r="CS103" i="6"/>
  <c r="BO104" i="6"/>
  <c r="CH94" i="6"/>
  <c r="CE95" i="6"/>
  <c r="S87" i="6"/>
  <c r="S93" i="6" s="1"/>
  <c r="CS104" i="6"/>
  <c r="CE94" i="6"/>
  <c r="CR85" i="6"/>
  <c r="CR91" i="6" s="1"/>
  <c r="F82" i="6"/>
  <c r="F88" i="6" s="1"/>
  <c r="F84" i="6"/>
  <c r="F90" i="6" s="1"/>
  <c r="BM95" i="6"/>
  <c r="CE103" i="6"/>
  <c r="CE105" i="6" s="1"/>
  <c r="CE106" i="6" s="1"/>
  <c r="BM94" i="6"/>
  <c r="CK85" i="6"/>
  <c r="CK91" i="6" s="1"/>
  <c r="N103" i="6"/>
  <c r="N105" i="6" s="1"/>
  <c r="N126" i="6" s="1"/>
  <c r="N21" i="6" s="1"/>
  <c r="CS95" i="6"/>
  <c r="CS94" i="6"/>
  <c r="AH95" i="6"/>
  <c r="CW87" i="6"/>
  <c r="CW93" i="6" s="1"/>
  <c r="N94" i="6"/>
  <c r="AW86" i="6"/>
  <c r="AW92" i="6" s="1"/>
  <c r="BE104" i="6"/>
  <c r="CW86" i="6"/>
  <c r="CW92" i="6" s="1"/>
  <c r="AC103" i="6"/>
  <c r="AC105" i="6" s="1"/>
  <c r="AC106" i="6" s="1"/>
  <c r="AV86" i="6"/>
  <c r="AV92" i="6" s="1"/>
  <c r="BW104" i="6"/>
  <c r="BT165" i="6"/>
  <c r="BT171" i="6" s="1"/>
  <c r="CL165" i="6"/>
  <c r="CL171" i="6" s="1"/>
  <c r="CL164" i="6"/>
  <c r="CL170" i="6" s="1"/>
  <c r="AC166" i="6"/>
  <c r="AC172" i="6" s="1"/>
  <c r="AC167" i="6"/>
  <c r="AC173" i="6" s="1"/>
  <c r="BH186" i="6"/>
  <c r="CI169" i="6"/>
  <c r="CI175" i="6" s="1"/>
  <c r="CT185" i="6"/>
  <c r="CY167" i="6"/>
  <c r="CY173" i="6" s="1"/>
  <c r="CO187" i="6"/>
  <c r="CO188" i="6" s="1"/>
  <c r="L164" i="6"/>
  <c r="L170" i="6" s="1"/>
  <c r="O167" i="6"/>
  <c r="O173" i="6" s="1"/>
  <c r="O186" i="6" s="1"/>
  <c r="BJ167" i="6"/>
  <c r="BJ173" i="6" s="1"/>
  <c r="AS169" i="6"/>
  <c r="AS175" i="6" s="1"/>
  <c r="BF165" i="6"/>
  <c r="BF171" i="6" s="1"/>
  <c r="CU177" i="6"/>
  <c r="AS167" i="6"/>
  <c r="AS173" i="6" s="1"/>
  <c r="R168" i="6"/>
  <c r="R174" i="6" s="1"/>
  <c r="R167" i="6"/>
  <c r="R173" i="6" s="1"/>
  <c r="BJ169" i="6"/>
  <c r="BJ175" i="6" s="1"/>
  <c r="CM169" i="6"/>
  <c r="CM175" i="6" s="1"/>
  <c r="BN167" i="6"/>
  <c r="BN173" i="6" s="1"/>
  <c r="CU185" i="6"/>
  <c r="CM167" i="6"/>
  <c r="CM173" i="6" s="1"/>
  <c r="BN166" i="6"/>
  <c r="BN172" i="6" s="1"/>
  <c r="BN177" i="6" s="1"/>
  <c r="CC167" i="6"/>
  <c r="CC173" i="6" s="1"/>
  <c r="CF186" i="6"/>
  <c r="AF187" i="6"/>
  <c r="AF188" i="6" s="1"/>
  <c r="AA164" i="6"/>
  <c r="AA170" i="6" s="1"/>
  <c r="I165" i="6"/>
  <c r="I171" i="6" s="1"/>
  <c r="BD167" i="6"/>
  <c r="BD173" i="6" s="1"/>
  <c r="AN166" i="6"/>
  <c r="AN172" i="6" s="1"/>
  <c r="AN164" i="6"/>
  <c r="AN170" i="6" s="1"/>
  <c r="AN165" i="6"/>
  <c r="AN171" i="6" s="1"/>
  <c r="AA168" i="6"/>
  <c r="AA174" i="6" s="1"/>
  <c r="CW168" i="6"/>
  <c r="CW174" i="6" s="1"/>
  <c r="CW186" i="6" s="1"/>
  <c r="AA166" i="6"/>
  <c r="AA172" i="6" s="1"/>
  <c r="I166" i="6"/>
  <c r="I172" i="6" s="1"/>
  <c r="AG168" i="6"/>
  <c r="AG174" i="6" s="1"/>
  <c r="CW185" i="6"/>
  <c r="AT165" i="6"/>
  <c r="AT171" i="6" s="1"/>
  <c r="CW176" i="6"/>
  <c r="CJ187" i="6"/>
  <c r="CJ208" i="6" s="1"/>
  <c r="CJ25" i="6" s="1"/>
  <c r="AP165" i="6"/>
  <c r="AP171" i="6" s="1"/>
  <c r="AC165" i="6"/>
  <c r="AC171" i="6" s="1"/>
  <c r="CJ178" i="6"/>
  <c r="CJ184" i="6" s="1"/>
  <c r="CJ189" i="6" s="1"/>
  <c r="AT166" i="6"/>
  <c r="AT172" i="6" s="1"/>
  <c r="AA169" i="6"/>
  <c r="AA175" i="6" s="1"/>
  <c r="S168" i="6"/>
  <c r="S174" i="6" s="1"/>
  <c r="CW177" i="6"/>
  <c r="BY167" i="6"/>
  <c r="BY173" i="6" s="1"/>
  <c r="L169" i="6"/>
  <c r="L175" i="6" s="1"/>
  <c r="AJ167" i="6"/>
  <c r="AJ173" i="6" s="1"/>
  <c r="BY169" i="6"/>
  <c r="BY175" i="6" s="1"/>
  <c r="O166" i="6"/>
  <c r="O172" i="6" s="1"/>
  <c r="CN167" i="6"/>
  <c r="CN173" i="6" s="1"/>
  <c r="BQ184" i="6"/>
  <c r="BQ189" i="6" s="1"/>
  <c r="L167" i="6"/>
  <c r="L173" i="6" s="1"/>
  <c r="BI186" i="6"/>
  <c r="AQ177" i="6"/>
  <c r="AQ185" i="6"/>
  <c r="AQ176" i="6"/>
  <c r="CC168" i="6"/>
  <c r="CC174" i="6" s="1"/>
  <c r="BW185" i="6"/>
  <c r="BW187" i="6" s="1"/>
  <c r="BW188" i="6" s="1"/>
  <c r="BW177" i="6"/>
  <c r="BW176" i="6"/>
  <c r="BN168" i="6"/>
  <c r="BN174" i="6" s="1"/>
  <c r="CA178" i="6"/>
  <c r="CA179" i="6" s="1"/>
  <c r="J168" i="6"/>
  <c r="J174" i="6" s="1"/>
  <c r="J169" i="6"/>
  <c r="J175" i="6" s="1"/>
  <c r="BX177" i="6"/>
  <c r="BX176" i="6"/>
  <c r="BX185" i="6"/>
  <c r="O165" i="6"/>
  <c r="O171" i="6" s="1"/>
  <c r="L166" i="6"/>
  <c r="L172" i="6" s="1"/>
  <c r="AD178" i="6"/>
  <c r="AD179" i="6" s="1"/>
  <c r="BI176" i="6"/>
  <c r="BI185" i="6"/>
  <c r="BI177" i="6"/>
  <c r="AR177" i="6"/>
  <c r="AR176" i="6"/>
  <c r="AR185" i="6"/>
  <c r="AQ94" i="6"/>
  <c r="BT87" i="6"/>
  <c r="BT93" i="6" s="1"/>
  <c r="BQ86" i="6"/>
  <c r="BQ92" i="6" s="1"/>
  <c r="Y83" i="6"/>
  <c r="Y89" i="6" s="1"/>
  <c r="AB94" i="6"/>
  <c r="BH83" i="6"/>
  <c r="BH89" i="6" s="1"/>
  <c r="Z104" i="6"/>
  <c r="Z105" i="6" s="1"/>
  <c r="Z106" i="6" s="1"/>
  <c r="BK104" i="6"/>
  <c r="K84" i="6"/>
  <c r="K90" i="6" s="1"/>
  <c r="P83" i="6"/>
  <c r="P89" i="6" s="1"/>
  <c r="CV95" i="6"/>
  <c r="CX84" i="6"/>
  <c r="CX90" i="6" s="1"/>
  <c r="K83" i="6"/>
  <c r="K89" i="6" s="1"/>
  <c r="P84" i="6"/>
  <c r="P90" i="6" s="1"/>
  <c r="AU84" i="6"/>
  <c r="AU90" i="6" s="1"/>
  <c r="AU82" i="6"/>
  <c r="AU88" i="6" s="1"/>
  <c r="BT86" i="6"/>
  <c r="BT92" i="6" s="1"/>
  <c r="BH82" i="6"/>
  <c r="BH88" i="6" s="1"/>
  <c r="AH103" i="6"/>
  <c r="AK82" i="6"/>
  <c r="AK88" i="6" s="1"/>
  <c r="AK83" i="6"/>
  <c r="AK89" i="6" s="1"/>
  <c r="CQ83" i="6"/>
  <c r="CQ89" i="6" s="1"/>
  <c r="CD82" i="6"/>
  <c r="CD88" i="6" s="1"/>
  <c r="AJ85" i="6"/>
  <c r="AJ91" i="6" s="1"/>
  <c r="CD84" i="6"/>
  <c r="CD90" i="6" s="1"/>
  <c r="AW87" i="6"/>
  <c r="AW93" i="6" s="1"/>
  <c r="AJ86" i="6"/>
  <c r="AJ92" i="6" s="1"/>
  <c r="R82" i="6"/>
  <c r="R88" i="6" s="1"/>
  <c r="Y87" i="6"/>
  <c r="Y93" i="6" s="1"/>
  <c r="AM94" i="6"/>
  <c r="V84" i="6"/>
  <c r="V90" i="6" s="1"/>
  <c r="V82" i="6"/>
  <c r="V88" i="6" s="1"/>
  <c r="AQ95" i="6"/>
  <c r="AL85" i="6"/>
  <c r="AL91" i="6" s="1"/>
  <c r="CK87" i="6"/>
  <c r="CK93" i="6" s="1"/>
  <c r="AJ83" i="6"/>
  <c r="AJ89" i="6" s="1"/>
  <c r="CH103" i="6"/>
  <c r="Y86" i="6"/>
  <c r="Y92" i="6" s="1"/>
  <c r="AM95" i="6"/>
  <c r="BB86" i="6"/>
  <c r="BB92" i="6" s="1"/>
  <c r="AJ82" i="6"/>
  <c r="AJ88" i="6" s="1"/>
  <c r="K87" i="6"/>
  <c r="K93" i="6" s="1"/>
  <c r="BG104" i="6"/>
  <c r="O87" i="6"/>
  <c r="O93" i="6" s="1"/>
  <c r="CH95" i="6"/>
  <c r="BR85" i="6"/>
  <c r="BR91" i="6" s="1"/>
  <c r="AB103" i="6"/>
  <c r="CR83" i="6"/>
  <c r="CR89" i="6" s="1"/>
  <c r="CQ84" i="6"/>
  <c r="CQ90" i="6" s="1"/>
  <c r="BS104" i="6"/>
  <c r="BG103" i="6"/>
  <c r="AB95" i="6"/>
  <c r="BN104" i="6"/>
  <c r="AV87" i="6"/>
  <c r="AV93" i="6" s="1"/>
  <c r="CM103" i="6"/>
  <c r="CM105" i="6" s="1"/>
  <c r="CM106" i="6" s="1"/>
  <c r="K86" i="6"/>
  <c r="K92" i="6" s="1"/>
  <c r="CM94" i="6"/>
  <c r="CP87" i="6"/>
  <c r="CP93" i="6" s="1"/>
  <c r="CX104" i="6"/>
  <c r="BY87" i="6"/>
  <c r="BY93" i="6" s="1"/>
  <c r="CK83" i="6"/>
  <c r="CK89" i="6" s="1"/>
  <c r="BY86" i="6"/>
  <c r="BY92" i="6" s="1"/>
  <c r="CR84" i="6"/>
  <c r="CR90" i="6" s="1"/>
  <c r="BG94" i="6"/>
  <c r="AL86" i="6"/>
  <c r="AL92" i="6" s="1"/>
  <c r="CP82" i="6"/>
  <c r="CP88" i="6" s="1"/>
  <c r="I82" i="6"/>
  <c r="I88" i="6" s="1"/>
  <c r="CP83" i="6"/>
  <c r="CP89" i="6" s="1"/>
  <c r="R83" i="6"/>
  <c r="R89" i="6" s="1"/>
  <c r="O85" i="6"/>
  <c r="O91" i="6" s="1"/>
  <c r="CV94" i="6"/>
  <c r="I83" i="6"/>
  <c r="I89" i="6" s="1"/>
  <c r="AV83" i="6"/>
  <c r="AV89" i="6" s="1"/>
  <c r="AV82" i="6"/>
  <c r="AV88" i="6" s="1"/>
  <c r="AV84" i="6"/>
  <c r="AV90" i="6" s="1"/>
  <c r="AK104" i="6"/>
  <c r="AP87" i="6"/>
  <c r="AP93" i="6" s="1"/>
  <c r="CV103" i="6"/>
  <c r="CG87" i="6"/>
  <c r="CG93" i="6" s="1"/>
  <c r="CG86" i="6"/>
  <c r="CG92" i="6" s="1"/>
  <c r="Y84" i="6"/>
  <c r="Y90" i="6" s="1"/>
  <c r="S83" i="6"/>
  <c r="S89" i="6" s="1"/>
  <c r="X84" i="6"/>
  <c r="X90" i="6" s="1"/>
  <c r="BG95" i="6"/>
  <c r="BY84" i="6"/>
  <c r="BY90" i="6" s="1"/>
  <c r="BY82" i="6"/>
  <c r="BY88" i="6" s="1"/>
  <c r="BY83" i="6"/>
  <c r="BY89" i="6" s="1"/>
  <c r="S82" i="6"/>
  <c r="S88" i="6" s="1"/>
  <c r="X83" i="6"/>
  <c r="X89" i="6" s="1"/>
  <c r="AP85" i="6"/>
  <c r="AP91" i="6" s="1"/>
  <c r="AF103" i="6"/>
  <c r="AF105" i="6" s="1"/>
  <c r="AF106" i="6" s="1"/>
  <c r="AF95" i="6"/>
  <c r="AF94" i="6"/>
  <c r="T82" i="6"/>
  <c r="T88" i="6" s="1"/>
  <c r="T84" i="6"/>
  <c r="T90" i="6" s="1"/>
  <c r="T83" i="6"/>
  <c r="T89" i="6" s="1"/>
  <c r="CL82" i="6"/>
  <c r="CL88" i="6" s="1"/>
  <c r="CK84" i="6"/>
  <c r="CK90" i="6" s="1"/>
  <c r="CL84" i="6"/>
  <c r="CL90" i="6" s="1"/>
  <c r="CV104" i="6"/>
  <c r="AN83" i="6"/>
  <c r="AN89" i="6" s="1"/>
  <c r="P85" i="6"/>
  <c r="P91" i="6" s="1"/>
  <c r="T87" i="6"/>
  <c r="T93" i="6" s="1"/>
  <c r="T85" i="6"/>
  <c r="T91" i="6" s="1"/>
  <c r="T86" i="6"/>
  <c r="T92" i="6" s="1"/>
  <c r="CZ104" i="6"/>
  <c r="AS96" i="6"/>
  <c r="AS97" i="6" s="1"/>
  <c r="BD104" i="6"/>
  <c r="AN84" i="6"/>
  <c r="AN90" i="6" s="1"/>
  <c r="CF96" i="6"/>
  <c r="CF97" i="6" s="1"/>
  <c r="AA96" i="6"/>
  <c r="AA97" i="6" s="1"/>
  <c r="CD104" i="6"/>
  <c r="BK167" i="6"/>
  <c r="BK173" i="6" s="1"/>
  <c r="BK168" i="6"/>
  <c r="BK174" i="6" s="1"/>
  <c r="BK169" i="6"/>
  <c r="BK175" i="6" s="1"/>
  <c r="BE168" i="6"/>
  <c r="BE174" i="6" s="1"/>
  <c r="BE167" i="6"/>
  <c r="BE173" i="6" s="1"/>
  <c r="BE169" i="6"/>
  <c r="BE175" i="6" s="1"/>
  <c r="H85" i="6"/>
  <c r="H91" i="6" s="1"/>
  <c r="H87" i="6"/>
  <c r="H93" i="6" s="1"/>
  <c r="H86" i="6"/>
  <c r="H92" i="6" s="1"/>
  <c r="CC164" i="6"/>
  <c r="CC170" i="6" s="1"/>
  <c r="CC166" i="6"/>
  <c r="CC172" i="6" s="1"/>
  <c r="CC165" i="6"/>
  <c r="CC171" i="6" s="1"/>
  <c r="BG165" i="6"/>
  <c r="BG171" i="6" s="1"/>
  <c r="BG164" i="6"/>
  <c r="BG170" i="6" s="1"/>
  <c r="BG166" i="6"/>
  <c r="BG172" i="6" s="1"/>
  <c r="H82" i="6"/>
  <c r="H88" i="6" s="1"/>
  <c r="H83" i="6"/>
  <c r="H89" i="6" s="1"/>
  <c r="H84" i="6"/>
  <c r="H90" i="6" s="1"/>
  <c r="AD84" i="6"/>
  <c r="AD90" i="6" s="1"/>
  <c r="AD83" i="6"/>
  <c r="AD89" i="6" s="1"/>
  <c r="AD82" i="6"/>
  <c r="AD88" i="6" s="1"/>
  <c r="G186" i="6"/>
  <c r="CH167" i="6"/>
  <c r="CH173" i="6" s="1"/>
  <c r="CH168" i="6"/>
  <c r="CH174" i="6" s="1"/>
  <c r="CH169" i="6"/>
  <c r="CH175" i="6" s="1"/>
  <c r="BB83" i="6"/>
  <c r="BB89" i="6" s="1"/>
  <c r="BB82" i="6"/>
  <c r="BB88" i="6" s="1"/>
  <c r="BB84" i="6"/>
  <c r="BB90" i="6" s="1"/>
  <c r="BP104" i="6"/>
  <c r="AP82" i="6"/>
  <c r="AP88" i="6" s="1"/>
  <c r="AP84" i="6"/>
  <c r="AP90" i="6" s="1"/>
  <c r="AP83" i="6"/>
  <c r="AP89" i="6" s="1"/>
  <c r="CY95" i="6"/>
  <c r="CY103" i="6"/>
  <c r="CY94" i="6"/>
  <c r="H165" i="6"/>
  <c r="H171" i="6" s="1"/>
  <c r="H166" i="6"/>
  <c r="H172" i="6" s="1"/>
  <c r="H164" i="6"/>
  <c r="H170" i="6" s="1"/>
  <c r="BK165" i="6"/>
  <c r="BK171" i="6" s="1"/>
  <c r="BK166" i="6"/>
  <c r="BK172" i="6" s="1"/>
  <c r="BK164" i="6"/>
  <c r="BK170" i="6" s="1"/>
  <c r="S166" i="6"/>
  <c r="S172" i="6" s="1"/>
  <c r="S165" i="6"/>
  <c r="S171" i="6" s="1"/>
  <c r="S164" i="6"/>
  <c r="S170" i="6" s="1"/>
  <c r="R85" i="6"/>
  <c r="R91" i="6" s="1"/>
  <c r="R87" i="6"/>
  <c r="R93" i="6" s="1"/>
  <c r="R86" i="6"/>
  <c r="R92" i="6" s="1"/>
  <c r="BX96" i="6"/>
  <c r="AZ104" i="6"/>
  <c r="CF165" i="6"/>
  <c r="CF171" i="6" s="1"/>
  <c r="CF164" i="6"/>
  <c r="CF170" i="6" s="1"/>
  <c r="CF166" i="6"/>
  <c r="CF172" i="6" s="1"/>
  <c r="BV104" i="6"/>
  <c r="BL86" i="6"/>
  <c r="BL92" i="6" s="1"/>
  <c r="BL85" i="6"/>
  <c r="BL91" i="6" s="1"/>
  <c r="BL87" i="6"/>
  <c r="BL93" i="6" s="1"/>
  <c r="CD177" i="6"/>
  <c r="CD176" i="6"/>
  <c r="CD185" i="6"/>
  <c r="CD187" i="6" s="1"/>
  <c r="CN185" i="6"/>
  <c r="AS177" i="6"/>
  <c r="AS176" i="6"/>
  <c r="AS185" i="6"/>
  <c r="BI104" i="6"/>
  <c r="CQ85" i="6"/>
  <c r="CQ91" i="6" s="1"/>
  <c r="CQ86" i="6"/>
  <c r="CQ92" i="6" s="1"/>
  <c r="CQ87" i="6"/>
  <c r="CQ93" i="6" s="1"/>
  <c r="AS104" i="6"/>
  <c r="AE168" i="6"/>
  <c r="AE174" i="6" s="1"/>
  <c r="AE169" i="6"/>
  <c r="AE175" i="6" s="1"/>
  <c r="AE167" i="6"/>
  <c r="AE173" i="6" s="1"/>
  <c r="AI166" i="6"/>
  <c r="AI172" i="6" s="1"/>
  <c r="AI165" i="6"/>
  <c r="AI171" i="6" s="1"/>
  <c r="AI164" i="6"/>
  <c r="AI170" i="6" s="1"/>
  <c r="CO86" i="6"/>
  <c r="CO92" i="6" s="1"/>
  <c r="CO85" i="6"/>
  <c r="CO91" i="6" s="1"/>
  <c r="CO87" i="6"/>
  <c r="CO93" i="6" s="1"/>
  <c r="AU87" i="6"/>
  <c r="AU93" i="6" s="1"/>
  <c r="AU86" i="6"/>
  <c r="AU92" i="6" s="1"/>
  <c r="AU85" i="6"/>
  <c r="AU91" i="6" s="1"/>
  <c r="BW94" i="6"/>
  <c r="BW95" i="6"/>
  <c r="BW103" i="6"/>
  <c r="BD95" i="6"/>
  <c r="BD94" i="6"/>
  <c r="BD103" i="6"/>
  <c r="BV166" i="6"/>
  <c r="BV172" i="6" s="1"/>
  <c r="BV165" i="6"/>
  <c r="BV171" i="6" s="1"/>
  <c r="BV164" i="6"/>
  <c r="BV170" i="6" s="1"/>
  <c r="AO95" i="6"/>
  <c r="AO103" i="6"/>
  <c r="AO105" i="6" s="1"/>
  <c r="AO94" i="6"/>
  <c r="AP167" i="6"/>
  <c r="AP173" i="6" s="1"/>
  <c r="AP168" i="6"/>
  <c r="AP174" i="6" s="1"/>
  <c r="AP169" i="6"/>
  <c r="AP175" i="6" s="1"/>
  <c r="CW83" i="6"/>
  <c r="CW89" i="6" s="1"/>
  <c r="CW82" i="6"/>
  <c r="CW88" i="6" s="1"/>
  <c r="CW84" i="6"/>
  <c r="CW90" i="6" s="1"/>
  <c r="CG82" i="6"/>
  <c r="CG88" i="6" s="1"/>
  <c r="CG84" i="6"/>
  <c r="CG90" i="6" s="1"/>
  <c r="CG83" i="6"/>
  <c r="CG89" i="6" s="1"/>
  <c r="CN85" i="6"/>
  <c r="CN91" i="6" s="1"/>
  <c r="CN86" i="6"/>
  <c r="CN92" i="6" s="1"/>
  <c r="CN87" i="6"/>
  <c r="CN93" i="6" s="1"/>
  <c r="M95" i="6"/>
  <c r="M103" i="6"/>
  <c r="M94" i="6"/>
  <c r="BH177" i="6"/>
  <c r="BH176" i="6"/>
  <c r="BH185" i="6"/>
  <c r="BL164" i="6"/>
  <c r="BL170" i="6" s="1"/>
  <c r="BL166" i="6"/>
  <c r="BL172" i="6" s="1"/>
  <c r="BL165" i="6"/>
  <c r="BL171" i="6" s="1"/>
  <c r="BZ186" i="6"/>
  <c r="CO83" i="6"/>
  <c r="CO89" i="6" s="1"/>
  <c r="CO84" i="6"/>
  <c r="CO90" i="6" s="1"/>
  <c r="CO82" i="6"/>
  <c r="CO88" i="6" s="1"/>
  <c r="CA86" i="6"/>
  <c r="CA92" i="6" s="1"/>
  <c r="CA85" i="6"/>
  <c r="CA91" i="6" s="1"/>
  <c r="CA87" i="6"/>
  <c r="CA93" i="6" s="1"/>
  <c r="BU167" i="6"/>
  <c r="BU173" i="6" s="1"/>
  <c r="BU169" i="6"/>
  <c r="BU175" i="6" s="1"/>
  <c r="BU168" i="6"/>
  <c r="BU174" i="6" s="1"/>
  <c r="CL168" i="6"/>
  <c r="CL174" i="6" s="1"/>
  <c r="CL169" i="6"/>
  <c r="CL175" i="6" s="1"/>
  <c r="CL167" i="6"/>
  <c r="CL173" i="6" s="1"/>
  <c r="V169" i="6"/>
  <c r="V175" i="6" s="1"/>
  <c r="V168" i="6"/>
  <c r="V174" i="6" s="1"/>
  <c r="V167" i="6"/>
  <c r="V173" i="6" s="1"/>
  <c r="BZ103" i="6"/>
  <c r="BZ95" i="6"/>
  <c r="BZ94" i="6"/>
  <c r="CU95" i="6"/>
  <c r="CU94" i="6"/>
  <c r="CU103" i="6"/>
  <c r="CU105" i="6" s="1"/>
  <c r="M104" i="6"/>
  <c r="AX168" i="6"/>
  <c r="AX174" i="6" s="1"/>
  <c r="AX167" i="6"/>
  <c r="AX173" i="6" s="1"/>
  <c r="AX169" i="6"/>
  <c r="AX175" i="6" s="1"/>
  <c r="AH165" i="6"/>
  <c r="AH171" i="6" s="1"/>
  <c r="AH164" i="6"/>
  <c r="AH170" i="6" s="1"/>
  <c r="AH166" i="6"/>
  <c r="AH172" i="6" s="1"/>
  <c r="V165" i="6"/>
  <c r="V171" i="6" s="1"/>
  <c r="V164" i="6"/>
  <c r="V170" i="6" s="1"/>
  <c r="V166" i="6"/>
  <c r="V172" i="6" s="1"/>
  <c r="CJ103" i="6"/>
  <c r="CJ94" i="6"/>
  <c r="CJ95" i="6"/>
  <c r="CO179" i="6"/>
  <c r="CO184" i="6"/>
  <c r="CO189" i="6" s="1"/>
  <c r="DA95" i="6"/>
  <c r="DA94" i="6"/>
  <c r="DA103" i="6"/>
  <c r="AY85" i="6"/>
  <c r="AY91" i="6" s="1"/>
  <c r="AY86" i="6"/>
  <c r="AY92" i="6" s="1"/>
  <c r="AY87" i="6"/>
  <c r="AY93" i="6" s="1"/>
  <c r="CX169" i="6"/>
  <c r="CX175" i="6" s="1"/>
  <c r="CX167" i="6"/>
  <c r="CX173" i="6" s="1"/>
  <c r="CX168" i="6"/>
  <c r="CX174" i="6" s="1"/>
  <c r="BR166" i="6"/>
  <c r="BR172" i="6" s="1"/>
  <c r="BR165" i="6"/>
  <c r="BR171" i="6" s="1"/>
  <c r="BR164" i="6"/>
  <c r="BR170" i="6" s="1"/>
  <c r="BJ165" i="6"/>
  <c r="BJ171" i="6" s="1"/>
  <c r="BJ166" i="6"/>
  <c r="BJ172" i="6" s="1"/>
  <c r="BJ164" i="6"/>
  <c r="BJ170" i="6" s="1"/>
  <c r="BD164" i="6"/>
  <c r="BD170" i="6" s="1"/>
  <c r="BD165" i="6"/>
  <c r="BD171" i="6" s="1"/>
  <c r="BD166" i="6"/>
  <c r="BD172" i="6" s="1"/>
  <c r="AN86" i="6"/>
  <c r="AN92" i="6" s="1"/>
  <c r="AN85" i="6"/>
  <c r="AN91" i="6" s="1"/>
  <c r="AN87" i="6"/>
  <c r="AN93" i="6" s="1"/>
  <c r="U185" i="6"/>
  <c r="U187" i="6" s="1"/>
  <c r="U177" i="6"/>
  <c r="U176" i="6"/>
  <c r="BX186" i="6"/>
  <c r="AT167" i="6"/>
  <c r="AT173" i="6" s="1"/>
  <c r="AT169" i="6"/>
  <c r="AT175" i="6" s="1"/>
  <c r="AT168" i="6"/>
  <c r="AT174" i="6" s="1"/>
  <c r="BN94" i="6"/>
  <c r="BN95" i="6"/>
  <c r="BN103" i="6"/>
  <c r="BU86" i="6"/>
  <c r="BU92" i="6" s="1"/>
  <c r="BU85" i="6"/>
  <c r="BU91" i="6" s="1"/>
  <c r="BU87" i="6"/>
  <c r="BU93" i="6" s="1"/>
  <c r="BZ176" i="6"/>
  <c r="BZ177" i="6"/>
  <c r="BZ185" i="6"/>
  <c r="BQ180" i="6"/>
  <c r="BQ182" i="6"/>
  <c r="BQ183" i="6"/>
  <c r="BQ181" i="6"/>
  <c r="AD87" i="6"/>
  <c r="AD93" i="6" s="1"/>
  <c r="AD86" i="6"/>
  <c r="AD92" i="6" s="1"/>
  <c r="AD85" i="6"/>
  <c r="AD91" i="6" s="1"/>
  <c r="CB179" i="6"/>
  <c r="CB184" i="6"/>
  <c r="CB189" i="6" s="1"/>
  <c r="AI167" i="6"/>
  <c r="AI173" i="6" s="1"/>
  <c r="AI168" i="6"/>
  <c r="AI174" i="6" s="1"/>
  <c r="AI169" i="6"/>
  <c r="AI175" i="6" s="1"/>
  <c r="CQ186" i="6"/>
  <c r="CL87" i="6"/>
  <c r="CL93" i="6" s="1"/>
  <c r="CL86" i="6"/>
  <c r="CL92" i="6" s="1"/>
  <c r="CL85" i="6"/>
  <c r="CL91" i="6" s="1"/>
  <c r="AY84" i="6"/>
  <c r="AY90" i="6" s="1"/>
  <c r="AY83" i="6"/>
  <c r="AY89" i="6" s="1"/>
  <c r="AY82" i="6"/>
  <c r="AY88" i="6" s="1"/>
  <c r="CP176" i="6"/>
  <c r="CP177" i="6"/>
  <c r="CP185" i="6"/>
  <c r="CP187" i="6" s="1"/>
  <c r="BC164" i="6"/>
  <c r="BC170" i="6" s="1"/>
  <c r="BC165" i="6"/>
  <c r="BC171" i="6" s="1"/>
  <c r="BC166" i="6"/>
  <c r="BC172" i="6" s="1"/>
  <c r="AI94" i="6"/>
  <c r="AI103" i="6"/>
  <c r="AI95" i="6"/>
  <c r="BT83" i="6"/>
  <c r="BT89" i="6" s="1"/>
  <c r="BT84" i="6"/>
  <c r="BT90" i="6" s="1"/>
  <c r="BT82" i="6"/>
  <c r="BT88" i="6" s="1"/>
  <c r="AT84" i="6"/>
  <c r="AT90" i="6" s="1"/>
  <c r="AT83" i="6"/>
  <c r="AT89" i="6" s="1"/>
  <c r="AT82" i="6"/>
  <c r="AT88" i="6" s="1"/>
  <c r="BY164" i="6"/>
  <c r="BY170" i="6" s="1"/>
  <c r="BY165" i="6"/>
  <c r="BY171" i="6" s="1"/>
  <c r="BY166" i="6"/>
  <c r="BY172" i="6" s="1"/>
  <c r="AG104" i="6"/>
  <c r="BR84" i="6"/>
  <c r="BR90" i="6" s="1"/>
  <c r="BR82" i="6"/>
  <c r="BR88" i="6" s="1"/>
  <c r="BR83" i="6"/>
  <c r="BR89" i="6" s="1"/>
  <c r="BI103" i="6"/>
  <c r="BI95" i="6"/>
  <c r="BI94" i="6"/>
  <c r="BP95" i="6"/>
  <c r="BP94" i="6"/>
  <c r="BP103" i="6"/>
  <c r="AG95" i="6"/>
  <c r="AG94" i="6"/>
  <c r="AG103" i="6"/>
  <c r="BR167" i="6"/>
  <c r="BR173" i="6" s="1"/>
  <c r="BR169" i="6"/>
  <c r="BR175" i="6" s="1"/>
  <c r="BR168" i="6"/>
  <c r="BR174" i="6" s="1"/>
  <c r="CX165" i="6"/>
  <c r="CX171" i="6" s="1"/>
  <c r="CX166" i="6"/>
  <c r="CX172" i="6" s="1"/>
  <c r="CX164" i="6"/>
  <c r="CX170" i="6" s="1"/>
  <c r="CU167" i="6"/>
  <c r="CU173" i="6" s="1"/>
  <c r="CU169" i="6"/>
  <c r="CU175" i="6" s="1"/>
  <c r="CU168" i="6"/>
  <c r="CU174" i="6" s="1"/>
  <c r="J185" i="6"/>
  <c r="CJ104" i="6"/>
  <c r="K168" i="6"/>
  <c r="K174" i="6" s="1"/>
  <c r="K169" i="6"/>
  <c r="K175" i="6" s="1"/>
  <c r="K167" i="6"/>
  <c r="K173" i="6" s="1"/>
  <c r="BB164" i="6"/>
  <c r="BB170" i="6" s="1"/>
  <c r="BB166" i="6"/>
  <c r="BB172" i="6" s="1"/>
  <c r="BB165" i="6"/>
  <c r="BB171" i="6" s="1"/>
  <c r="BL169" i="6"/>
  <c r="BL175" i="6" s="1"/>
  <c r="BL168" i="6"/>
  <c r="BL174" i="6" s="1"/>
  <c r="BL167" i="6"/>
  <c r="BL173" i="6" s="1"/>
  <c r="CY164" i="6"/>
  <c r="CY170" i="6" s="1"/>
  <c r="CY166" i="6"/>
  <c r="CY172" i="6" s="1"/>
  <c r="CY165" i="6"/>
  <c r="CY171" i="6" s="1"/>
  <c r="BL84" i="6"/>
  <c r="BL90" i="6" s="1"/>
  <c r="BL83" i="6"/>
  <c r="BL89" i="6" s="1"/>
  <c r="BL82" i="6"/>
  <c r="BL88" i="6" s="1"/>
  <c r="BG167" i="6"/>
  <c r="BG173" i="6" s="1"/>
  <c r="BG168" i="6"/>
  <c r="BG174" i="6" s="1"/>
  <c r="BG169" i="6"/>
  <c r="BG175" i="6" s="1"/>
  <c r="I104" i="6"/>
  <c r="BT169" i="6"/>
  <c r="BT175" i="6" s="1"/>
  <c r="BT167" i="6"/>
  <c r="BT173" i="6" s="1"/>
  <c r="BT168" i="6"/>
  <c r="BT174" i="6" s="1"/>
  <c r="R165" i="6"/>
  <c r="R171" i="6" s="1"/>
  <c r="R166" i="6"/>
  <c r="R172" i="6" s="1"/>
  <c r="R164" i="6"/>
  <c r="R170" i="6" s="1"/>
  <c r="AT87" i="6"/>
  <c r="AT93" i="6" s="1"/>
  <c r="AT85" i="6"/>
  <c r="AT91" i="6" s="1"/>
  <c r="AT86" i="6"/>
  <c r="AT92" i="6" s="1"/>
  <c r="AE165" i="6"/>
  <c r="AE171" i="6" s="1"/>
  <c r="AE164" i="6"/>
  <c r="AE170" i="6" s="1"/>
  <c r="AE166" i="6"/>
  <c r="AE172" i="6" s="1"/>
  <c r="X167" i="6"/>
  <c r="X173" i="6" s="1"/>
  <c r="X169" i="6"/>
  <c r="X175" i="6" s="1"/>
  <c r="X168" i="6"/>
  <c r="X174" i="6" s="1"/>
  <c r="CZ103" i="6"/>
  <c r="CZ94" i="6"/>
  <c r="CZ95" i="6"/>
  <c r="CY104" i="6"/>
  <c r="X87" i="6"/>
  <c r="X93" i="6" s="1"/>
  <c r="X85" i="6"/>
  <c r="X91" i="6" s="1"/>
  <c r="X86" i="6"/>
  <c r="X92" i="6" s="1"/>
  <c r="AX185" i="6"/>
  <c r="BO96" i="6" l="1"/>
  <c r="BO102" i="6" s="1"/>
  <c r="BO107" i="6" s="1"/>
  <c r="AA105" i="6"/>
  <c r="AA126" i="6" s="1"/>
  <c r="AA21" i="6" s="1"/>
  <c r="BE105" i="6"/>
  <c r="BE126" i="6" s="1"/>
  <c r="BE21" i="6" s="1"/>
  <c r="BE96" i="6"/>
  <c r="BE97" i="6" s="1"/>
  <c r="BE99" i="6" s="1"/>
  <c r="AH104" i="6"/>
  <c r="AB179" i="6"/>
  <c r="AB182" i="6" s="1"/>
  <c r="AB184" i="6"/>
  <c r="AB189" i="6" s="1"/>
  <c r="AB188" i="6"/>
  <c r="AB208" i="6"/>
  <c r="AB25" i="6" s="1"/>
  <c r="AX176" i="6"/>
  <c r="CS185" i="6"/>
  <c r="CS187" i="6" s="1"/>
  <c r="CS208" i="6" s="1"/>
  <c r="CS25" i="6" s="1"/>
  <c r="BT177" i="6"/>
  <c r="CK185" i="6"/>
  <c r="CK187" i="6" s="1"/>
  <c r="CK208" i="6" s="1"/>
  <c r="CK25" i="6" s="1"/>
  <c r="CT187" i="6"/>
  <c r="CT188" i="6" s="1"/>
  <c r="AX95" i="6"/>
  <c r="CI185" i="6"/>
  <c r="G94" i="6"/>
  <c r="U104" i="6"/>
  <c r="U105" i="6" s="1"/>
  <c r="AU186" i="6"/>
  <c r="CZ186" i="6"/>
  <c r="CR177" i="6"/>
  <c r="CR178" i="6" s="1"/>
  <c r="N176" i="6"/>
  <c r="Q104" i="6"/>
  <c r="AK177" i="6"/>
  <c r="AK185" i="6"/>
  <c r="AK187" i="6" s="1"/>
  <c r="AK176" i="6"/>
  <c r="BZ105" i="6"/>
  <c r="AI105" i="6"/>
  <c r="AI106" i="6" s="1"/>
  <c r="AW178" i="6"/>
  <c r="AW179" i="6" s="1"/>
  <c r="CG176" i="6"/>
  <c r="CG178" i="6" s="1"/>
  <c r="BM185" i="6"/>
  <c r="BM187" i="6" s="1"/>
  <c r="G103" i="6"/>
  <c r="G105" i="6" s="1"/>
  <c r="G126" i="6" s="1"/>
  <c r="G21" i="6" s="1"/>
  <c r="CG185" i="6"/>
  <c r="CG187" i="6" s="1"/>
  <c r="BM176" i="6"/>
  <c r="N185" i="6"/>
  <c r="AV177" i="6"/>
  <c r="T185" i="6"/>
  <c r="T187" i="6" s="1"/>
  <c r="T208" i="6" s="1"/>
  <c r="T25" i="6" s="1"/>
  <c r="AM177" i="6"/>
  <c r="AM178" i="6" s="1"/>
  <c r="AM184" i="6" s="1"/>
  <c r="AM189" i="6" s="1"/>
  <c r="CA208" i="6"/>
  <c r="CA25" i="6" s="1"/>
  <c r="CA188" i="6"/>
  <c r="AF179" i="6"/>
  <c r="AF184" i="6"/>
  <c r="AF189" i="6" s="1"/>
  <c r="S186" i="6"/>
  <c r="AU176" i="6"/>
  <c r="AW187" i="6"/>
  <c r="CI177" i="6"/>
  <c r="Z185" i="6"/>
  <c r="Z187" i="6" s="1"/>
  <c r="AH186" i="6"/>
  <c r="BN185" i="6"/>
  <c r="CC94" i="6"/>
  <c r="BM178" i="6"/>
  <c r="BM179" i="6" s="1"/>
  <c r="Z96" i="6"/>
  <c r="Z97" i="6" s="1"/>
  <c r="Z101" i="6" s="1"/>
  <c r="CR185" i="6"/>
  <c r="CR187" i="6" s="1"/>
  <c r="CR188" i="6" s="1"/>
  <c r="T177" i="6"/>
  <c r="T178" i="6" s="1"/>
  <c r="T184" i="6" s="1"/>
  <c r="T189" i="6" s="1"/>
  <c r="CH185" i="6"/>
  <c r="AB191" i="6"/>
  <c r="AZ178" i="6"/>
  <c r="AZ179" i="6" s="1"/>
  <c r="AZ96" i="6"/>
  <c r="AZ102" i="6" s="1"/>
  <c r="AZ107" i="6" s="1"/>
  <c r="AY178" i="6"/>
  <c r="AY184" i="6" s="1"/>
  <c r="AY189" i="6" s="1"/>
  <c r="AY191" i="6" s="1"/>
  <c r="BK94" i="6"/>
  <c r="BV94" i="6"/>
  <c r="AL176" i="6"/>
  <c r="AV186" i="6"/>
  <c r="BQ95" i="6"/>
  <c r="AE103" i="6"/>
  <c r="AE105" i="6" s="1"/>
  <c r="AE106" i="6" s="1"/>
  <c r="BA176" i="6"/>
  <c r="CQ185" i="6"/>
  <c r="CQ187" i="6" s="1"/>
  <c r="CQ208" i="6" s="1"/>
  <c r="CQ25" i="6" s="1"/>
  <c r="BS95" i="6"/>
  <c r="BS96" i="6" s="1"/>
  <c r="BS97" i="6" s="1"/>
  <c r="CE178" i="6"/>
  <c r="CE184" i="6" s="1"/>
  <c r="CE189" i="6" s="1"/>
  <c r="CE191" i="6" s="1"/>
  <c r="BO177" i="6"/>
  <c r="BU177" i="6"/>
  <c r="Y178" i="6"/>
  <c r="Y179" i="6" s="1"/>
  <c r="Y181" i="6" s="1"/>
  <c r="BE177" i="6"/>
  <c r="AM105" i="6"/>
  <c r="AM106" i="6" s="1"/>
  <c r="CC103" i="6"/>
  <c r="CC105" i="6" s="1"/>
  <c r="N177" i="6"/>
  <c r="N178" i="6" s="1"/>
  <c r="CB208" i="6"/>
  <c r="CB25" i="6" s="1"/>
  <c r="CB188" i="6"/>
  <c r="BA208" i="6"/>
  <c r="BA25" i="6" s="1"/>
  <c r="BA188" i="6"/>
  <c r="BP178" i="6"/>
  <c r="BA177" i="6"/>
  <c r="M178" i="6"/>
  <c r="L96" i="6"/>
  <c r="L97" i="6" s="1"/>
  <c r="L99" i="6" s="1"/>
  <c r="BF186" i="6"/>
  <c r="J177" i="6"/>
  <c r="DA104" i="6"/>
  <c r="CM176" i="6"/>
  <c r="BU176" i="6"/>
  <c r="BX104" i="6"/>
  <c r="BX105" i="6" s="1"/>
  <c r="BX126" i="6" s="1"/>
  <c r="BX21" i="6" s="1"/>
  <c r="AV185" i="6"/>
  <c r="CM177" i="6"/>
  <c r="CM178" i="6" s="1"/>
  <c r="CM179" i="6" s="1"/>
  <c r="BS94" i="6"/>
  <c r="Z176" i="6"/>
  <c r="AL177" i="6"/>
  <c r="AL178" i="6" s="1"/>
  <c r="AL179" i="6" s="1"/>
  <c r="AL185" i="6"/>
  <c r="AL187" i="6" s="1"/>
  <c r="AT176" i="6"/>
  <c r="BJ105" i="6"/>
  <c r="BJ126" i="6" s="1"/>
  <c r="BJ21" i="6" s="1"/>
  <c r="BV103" i="6"/>
  <c r="Z177" i="6"/>
  <c r="X177" i="6"/>
  <c r="CO208" i="6"/>
  <c r="CO25" i="6" s="1"/>
  <c r="AV176" i="6"/>
  <c r="BU185" i="6"/>
  <c r="BV95" i="6"/>
  <c r="AS186" i="6"/>
  <c r="CC95" i="6"/>
  <c r="X176" i="6"/>
  <c r="BS103" i="6"/>
  <c r="BS105" i="6" s="1"/>
  <c r="BS126" i="6" s="1"/>
  <c r="BS21" i="6" s="1"/>
  <c r="CI186" i="6"/>
  <c r="CI187" i="6" s="1"/>
  <c r="CI188" i="6" s="1"/>
  <c r="G96" i="6"/>
  <c r="G102" i="6" s="1"/>
  <c r="G107" i="6" s="1"/>
  <c r="DA187" i="6"/>
  <c r="DA208" i="6" s="1"/>
  <c r="DA25" i="6" s="1"/>
  <c r="AE95" i="6"/>
  <c r="Y208" i="6"/>
  <c r="Y25" i="6" s="1"/>
  <c r="J176" i="6"/>
  <c r="BQ208" i="6"/>
  <c r="BQ25" i="6" s="1"/>
  <c r="CG188" i="6"/>
  <c r="CG208" i="6"/>
  <c r="CG25" i="6" s="1"/>
  <c r="BP184" i="6"/>
  <c r="BP189" i="6" s="1"/>
  <c r="BP191" i="6" s="1"/>
  <c r="BP195" i="6" s="1"/>
  <c r="BP179" i="6"/>
  <c r="BP180" i="6" s="1"/>
  <c r="W208" i="6"/>
  <c r="W25" i="6" s="1"/>
  <c r="BF94" i="6"/>
  <c r="BF96" i="6" s="1"/>
  <c r="BF103" i="6"/>
  <c r="BF105" i="6" s="1"/>
  <c r="BF126" i="6" s="1"/>
  <c r="BF21" i="6" s="1"/>
  <c r="CK188" i="6"/>
  <c r="Q178" i="6"/>
  <c r="Q179" i="6" s="1"/>
  <c r="AU185" i="6"/>
  <c r="BQ94" i="6"/>
  <c r="BE102" i="6"/>
  <c r="BE107" i="6" s="1"/>
  <c r="BE109" i="6" s="1"/>
  <c r="BE110" i="6" s="1"/>
  <c r="BK103" i="6"/>
  <c r="BK105" i="6" s="1"/>
  <c r="BK106" i="6" s="1"/>
  <c r="BK95" i="6"/>
  <c r="L177" i="6"/>
  <c r="CQ177" i="6"/>
  <c r="CV178" i="6"/>
  <c r="CV179" i="6" s="1"/>
  <c r="DA178" i="6"/>
  <c r="DA179" i="6" s="1"/>
  <c r="DA181" i="6" s="1"/>
  <c r="J104" i="6"/>
  <c r="G178" i="6"/>
  <c r="CN177" i="6"/>
  <c r="BC103" i="6"/>
  <c r="BC105" i="6" s="1"/>
  <c r="BC126" i="6" s="1"/>
  <c r="BC21" i="6" s="1"/>
  <c r="BO185" i="6"/>
  <c r="BO187" i="6" s="1"/>
  <c r="BO208" i="6" s="1"/>
  <c r="BO25" i="6" s="1"/>
  <c r="AM179" i="6"/>
  <c r="AM183" i="6" s="1"/>
  <c r="BJ96" i="6"/>
  <c r="BJ102" i="6" s="1"/>
  <c r="BJ107" i="6" s="1"/>
  <c r="CQ176" i="6"/>
  <c r="AF208" i="6"/>
  <c r="AF25" i="6" s="1"/>
  <c r="AG186" i="6"/>
  <c r="BA96" i="6"/>
  <c r="BA102" i="6" s="1"/>
  <c r="BA107" i="6" s="1"/>
  <c r="Q103" i="6"/>
  <c r="Q105" i="6" s="1"/>
  <c r="Q106" i="6" s="1"/>
  <c r="AJ186" i="6"/>
  <c r="BE176" i="6"/>
  <c r="BE178" i="6" s="1"/>
  <c r="BE184" i="6" s="1"/>
  <c r="BE189" i="6" s="1"/>
  <c r="CS188" i="6"/>
  <c r="AE94" i="6"/>
  <c r="P179" i="6"/>
  <c r="P180" i="6" s="1"/>
  <c r="AP177" i="6"/>
  <c r="CB95" i="6"/>
  <c r="P186" i="6"/>
  <c r="P187" i="6" s="1"/>
  <c r="P188" i="6" s="1"/>
  <c r="BO176" i="6"/>
  <c r="AZ105" i="6"/>
  <c r="AZ106" i="6" s="1"/>
  <c r="CH105" i="6"/>
  <c r="CH126" i="6" s="1"/>
  <c r="CH21" i="6" s="1"/>
  <c r="BE185" i="6"/>
  <c r="AR96" i="6"/>
  <c r="AR97" i="6" s="1"/>
  <c r="AR101" i="6" s="1"/>
  <c r="CK178" i="6"/>
  <c r="CK179" i="6" s="1"/>
  <c r="CK180" i="6" s="1"/>
  <c r="BS179" i="6"/>
  <c r="BS181" i="6" s="1"/>
  <c r="BS184" i="6"/>
  <c r="BS189" i="6" s="1"/>
  <c r="BS191" i="6" s="1"/>
  <c r="M188" i="6"/>
  <c r="M208" i="6"/>
  <c r="M25" i="6" s="1"/>
  <c r="AU177" i="6"/>
  <c r="AU178" i="6" s="1"/>
  <c r="AU179" i="6" s="1"/>
  <c r="AS105" i="6"/>
  <c r="AS106" i="6" s="1"/>
  <c r="CN176" i="6"/>
  <c r="AQ105" i="6"/>
  <c r="AQ106" i="6" s="1"/>
  <c r="K177" i="6"/>
  <c r="BC94" i="6"/>
  <c r="BC95" i="6"/>
  <c r="BQ191" i="6"/>
  <c r="BQ192" i="6" s="1"/>
  <c r="BQ209" i="6" s="1"/>
  <c r="AM188" i="6"/>
  <c r="AM191" i="6"/>
  <c r="BA104" i="6"/>
  <c r="BA105" i="6" s="1"/>
  <c r="BA106" i="6" s="1"/>
  <c r="BB104" i="6"/>
  <c r="AJ176" i="6"/>
  <c r="CZ177" i="6"/>
  <c r="CT178" i="6"/>
  <c r="CT179" i="6" s="1"/>
  <c r="BC186" i="6"/>
  <c r="BS188" i="6"/>
  <c r="BS208" i="6"/>
  <c r="BS25" i="6" s="1"/>
  <c r="AC186" i="6"/>
  <c r="BQ103" i="6"/>
  <c r="CW178" i="6"/>
  <c r="CW184" i="6" s="1"/>
  <c r="CW189" i="6" s="1"/>
  <c r="AX105" i="6"/>
  <c r="AX126" i="6" s="1"/>
  <c r="AX21" i="6" s="1"/>
  <c r="AJ177" i="6"/>
  <c r="CN186" i="6"/>
  <c r="CN187" i="6" s="1"/>
  <c r="CN208" i="6" s="1"/>
  <c r="CN25" i="6" s="1"/>
  <c r="CH177" i="6"/>
  <c r="CI95" i="6"/>
  <c r="L104" i="6"/>
  <c r="L105" i="6" s="1"/>
  <c r="L106" i="6" s="1"/>
  <c r="CE208" i="6"/>
  <c r="CE25" i="6" s="1"/>
  <c r="CB191" i="6"/>
  <c r="CB195" i="6" s="1"/>
  <c r="AX96" i="6"/>
  <c r="AX97" i="6" s="1"/>
  <c r="AX99" i="6" s="1"/>
  <c r="AB181" i="6"/>
  <c r="AG177" i="6"/>
  <c r="BZ187" i="6"/>
  <c r="BZ208" i="6" s="1"/>
  <c r="BZ25" i="6" s="1"/>
  <c r="CO191" i="6"/>
  <c r="CO192" i="6" s="1"/>
  <c r="K185" i="6"/>
  <c r="G187" i="6"/>
  <c r="G208" i="6" s="1"/>
  <c r="G25" i="6" s="1"/>
  <c r="AV104" i="6"/>
  <c r="BQ104" i="6"/>
  <c r="O103" i="6"/>
  <c r="U96" i="6"/>
  <c r="U97" i="6" s="1"/>
  <c r="U100" i="6" s="1"/>
  <c r="J105" i="6"/>
  <c r="J106" i="6" s="1"/>
  <c r="BT176" i="6"/>
  <c r="BT178" i="6" s="1"/>
  <c r="BT179" i="6" s="1"/>
  <c r="BT182" i="6" s="1"/>
  <c r="AL95" i="6"/>
  <c r="Y180" i="6"/>
  <c r="BV105" i="6"/>
  <c r="BV106" i="6" s="1"/>
  <c r="K176" i="6"/>
  <c r="AG185" i="6"/>
  <c r="AR187" i="6"/>
  <c r="AR208" i="6" s="1"/>
  <c r="AR25" i="6" s="1"/>
  <c r="W94" i="6"/>
  <c r="Y182" i="6"/>
  <c r="AG176" i="6"/>
  <c r="BF177" i="6"/>
  <c r="CZ185" i="6"/>
  <c r="CZ187" i="6" s="1"/>
  <c r="BM96" i="6"/>
  <c r="BM97" i="6" s="1"/>
  <c r="BU103" i="6"/>
  <c r="S104" i="6"/>
  <c r="O94" i="6"/>
  <c r="CU178" i="6"/>
  <c r="CU184" i="6" s="1"/>
  <c r="CU189" i="6" s="1"/>
  <c r="I177" i="6"/>
  <c r="T179" i="6"/>
  <c r="AY188" i="6"/>
  <c r="Q94" i="6"/>
  <c r="AB183" i="6"/>
  <c r="AO179" i="6"/>
  <c r="AO181" i="6" s="1"/>
  <c r="AF191" i="6"/>
  <c r="AF194" i="6" s="1"/>
  <c r="AR106" i="6"/>
  <c r="Q95" i="6"/>
  <c r="CB94" i="6"/>
  <c r="AB180" i="6"/>
  <c r="CA94" i="6"/>
  <c r="CB103" i="6"/>
  <c r="CB105" i="6" s="1"/>
  <c r="CB126" i="6" s="1"/>
  <c r="CB21" i="6" s="1"/>
  <c r="N187" i="6"/>
  <c r="N188" i="6" s="1"/>
  <c r="AJ185" i="6"/>
  <c r="BH187" i="6"/>
  <c r="BH208" i="6" s="1"/>
  <c r="BH25" i="6" s="1"/>
  <c r="Q208" i="6"/>
  <c r="Q25" i="6" s="1"/>
  <c r="CH176" i="6"/>
  <c r="BD186" i="6"/>
  <c r="BB186" i="6"/>
  <c r="W103" i="6"/>
  <c r="W105" i="6" s="1"/>
  <c r="W126" i="6" s="1"/>
  <c r="W21" i="6" s="1"/>
  <c r="CJ188" i="6"/>
  <c r="W95" i="6"/>
  <c r="CJ191" i="6"/>
  <c r="CJ194" i="6" s="1"/>
  <c r="CI103" i="6"/>
  <c r="CI105" i="6" s="1"/>
  <c r="CI126" i="6" s="1"/>
  <c r="CI21" i="6" s="1"/>
  <c r="P182" i="6"/>
  <c r="AM96" i="6"/>
  <c r="AM97" i="6" s="1"/>
  <c r="AM101" i="6" s="1"/>
  <c r="CI178" i="6"/>
  <c r="CI179" i="6" s="1"/>
  <c r="CI182" i="6" s="1"/>
  <c r="CZ176" i="6"/>
  <c r="AA176" i="6"/>
  <c r="AL103" i="6"/>
  <c r="N96" i="6"/>
  <c r="N97" i="6" s="1"/>
  <c r="CR104" i="6"/>
  <c r="CS105" i="6"/>
  <c r="CS106" i="6" s="1"/>
  <c r="AC96" i="6"/>
  <c r="AC97" i="6" s="1"/>
  <c r="CN95" i="6"/>
  <c r="CT104" i="6"/>
  <c r="CT105" i="6" s="1"/>
  <c r="BM105" i="6"/>
  <c r="BM126" i="6" s="1"/>
  <c r="BM21" i="6" s="1"/>
  <c r="F176" i="6"/>
  <c r="F177" i="6"/>
  <c r="F185" i="6"/>
  <c r="F187" i="6" s="1"/>
  <c r="R186" i="6"/>
  <c r="BJ186" i="6"/>
  <c r="CY186" i="6"/>
  <c r="O95" i="6"/>
  <c r="CC186" i="6"/>
  <c r="BT185" i="6"/>
  <c r="BW178" i="6"/>
  <c r="BW184" i="6" s="1"/>
  <c r="BW189" i="6" s="1"/>
  <c r="BW191" i="6" s="1"/>
  <c r="BW194" i="6" s="1"/>
  <c r="AQ187" i="6"/>
  <c r="AQ208" i="6" s="1"/>
  <c r="AQ25" i="6" s="1"/>
  <c r="CP104" i="6"/>
  <c r="BE106" i="6"/>
  <c r="AL104" i="6"/>
  <c r="CH96" i="6"/>
  <c r="CH97" i="6" s="1"/>
  <c r="CH100" i="6" s="1"/>
  <c r="AW95" i="6"/>
  <c r="CN94" i="6"/>
  <c r="AL94" i="6"/>
  <c r="AL96" i="6" s="1"/>
  <c r="AL102" i="6" s="1"/>
  <c r="CT96" i="6"/>
  <c r="CT102" i="6" s="1"/>
  <c r="CT107" i="6" s="1"/>
  <c r="CI94" i="6"/>
  <c r="P104" i="6"/>
  <c r="CQ103" i="6"/>
  <c r="Y94" i="6"/>
  <c r="CN103" i="6"/>
  <c r="V94" i="6"/>
  <c r="BR104" i="6"/>
  <c r="F95" i="6"/>
  <c r="CE96" i="6"/>
  <c r="CE102" i="6" s="1"/>
  <c r="CE107" i="6" s="1"/>
  <c r="CE109" i="6" s="1"/>
  <c r="CE112" i="6" s="1"/>
  <c r="CP103" i="6"/>
  <c r="AW104" i="6"/>
  <c r="BH95" i="6"/>
  <c r="AH96" i="6"/>
  <c r="AH97" i="6" s="1"/>
  <c r="BO105" i="6"/>
  <c r="BO109" i="6" s="1"/>
  <c r="BO112" i="6" s="1"/>
  <c r="CP94" i="6"/>
  <c r="AW103" i="6"/>
  <c r="G106" i="6"/>
  <c r="AW94" i="6"/>
  <c r="R103" i="6"/>
  <c r="BU94" i="6"/>
  <c r="CA95" i="6"/>
  <c r="AQ96" i="6"/>
  <c r="AQ102" i="6" s="1"/>
  <c r="AQ107" i="6" s="1"/>
  <c r="CM96" i="6"/>
  <c r="CM97" i="6" s="1"/>
  <c r="CM99" i="6" s="1"/>
  <c r="AJ103" i="6"/>
  <c r="CQ95" i="6"/>
  <c r="CA103" i="6"/>
  <c r="BW105" i="6"/>
  <c r="BW126" i="6" s="1"/>
  <c r="BW21" i="6" s="1"/>
  <c r="AK103" i="6"/>
  <c r="AK105" i="6" s="1"/>
  <c r="AK126" i="6" s="1"/>
  <c r="AK21" i="6" s="1"/>
  <c r="K95" i="6"/>
  <c r="BU95" i="6"/>
  <c r="AB105" i="6"/>
  <c r="AB126" i="6" s="1"/>
  <c r="AB21" i="6" s="1"/>
  <c r="BT104" i="6"/>
  <c r="P103" i="6"/>
  <c r="AB96" i="6"/>
  <c r="AB97" i="6" s="1"/>
  <c r="AB100" i="6" s="1"/>
  <c r="CW104" i="6"/>
  <c r="BH103" i="6"/>
  <c r="BH105" i="6" s="1"/>
  <c r="BH106" i="6" s="1"/>
  <c r="CS96" i="6"/>
  <c r="K103" i="6"/>
  <c r="AJ104" i="6"/>
  <c r="CE126" i="6"/>
  <c r="CE21" i="6" s="1"/>
  <c r="CR103" i="6"/>
  <c r="BG105" i="6"/>
  <c r="BG106" i="6" s="1"/>
  <c r="AK94" i="6"/>
  <c r="Y104" i="6"/>
  <c r="CD95" i="6"/>
  <c r="AP104" i="6"/>
  <c r="CK104" i="6"/>
  <c r="F94" i="6"/>
  <c r="K94" i="6"/>
  <c r="BO97" i="6"/>
  <c r="BO98" i="6" s="1"/>
  <c r="AA102" i="6"/>
  <c r="AA107" i="6" s="1"/>
  <c r="AA109" i="6" s="1"/>
  <c r="AH105" i="6"/>
  <c r="AH126" i="6" s="1"/>
  <c r="AH21" i="6" s="1"/>
  <c r="I103" i="6"/>
  <c r="I105" i="6" s="1"/>
  <c r="I126" i="6" s="1"/>
  <c r="I21" i="6" s="1"/>
  <c r="F103" i="6"/>
  <c r="F105" i="6" s="1"/>
  <c r="CT208" i="6"/>
  <c r="CT25" i="6" s="1"/>
  <c r="AC185" i="6"/>
  <c r="AA177" i="6"/>
  <c r="BF176" i="6"/>
  <c r="BF185" i="6"/>
  <c r="BF187" i="6" s="1"/>
  <c r="BF188" i="6" s="1"/>
  <c r="BM184" i="6"/>
  <c r="BM189" i="6" s="1"/>
  <c r="BM191" i="6" s="1"/>
  <c r="AC176" i="6"/>
  <c r="J186" i="6"/>
  <c r="J187" i="6" s="1"/>
  <c r="J188" i="6" s="1"/>
  <c r="AT177" i="6"/>
  <c r="AT178" i="6" s="1"/>
  <c r="AT184" i="6" s="1"/>
  <c r="AT189" i="6" s="1"/>
  <c r="CM186" i="6"/>
  <c r="CM187" i="6" s="1"/>
  <c r="CM208" i="6" s="1"/>
  <c r="CM25" i="6" s="1"/>
  <c r="CL185" i="6"/>
  <c r="CL177" i="6"/>
  <c r="CL176" i="6"/>
  <c r="AC177" i="6"/>
  <c r="BN186" i="6"/>
  <c r="BN187" i="6" s="1"/>
  <c r="AP176" i="6"/>
  <c r="CV208" i="6"/>
  <c r="CV25" i="6" s="1"/>
  <c r="AP185" i="6"/>
  <c r="BI187" i="6"/>
  <c r="BI188" i="6" s="1"/>
  <c r="I176" i="6"/>
  <c r="AA186" i="6"/>
  <c r="BN176" i="6"/>
  <c r="BN178" i="6" s="1"/>
  <c r="BN184" i="6" s="1"/>
  <c r="BN189" i="6" s="1"/>
  <c r="CW187" i="6"/>
  <c r="CW188" i="6" s="1"/>
  <c r="CJ179" i="6"/>
  <c r="CJ180" i="6" s="1"/>
  <c r="BI178" i="6"/>
  <c r="BI184" i="6" s="1"/>
  <c r="BI189" i="6" s="1"/>
  <c r="BY186" i="6"/>
  <c r="AA185" i="6"/>
  <c r="AT185" i="6"/>
  <c r="L185" i="6"/>
  <c r="AS178" i="6"/>
  <c r="AS179" i="6" s="1"/>
  <c r="I185" i="6"/>
  <c r="I187" i="6" s="1"/>
  <c r="I208" i="6" s="1"/>
  <c r="I25" i="6" s="1"/>
  <c r="P181" i="6"/>
  <c r="L186" i="6"/>
  <c r="AN176" i="6"/>
  <c r="AN177" i="6"/>
  <c r="AN185" i="6"/>
  <c r="AN187" i="6" s="1"/>
  <c r="AZ188" i="6"/>
  <c r="BH178" i="6"/>
  <c r="BH179" i="6" s="1"/>
  <c r="O177" i="6"/>
  <c r="AO191" i="6"/>
  <c r="AO195" i="6" s="1"/>
  <c r="CD178" i="6"/>
  <c r="CD184" i="6" s="1"/>
  <c r="CD189" i="6" s="1"/>
  <c r="CD191" i="6" s="1"/>
  <c r="CE179" i="6"/>
  <c r="CE183" i="6" s="1"/>
  <c r="AQ178" i="6"/>
  <c r="AQ179" i="6" s="1"/>
  <c r="AX178" i="6"/>
  <c r="AX184" i="6" s="1"/>
  <c r="AX189" i="6" s="1"/>
  <c r="BT186" i="6"/>
  <c r="BX187" i="6"/>
  <c r="BX188" i="6" s="1"/>
  <c r="BL186" i="6"/>
  <c r="L176" i="6"/>
  <c r="CA184" i="6"/>
  <c r="CA189" i="6" s="1"/>
  <c r="CA191" i="6" s="1"/>
  <c r="CA195" i="6" s="1"/>
  <c r="V186" i="6"/>
  <c r="BW208" i="6"/>
  <c r="BW25" i="6" s="1"/>
  <c r="X186" i="6"/>
  <c r="X187" i="6" s="1"/>
  <c r="CX186" i="6"/>
  <c r="AS187" i="6"/>
  <c r="AS188" i="6" s="1"/>
  <c r="AL184" i="6"/>
  <c r="AL189" i="6" s="1"/>
  <c r="AL191" i="6" s="1"/>
  <c r="CH186" i="6"/>
  <c r="CH187" i="6" s="1"/>
  <c r="CH188" i="6" s="1"/>
  <c r="AE186" i="6"/>
  <c r="O176" i="6"/>
  <c r="AV187" i="6"/>
  <c r="AV188" i="6" s="1"/>
  <c r="O185" i="6"/>
  <c r="O187" i="6" s="1"/>
  <c r="O208" i="6" s="1"/>
  <c r="O25" i="6" s="1"/>
  <c r="AD184" i="6"/>
  <c r="AD189" i="6" s="1"/>
  <c r="AD191" i="6" s="1"/>
  <c r="AD194" i="6" s="1"/>
  <c r="AU187" i="6"/>
  <c r="AU208" i="6" s="1"/>
  <c r="AU25" i="6" s="1"/>
  <c r="AV178" i="6"/>
  <c r="AV179" i="6" s="1"/>
  <c r="AR178" i="6"/>
  <c r="BX178" i="6"/>
  <c r="BN105" i="6"/>
  <c r="BN126" i="6" s="1"/>
  <c r="BN21" i="6" s="1"/>
  <c r="P95" i="6"/>
  <c r="P94" i="6"/>
  <c r="CV96" i="6"/>
  <c r="CV102" i="6" s="1"/>
  <c r="CV107" i="6" s="1"/>
  <c r="AK95" i="6"/>
  <c r="K104" i="6"/>
  <c r="AA106" i="6"/>
  <c r="AJ94" i="6"/>
  <c r="CX95" i="6"/>
  <c r="CX103" i="6"/>
  <c r="CX105" i="6" s="1"/>
  <c r="AJ95" i="6"/>
  <c r="CD94" i="6"/>
  <c r="V95" i="6"/>
  <c r="CX94" i="6"/>
  <c r="AU95" i="6"/>
  <c r="AU94" i="6"/>
  <c r="AU103" i="6"/>
  <c r="BD105" i="6"/>
  <c r="BD126" i="6" s="1"/>
  <c r="BD21" i="6" s="1"/>
  <c r="BH94" i="6"/>
  <c r="CD103" i="6"/>
  <c r="CD105" i="6" s="1"/>
  <c r="CD126" i="6" s="1"/>
  <c r="CD21" i="6" s="1"/>
  <c r="O104" i="6"/>
  <c r="CR95" i="6"/>
  <c r="Y103" i="6"/>
  <c r="V103" i="6"/>
  <c r="V105" i="6" s="1"/>
  <c r="V126" i="6" s="1"/>
  <c r="V21" i="6" s="1"/>
  <c r="AE126" i="6"/>
  <c r="AE21" i="6" s="1"/>
  <c r="AQ126" i="6"/>
  <c r="AQ21" i="6" s="1"/>
  <c r="X94" i="6"/>
  <c r="CG104" i="6"/>
  <c r="CP95" i="6"/>
  <c r="BG96" i="6"/>
  <c r="BG97" i="6" s="1"/>
  <c r="DA105" i="6"/>
  <c r="DA106" i="6" s="1"/>
  <c r="Z126" i="6"/>
  <c r="Z21" i="6" s="1"/>
  <c r="CQ94" i="6"/>
  <c r="CF106" i="6"/>
  <c r="CJ96" i="6"/>
  <c r="CJ97" i="6" s="1"/>
  <c r="AN103" i="6"/>
  <c r="I95" i="6"/>
  <c r="I94" i="6"/>
  <c r="N106" i="6"/>
  <c r="BY104" i="6"/>
  <c r="CM126" i="6"/>
  <c r="CM21" i="6" s="1"/>
  <c r="CK94" i="6"/>
  <c r="CV105" i="6"/>
  <c r="CV126" i="6" s="1"/>
  <c r="CV21" i="6" s="1"/>
  <c r="CL103" i="6"/>
  <c r="CR94" i="6"/>
  <c r="BI105" i="6"/>
  <c r="BI106" i="6" s="1"/>
  <c r="R95" i="6"/>
  <c r="CZ105" i="6"/>
  <c r="CZ126" i="6" s="1"/>
  <c r="CZ21" i="6" s="1"/>
  <c r="CK95" i="6"/>
  <c r="R94" i="6"/>
  <c r="CK103" i="6"/>
  <c r="AN95" i="6"/>
  <c r="AF126" i="6"/>
  <c r="AF21" i="6" s="1"/>
  <c r="X103" i="6"/>
  <c r="AV103" i="6"/>
  <c r="AV105" i="6" s="1"/>
  <c r="AV95" i="6"/>
  <c r="AV94" i="6"/>
  <c r="AG96" i="6"/>
  <c r="AG97" i="6" s="1"/>
  <c r="BN96" i="6"/>
  <c r="BN102" i="6" s="1"/>
  <c r="BN107" i="6" s="1"/>
  <c r="X95" i="6"/>
  <c r="S94" i="6"/>
  <c r="AC126" i="6"/>
  <c r="AC21" i="6" s="1"/>
  <c r="M96" i="6"/>
  <c r="M102" i="6" s="1"/>
  <c r="M107" i="6" s="1"/>
  <c r="AU104" i="6"/>
  <c r="AN94" i="6"/>
  <c r="CL95" i="6"/>
  <c r="S103" i="6"/>
  <c r="AF96" i="6"/>
  <c r="BY95" i="6"/>
  <c r="BY94" i="6"/>
  <c r="BY103" i="6"/>
  <c r="AI96" i="6"/>
  <c r="AI97" i="6" s="1"/>
  <c r="S95" i="6"/>
  <c r="AS102" i="6"/>
  <c r="AS107" i="6" s="1"/>
  <c r="Y95" i="6"/>
  <c r="DA96" i="6"/>
  <c r="DA97" i="6" s="1"/>
  <c r="BD96" i="6"/>
  <c r="BD97" i="6" s="1"/>
  <c r="BP105" i="6"/>
  <c r="BP106" i="6" s="1"/>
  <c r="CL104" i="6"/>
  <c r="AO96" i="6"/>
  <c r="AO102" i="6" s="1"/>
  <c r="AO107" i="6" s="1"/>
  <c r="AO109" i="6" s="1"/>
  <c r="CF102" i="6"/>
  <c r="CF107" i="6" s="1"/>
  <c r="CF109" i="6" s="1"/>
  <c r="CF110" i="6" s="1"/>
  <c r="T104" i="6"/>
  <c r="BP96" i="6"/>
  <c r="BP97" i="6" s="1"/>
  <c r="BZ96" i="6"/>
  <c r="BZ97" i="6" s="1"/>
  <c r="H104" i="6"/>
  <c r="CL94" i="6"/>
  <c r="CA104" i="6"/>
  <c r="BW96" i="6"/>
  <c r="BW102" i="6" s="1"/>
  <c r="BW107" i="6" s="1"/>
  <c r="T95" i="6"/>
  <c r="T94" i="6"/>
  <c r="T103" i="6"/>
  <c r="CX176" i="6"/>
  <c r="CX185" i="6"/>
  <c r="CX177" i="6"/>
  <c r="CF101" i="6"/>
  <c r="CF99" i="6"/>
  <c r="CF98" i="6"/>
  <c r="CF100" i="6"/>
  <c r="BR176" i="6"/>
  <c r="BR185" i="6"/>
  <c r="BR177" i="6"/>
  <c r="AE177" i="6"/>
  <c r="AE185" i="6"/>
  <c r="AE176" i="6"/>
  <c r="BT95" i="6"/>
  <c r="BT94" i="6"/>
  <c r="BT103" i="6"/>
  <c r="BM188" i="6"/>
  <c r="BM208" i="6"/>
  <c r="BM25" i="6" s="1"/>
  <c r="M105" i="6"/>
  <c r="H177" i="6"/>
  <c r="H176" i="6"/>
  <c r="H185" i="6"/>
  <c r="H187" i="6" s="1"/>
  <c r="G188" i="6"/>
  <c r="BE186" i="6"/>
  <c r="BE187" i="6" s="1"/>
  <c r="BM181" i="6"/>
  <c r="BM180" i="6"/>
  <c r="BM182" i="6"/>
  <c r="BM183" i="6"/>
  <c r="AY104" i="6"/>
  <c r="BU186" i="6"/>
  <c r="CN104" i="6"/>
  <c r="CW95" i="6"/>
  <c r="CW103" i="6"/>
  <c r="CW94" i="6"/>
  <c r="AO188" i="6"/>
  <c r="AO208" i="6"/>
  <c r="AO25" i="6" s="1"/>
  <c r="BK177" i="6"/>
  <c r="BK185" i="6"/>
  <c r="BK176" i="6"/>
  <c r="AS98" i="6"/>
  <c r="AS100" i="6"/>
  <c r="AS99" i="6"/>
  <c r="AS101" i="6"/>
  <c r="H95" i="6"/>
  <c r="H103" i="6"/>
  <c r="H94" i="6"/>
  <c r="CC177" i="6"/>
  <c r="CC176" i="6"/>
  <c r="CC185" i="6"/>
  <c r="CC187" i="6" s="1"/>
  <c r="BL95" i="6"/>
  <c r="BL103" i="6"/>
  <c r="BL94" i="6"/>
  <c r="CY177" i="6"/>
  <c r="CY185" i="6"/>
  <c r="CY176" i="6"/>
  <c r="J178" i="6"/>
  <c r="AD188" i="6"/>
  <c r="AD208" i="6"/>
  <c r="AD25" i="6" s="1"/>
  <c r="CP188" i="6"/>
  <c r="CP208" i="6"/>
  <c r="CP25" i="6" s="1"/>
  <c r="AY95" i="6"/>
  <c r="AY103" i="6"/>
  <c r="AY94" i="6"/>
  <c r="AD104" i="6"/>
  <c r="BU104" i="6"/>
  <c r="AA98" i="6"/>
  <c r="AA100" i="6"/>
  <c r="AA101" i="6"/>
  <c r="AA99" i="6"/>
  <c r="BU178" i="6"/>
  <c r="V176" i="6"/>
  <c r="V185" i="6"/>
  <c r="V177" i="6"/>
  <c r="BZ106" i="6"/>
  <c r="BZ126" i="6"/>
  <c r="BZ21" i="6" s="1"/>
  <c r="BL177" i="6"/>
  <c r="BL185" i="6"/>
  <c r="BL176" i="6"/>
  <c r="AO182" i="6"/>
  <c r="AO180" i="6"/>
  <c r="AO126" i="6"/>
  <c r="AO21" i="6" s="1"/>
  <c r="AO106" i="6"/>
  <c r="BV177" i="6"/>
  <c r="BV185" i="6"/>
  <c r="BV187" i="6" s="1"/>
  <c r="BV176" i="6"/>
  <c r="CA181" i="6"/>
  <c r="CA180" i="6"/>
  <c r="CA182" i="6"/>
  <c r="CA183" i="6"/>
  <c r="AL181" i="6"/>
  <c r="AL182" i="6"/>
  <c r="AL183" i="6"/>
  <c r="AL180" i="6"/>
  <c r="AL188" i="6"/>
  <c r="AL208" i="6"/>
  <c r="AL25" i="6" s="1"/>
  <c r="AI176" i="6"/>
  <c r="AI177" i="6"/>
  <c r="AI185" i="6"/>
  <c r="U188" i="6"/>
  <c r="U208" i="6"/>
  <c r="U25" i="6" s="1"/>
  <c r="AF181" i="6"/>
  <c r="AF183" i="6"/>
  <c r="AF180" i="6"/>
  <c r="AF182" i="6"/>
  <c r="G97" i="6"/>
  <c r="R104" i="6"/>
  <c r="BD177" i="6"/>
  <c r="BD185" i="6"/>
  <c r="BD176" i="6"/>
  <c r="BB103" i="6"/>
  <c r="BB94" i="6"/>
  <c r="BB95" i="6"/>
  <c r="AD95" i="6"/>
  <c r="AD94" i="6"/>
  <c r="AD103" i="6"/>
  <c r="CZ96" i="6"/>
  <c r="CB181" i="6"/>
  <c r="CB183" i="6"/>
  <c r="CB182" i="6"/>
  <c r="CB180" i="6"/>
  <c r="AY179" i="6"/>
  <c r="AB194" i="6"/>
  <c r="AB195" i="6"/>
  <c r="AB192" i="6"/>
  <c r="BB177" i="6"/>
  <c r="BB185" i="6"/>
  <c r="BB176" i="6"/>
  <c r="AI126" i="6"/>
  <c r="AI21" i="6" s="1"/>
  <c r="AT104" i="6"/>
  <c r="CS179" i="6"/>
  <c r="CS184" i="6"/>
  <c r="CS189" i="6" s="1"/>
  <c r="CS191" i="6" s="1"/>
  <c r="CU186" i="6"/>
  <c r="CU187" i="6" s="1"/>
  <c r="CP178" i="6"/>
  <c r="AI186" i="6"/>
  <c r="AN104" i="6"/>
  <c r="BN179" i="6"/>
  <c r="BJ177" i="6"/>
  <c r="BJ185" i="6"/>
  <c r="BJ176" i="6"/>
  <c r="CJ105" i="6"/>
  <c r="AD181" i="6"/>
  <c r="AD180" i="6"/>
  <c r="AD182" i="6"/>
  <c r="AD183" i="6"/>
  <c r="AX186" i="6"/>
  <c r="AX187" i="6" s="1"/>
  <c r="CU106" i="6"/>
  <c r="CU126" i="6"/>
  <c r="CU21" i="6" s="1"/>
  <c r="CL186" i="6"/>
  <c r="BE100" i="6"/>
  <c r="BE98" i="6"/>
  <c r="CG95" i="6"/>
  <c r="CG94" i="6"/>
  <c r="CG103" i="6"/>
  <c r="CO104" i="6"/>
  <c r="BL104" i="6"/>
  <c r="CF176" i="6"/>
  <c r="CF177" i="6"/>
  <c r="CF185" i="6"/>
  <c r="CF187" i="6" s="1"/>
  <c r="BX97" i="6"/>
  <c r="BX102" i="6"/>
  <c r="BX107" i="6" s="1"/>
  <c r="CY96" i="6"/>
  <c r="AP95" i="6"/>
  <c r="AP103" i="6"/>
  <c r="AP94" i="6"/>
  <c r="R177" i="6"/>
  <c r="R176" i="6"/>
  <c r="R185" i="6"/>
  <c r="BA126" i="6"/>
  <c r="BA21" i="6" s="1"/>
  <c r="AF192" i="6"/>
  <c r="W179" i="6"/>
  <c r="W184" i="6"/>
  <c r="W189" i="6" s="1"/>
  <c r="W191" i="6" s="1"/>
  <c r="Z99" i="6"/>
  <c r="Z100" i="6"/>
  <c r="BY185" i="6"/>
  <c r="BY177" i="6"/>
  <c r="BY176" i="6"/>
  <c r="CB194" i="6"/>
  <c r="BZ178" i="6"/>
  <c r="CQ104" i="6"/>
  <c r="X104" i="6"/>
  <c r="BG186" i="6"/>
  <c r="BC177" i="6"/>
  <c r="BC176" i="6"/>
  <c r="BC185" i="6"/>
  <c r="AZ180" i="6"/>
  <c r="AZ182" i="6"/>
  <c r="AZ181" i="6"/>
  <c r="AZ183" i="6"/>
  <c r="J97" i="6"/>
  <c r="J102" i="6"/>
  <c r="J107" i="6" s="1"/>
  <c r="AT186" i="6"/>
  <c r="CO183" i="6"/>
  <c r="CO182" i="6"/>
  <c r="CO180" i="6"/>
  <c r="CO181" i="6"/>
  <c r="AP186" i="6"/>
  <c r="BG177" i="6"/>
  <c r="BG176" i="6"/>
  <c r="BG185" i="6"/>
  <c r="BP208" i="6"/>
  <c r="BP25" i="6" s="1"/>
  <c r="BP188" i="6"/>
  <c r="K186" i="6"/>
  <c r="BR186" i="6"/>
  <c r="AG105" i="6"/>
  <c r="BI96" i="6"/>
  <c r="BR94" i="6"/>
  <c r="BR95" i="6"/>
  <c r="BR103" i="6"/>
  <c r="AT94" i="6"/>
  <c r="AT95" i="6"/>
  <c r="AT103" i="6"/>
  <c r="U178" i="6"/>
  <c r="AH177" i="6"/>
  <c r="AH176" i="6"/>
  <c r="AH185" i="6"/>
  <c r="AH187" i="6" s="1"/>
  <c r="CU96" i="6"/>
  <c r="CO95" i="6"/>
  <c r="CO103" i="6"/>
  <c r="CO94" i="6"/>
  <c r="CD188" i="6"/>
  <c r="CD208" i="6"/>
  <c r="CD25" i="6" s="1"/>
  <c r="S177" i="6"/>
  <c r="S185" i="6"/>
  <c r="S187" i="6" s="1"/>
  <c r="S176" i="6"/>
  <c r="CY105" i="6"/>
  <c r="BK186" i="6"/>
  <c r="Z98" i="6" l="1"/>
  <c r="BE101" i="6"/>
  <c r="G109" i="6"/>
  <c r="BK96" i="6"/>
  <c r="BK97" i="6" s="1"/>
  <c r="BK100" i="6" s="1"/>
  <c r="AQ109" i="6"/>
  <c r="AQ113" i="6" s="1"/>
  <c r="U126" i="6"/>
  <c r="U21" i="6" s="1"/>
  <c r="U106" i="6"/>
  <c r="BX109" i="6"/>
  <c r="BX110" i="6" s="1"/>
  <c r="BX106" i="6"/>
  <c r="BC106" i="6"/>
  <c r="BJ106" i="6"/>
  <c r="AZ97" i="6"/>
  <c r="AZ98" i="6" s="1"/>
  <c r="CC96" i="6"/>
  <c r="CC97" i="6" s="1"/>
  <c r="CR179" i="6"/>
  <c r="CR184" i="6"/>
  <c r="CR189" i="6" s="1"/>
  <c r="CR191" i="6" s="1"/>
  <c r="AM181" i="6"/>
  <c r="BQ197" i="6"/>
  <c r="AZ109" i="6"/>
  <c r="BQ190" i="6"/>
  <c r="BB187" i="6"/>
  <c r="BQ195" i="6"/>
  <c r="AK178" i="6"/>
  <c r="BC187" i="6"/>
  <c r="BQ196" i="6"/>
  <c r="BQ194" i="6"/>
  <c r="L101" i="6"/>
  <c r="CQ178" i="6"/>
  <c r="CQ179" i="6" s="1"/>
  <c r="AW184" i="6"/>
  <c r="AW189" i="6" s="1"/>
  <c r="AW191" i="6" s="1"/>
  <c r="N179" i="6"/>
  <c r="N181" i="6" s="1"/>
  <c r="N184" i="6"/>
  <c r="N189" i="6" s="1"/>
  <c r="CG184" i="6"/>
  <c r="CG189" i="6" s="1"/>
  <c r="CG191" i="6" s="1"/>
  <c r="CG179" i="6"/>
  <c r="CG182" i="6" s="1"/>
  <c r="T191" i="6"/>
  <c r="T195" i="6" s="1"/>
  <c r="L98" i="6"/>
  <c r="T188" i="6"/>
  <c r="AL107" i="6"/>
  <c r="L102" i="6"/>
  <c r="L107" i="6" s="1"/>
  <c r="L109" i="6" s="1"/>
  <c r="L110" i="6" s="1"/>
  <c r="L114" i="6" s="1"/>
  <c r="AK208" i="6"/>
  <c r="AK25" i="6" s="1"/>
  <c r="AK188" i="6"/>
  <c r="L100" i="6"/>
  <c r="BA178" i="6"/>
  <c r="BA184" i="6" s="1"/>
  <c r="BA189" i="6" s="1"/>
  <c r="BA191" i="6" s="1"/>
  <c r="CR208" i="6"/>
  <c r="CR25" i="6" s="1"/>
  <c r="AW188" i="6"/>
  <c r="AW208" i="6"/>
  <c r="AW25" i="6" s="1"/>
  <c r="CN178" i="6"/>
  <c r="CN184" i="6" s="1"/>
  <c r="CN189" i="6" s="1"/>
  <c r="BV96" i="6"/>
  <c r="BV97" i="6" s="1"/>
  <c r="BJ109" i="6"/>
  <c r="Z208" i="6"/>
  <c r="Z25" i="6" s="1"/>
  <c r="Z188" i="6"/>
  <c r="CC126" i="6"/>
  <c r="CC21" i="6" s="1"/>
  <c r="CC106" i="6"/>
  <c r="BU105" i="6"/>
  <c r="BU126" i="6" s="1"/>
  <c r="BU21" i="6" s="1"/>
  <c r="AR99" i="6"/>
  <c r="BQ96" i="6"/>
  <c r="AM126" i="6"/>
  <c r="AM21" i="6" s="1"/>
  <c r="BT187" i="6"/>
  <c r="AR100" i="6"/>
  <c r="Z102" i="6"/>
  <c r="Z107" i="6" s="1"/>
  <c r="Z109" i="6" s="1"/>
  <c r="Z112" i="6" s="1"/>
  <c r="CE194" i="6"/>
  <c r="CE192" i="6"/>
  <c r="CE196" i="6" s="1"/>
  <c r="CE195" i="6"/>
  <c r="Y183" i="6"/>
  <c r="BO178" i="6"/>
  <c r="BT105" i="6"/>
  <c r="BT106" i="6" s="1"/>
  <c r="DA182" i="6"/>
  <c r="Y184" i="6"/>
  <c r="Y189" i="6" s="1"/>
  <c r="Y191" i="6" s="1"/>
  <c r="Y195" i="6" s="1"/>
  <c r="AM180" i="6"/>
  <c r="AZ184" i="6"/>
  <c r="AZ189" i="6" s="1"/>
  <c r="AZ191" i="6" s="1"/>
  <c r="AZ194" i="6" s="1"/>
  <c r="BA179" i="6"/>
  <c r="AR98" i="6"/>
  <c r="CI96" i="6"/>
  <c r="CI102" i="6" s="1"/>
  <c r="CI107" i="6" s="1"/>
  <c r="K178" i="6"/>
  <c r="DA188" i="6"/>
  <c r="AE96" i="6"/>
  <c r="AE97" i="6" s="1"/>
  <c r="AE100" i="6" s="1"/>
  <c r="CH178" i="6"/>
  <c r="CH179" i="6" s="1"/>
  <c r="CH180" i="6" s="1"/>
  <c r="M179" i="6"/>
  <c r="M184" i="6"/>
  <c r="M189" i="6" s="1"/>
  <c r="M191" i="6" s="1"/>
  <c r="Z178" i="6"/>
  <c r="Z179" i="6" s="1"/>
  <c r="Z181" i="6" s="1"/>
  <c r="CV184" i="6"/>
  <c r="CV189" i="6" s="1"/>
  <c r="CV191" i="6" s="1"/>
  <c r="X178" i="6"/>
  <c r="X179" i="6" s="1"/>
  <c r="X183" i="6" s="1"/>
  <c r="AZ126" i="6"/>
  <c r="AZ21" i="6" s="1"/>
  <c r="U98" i="6"/>
  <c r="BQ105" i="6"/>
  <c r="BQ106" i="6" s="1"/>
  <c r="CC102" i="6"/>
  <c r="CC107" i="6" s="1"/>
  <c r="CC109" i="6" s="1"/>
  <c r="CC110" i="6" s="1"/>
  <c r="CC115" i="6" s="1"/>
  <c r="BP182" i="6"/>
  <c r="DA180" i="6"/>
  <c r="AM182" i="6"/>
  <c r="L126" i="6"/>
  <c r="L21" i="6" s="1"/>
  <c r="DA184" i="6"/>
  <c r="DA189" i="6" s="1"/>
  <c r="DA191" i="6" s="1"/>
  <c r="DA195" i="6" s="1"/>
  <c r="P183" i="6"/>
  <c r="BV126" i="6"/>
  <c r="BV21" i="6" s="1"/>
  <c r="BD187" i="6"/>
  <c r="BD208" i="6" s="1"/>
  <c r="BD25" i="6" s="1"/>
  <c r="BP181" i="6"/>
  <c r="CH106" i="6"/>
  <c r="CR105" i="6"/>
  <c r="CR126" i="6" s="1"/>
  <c r="CR21" i="6" s="1"/>
  <c r="Q184" i="6"/>
  <c r="Q189" i="6" s="1"/>
  <c r="Q191" i="6" s="1"/>
  <c r="Q194" i="6" s="1"/>
  <c r="CU179" i="6"/>
  <c r="BP183" i="6"/>
  <c r="BW179" i="6"/>
  <c r="BW181" i="6" s="1"/>
  <c r="DA183" i="6"/>
  <c r="BJ97" i="6"/>
  <c r="BJ98" i="6" s="1"/>
  <c r="CZ178" i="6"/>
  <c r="CZ179" i="6" s="1"/>
  <c r="CZ180" i="6" s="1"/>
  <c r="BU187" i="6"/>
  <c r="BU208" i="6" s="1"/>
  <c r="BU25" i="6" s="1"/>
  <c r="BA109" i="6"/>
  <c r="BA110" i="6" s="1"/>
  <c r="BS194" i="6"/>
  <c r="BS195" i="6"/>
  <c r="BS192" i="6"/>
  <c r="BS197" i="6" s="1"/>
  <c r="CB106" i="6"/>
  <c r="CK181" i="6"/>
  <c r="CK183" i="6"/>
  <c r="CK182" i="6"/>
  <c r="BC96" i="6"/>
  <c r="BC102" i="6" s="1"/>
  <c r="BC107" i="6" s="1"/>
  <c r="BC109" i="6" s="1"/>
  <c r="G184" i="6"/>
  <c r="G189" i="6" s="1"/>
  <c r="G191" i="6" s="1"/>
  <c r="G195" i="6" s="1"/>
  <c r="G179" i="6"/>
  <c r="BF106" i="6"/>
  <c r="BB105" i="6"/>
  <c r="BB126" i="6" s="1"/>
  <c r="BB21" i="6" s="1"/>
  <c r="Y96" i="6"/>
  <c r="S105" i="6"/>
  <c r="S106" i="6" s="1"/>
  <c r="CW179" i="6"/>
  <c r="CW181" i="6" s="1"/>
  <c r="N208" i="6"/>
  <c r="N25" i="6" s="1"/>
  <c r="CT97" i="6"/>
  <c r="CT98" i="6" s="1"/>
  <c r="AR102" i="6"/>
  <c r="AR107" i="6" s="1"/>
  <c r="AR109" i="6" s="1"/>
  <c r="AR112" i="6" s="1"/>
  <c r="CB96" i="6"/>
  <c r="P191" i="6"/>
  <c r="P208" i="6"/>
  <c r="P25" i="6" s="1"/>
  <c r="CN105" i="6"/>
  <c r="CN126" i="6" s="1"/>
  <c r="CN21" i="6" s="1"/>
  <c r="BM106" i="6"/>
  <c r="BO188" i="6"/>
  <c r="V96" i="6"/>
  <c r="V97" i="6" s="1"/>
  <c r="V98" i="6" s="1"/>
  <c r="AJ187" i="6"/>
  <c r="AJ188" i="6" s="1"/>
  <c r="CB192" i="6"/>
  <c r="CB190" i="6" s="1"/>
  <c r="CT184" i="6"/>
  <c r="CT189" i="6" s="1"/>
  <c r="CT191" i="6" s="1"/>
  <c r="CT195" i="6" s="1"/>
  <c r="BA97" i="6"/>
  <c r="CK184" i="6"/>
  <c r="CK189" i="6" s="1"/>
  <c r="CK191" i="6" s="1"/>
  <c r="CK192" i="6" s="1"/>
  <c r="CK209" i="6" s="1"/>
  <c r="CK210" i="6" s="1"/>
  <c r="CK26" i="6" s="1"/>
  <c r="AG187" i="6"/>
  <c r="AG188" i="6" s="1"/>
  <c r="CX96" i="6"/>
  <c r="CX97" i="6" s="1"/>
  <c r="AX106" i="6"/>
  <c r="L178" i="6"/>
  <c r="L179" i="6" s="1"/>
  <c r="L181" i="6" s="1"/>
  <c r="J109" i="6"/>
  <c r="J112" i="6" s="1"/>
  <c r="AP178" i="6"/>
  <c r="AP179" i="6" s="1"/>
  <c r="AF195" i="6"/>
  <c r="Q126" i="6"/>
  <c r="Q21" i="6" s="1"/>
  <c r="O105" i="6"/>
  <c r="O106" i="6" s="1"/>
  <c r="BH188" i="6"/>
  <c r="AM98" i="6"/>
  <c r="AO183" i="6"/>
  <c r="AS109" i="6"/>
  <c r="AS113" i="6" s="1"/>
  <c r="AA187" i="6"/>
  <c r="AA208" i="6" s="1"/>
  <c r="AA25" i="6" s="1"/>
  <c r="L187" i="6"/>
  <c r="AM195" i="6"/>
  <c r="AM192" i="6"/>
  <c r="AM194" i="6"/>
  <c r="AM100" i="6"/>
  <c r="CI208" i="6"/>
  <c r="CI25" i="6" s="1"/>
  <c r="AM99" i="6"/>
  <c r="W106" i="6"/>
  <c r="AJ178" i="6"/>
  <c r="AJ184" i="6" s="1"/>
  <c r="AJ189" i="6" s="1"/>
  <c r="CG183" i="6"/>
  <c r="CG180" i="6"/>
  <c r="CG181" i="6"/>
  <c r="AS126" i="6"/>
  <c r="AS21" i="6" s="1"/>
  <c r="O96" i="6"/>
  <c r="O97" i="6" s="1"/>
  <c r="O99" i="6" s="1"/>
  <c r="AA178" i="6"/>
  <c r="AA179" i="6" s="1"/>
  <c r="AA183" i="6" s="1"/>
  <c r="AG178" i="6"/>
  <c r="AG179" i="6" s="1"/>
  <c r="AG183" i="6" s="1"/>
  <c r="W96" i="6"/>
  <c r="W97" i="6" s="1"/>
  <c r="CA96" i="6"/>
  <c r="CA97" i="6" s="1"/>
  <c r="BS183" i="6"/>
  <c r="BS180" i="6"/>
  <c r="BS182" i="6"/>
  <c r="Z182" i="6"/>
  <c r="CM184" i="6"/>
  <c r="CM189" i="6" s="1"/>
  <c r="CM191" i="6" s="1"/>
  <c r="CM194" i="6" s="1"/>
  <c r="K187" i="6"/>
  <c r="K188" i="6" s="1"/>
  <c r="BT184" i="6"/>
  <c r="BT189" i="6" s="1"/>
  <c r="BT191" i="6" s="1"/>
  <c r="AE101" i="6"/>
  <c r="BT181" i="6"/>
  <c r="CI180" i="6"/>
  <c r="BZ188" i="6"/>
  <c r="CO194" i="6"/>
  <c r="AX100" i="6"/>
  <c r="J126" i="6"/>
  <c r="J21" i="6" s="1"/>
  <c r="AC187" i="6"/>
  <c r="BF178" i="6"/>
  <c r="CI183" i="6"/>
  <c r="AE99" i="6"/>
  <c r="BT183" i="6"/>
  <c r="CI181" i="6"/>
  <c r="U99" i="6"/>
  <c r="CO195" i="6"/>
  <c r="AX98" i="6"/>
  <c r="AM102" i="6"/>
  <c r="AM107" i="6" s="1"/>
  <c r="AM109" i="6" s="1"/>
  <c r="AM113" i="6" s="1"/>
  <c r="BS106" i="6"/>
  <c r="AP187" i="6"/>
  <c r="AP208" i="6" s="1"/>
  <c r="AP25" i="6" s="1"/>
  <c r="AE98" i="6"/>
  <c r="BT180" i="6"/>
  <c r="I188" i="6"/>
  <c r="U101" i="6"/>
  <c r="AX101" i="6"/>
  <c r="CI184" i="6"/>
  <c r="CI189" i="6" s="1"/>
  <c r="CI191" i="6" s="1"/>
  <c r="CI195" i="6" s="1"/>
  <c r="U102" i="6"/>
  <c r="U107" i="6" s="1"/>
  <c r="U109" i="6" s="1"/>
  <c r="U110" i="6" s="1"/>
  <c r="AX102" i="6"/>
  <c r="AX107" i="6" s="1"/>
  <c r="AX109" i="6" s="1"/>
  <c r="AX110" i="6" s="1"/>
  <c r="DA192" i="6"/>
  <c r="I178" i="6"/>
  <c r="I184" i="6" s="1"/>
  <c r="I189" i="6" s="1"/>
  <c r="I191" i="6" s="1"/>
  <c r="I195" i="6" s="1"/>
  <c r="DA194" i="6"/>
  <c r="Q96" i="6"/>
  <c r="Q97" i="6" s="1"/>
  <c r="Q100" i="6" s="1"/>
  <c r="K179" i="6"/>
  <c r="K183" i="6" s="1"/>
  <c r="K184" i="6"/>
  <c r="K189" i="6" s="1"/>
  <c r="CZ208" i="6"/>
  <c r="CZ25" i="6" s="1"/>
  <c r="CZ188" i="6"/>
  <c r="P105" i="6"/>
  <c r="P126" i="6" s="1"/>
  <c r="P21" i="6" s="1"/>
  <c r="T181" i="6"/>
  <c r="T180" i="6"/>
  <c r="T182" i="6"/>
  <c r="CM98" i="6"/>
  <c r="BJ187" i="6"/>
  <c r="BJ188" i="6" s="1"/>
  <c r="CW208" i="6"/>
  <c r="CW25" i="6" s="1"/>
  <c r="AD96" i="6"/>
  <c r="AD97" i="6" s="1"/>
  <c r="N191" i="6"/>
  <c r="N195" i="6" s="1"/>
  <c r="Y194" i="6"/>
  <c r="AC178" i="6"/>
  <c r="AC184" i="6" s="1"/>
  <c r="AC189" i="6" s="1"/>
  <c r="CH99" i="6"/>
  <c r="AD195" i="6"/>
  <c r="BM102" i="6"/>
  <c r="BM107" i="6" s="1"/>
  <c r="BM109" i="6" s="1"/>
  <c r="N102" i="6"/>
  <c r="N107" i="6" s="1"/>
  <c r="N109" i="6" s="1"/>
  <c r="N110" i="6" s="1"/>
  <c r="AR188" i="6"/>
  <c r="CS126" i="6"/>
  <c r="CS21" i="6" s="1"/>
  <c r="F178" i="6"/>
  <c r="CH98" i="6"/>
  <c r="AV184" i="6"/>
  <c r="AV189" i="6" s="1"/>
  <c r="AV191" i="6" s="1"/>
  <c r="CN188" i="6"/>
  <c r="O178" i="6"/>
  <c r="O179" i="6" s="1"/>
  <c r="T183" i="6"/>
  <c r="BI179" i="6"/>
  <c r="BI181" i="6" s="1"/>
  <c r="CH101" i="6"/>
  <c r="BY187" i="6"/>
  <c r="BY188" i="6" s="1"/>
  <c r="R105" i="6"/>
  <c r="BE179" i="6"/>
  <c r="BE183" i="6" s="1"/>
  <c r="Y105" i="6"/>
  <c r="Y106" i="6" s="1"/>
  <c r="AN178" i="6"/>
  <c r="AN184" i="6" s="1"/>
  <c r="AN189" i="6" s="1"/>
  <c r="AN191" i="6" s="1"/>
  <c r="AN192" i="6" s="1"/>
  <c r="AL105" i="6"/>
  <c r="AL126" i="6" s="1"/>
  <c r="AL21" i="6" s="1"/>
  <c r="Q180" i="6"/>
  <c r="Q181" i="6"/>
  <c r="Q183" i="6"/>
  <c r="Q182" i="6"/>
  <c r="CT106" i="6"/>
  <c r="CT126" i="6"/>
  <c r="CT21" i="6" s="1"/>
  <c r="BM192" i="6"/>
  <c r="BM209" i="6" s="1"/>
  <c r="BM194" i="6"/>
  <c r="BM195" i="6"/>
  <c r="BN208" i="6"/>
  <c r="BN25" i="6" s="1"/>
  <c r="BN188" i="6"/>
  <c r="CW105" i="6"/>
  <c r="CW126" i="6" s="1"/>
  <c r="CW21" i="6" s="1"/>
  <c r="CI109" i="6"/>
  <c r="CI110" i="6" s="1"/>
  <c r="AB99" i="6"/>
  <c r="CQ105" i="6"/>
  <c r="CQ126" i="6" s="1"/>
  <c r="CQ21" i="6" s="1"/>
  <c r="CJ192" i="6"/>
  <c r="CJ190" i="6" s="1"/>
  <c r="BP194" i="6"/>
  <c r="AO192" i="6"/>
  <c r="AO190" i="6" s="1"/>
  <c r="BK126" i="6"/>
  <c r="BK21" i="6" s="1"/>
  <c r="CE182" i="6"/>
  <c r="CT109" i="6"/>
  <c r="CT110" i="6" s="1"/>
  <c r="BO126" i="6"/>
  <c r="BO21" i="6" s="1"/>
  <c r="AB98" i="6"/>
  <c r="CY187" i="6"/>
  <c r="CY188" i="6" s="1"/>
  <c r="CE181" i="6"/>
  <c r="CJ195" i="6"/>
  <c r="AC102" i="6"/>
  <c r="AC107" i="6" s="1"/>
  <c r="AC109" i="6" s="1"/>
  <c r="AC112" i="6" s="1"/>
  <c r="CH102" i="6"/>
  <c r="CH107" i="6" s="1"/>
  <c r="CH109" i="6" s="1"/>
  <c r="CH110" i="6" s="1"/>
  <c r="CH115" i="6" s="1"/>
  <c r="CN191" i="6"/>
  <c r="CN195" i="6" s="1"/>
  <c r="AQ188" i="6"/>
  <c r="F208" i="6"/>
  <c r="F25" i="6" s="1"/>
  <c r="F188" i="6"/>
  <c r="BO106" i="6"/>
  <c r="AW96" i="6"/>
  <c r="AW102" i="6" s="1"/>
  <c r="AW107" i="6" s="1"/>
  <c r="CI106" i="6"/>
  <c r="R187" i="6"/>
  <c r="R208" i="6" s="1"/>
  <c r="R25" i="6" s="1"/>
  <c r="CP105" i="6"/>
  <c r="CP126" i="6" s="1"/>
  <c r="CP21" i="6" s="1"/>
  <c r="CN96" i="6"/>
  <c r="CN97" i="6" s="1"/>
  <c r="AA113" i="6"/>
  <c r="AA110" i="6"/>
  <c r="AA108" i="6" s="1"/>
  <c r="BW106" i="6"/>
  <c r="AB101" i="6"/>
  <c r="BO101" i="6"/>
  <c r="BH96" i="6"/>
  <c r="BH97" i="6" s="1"/>
  <c r="BH98" i="6" s="1"/>
  <c r="K96" i="6"/>
  <c r="K97" i="6" s="1"/>
  <c r="K100" i="6" s="1"/>
  <c r="AW105" i="6"/>
  <c r="AW106" i="6" s="1"/>
  <c r="CA105" i="6"/>
  <c r="CA106" i="6" s="1"/>
  <c r="AB102" i="6"/>
  <c r="AB107" i="6" s="1"/>
  <c r="AB109" i="6" s="1"/>
  <c r="AB113" i="6" s="1"/>
  <c r="CP96" i="6"/>
  <c r="CP97" i="6" s="1"/>
  <c r="CP101" i="6" s="1"/>
  <c r="BN106" i="6"/>
  <c r="CD96" i="6"/>
  <c r="CD97" i="6" s="1"/>
  <c r="CD101" i="6" s="1"/>
  <c r="BJ101" i="6"/>
  <c r="BJ100" i="6"/>
  <c r="BR105" i="6"/>
  <c r="BR106" i="6" s="1"/>
  <c r="AE102" i="6"/>
  <c r="AE107" i="6" s="1"/>
  <c r="AE109" i="6" s="1"/>
  <c r="AE112" i="6" s="1"/>
  <c r="AQ97" i="6"/>
  <c r="AQ100" i="6" s="1"/>
  <c r="P96" i="6"/>
  <c r="P102" i="6" s="1"/>
  <c r="P107" i="6" s="1"/>
  <c r="CE97" i="6"/>
  <c r="CE101" i="6" s="1"/>
  <c r="F96" i="6"/>
  <c r="F97" i="6" s="1"/>
  <c r="F100" i="6" s="1"/>
  <c r="CM100" i="6"/>
  <c r="CM101" i="6"/>
  <c r="AH102" i="6"/>
  <c r="AH107" i="6" s="1"/>
  <c r="AH109" i="6" s="1"/>
  <c r="CV106" i="6"/>
  <c r="BG126" i="6"/>
  <c r="BG21" i="6" s="1"/>
  <c r="AA112" i="6"/>
  <c r="CM102" i="6"/>
  <c r="CM107" i="6" s="1"/>
  <c r="CM109" i="6" s="1"/>
  <c r="CM112" i="6" s="1"/>
  <c r="K105" i="6"/>
  <c r="K126" i="6" s="1"/>
  <c r="K21" i="6" s="1"/>
  <c r="AJ105" i="6"/>
  <c r="AJ126" i="6" s="1"/>
  <c r="AJ21" i="6" s="1"/>
  <c r="BU96" i="6"/>
  <c r="BU97" i="6" s="1"/>
  <c r="BU99" i="6" s="1"/>
  <c r="AK96" i="6"/>
  <c r="AK97" i="6" s="1"/>
  <c r="AK100" i="6" s="1"/>
  <c r="BE112" i="6"/>
  <c r="BO99" i="6"/>
  <c r="AJ96" i="6"/>
  <c r="AJ97" i="6" s="1"/>
  <c r="AJ99" i="6" s="1"/>
  <c r="BO100" i="6"/>
  <c r="CQ96" i="6"/>
  <c r="CQ97" i="6" s="1"/>
  <c r="BW109" i="6"/>
  <c r="BW113" i="6" s="1"/>
  <c r="AN105" i="6"/>
  <c r="AN126" i="6" s="1"/>
  <c r="AN21" i="6" s="1"/>
  <c r="DA126" i="6"/>
  <c r="DA21" i="6" s="1"/>
  <c r="CJ102" i="6"/>
  <c r="CJ107" i="6" s="1"/>
  <c r="CJ109" i="6" s="1"/>
  <c r="AB106" i="6"/>
  <c r="BH126" i="6"/>
  <c r="BH21" i="6" s="1"/>
  <c r="BE113" i="6"/>
  <c r="AQ112" i="6"/>
  <c r="CE113" i="6"/>
  <c r="AP105" i="6"/>
  <c r="AP106" i="6" s="1"/>
  <c r="CE110" i="6"/>
  <c r="CE108" i="6" s="1"/>
  <c r="CO105" i="6"/>
  <c r="CO106" i="6" s="1"/>
  <c r="S96" i="6"/>
  <c r="S102" i="6" s="1"/>
  <c r="S107" i="6" s="1"/>
  <c r="BA101" i="6"/>
  <c r="F126" i="6"/>
  <c r="F21" i="6" s="1"/>
  <c r="F106" i="6"/>
  <c r="BN109" i="6"/>
  <c r="BN113" i="6" s="1"/>
  <c r="CV109" i="6"/>
  <c r="CV113" i="6" s="1"/>
  <c r="AH106" i="6"/>
  <c r="CD106" i="6"/>
  <c r="CS97" i="6"/>
  <c r="CS102" i="6"/>
  <c r="CS107" i="6" s="1"/>
  <c r="CS109" i="6" s="1"/>
  <c r="V106" i="6"/>
  <c r="CK105" i="6"/>
  <c r="CK126" i="6" s="1"/>
  <c r="CK21" i="6" s="1"/>
  <c r="BK178" i="6"/>
  <c r="BK184" i="6" s="1"/>
  <c r="BK189" i="6" s="1"/>
  <c r="CJ182" i="6"/>
  <c r="AD192" i="6"/>
  <c r="AD196" i="6" s="1"/>
  <c r="CL187" i="6"/>
  <c r="CL208" i="6" s="1"/>
  <c r="CL25" i="6" s="1"/>
  <c r="BH184" i="6"/>
  <c r="BH189" i="6" s="1"/>
  <c r="BH191" i="6" s="1"/>
  <c r="BH194" i="6" s="1"/>
  <c r="CD179" i="6"/>
  <c r="CD182" i="6" s="1"/>
  <c r="AZ192" i="6"/>
  <c r="AZ190" i="6" s="1"/>
  <c r="AQ184" i="6"/>
  <c r="AQ189" i="6" s="1"/>
  <c r="AQ191" i="6" s="1"/>
  <c r="AQ195" i="6" s="1"/>
  <c r="BG187" i="6"/>
  <c r="BG208" i="6" s="1"/>
  <c r="BG25" i="6" s="1"/>
  <c r="AU188" i="6"/>
  <c r="CM188" i="6"/>
  <c r="AT187" i="6"/>
  <c r="AT188" i="6" s="1"/>
  <c r="CL178" i="6"/>
  <c r="BI191" i="6"/>
  <c r="BI192" i="6" s="1"/>
  <c r="CW191" i="6"/>
  <c r="CW192" i="6" s="1"/>
  <c r="CW190" i="6" s="1"/>
  <c r="CE180" i="6"/>
  <c r="T194" i="6"/>
  <c r="BI208" i="6"/>
  <c r="BI25" i="6" s="1"/>
  <c r="BP192" i="6"/>
  <c r="BP209" i="6" s="1"/>
  <c r="AX179" i="6"/>
  <c r="AX183" i="6" s="1"/>
  <c r="CJ183" i="6"/>
  <c r="AV208" i="6"/>
  <c r="AV25" i="6" s="1"/>
  <c r="CJ181" i="6"/>
  <c r="BF208" i="6"/>
  <c r="BF25" i="6" s="1"/>
  <c r="AS184" i="6"/>
  <c r="AS189" i="6" s="1"/>
  <c r="AS191" i="6" s="1"/>
  <c r="T192" i="6"/>
  <c r="T196" i="6" s="1"/>
  <c r="AH178" i="6"/>
  <c r="AH179" i="6" s="1"/>
  <c r="BL178" i="6"/>
  <c r="BL179" i="6" s="1"/>
  <c r="H178" i="6"/>
  <c r="H179" i="6" s="1"/>
  <c r="AT179" i="6"/>
  <c r="AT183" i="6" s="1"/>
  <c r="AI187" i="6"/>
  <c r="AI208" i="6" s="1"/>
  <c r="AI25" i="6" s="1"/>
  <c r="AE187" i="6"/>
  <c r="AE188" i="6" s="1"/>
  <c r="BX208" i="6"/>
  <c r="BX25" i="6" s="1"/>
  <c r="O188" i="6"/>
  <c r="AU184" i="6"/>
  <c r="AU189" i="6" s="1"/>
  <c r="AU191" i="6" s="1"/>
  <c r="AU195" i="6" s="1"/>
  <c r="CE190" i="6"/>
  <c r="CE199" i="6" s="1"/>
  <c r="AO194" i="6"/>
  <c r="AN188" i="6"/>
  <c r="AN208" i="6"/>
  <c r="AN25" i="6" s="1"/>
  <c r="CQ184" i="6"/>
  <c r="CQ189" i="6" s="1"/>
  <c r="CQ191" i="6" s="1"/>
  <c r="CQ192" i="6" s="1"/>
  <c r="AS208" i="6"/>
  <c r="AS25" i="6" s="1"/>
  <c r="CX187" i="6"/>
  <c r="CX188" i="6" s="1"/>
  <c r="CQ188" i="6"/>
  <c r="BT188" i="6"/>
  <c r="CA194" i="6"/>
  <c r="BL187" i="6"/>
  <c r="BL188" i="6" s="1"/>
  <c r="BW192" i="6"/>
  <c r="BW196" i="6" s="1"/>
  <c r="CH208" i="6"/>
  <c r="CH25" i="6" s="1"/>
  <c r="BT208" i="6"/>
  <c r="BT25" i="6" s="1"/>
  <c r="CA192" i="6"/>
  <c r="CA196" i="6" s="1"/>
  <c r="CN179" i="6"/>
  <c r="CN182" i="6" s="1"/>
  <c r="V187" i="6"/>
  <c r="V208" i="6" s="1"/>
  <c r="V25" i="6" s="1"/>
  <c r="BW195" i="6"/>
  <c r="CX178" i="6"/>
  <c r="CX179" i="6" s="1"/>
  <c r="R178" i="6"/>
  <c r="R179" i="6" s="1"/>
  <c r="CU191" i="6"/>
  <c r="CU195" i="6" s="1"/>
  <c r="BJ178" i="6"/>
  <c r="BJ184" i="6" s="1"/>
  <c r="BJ189" i="6" s="1"/>
  <c r="BV178" i="6"/>
  <c r="BV179" i="6" s="1"/>
  <c r="AE178" i="6"/>
  <c r="AE179" i="6" s="1"/>
  <c r="BN191" i="6"/>
  <c r="BN195" i="6" s="1"/>
  <c r="BQ200" i="6"/>
  <c r="BR178" i="6"/>
  <c r="BR179" i="6" s="1"/>
  <c r="BX184" i="6"/>
  <c r="BX189" i="6" s="1"/>
  <c r="BX191" i="6" s="1"/>
  <c r="BX179" i="6"/>
  <c r="AQ183" i="6"/>
  <c r="AQ180" i="6"/>
  <c r="AQ181" i="6"/>
  <c r="AQ182" i="6"/>
  <c r="AA184" i="6"/>
  <c r="AA189" i="6" s="1"/>
  <c r="AA191" i="6" s="1"/>
  <c r="AA195" i="6" s="1"/>
  <c r="BD178" i="6"/>
  <c r="BD179" i="6" s="1"/>
  <c r="J208" i="6"/>
  <c r="J25" i="6" s="1"/>
  <c r="AR179" i="6"/>
  <c r="AR184" i="6"/>
  <c r="AR189" i="6" s="1"/>
  <c r="AR191" i="6" s="1"/>
  <c r="BC178" i="6"/>
  <c r="BC179" i="6" s="1"/>
  <c r="BB178" i="6"/>
  <c r="BB184" i="6" s="1"/>
  <c r="BB189" i="6" s="1"/>
  <c r="BB191" i="6" s="1"/>
  <c r="CX126" i="6"/>
  <c r="CX21" i="6" s="1"/>
  <c r="CX106" i="6"/>
  <c r="Z110" i="6"/>
  <c r="Z108" i="6" s="1"/>
  <c r="AQ110" i="6"/>
  <c r="AQ114" i="6" s="1"/>
  <c r="AU96" i="6"/>
  <c r="BD106" i="6"/>
  <c r="CV97" i="6"/>
  <c r="CV98" i="6" s="1"/>
  <c r="BQ126" i="6"/>
  <c r="BQ21" i="6" s="1"/>
  <c r="X96" i="6"/>
  <c r="X97" i="6" s="1"/>
  <c r="BN97" i="6"/>
  <c r="BN99" i="6" s="1"/>
  <c r="AU105" i="6"/>
  <c r="AU106" i="6" s="1"/>
  <c r="R96" i="6"/>
  <c r="R97" i="6" s="1"/>
  <c r="R100" i="6" s="1"/>
  <c r="BG99" i="6"/>
  <c r="BG101" i="6"/>
  <c r="BK99" i="6"/>
  <c r="Z113" i="6"/>
  <c r="AN96" i="6"/>
  <c r="AN97" i="6" s="1"/>
  <c r="BK102" i="6"/>
  <c r="BK107" i="6" s="1"/>
  <c r="BK109" i="6" s="1"/>
  <c r="BK113" i="6" s="1"/>
  <c r="BW97" i="6"/>
  <c r="BW98" i="6" s="1"/>
  <c r="BP102" i="6"/>
  <c r="BP107" i="6" s="1"/>
  <c r="BP109" i="6" s="1"/>
  <c r="BP113" i="6" s="1"/>
  <c r="AK106" i="6"/>
  <c r="AV96" i="6"/>
  <c r="AV102" i="6" s="1"/>
  <c r="AV107" i="6" s="1"/>
  <c r="AV109" i="6" s="1"/>
  <c r="AV110" i="6" s="1"/>
  <c r="AV114" i="6" s="1"/>
  <c r="I96" i="6"/>
  <c r="I102" i="6" s="1"/>
  <c r="I107" i="6" s="1"/>
  <c r="I109" i="6" s="1"/>
  <c r="AO97" i="6"/>
  <c r="AO101" i="6" s="1"/>
  <c r="AL97" i="6"/>
  <c r="AL98" i="6" s="1"/>
  <c r="BG102" i="6"/>
  <c r="BG107" i="6" s="1"/>
  <c r="BG109" i="6" s="1"/>
  <c r="BG113" i="6" s="1"/>
  <c r="CG105" i="6"/>
  <c r="CG126" i="6" s="1"/>
  <c r="CG21" i="6" s="1"/>
  <c r="BO113" i="6"/>
  <c r="CL105" i="6"/>
  <c r="CL106" i="6" s="1"/>
  <c r="CR96" i="6"/>
  <c r="CR102" i="6" s="1"/>
  <c r="CR107" i="6" s="1"/>
  <c r="BG100" i="6"/>
  <c r="BY105" i="6"/>
  <c r="BY126" i="6" s="1"/>
  <c r="BY21" i="6" s="1"/>
  <c r="CK96" i="6"/>
  <c r="CK97" i="6" s="1"/>
  <c r="X105" i="6"/>
  <c r="X126" i="6" s="1"/>
  <c r="X21" i="6" s="1"/>
  <c r="BG98" i="6"/>
  <c r="BY96" i="6"/>
  <c r="BY97" i="6" s="1"/>
  <c r="BY100" i="6" s="1"/>
  <c r="BJ110" i="6"/>
  <c r="BJ112" i="6"/>
  <c r="BJ113" i="6"/>
  <c r="CL96" i="6"/>
  <c r="CL97" i="6" s="1"/>
  <c r="CL98" i="6" s="1"/>
  <c r="AT105" i="6"/>
  <c r="AT126" i="6" s="1"/>
  <c r="AT21" i="6" s="1"/>
  <c r="AP96" i="6"/>
  <c r="AP97" i="6" s="1"/>
  <c r="M97" i="6"/>
  <c r="M99" i="6" s="1"/>
  <c r="BP126" i="6"/>
  <c r="BP21" i="6" s="1"/>
  <c r="CZ106" i="6"/>
  <c r="H105" i="6"/>
  <c r="H106" i="6" s="1"/>
  <c r="BI126" i="6"/>
  <c r="BI21" i="6" s="1"/>
  <c r="CF113" i="6"/>
  <c r="CI97" i="6"/>
  <c r="CI100" i="6" s="1"/>
  <c r="BO110" i="6"/>
  <c r="BO115" i="6" s="1"/>
  <c r="CF112" i="6"/>
  <c r="AG102" i="6"/>
  <c r="AG107" i="6" s="1"/>
  <c r="AG109" i="6" s="1"/>
  <c r="AV106" i="6"/>
  <c r="AV126" i="6"/>
  <c r="AV21" i="6" s="1"/>
  <c r="T105" i="6"/>
  <c r="T106" i="6" s="1"/>
  <c r="T96" i="6"/>
  <c r="T102" i="6" s="1"/>
  <c r="T107" i="6" s="1"/>
  <c r="AI102" i="6"/>
  <c r="AI107" i="6" s="1"/>
  <c r="AI109" i="6" s="1"/>
  <c r="AI110" i="6" s="1"/>
  <c r="AM112" i="6"/>
  <c r="I106" i="6"/>
  <c r="AF102" i="6"/>
  <c r="AF107" i="6" s="1"/>
  <c r="AF109" i="6" s="1"/>
  <c r="AF97" i="6"/>
  <c r="BD102" i="6"/>
  <c r="BD107" i="6" s="1"/>
  <c r="BD109" i="6" s="1"/>
  <c r="BD113" i="6" s="1"/>
  <c r="CG96" i="6"/>
  <c r="CG97" i="6" s="1"/>
  <c r="DA102" i="6"/>
  <c r="DA107" i="6" s="1"/>
  <c r="DA109" i="6" s="1"/>
  <c r="DA113" i="6" s="1"/>
  <c r="H96" i="6"/>
  <c r="H102" i="6" s="1"/>
  <c r="H107" i="6" s="1"/>
  <c r="BL96" i="6"/>
  <c r="BL97" i="6" s="1"/>
  <c r="CW96" i="6"/>
  <c r="CW102" i="6" s="1"/>
  <c r="CW107" i="6" s="1"/>
  <c r="BZ102" i="6"/>
  <c r="BZ107" i="6" s="1"/>
  <c r="BZ109" i="6" s="1"/>
  <c r="BZ113" i="6" s="1"/>
  <c r="BS102" i="6"/>
  <c r="BS107" i="6" s="1"/>
  <c r="BS109" i="6" s="1"/>
  <c r="BS113" i="6" s="1"/>
  <c r="AY96" i="6"/>
  <c r="AY97" i="6" s="1"/>
  <c r="BT96" i="6"/>
  <c r="BT102" i="6" s="1"/>
  <c r="BT107" i="6" s="1"/>
  <c r="BT109" i="6" s="1"/>
  <c r="R106" i="6"/>
  <c r="R126" i="6"/>
  <c r="R21" i="6" s="1"/>
  <c r="AX188" i="6"/>
  <c r="AX208" i="6"/>
  <c r="AX25" i="6" s="1"/>
  <c r="AT208" i="6"/>
  <c r="AT25" i="6" s="1"/>
  <c r="BE188" i="6"/>
  <c r="BE208" i="6"/>
  <c r="BE25" i="6" s="1"/>
  <c r="S188" i="6"/>
  <c r="S208" i="6"/>
  <c r="S25" i="6" s="1"/>
  <c r="U179" i="6"/>
  <c r="U184" i="6"/>
  <c r="U189" i="6" s="1"/>
  <c r="U191" i="6" s="1"/>
  <c r="BZ100" i="6"/>
  <c r="BZ101" i="6"/>
  <c r="BZ98" i="6"/>
  <c r="BZ99" i="6"/>
  <c r="BD98" i="6"/>
  <c r="BD100" i="6"/>
  <c r="BD99" i="6"/>
  <c r="BD101" i="6"/>
  <c r="CY97" i="6"/>
  <c r="CY102" i="6"/>
  <c r="CY107" i="6" s="1"/>
  <c r="CY109" i="6" s="1"/>
  <c r="CM183" i="6"/>
  <c r="CM180" i="6"/>
  <c r="CM182" i="6"/>
  <c r="CM181" i="6"/>
  <c r="AZ112" i="6"/>
  <c r="AZ113" i="6"/>
  <c r="AZ110" i="6"/>
  <c r="CF178" i="6"/>
  <c r="BQ97" i="6"/>
  <c r="BQ102" i="6"/>
  <c r="BQ107" i="6" s="1"/>
  <c r="BQ109" i="6" s="1"/>
  <c r="BH180" i="6"/>
  <c r="BH181" i="6"/>
  <c r="BH182" i="6"/>
  <c r="BH183" i="6"/>
  <c r="CF115" i="6"/>
  <c r="CF108" i="6"/>
  <c r="CF127" i="6"/>
  <c r="CF114" i="6"/>
  <c r="BU98" i="6"/>
  <c r="AO112" i="6"/>
  <c r="AO110" i="6"/>
  <c r="AO113" i="6"/>
  <c r="M126" i="6"/>
  <c r="M21" i="6" s="1"/>
  <c r="M106" i="6"/>
  <c r="X181" i="6"/>
  <c r="X182" i="6"/>
  <c r="BE191" i="6"/>
  <c r="CV194" i="6"/>
  <c r="CV195" i="6"/>
  <c r="CV192" i="6"/>
  <c r="Y97" i="6"/>
  <c r="Y102" i="6"/>
  <c r="Y107" i="6" s="1"/>
  <c r="AT96" i="6"/>
  <c r="BG178" i="6"/>
  <c r="BU188" i="6"/>
  <c r="BY178" i="6"/>
  <c r="AA181" i="6"/>
  <c r="CT192" i="6"/>
  <c r="O98" i="6"/>
  <c r="CU181" i="6"/>
  <c r="CU182" i="6"/>
  <c r="CU183" i="6"/>
  <c r="CU180" i="6"/>
  <c r="CS182" i="6"/>
  <c r="CS181" i="6"/>
  <c r="CS180" i="6"/>
  <c r="CS183" i="6"/>
  <c r="BQ211" i="6"/>
  <c r="BQ27" i="6" s="1"/>
  <c r="BQ210" i="6"/>
  <c r="BQ26" i="6" s="1"/>
  <c r="BD188" i="6"/>
  <c r="BL105" i="6"/>
  <c r="BT126" i="6"/>
  <c r="BT21" i="6" s="1"/>
  <c r="BS100" i="6"/>
  <c r="BS101" i="6"/>
  <c r="BS99" i="6"/>
  <c r="BS98" i="6"/>
  <c r="N183" i="6"/>
  <c r="AG126" i="6"/>
  <c r="AG21" i="6" s="1"/>
  <c r="AG106" i="6"/>
  <c r="W182" i="6"/>
  <c r="W183" i="6"/>
  <c r="W180" i="6"/>
  <c r="W181" i="6"/>
  <c r="BV99" i="6"/>
  <c r="BV98" i="6"/>
  <c r="BV100" i="6"/>
  <c r="BV101" i="6"/>
  <c r="CO190" i="6"/>
  <c r="CO197" i="6"/>
  <c r="CO196" i="6"/>
  <c r="CO209" i="6"/>
  <c r="AW195" i="6"/>
  <c r="AW194" i="6"/>
  <c r="AW192" i="6"/>
  <c r="AI100" i="6"/>
  <c r="AI99" i="6"/>
  <c r="AI98" i="6"/>
  <c r="AI101" i="6"/>
  <c r="G113" i="6"/>
  <c r="G112" i="6"/>
  <c r="G110" i="6"/>
  <c r="BU179" i="6"/>
  <c r="BU184" i="6"/>
  <c r="BU189" i="6" s="1"/>
  <c r="CD195" i="6"/>
  <c r="CD194" i="6"/>
  <c r="CD192" i="6"/>
  <c r="AL192" i="6"/>
  <c r="AL195" i="6"/>
  <c r="AL194" i="6"/>
  <c r="BY208" i="6"/>
  <c r="BY25" i="6" s="1"/>
  <c r="BX112" i="6"/>
  <c r="BX113" i="6"/>
  <c r="BN182" i="6"/>
  <c r="BN183" i="6"/>
  <c r="BN180" i="6"/>
  <c r="BN181" i="6"/>
  <c r="CU188" i="6"/>
  <c r="CU208" i="6"/>
  <c r="CU25" i="6" s="1"/>
  <c r="BB208" i="6"/>
  <c r="BB25" i="6" s="1"/>
  <c r="BB188" i="6"/>
  <c r="AY183" i="6"/>
  <c r="AY181" i="6"/>
  <c r="AY180" i="6"/>
  <c r="AY182" i="6"/>
  <c r="AD105" i="6"/>
  <c r="V178" i="6"/>
  <c r="J179" i="6"/>
  <c r="J184" i="6"/>
  <c r="J189" i="6" s="1"/>
  <c r="J191" i="6" s="1"/>
  <c r="AX191" i="6"/>
  <c r="BA182" i="6"/>
  <c r="BA183" i="6"/>
  <c r="BA181" i="6"/>
  <c r="BA180" i="6"/>
  <c r="CQ182" i="6"/>
  <c r="CQ180" i="6"/>
  <c r="CQ181" i="6"/>
  <c r="CQ183" i="6"/>
  <c r="AH188" i="6"/>
  <c r="AH208" i="6"/>
  <c r="AH25" i="6" s="1"/>
  <c r="L188" i="6"/>
  <c r="L208" i="6"/>
  <c r="L25" i="6" s="1"/>
  <c r="AS180" i="6"/>
  <c r="AS181" i="6"/>
  <c r="AS183" i="6"/>
  <c r="AS182" i="6"/>
  <c r="BQ198" i="6"/>
  <c r="BQ199" i="6"/>
  <c r="BP100" i="6"/>
  <c r="BP99" i="6"/>
  <c r="BP101" i="6"/>
  <c r="BP98" i="6"/>
  <c r="BV208" i="6"/>
  <c r="BV25" i="6" s="1"/>
  <c r="BV188" i="6"/>
  <c r="CV181" i="6"/>
  <c r="CV183" i="6"/>
  <c r="CV180" i="6"/>
  <c r="CV182" i="6"/>
  <c r="CU97" i="6"/>
  <c r="CU102" i="6"/>
  <c r="CU107" i="6" s="1"/>
  <c r="CU109" i="6" s="1"/>
  <c r="BE115" i="6"/>
  <c r="BE108" i="6"/>
  <c r="BE114" i="6"/>
  <c r="BE127" i="6"/>
  <c r="CY106" i="6"/>
  <c r="CY126" i="6"/>
  <c r="CY21" i="6" s="1"/>
  <c r="BR96" i="6"/>
  <c r="AD190" i="6"/>
  <c r="J101" i="6"/>
  <c r="J100" i="6"/>
  <c r="J99" i="6"/>
  <c r="J98" i="6"/>
  <c r="AP126" i="6"/>
  <c r="AP21" i="6" s="1"/>
  <c r="BX99" i="6"/>
  <c r="BX98" i="6"/>
  <c r="BX100" i="6"/>
  <c r="BX101" i="6"/>
  <c r="BF97" i="6"/>
  <c r="BF102" i="6"/>
  <c r="BF107" i="6" s="1"/>
  <c r="BF109" i="6" s="1"/>
  <c r="CJ106" i="6"/>
  <c r="CJ126" i="6"/>
  <c r="CJ21" i="6" s="1"/>
  <c r="AU182" i="6"/>
  <c r="AU183" i="6"/>
  <c r="AU181" i="6"/>
  <c r="AU180" i="6"/>
  <c r="AI178" i="6"/>
  <c r="AY105" i="6"/>
  <c r="CY178" i="6"/>
  <c r="CC188" i="6"/>
  <c r="CC208" i="6"/>
  <c r="CC25" i="6" s="1"/>
  <c r="BK187" i="6"/>
  <c r="DA101" i="6"/>
  <c r="DA99" i="6"/>
  <c r="DA98" i="6"/>
  <c r="DA100" i="6"/>
  <c r="AG100" i="6"/>
  <c r="AG101" i="6"/>
  <c r="AG99" i="6"/>
  <c r="AG98" i="6"/>
  <c r="AF190" i="6"/>
  <c r="AF196" i="6"/>
  <c r="AF209" i="6"/>
  <c r="AF197" i="6"/>
  <c r="BB96" i="6"/>
  <c r="BM99" i="6"/>
  <c r="BM101" i="6"/>
  <c r="BM100" i="6"/>
  <c r="BM98" i="6"/>
  <c r="AW180" i="6"/>
  <c r="AW182" i="6"/>
  <c r="AW183" i="6"/>
  <c r="AW181" i="6"/>
  <c r="CS194" i="6"/>
  <c r="CS195" i="6"/>
  <c r="CS192" i="6"/>
  <c r="G100" i="6"/>
  <c r="G101" i="6"/>
  <c r="G99" i="6"/>
  <c r="G98" i="6"/>
  <c r="BZ179" i="6"/>
  <c r="BZ184" i="6"/>
  <c r="BZ189" i="6" s="1"/>
  <c r="BZ191" i="6" s="1"/>
  <c r="CT183" i="6"/>
  <c r="CT181" i="6"/>
  <c r="CT180" i="6"/>
  <c r="CT182" i="6"/>
  <c r="AY195" i="6"/>
  <c r="AY194" i="6"/>
  <c r="AY192" i="6"/>
  <c r="CZ97" i="6"/>
  <c r="CZ102" i="6"/>
  <c r="CZ107" i="6" s="1"/>
  <c r="CZ109" i="6" s="1"/>
  <c r="X208" i="6"/>
  <c r="X25" i="6" s="1"/>
  <c r="X188" i="6"/>
  <c r="AO209" i="6"/>
  <c r="AO197" i="6"/>
  <c r="S178" i="6"/>
  <c r="CO96" i="6"/>
  <c r="BI97" i="6"/>
  <c r="BI102" i="6"/>
  <c r="BI107" i="6" s="1"/>
  <c r="BI109" i="6" s="1"/>
  <c r="AV183" i="6"/>
  <c r="AV182" i="6"/>
  <c r="AV180" i="6"/>
  <c r="AV181" i="6"/>
  <c r="BC208" i="6"/>
  <c r="BC25" i="6" s="1"/>
  <c r="BC188" i="6"/>
  <c r="W194" i="6"/>
  <c r="W195" i="6"/>
  <c r="W192" i="6"/>
  <c r="CF188" i="6"/>
  <c r="CF208" i="6"/>
  <c r="CF25" i="6" s="1"/>
  <c r="CP179" i="6"/>
  <c r="CP184" i="6"/>
  <c r="CP189" i="6" s="1"/>
  <c r="CP191" i="6" s="1"/>
  <c r="CJ100" i="6"/>
  <c r="CJ101" i="6"/>
  <c r="CJ99" i="6"/>
  <c r="CJ98" i="6"/>
  <c r="AC100" i="6"/>
  <c r="AC98" i="6"/>
  <c r="AC101" i="6"/>
  <c r="AC99" i="6"/>
  <c r="AB209" i="6"/>
  <c r="AB196" i="6"/>
  <c r="AB197" i="6"/>
  <c r="AB190" i="6"/>
  <c r="M109" i="6"/>
  <c r="AH101" i="6"/>
  <c r="AH100" i="6"/>
  <c r="AH99" i="6"/>
  <c r="AH98" i="6"/>
  <c r="CC178" i="6"/>
  <c r="H208" i="6"/>
  <c r="H25" i="6" s="1"/>
  <c r="H188" i="6"/>
  <c r="BR187" i="6"/>
  <c r="N101" i="6"/>
  <c r="N100" i="6"/>
  <c r="N99" i="6"/>
  <c r="N98" i="6"/>
  <c r="BA112" i="6" l="1"/>
  <c r="BK98" i="6"/>
  <c r="AZ101" i="6"/>
  <c r="BK101" i="6"/>
  <c r="AZ99" i="6"/>
  <c r="AZ100" i="6"/>
  <c r="CA126" i="6"/>
  <c r="CA21" i="6" s="1"/>
  <c r="BA113" i="6"/>
  <c r="CX102" i="6"/>
  <c r="CX107" i="6" s="1"/>
  <c r="CX109" i="6" s="1"/>
  <c r="Q102" i="6"/>
  <c r="Q107" i="6" s="1"/>
  <c r="Q109" i="6" s="1"/>
  <c r="Q110" i="6" s="1"/>
  <c r="Q108" i="6" s="1"/>
  <c r="Q116" i="6" s="1"/>
  <c r="AD102" i="6"/>
  <c r="AD107" i="6" s="1"/>
  <c r="AK102" i="6"/>
  <c r="AK107" i="6" s="1"/>
  <c r="AK109" i="6" s="1"/>
  <c r="AK110" i="6" s="1"/>
  <c r="AK108" i="6" s="1"/>
  <c r="CC127" i="6"/>
  <c r="CC108" i="6"/>
  <c r="CC116" i="6" s="1"/>
  <c r="CR195" i="6"/>
  <c r="CR194" i="6"/>
  <c r="CR192" i="6"/>
  <c r="CR197" i="6" s="1"/>
  <c r="N182" i="6"/>
  <c r="O101" i="6"/>
  <c r="CE209" i="6"/>
  <c r="CE211" i="6" s="1"/>
  <c r="CE27" i="6" s="1"/>
  <c r="BW183" i="6"/>
  <c r="BU106" i="6"/>
  <c r="BW180" i="6"/>
  <c r="CE197" i="6"/>
  <c r="CE200" i="6" s="1"/>
  <c r="AZ195" i="6"/>
  <c r="N180" i="6"/>
  <c r="O100" i="6"/>
  <c r="O102" i="6"/>
  <c r="O107" i="6" s="1"/>
  <c r="O109" i="6" s="1"/>
  <c r="O112" i="6" s="1"/>
  <c r="Q98" i="6"/>
  <c r="Q101" i="6"/>
  <c r="AK179" i="6"/>
  <c r="AK184" i="6"/>
  <c r="AK189" i="6" s="1"/>
  <c r="AK191" i="6" s="1"/>
  <c r="CR182" i="6"/>
  <c r="CR183" i="6"/>
  <c r="CR181" i="6"/>
  <c r="CR180" i="6"/>
  <c r="CH182" i="6"/>
  <c r="CK211" i="6"/>
  <c r="CK27" i="6" s="1"/>
  <c r="CV100" i="6"/>
  <c r="S126" i="6"/>
  <c r="S21" i="6" s="1"/>
  <c r="CH181" i="6"/>
  <c r="CZ182" i="6"/>
  <c r="CH183" i="6"/>
  <c r="CZ184" i="6"/>
  <c r="CZ189" i="6" s="1"/>
  <c r="CZ191" i="6" s="1"/>
  <c r="CZ192" i="6" s="1"/>
  <c r="CN106" i="6"/>
  <c r="CG192" i="6"/>
  <c r="CG195" i="6"/>
  <c r="CG194" i="6"/>
  <c r="W102" i="6"/>
  <c r="W107" i="6" s="1"/>
  <c r="W109" i="6" s="1"/>
  <c r="BA194" i="6"/>
  <c r="BA192" i="6"/>
  <c r="BA195" i="6"/>
  <c r="BW182" i="6"/>
  <c r="BS209" i="6"/>
  <c r="BS211" i="6" s="1"/>
  <c r="BS27" i="6" s="1"/>
  <c r="Q195" i="6"/>
  <c r="AA188" i="6"/>
  <c r="BV102" i="6"/>
  <c r="BV107" i="6" s="1"/>
  <c r="BV109" i="6" s="1"/>
  <c r="BV113" i="6" s="1"/>
  <c r="Z180" i="6"/>
  <c r="Z184" i="6"/>
  <c r="Z189" i="6" s="1"/>
  <c r="Z191" i="6" s="1"/>
  <c r="CH184" i="6"/>
  <c r="CH189" i="6" s="1"/>
  <c r="CH191" i="6" s="1"/>
  <c r="CH192" i="6" s="1"/>
  <c r="CH196" i="6" s="1"/>
  <c r="Q99" i="6"/>
  <c r="CZ181" i="6"/>
  <c r="S109" i="6"/>
  <c r="Z183" i="6"/>
  <c r="CK196" i="6"/>
  <c r="CK195" i="6"/>
  <c r="CK197" i="6"/>
  <c r="Y192" i="6"/>
  <c r="Y197" i="6" s="1"/>
  <c r="V102" i="6"/>
  <c r="V107" i="6" s="1"/>
  <c r="V109" i="6" s="1"/>
  <c r="V113" i="6" s="1"/>
  <c r="CT101" i="6"/>
  <c r="BO184" i="6"/>
  <c r="BO189" i="6" s="1"/>
  <c r="BO191" i="6" s="1"/>
  <c r="BO179" i="6"/>
  <c r="X180" i="6"/>
  <c r="X184" i="6"/>
  <c r="X189" i="6" s="1"/>
  <c r="X191" i="6" s="1"/>
  <c r="X194" i="6" s="1"/>
  <c r="BL184" i="6"/>
  <c r="BL189" i="6" s="1"/>
  <c r="AQ192" i="6"/>
  <c r="AQ197" i="6" s="1"/>
  <c r="Q192" i="6"/>
  <c r="Q197" i="6" s="1"/>
  <c r="M194" i="6"/>
  <c r="M195" i="6"/>
  <c r="M192" i="6"/>
  <c r="M181" i="6"/>
  <c r="M180" i="6"/>
  <c r="M182" i="6"/>
  <c r="M183" i="6"/>
  <c r="AG208" i="6"/>
  <c r="AG25" i="6" s="1"/>
  <c r="CW183" i="6"/>
  <c r="L108" i="6"/>
  <c r="L117" i="6" s="1"/>
  <c r="CW182" i="6"/>
  <c r="CC113" i="6"/>
  <c r="CT112" i="6"/>
  <c r="L127" i="6"/>
  <c r="L129" i="6" s="1"/>
  <c r="L23" i="6" s="1"/>
  <c r="U112" i="6"/>
  <c r="AG181" i="6"/>
  <c r="BV184" i="6"/>
  <c r="BV189" i="6" s="1"/>
  <c r="BV191" i="6" s="1"/>
  <c r="BV195" i="6" s="1"/>
  <c r="CC114" i="6"/>
  <c r="CW180" i="6"/>
  <c r="AG184" i="6"/>
  <c r="AG189" i="6" s="1"/>
  <c r="AG191" i="6" s="1"/>
  <c r="AG195" i="6" s="1"/>
  <c r="CC112" i="6"/>
  <c r="AV192" i="6"/>
  <c r="AV195" i="6"/>
  <c r="BU191" i="6"/>
  <c r="BU195" i="6" s="1"/>
  <c r="AX108" i="6"/>
  <c r="AX116" i="6" s="1"/>
  <c r="CI112" i="6"/>
  <c r="AJ208" i="6"/>
  <c r="AJ25" i="6" s="1"/>
  <c r="CT100" i="6"/>
  <c r="CT99" i="6"/>
  <c r="BJ99" i="6"/>
  <c r="AS110" i="6"/>
  <c r="CR109" i="6"/>
  <c r="CR110" i="6" s="1"/>
  <c r="CR114" i="6" s="1"/>
  <c r="N113" i="6"/>
  <c r="AS112" i="6"/>
  <c r="CZ183" i="6"/>
  <c r="N112" i="6"/>
  <c r="G194" i="6"/>
  <c r="CW196" i="6"/>
  <c r="K208" i="6"/>
  <c r="K25" i="6" s="1"/>
  <c r="L184" i="6"/>
  <c r="L189" i="6" s="1"/>
  <c r="L191" i="6" s="1"/>
  <c r="L194" i="6" s="1"/>
  <c r="CT113" i="6"/>
  <c r="AJ191" i="6"/>
  <c r="AJ195" i="6" s="1"/>
  <c r="BV112" i="6"/>
  <c r="CB197" i="6"/>
  <c r="L180" i="6"/>
  <c r="CD99" i="6"/>
  <c r="AR113" i="6"/>
  <c r="CR106" i="6"/>
  <c r="CA102" i="6"/>
  <c r="CA107" i="6" s="1"/>
  <c r="CA109" i="6" s="1"/>
  <c r="CR196" i="6"/>
  <c r="CI113" i="6"/>
  <c r="CD100" i="6"/>
  <c r="G192" i="6"/>
  <c r="G209" i="6" s="1"/>
  <c r="G211" i="6" s="1"/>
  <c r="G27" i="6" s="1"/>
  <c r="CC98" i="6"/>
  <c r="CC99" i="6"/>
  <c r="CC101" i="6"/>
  <c r="CC100" i="6"/>
  <c r="BC113" i="6"/>
  <c r="BC112" i="6"/>
  <c r="BC110" i="6"/>
  <c r="BC108" i="6" s="1"/>
  <c r="BC116" i="6" s="1"/>
  <c r="BB106" i="6"/>
  <c r="CD183" i="6"/>
  <c r="G182" i="6"/>
  <c r="G181" i="6"/>
  <c r="G183" i="6"/>
  <c r="G180" i="6"/>
  <c r="BP196" i="6"/>
  <c r="CB196" i="6"/>
  <c r="AA182" i="6"/>
  <c r="CD98" i="6"/>
  <c r="CE99" i="6"/>
  <c r="AW109" i="6"/>
  <c r="AW113" i="6" s="1"/>
  <c r="CK194" i="6"/>
  <c r="CB209" i="6"/>
  <c r="CB210" i="6" s="1"/>
  <c r="CB26" i="6" s="1"/>
  <c r="K191" i="6"/>
  <c r="L182" i="6"/>
  <c r="J110" i="6"/>
  <c r="J114" i="6" s="1"/>
  <c r="AA180" i="6"/>
  <c r="AP184" i="6"/>
  <c r="AP189" i="6" s="1"/>
  <c r="AP191" i="6" s="1"/>
  <c r="V110" i="6"/>
  <c r="V127" i="6" s="1"/>
  <c r="V129" i="6" s="1"/>
  <c r="V23" i="6" s="1"/>
  <c r="CK190" i="6"/>
  <c r="BS196" i="6"/>
  <c r="BS200" i="6" s="1"/>
  <c r="BS190" i="6"/>
  <c r="CT194" i="6"/>
  <c r="AI188" i="6"/>
  <c r="AJ179" i="6"/>
  <c r="AJ180" i="6" s="1"/>
  <c r="L183" i="6"/>
  <c r="J113" i="6"/>
  <c r="AR110" i="6"/>
  <c r="AR114" i="6" s="1"/>
  <c r="BC97" i="6"/>
  <c r="P192" i="6"/>
  <c r="P194" i="6"/>
  <c r="P195" i="6"/>
  <c r="CB97" i="6"/>
  <c r="CB102" i="6"/>
  <c r="CB107" i="6" s="1"/>
  <c r="CB109" i="6" s="1"/>
  <c r="CM195" i="6"/>
  <c r="AW126" i="6"/>
  <c r="AW21" i="6" s="1"/>
  <c r="AM110" i="6"/>
  <c r="AM114" i="6" s="1"/>
  <c r="BA99" i="6"/>
  <c r="BA100" i="6"/>
  <c r="BA98" i="6"/>
  <c r="AX113" i="6"/>
  <c r="U113" i="6"/>
  <c r="AG182" i="6"/>
  <c r="Y109" i="6"/>
  <c r="Y113" i="6" s="1"/>
  <c r="I179" i="6"/>
  <c r="I180" i="6" s="1"/>
  <c r="L115" i="6"/>
  <c r="BE182" i="6"/>
  <c r="AG180" i="6"/>
  <c r="O126" i="6"/>
  <c r="O21" i="6" s="1"/>
  <c r="L113" i="6"/>
  <c r="O184" i="6"/>
  <c r="O189" i="6" s="1"/>
  <c r="O191" i="6" s="1"/>
  <c r="O194" i="6" s="1"/>
  <c r="AM190" i="6"/>
  <c r="AM197" i="6"/>
  <c r="AM209" i="6"/>
  <c r="AM196" i="6"/>
  <c r="BE181" i="6"/>
  <c r="BK179" i="6"/>
  <c r="BK181" i="6" s="1"/>
  <c r="L112" i="6"/>
  <c r="BT192" i="6"/>
  <c r="BT190" i="6" s="1"/>
  <c r="BT195" i="6"/>
  <c r="BT194" i="6"/>
  <c r="BP190" i="6"/>
  <c r="BP198" i="6" s="1"/>
  <c r="CD180" i="6"/>
  <c r="AC191" i="6"/>
  <c r="AC194" i="6" s="1"/>
  <c r="BP197" i="6"/>
  <c r="CD181" i="6"/>
  <c r="DA190" i="6"/>
  <c r="DA197" i="6"/>
  <c r="DA209" i="6"/>
  <c r="DA196" i="6"/>
  <c r="AX127" i="6"/>
  <c r="AX128" i="6" s="1"/>
  <c r="AX22" i="6" s="1"/>
  <c r="CE210" i="6"/>
  <c r="CE26" i="6" s="1"/>
  <c r="AX115" i="6"/>
  <c r="AP188" i="6"/>
  <c r="K182" i="6"/>
  <c r="BH195" i="6"/>
  <c r="BE180" i="6"/>
  <c r="N194" i="6"/>
  <c r="CQ106" i="6"/>
  <c r="Y126" i="6"/>
  <c r="Y21" i="6" s="1"/>
  <c r="P106" i="6"/>
  <c r="AC188" i="6"/>
  <c r="AC208" i="6"/>
  <c r="AC25" i="6" s="1"/>
  <c r="BH192" i="6"/>
  <c r="BH209" i="6" s="1"/>
  <c r="CM192" i="6"/>
  <c r="CM197" i="6" s="1"/>
  <c r="BR126" i="6"/>
  <c r="BR21" i="6" s="1"/>
  <c r="BM197" i="6"/>
  <c r="AX114" i="6"/>
  <c r="K181" i="6"/>
  <c r="CN192" i="6"/>
  <c r="CN190" i="6" s="1"/>
  <c r="N192" i="6"/>
  <c r="N190" i="6" s="1"/>
  <c r="BI183" i="6"/>
  <c r="P109" i="6"/>
  <c r="P110" i="6" s="1"/>
  <c r="BF179" i="6"/>
  <c r="BF184" i="6"/>
  <c r="BF189" i="6" s="1"/>
  <c r="BF191" i="6" s="1"/>
  <c r="BF195" i="6" s="1"/>
  <c r="AX112" i="6"/>
  <c r="L128" i="6"/>
  <c r="L22" i="6" s="1"/>
  <c r="BM190" i="6"/>
  <c r="BM198" i="6" s="1"/>
  <c r="CW106" i="6"/>
  <c r="CN194" i="6"/>
  <c r="Z194" i="6"/>
  <c r="Z195" i="6"/>
  <c r="Z192" i="6"/>
  <c r="BM113" i="6"/>
  <c r="BM112" i="6"/>
  <c r="BM110" i="6"/>
  <c r="BM108" i="6" s="1"/>
  <c r="BM196" i="6"/>
  <c r="AN195" i="6"/>
  <c r="AN194" i="6"/>
  <c r="Y190" i="6"/>
  <c r="BV110" i="6"/>
  <c r="BV114" i="6" s="1"/>
  <c r="AT106" i="6"/>
  <c r="CJ196" i="6"/>
  <c r="K180" i="6"/>
  <c r="CH108" i="6"/>
  <c r="CH116" i="6" s="1"/>
  <c r="CP99" i="6"/>
  <c r="AE110" i="6"/>
  <c r="AE115" i="6" s="1"/>
  <c r="F179" i="6"/>
  <c r="F184" i="6"/>
  <c r="F189" i="6" s="1"/>
  <c r="F191" i="6" s="1"/>
  <c r="BJ208" i="6"/>
  <c r="BJ25" i="6" s="1"/>
  <c r="R188" i="6"/>
  <c r="CH114" i="6"/>
  <c r="H184" i="6"/>
  <c r="H189" i="6" s="1"/>
  <c r="H191" i="6" s="1"/>
  <c r="H195" i="6" s="1"/>
  <c r="BI182" i="6"/>
  <c r="BJ191" i="6"/>
  <c r="BJ195" i="6" s="1"/>
  <c r="CN102" i="6"/>
  <c r="CN107" i="6" s="1"/>
  <c r="CN109" i="6" s="1"/>
  <c r="CN110" i="6" s="1"/>
  <c r="CN115" i="6" s="1"/>
  <c r="CY208" i="6"/>
  <c r="CY25" i="6" s="1"/>
  <c r="CJ209" i="6"/>
  <c r="AC179" i="6"/>
  <c r="AC182" i="6" s="1"/>
  <c r="CH127" i="6"/>
  <c r="CH129" i="6" s="1"/>
  <c r="CH23" i="6" s="1"/>
  <c r="AW97" i="6"/>
  <c r="AW100" i="6" s="1"/>
  <c r="CH113" i="6"/>
  <c r="CH112" i="6"/>
  <c r="AE113" i="6"/>
  <c r="BI180" i="6"/>
  <c r="AL106" i="6"/>
  <c r="CJ197" i="6"/>
  <c r="X106" i="6"/>
  <c r="CP98" i="6"/>
  <c r="AL109" i="6"/>
  <c r="AL113" i="6" s="1"/>
  <c r="BG188" i="6"/>
  <c r="AN179" i="6"/>
  <c r="AN181" i="6" s="1"/>
  <c r="CN101" i="6"/>
  <c r="CN99" i="6"/>
  <c r="CT108" i="6"/>
  <c r="CT117" i="6" s="1"/>
  <c r="CT114" i="6"/>
  <c r="CT127" i="6"/>
  <c r="CT128" i="6" s="1"/>
  <c r="CT22" i="6" s="1"/>
  <c r="CT115" i="6"/>
  <c r="K99" i="6"/>
  <c r="CP106" i="6"/>
  <c r="BW190" i="6"/>
  <c r="BW199" i="6" s="1"/>
  <c r="AJ102" i="6"/>
  <c r="AJ107" i="6" s="1"/>
  <c r="AJ109" i="6" s="1"/>
  <c r="AJ113" i="6" s="1"/>
  <c r="AQ194" i="6"/>
  <c r="AO196" i="6"/>
  <c r="AO200" i="6" s="1"/>
  <c r="AC110" i="6"/>
  <c r="AC108" i="6" s="1"/>
  <c r="K98" i="6"/>
  <c r="CE98" i="6"/>
  <c r="CW195" i="6"/>
  <c r="CE100" i="6"/>
  <c r="K101" i="6"/>
  <c r="AC113" i="6"/>
  <c r="CW209" i="6"/>
  <c r="CW210" i="6" s="1"/>
  <c r="CW26" i="6" s="1"/>
  <c r="AD197" i="6"/>
  <c r="AD200" i="6" s="1"/>
  <c r="CN181" i="6"/>
  <c r="CI192" i="6"/>
  <c r="CI196" i="6" s="1"/>
  <c r="AK99" i="6"/>
  <c r="AQ99" i="6"/>
  <c r="K106" i="6"/>
  <c r="AJ106" i="6"/>
  <c r="CW194" i="6"/>
  <c r="CW197" i="6"/>
  <c r="AD209" i="6"/>
  <c r="AD211" i="6" s="1"/>
  <c r="AD27" i="6" s="1"/>
  <c r="CN180" i="6"/>
  <c r="AZ196" i="6"/>
  <c r="CI194" i="6"/>
  <c r="CW109" i="6"/>
  <c r="CW112" i="6" s="1"/>
  <c r="CP102" i="6"/>
  <c r="CP107" i="6" s="1"/>
  <c r="CP109" i="6" s="1"/>
  <c r="CP113" i="6" s="1"/>
  <c r="AQ98" i="6"/>
  <c r="AB110" i="6"/>
  <c r="AB115" i="6" s="1"/>
  <c r="K102" i="6"/>
  <c r="K107" i="6" s="1"/>
  <c r="K109" i="6" s="1"/>
  <c r="K110" i="6" s="1"/>
  <c r="K114" i="6" s="1"/>
  <c r="CL188" i="6"/>
  <c r="AA115" i="6"/>
  <c r="AX182" i="6"/>
  <c r="CR209" i="6"/>
  <c r="CR211" i="6" s="1"/>
  <c r="CR27" i="6" s="1"/>
  <c r="CP100" i="6"/>
  <c r="AJ98" i="6"/>
  <c r="AA114" i="6"/>
  <c r="BU100" i="6"/>
  <c r="BH99" i="6"/>
  <c r="S97" i="6"/>
  <c r="S101" i="6" s="1"/>
  <c r="BU101" i="6"/>
  <c r="F98" i="6"/>
  <c r="CM110" i="6"/>
  <c r="CM115" i="6" s="1"/>
  <c r="BU102" i="6"/>
  <c r="BU107" i="6" s="1"/>
  <c r="BU109" i="6" s="1"/>
  <c r="BU110" i="6" s="1"/>
  <c r="AK101" i="6"/>
  <c r="AQ101" i="6"/>
  <c r="CN100" i="6"/>
  <c r="BH101" i="6"/>
  <c r="AB112" i="6"/>
  <c r="CD102" i="6"/>
  <c r="CD107" i="6" s="1"/>
  <c r="CD109" i="6" s="1"/>
  <c r="CD110" i="6" s="1"/>
  <c r="AA127" i="6"/>
  <c r="AA129" i="6" s="1"/>
  <c r="AA23" i="6" s="1"/>
  <c r="BH100" i="6"/>
  <c r="F102" i="6"/>
  <c r="F107" i="6" s="1"/>
  <c r="F109" i="6" s="1"/>
  <c r="F112" i="6" s="1"/>
  <c r="CM113" i="6"/>
  <c r="CN98" i="6"/>
  <c r="BH102" i="6"/>
  <c r="BH107" i="6" s="1"/>
  <c r="BH109" i="6" s="1"/>
  <c r="BH110" i="6" s="1"/>
  <c r="BH114" i="6" s="1"/>
  <c r="AH110" i="6"/>
  <c r="AH114" i="6" s="1"/>
  <c r="AH113" i="6"/>
  <c r="BZ112" i="6"/>
  <c r="CO126" i="6"/>
  <c r="CO21" i="6" s="1"/>
  <c r="AK98" i="6"/>
  <c r="CK106" i="6"/>
  <c r="CL102" i="6"/>
  <c r="CL107" i="6" s="1"/>
  <c r="CL109" i="6" s="1"/>
  <c r="CL110" i="6" s="1"/>
  <c r="CL114" i="6" s="1"/>
  <c r="P97" i="6"/>
  <c r="P98" i="6" s="1"/>
  <c r="F101" i="6"/>
  <c r="V112" i="6"/>
  <c r="BW110" i="6"/>
  <c r="BW115" i="6" s="1"/>
  <c r="BN112" i="6"/>
  <c r="BW112" i="6"/>
  <c r="BS110" i="6"/>
  <c r="BS114" i="6" s="1"/>
  <c r="F99" i="6"/>
  <c r="CL100" i="6"/>
  <c r="AN106" i="6"/>
  <c r="CQ102" i="6"/>
  <c r="CQ107" i="6" s="1"/>
  <c r="CQ109" i="6" s="1"/>
  <c r="CQ110" i="6" s="1"/>
  <c r="AR108" i="6"/>
  <c r="AR117" i="6" s="1"/>
  <c r="Q114" i="6"/>
  <c r="CV112" i="6"/>
  <c r="BK110" i="6"/>
  <c r="BK115" i="6" s="1"/>
  <c r="Q115" i="6"/>
  <c r="CV110" i="6"/>
  <c r="CV115" i="6" s="1"/>
  <c r="Z114" i="6"/>
  <c r="AH112" i="6"/>
  <c r="AJ100" i="6"/>
  <c r="AR115" i="6"/>
  <c r="CE127" i="6"/>
  <c r="CE129" i="6" s="1"/>
  <c r="CE23" i="6" s="1"/>
  <c r="AQ115" i="6"/>
  <c r="BT97" i="6"/>
  <c r="BT98" i="6" s="1"/>
  <c r="CE115" i="6"/>
  <c r="AQ108" i="6"/>
  <c r="AQ116" i="6" s="1"/>
  <c r="BK112" i="6"/>
  <c r="V100" i="6"/>
  <c r="BN110" i="6"/>
  <c r="BN127" i="6" s="1"/>
  <c r="CI98" i="6"/>
  <c r="CE114" i="6"/>
  <c r="AQ127" i="6"/>
  <c r="AQ128" i="6" s="1"/>
  <c r="AQ22" i="6" s="1"/>
  <c r="V101" i="6"/>
  <c r="AO100" i="6"/>
  <c r="CV101" i="6"/>
  <c r="V99" i="6"/>
  <c r="AI112" i="6"/>
  <c r="CV99" i="6"/>
  <c r="AN102" i="6"/>
  <c r="AN107" i="6" s="1"/>
  <c r="AN109" i="6" s="1"/>
  <c r="AN113" i="6" s="1"/>
  <c r="BZ110" i="6"/>
  <c r="BZ115" i="6" s="1"/>
  <c r="Z127" i="6"/>
  <c r="Z128" i="6" s="1"/>
  <c r="Z22" i="6" s="1"/>
  <c r="R99" i="6"/>
  <c r="R102" i="6"/>
  <c r="R107" i="6" s="1"/>
  <c r="R109" i="6" s="1"/>
  <c r="R113" i="6" s="1"/>
  <c r="Z115" i="6"/>
  <c r="R98" i="6"/>
  <c r="AV113" i="6"/>
  <c r="R101" i="6"/>
  <c r="CS100" i="6"/>
  <c r="CS101" i="6"/>
  <c r="CS99" i="6"/>
  <c r="CS98" i="6"/>
  <c r="CG106" i="6"/>
  <c r="BO108" i="6"/>
  <c r="BO117" i="6" s="1"/>
  <c r="CL99" i="6"/>
  <c r="BO127" i="6"/>
  <c r="BO128" i="6" s="1"/>
  <c r="BO22" i="6" s="1"/>
  <c r="AJ101" i="6"/>
  <c r="CL126" i="6"/>
  <c r="CL21" i="6" s="1"/>
  <c r="BO114" i="6"/>
  <c r="CL101" i="6"/>
  <c r="CS110" i="6"/>
  <c r="CS113" i="6"/>
  <c r="CS112" i="6"/>
  <c r="M100" i="6"/>
  <c r="CR97" i="6"/>
  <c r="AV97" i="6"/>
  <c r="AV101" i="6" s="1"/>
  <c r="AX181" i="6"/>
  <c r="AZ197" i="6"/>
  <c r="X195" i="6"/>
  <c r="AT191" i="6"/>
  <c r="AT194" i="6" s="1"/>
  <c r="AT181" i="6"/>
  <c r="I194" i="6"/>
  <c r="CR190" i="6"/>
  <c r="CR198" i="6" s="1"/>
  <c r="BI195" i="6"/>
  <c r="CL179" i="6"/>
  <c r="CL184" i="6"/>
  <c r="CL189" i="6" s="1"/>
  <c r="CL191" i="6" s="1"/>
  <c r="CL194" i="6" s="1"/>
  <c r="BN194" i="6"/>
  <c r="AZ209" i="6"/>
  <c r="AZ210" i="6" s="1"/>
  <c r="AZ26" i="6" s="1"/>
  <c r="I192" i="6"/>
  <c r="I190" i="6" s="1"/>
  <c r="AA194" i="6"/>
  <c r="BN192" i="6"/>
  <c r="BN196" i="6" s="1"/>
  <c r="AS194" i="6"/>
  <c r="AS195" i="6"/>
  <c r="AS192" i="6"/>
  <c r="AS190" i="6" s="1"/>
  <c r="AV194" i="6"/>
  <c r="V188" i="6"/>
  <c r="AT182" i="6"/>
  <c r="BI194" i="6"/>
  <c r="AX180" i="6"/>
  <c r="AU192" i="6"/>
  <c r="AU190" i="6" s="1"/>
  <c r="T190" i="6"/>
  <c r="T197" i="6"/>
  <c r="T200" i="6" s="1"/>
  <c r="CQ194" i="6"/>
  <c r="BJ179" i="6"/>
  <c r="BJ182" i="6" s="1"/>
  <c r="CQ195" i="6"/>
  <c r="CE198" i="6"/>
  <c r="AH184" i="6"/>
  <c r="AH189" i="6" s="1"/>
  <c r="AH191" i="6" s="1"/>
  <c r="AH195" i="6" s="1"/>
  <c r="AE208" i="6"/>
  <c r="AE25" i="6" s="1"/>
  <c r="AT180" i="6"/>
  <c r="AA192" i="6"/>
  <c r="AA190" i="6" s="1"/>
  <c r="T209" i="6"/>
  <c r="CA190" i="6"/>
  <c r="CA198" i="6" s="1"/>
  <c r="AE184" i="6"/>
  <c r="AE189" i="6" s="1"/>
  <c r="AE191" i="6" s="1"/>
  <c r="AE194" i="6" s="1"/>
  <c r="CA197" i="6"/>
  <c r="CA200" i="6" s="1"/>
  <c r="CX208" i="6"/>
  <c r="CX25" i="6" s="1"/>
  <c r="AU194" i="6"/>
  <c r="CA209" i="6"/>
  <c r="CA210" i="6" s="1"/>
  <c r="CA26" i="6" s="1"/>
  <c r="BB179" i="6"/>
  <c r="BB182" i="6" s="1"/>
  <c r="R184" i="6"/>
  <c r="R189" i="6" s="1"/>
  <c r="R191" i="6" s="1"/>
  <c r="R194" i="6" s="1"/>
  <c r="X192" i="6"/>
  <c r="X196" i="6" s="1"/>
  <c r="AN190" i="6"/>
  <c r="AN209" i="6"/>
  <c r="AN197" i="6"/>
  <c r="AN196" i="6"/>
  <c r="CU192" i="6"/>
  <c r="CU209" i="6" s="1"/>
  <c r="BW209" i="6"/>
  <c r="BW210" i="6" s="1"/>
  <c r="BW26" i="6" s="1"/>
  <c r="AG192" i="6"/>
  <c r="AG196" i="6" s="1"/>
  <c r="CN183" i="6"/>
  <c r="BW197" i="6"/>
  <c r="BW200" i="6" s="1"/>
  <c r="BL208" i="6"/>
  <c r="BL25" i="6" s="1"/>
  <c r="BL191" i="6"/>
  <c r="BL195" i="6" s="1"/>
  <c r="CX184" i="6"/>
  <c r="CX189" i="6" s="1"/>
  <c r="CX191" i="6" s="1"/>
  <c r="CX195" i="6" s="1"/>
  <c r="CU194" i="6"/>
  <c r="AG194" i="6"/>
  <c r="BD184" i="6"/>
  <c r="BD189" i="6" s="1"/>
  <c r="BD191" i="6" s="1"/>
  <c r="BD195" i="6" s="1"/>
  <c r="BX183" i="6"/>
  <c r="BX181" i="6"/>
  <c r="BX182" i="6"/>
  <c r="BX180" i="6"/>
  <c r="AQ196" i="6"/>
  <c r="BX192" i="6"/>
  <c r="BX194" i="6"/>
  <c r="BX195" i="6"/>
  <c r="BR184" i="6"/>
  <c r="BR189" i="6" s="1"/>
  <c r="BR191" i="6" s="1"/>
  <c r="BR195" i="6" s="1"/>
  <c r="AR180" i="6"/>
  <c r="AR182" i="6"/>
  <c r="AR181" i="6"/>
  <c r="AR183" i="6"/>
  <c r="BI190" i="6"/>
  <c r="BI196" i="6"/>
  <c r="BI209" i="6"/>
  <c r="BI197" i="6"/>
  <c r="AR194" i="6"/>
  <c r="AR192" i="6"/>
  <c r="AR195" i="6"/>
  <c r="BC184" i="6"/>
  <c r="BC189" i="6" s="1"/>
  <c r="BC191" i="6" s="1"/>
  <c r="BC194" i="6" s="1"/>
  <c r="X99" i="6"/>
  <c r="X100" i="6"/>
  <c r="X101" i="6"/>
  <c r="X98" i="6"/>
  <c r="AN99" i="6"/>
  <c r="AN100" i="6"/>
  <c r="AN101" i="6"/>
  <c r="AN98" i="6"/>
  <c r="CX113" i="6"/>
  <c r="CX110" i="6"/>
  <c r="AL99" i="6"/>
  <c r="BW100" i="6"/>
  <c r="BN100" i="6"/>
  <c r="BW101" i="6"/>
  <c r="AL101" i="6"/>
  <c r="AV108" i="6"/>
  <c r="AV116" i="6" s="1"/>
  <c r="AV112" i="6"/>
  <c r="BN101" i="6"/>
  <c r="BN98" i="6"/>
  <c r="BW99" i="6"/>
  <c r="AU102" i="6"/>
  <c r="AU107" i="6" s="1"/>
  <c r="AU109" i="6" s="1"/>
  <c r="AU112" i="6" s="1"/>
  <c r="AU97" i="6"/>
  <c r="AL100" i="6"/>
  <c r="I97" i="6"/>
  <c r="I100" i="6" s="1"/>
  <c r="X102" i="6"/>
  <c r="X107" i="6" s="1"/>
  <c r="X109" i="6" s="1"/>
  <c r="X113" i="6" s="1"/>
  <c r="AU126" i="6"/>
  <c r="AU21" i="6" s="1"/>
  <c r="CX112" i="6"/>
  <c r="CX100" i="6"/>
  <c r="CX99" i="6"/>
  <c r="CX101" i="6"/>
  <c r="CX98" i="6"/>
  <c r="BG112" i="6"/>
  <c r="BG110" i="6"/>
  <c r="CI101" i="6"/>
  <c r="CI99" i="6"/>
  <c r="AO99" i="6"/>
  <c r="AO98" i="6"/>
  <c r="CG102" i="6"/>
  <c r="CG107" i="6" s="1"/>
  <c r="CG109" i="6" s="1"/>
  <c r="CG110" i="6" s="1"/>
  <c r="BY101" i="6"/>
  <c r="CK98" i="6"/>
  <c r="CK100" i="6"/>
  <c r="CK99" i="6"/>
  <c r="CK101" i="6"/>
  <c r="AV127" i="6"/>
  <c r="AV128" i="6" s="1"/>
  <c r="AV22" i="6" s="1"/>
  <c r="BY98" i="6"/>
  <c r="BJ127" i="6"/>
  <c r="BJ108" i="6"/>
  <c r="BJ115" i="6"/>
  <c r="BJ114" i="6"/>
  <c r="BD110" i="6"/>
  <c r="BD127" i="6" s="1"/>
  <c r="AP102" i="6"/>
  <c r="AP107" i="6" s="1"/>
  <c r="AP109" i="6" s="1"/>
  <c r="AP110" i="6" s="1"/>
  <c r="CK102" i="6"/>
  <c r="CK107" i="6" s="1"/>
  <c r="CK109" i="6" s="1"/>
  <c r="AV115" i="6"/>
  <c r="BY99" i="6"/>
  <c r="BY106" i="6"/>
  <c r="AI113" i="6"/>
  <c r="BD112" i="6"/>
  <c r="BY102" i="6"/>
  <c r="BY107" i="6" s="1"/>
  <c r="BY109" i="6" s="1"/>
  <c r="BY113" i="6" s="1"/>
  <c r="BP112" i="6"/>
  <c r="BP110" i="6"/>
  <c r="BP108" i="6" s="1"/>
  <c r="H126" i="6"/>
  <c r="H21" i="6" s="1"/>
  <c r="M101" i="6"/>
  <c r="M98" i="6"/>
  <c r="H109" i="6"/>
  <c r="H113" i="6" s="1"/>
  <c r="DA112" i="6"/>
  <c r="T126" i="6"/>
  <c r="T21" i="6" s="1"/>
  <c r="BS112" i="6"/>
  <c r="T109" i="6"/>
  <c r="T112" i="6" s="1"/>
  <c r="W99" i="6"/>
  <c r="W100" i="6"/>
  <c r="W101" i="6"/>
  <c r="W98" i="6"/>
  <c r="DA110" i="6"/>
  <c r="DA114" i="6" s="1"/>
  <c r="W113" i="6"/>
  <c r="W112" i="6"/>
  <c r="W110" i="6"/>
  <c r="H97" i="6"/>
  <c r="H101" i="6" s="1"/>
  <c r="AF101" i="6"/>
  <c r="AF99" i="6"/>
  <c r="AF100" i="6"/>
  <c r="AF98" i="6"/>
  <c r="T97" i="6"/>
  <c r="T101" i="6" s="1"/>
  <c r="AF110" i="6"/>
  <c r="AF112" i="6"/>
  <c r="AF113" i="6"/>
  <c r="AW99" i="6"/>
  <c r="AD109" i="6"/>
  <c r="AD112" i="6" s="1"/>
  <c r="AY102" i="6"/>
  <c r="AY107" i="6" s="1"/>
  <c r="AY109" i="6" s="1"/>
  <c r="CW97" i="6"/>
  <c r="CW101" i="6" s="1"/>
  <c r="BL102" i="6"/>
  <c r="BL107" i="6" s="1"/>
  <c r="BL109" i="6" s="1"/>
  <c r="AO211" i="6"/>
  <c r="AO27" i="6" s="1"/>
  <c r="AO210" i="6"/>
  <c r="AO26" i="6" s="1"/>
  <c r="BE117" i="6"/>
  <c r="BE116" i="6"/>
  <c r="CV196" i="6"/>
  <c r="CV190" i="6"/>
  <c r="CV197" i="6"/>
  <c r="CV209" i="6"/>
  <c r="AB198" i="6"/>
  <c r="AB199" i="6"/>
  <c r="AO198" i="6"/>
  <c r="AO199" i="6"/>
  <c r="AF200" i="6"/>
  <c r="CB199" i="6"/>
  <c r="CB198" i="6"/>
  <c r="J194" i="6"/>
  <c r="J195" i="6"/>
  <c r="J192" i="6"/>
  <c r="V179" i="6"/>
  <c r="V184" i="6"/>
  <c r="V189" i="6" s="1"/>
  <c r="V191" i="6" s="1"/>
  <c r="CA112" i="6"/>
  <c r="CA110" i="6"/>
  <c r="CA113" i="6"/>
  <c r="CQ196" i="6"/>
  <c r="CQ190" i="6"/>
  <c r="CQ197" i="6"/>
  <c r="CQ209" i="6"/>
  <c r="CD190" i="6"/>
  <c r="CD196" i="6"/>
  <c r="CD209" i="6"/>
  <c r="CD197" i="6"/>
  <c r="G115" i="6"/>
  <c r="G114" i="6"/>
  <c r="G108" i="6"/>
  <c r="G127" i="6"/>
  <c r="BR182" i="6"/>
  <c r="BR181" i="6"/>
  <c r="BR180" i="6"/>
  <c r="BR183" i="6"/>
  <c r="CC129" i="6"/>
  <c r="CC23" i="6" s="1"/>
  <c r="CC128" i="6"/>
  <c r="CC22" i="6" s="1"/>
  <c r="N196" i="6"/>
  <c r="BA127" i="6"/>
  <c r="BA114" i="6"/>
  <c r="BA108" i="6"/>
  <c r="BA115" i="6"/>
  <c r="CF116" i="6"/>
  <c r="CF117" i="6"/>
  <c r="CE117" i="6"/>
  <c r="CE116" i="6"/>
  <c r="AB200" i="6"/>
  <c r="CP195" i="6"/>
  <c r="CP194" i="6"/>
  <c r="CP192" i="6"/>
  <c r="W196" i="6"/>
  <c r="W190" i="6"/>
  <c r="W197" i="6"/>
  <c r="W209" i="6"/>
  <c r="S179" i="6"/>
  <c r="S184" i="6"/>
  <c r="S189" i="6" s="1"/>
  <c r="S191" i="6" s="1"/>
  <c r="AF210" i="6"/>
  <c r="AF26" i="6" s="1"/>
  <c r="AF211" i="6"/>
  <c r="AF27" i="6" s="1"/>
  <c r="I110" i="6"/>
  <c r="I112" i="6"/>
  <c r="I113" i="6"/>
  <c r="AJ192" i="6"/>
  <c r="AJ194" i="6"/>
  <c r="BM199" i="6"/>
  <c r="AD101" i="6"/>
  <c r="AD98" i="6"/>
  <c r="AD100" i="6"/>
  <c r="AD99" i="6"/>
  <c r="BR97" i="6"/>
  <c r="BR102" i="6"/>
  <c r="BR107" i="6" s="1"/>
  <c r="BR109" i="6" s="1"/>
  <c r="J181" i="6"/>
  <c r="J180" i="6"/>
  <c r="J183" i="6"/>
  <c r="J182" i="6"/>
  <c r="AD106" i="6"/>
  <c r="AD126" i="6"/>
  <c r="AD21" i="6" s="1"/>
  <c r="CA99" i="6"/>
  <c r="CA101" i="6"/>
  <c r="CA98" i="6"/>
  <c r="CA100" i="6"/>
  <c r="AW196" i="6"/>
  <c r="AW190" i="6"/>
  <c r="AW197" i="6"/>
  <c r="AW209" i="6"/>
  <c r="CO210" i="6"/>
  <c r="CO26" i="6" s="1"/>
  <c r="CO211" i="6"/>
  <c r="CO27" i="6" s="1"/>
  <c r="BL106" i="6"/>
  <c r="BL126" i="6"/>
  <c r="BL21" i="6" s="1"/>
  <c r="CF179" i="6"/>
  <c r="CF184" i="6"/>
  <c r="CF189" i="6" s="1"/>
  <c r="CF191" i="6" s="1"/>
  <c r="AE182" i="6"/>
  <c r="AE183" i="6"/>
  <c r="AE181" i="6"/>
  <c r="AE180" i="6"/>
  <c r="BU182" i="6"/>
  <c r="BU180" i="6"/>
  <c r="BU181" i="6"/>
  <c r="BU183" i="6"/>
  <c r="CQ99" i="6"/>
  <c r="CQ98" i="6"/>
  <c r="CQ101" i="6"/>
  <c r="CQ100" i="6"/>
  <c r="CG99" i="6"/>
  <c r="CG101" i="6"/>
  <c r="CG100" i="6"/>
  <c r="CG98" i="6"/>
  <c r="BD181" i="6"/>
  <c r="BD183" i="6"/>
  <c r="BD182" i="6"/>
  <c r="BD180" i="6"/>
  <c r="U194" i="6"/>
  <c r="U192" i="6"/>
  <c r="U195" i="6"/>
  <c r="CC179" i="6"/>
  <c r="CC184" i="6"/>
  <c r="CC189" i="6" s="1"/>
  <c r="CC191" i="6" s="1"/>
  <c r="AG112" i="6"/>
  <c r="AG113" i="6"/>
  <c r="AG110" i="6"/>
  <c r="Y98" i="6"/>
  <c r="Y99" i="6"/>
  <c r="Y101" i="6"/>
  <c r="Y100" i="6"/>
  <c r="BQ113" i="6"/>
  <c r="BQ110" i="6"/>
  <c r="BQ112" i="6"/>
  <c r="BI100" i="6"/>
  <c r="BI98" i="6"/>
  <c r="BI101" i="6"/>
  <c r="BI99" i="6"/>
  <c r="CZ112" i="6"/>
  <c r="CZ113" i="6"/>
  <c r="CZ110" i="6"/>
  <c r="CS196" i="6"/>
  <c r="CS197" i="6"/>
  <c r="CS209" i="6"/>
  <c r="CS190" i="6"/>
  <c r="BC183" i="6"/>
  <c r="BC182" i="6"/>
  <c r="BC180" i="6"/>
  <c r="BC181" i="6"/>
  <c r="N114" i="6"/>
  <c r="N108" i="6"/>
  <c r="N115" i="6"/>
  <c r="N127" i="6"/>
  <c r="BF100" i="6"/>
  <c r="BF101" i="6"/>
  <c r="BF98" i="6"/>
  <c r="BF99" i="6"/>
  <c r="BA196" i="6"/>
  <c r="BA190" i="6"/>
  <c r="BA209" i="6"/>
  <c r="BA197" i="6"/>
  <c r="CU110" i="6"/>
  <c r="CU112" i="6"/>
  <c r="CU113" i="6"/>
  <c r="BX114" i="6"/>
  <c r="BX115" i="6"/>
  <c r="BX127" i="6"/>
  <c r="BX108" i="6"/>
  <c r="AS108" i="6"/>
  <c r="AS115" i="6"/>
  <c r="AS127" i="6"/>
  <c r="AS114" i="6"/>
  <c r="CO199" i="6"/>
  <c r="CO198" i="6"/>
  <c r="AI114" i="6"/>
  <c r="AI108" i="6"/>
  <c r="AI115" i="6"/>
  <c r="AI127" i="6"/>
  <c r="CR200" i="6"/>
  <c r="CT190" i="6"/>
  <c r="CT196" i="6"/>
  <c r="CT197" i="6"/>
  <c r="CT209" i="6"/>
  <c r="BL180" i="6"/>
  <c r="BL183" i="6"/>
  <c r="BL182" i="6"/>
  <c r="BL181" i="6"/>
  <c r="BQ98" i="6"/>
  <c r="BQ100" i="6"/>
  <c r="BQ101" i="6"/>
  <c r="BQ99" i="6"/>
  <c r="CY113" i="6"/>
  <c r="CY112" i="6"/>
  <c r="CY110" i="6"/>
  <c r="Q117" i="6"/>
  <c r="AP101" i="6"/>
  <c r="AP100" i="6"/>
  <c r="AP99" i="6"/>
  <c r="AP98" i="6"/>
  <c r="M113" i="6"/>
  <c r="M112" i="6"/>
  <c r="M110" i="6"/>
  <c r="AX195" i="6"/>
  <c r="AX194" i="6"/>
  <c r="AX192" i="6"/>
  <c r="Z117" i="6"/>
  <c r="Z116" i="6"/>
  <c r="G210" i="6"/>
  <c r="G26" i="6" s="1"/>
  <c r="AO114" i="6"/>
  <c r="AO115" i="6"/>
  <c r="AO127" i="6"/>
  <c r="AO108" i="6"/>
  <c r="AB210" i="6"/>
  <c r="AB26" i="6" s="1"/>
  <c r="AB211" i="6"/>
  <c r="AB27" i="6" s="1"/>
  <c r="U108" i="6"/>
  <c r="U115" i="6"/>
  <c r="U114" i="6"/>
  <c r="U127" i="6"/>
  <c r="H181" i="6"/>
  <c r="H182" i="6"/>
  <c r="H183" i="6"/>
  <c r="H180" i="6"/>
  <c r="AP181" i="6"/>
  <c r="AP183" i="6"/>
  <c r="AP182" i="6"/>
  <c r="AP180" i="6"/>
  <c r="BR188" i="6"/>
  <c r="BR208" i="6"/>
  <c r="BR25" i="6" s="1"/>
  <c r="CZ99" i="6"/>
  <c r="CZ101" i="6"/>
  <c r="CZ100" i="6"/>
  <c r="CZ98" i="6"/>
  <c r="BZ192" i="6"/>
  <c r="BZ194" i="6"/>
  <c r="BZ195" i="6"/>
  <c r="CY179" i="6"/>
  <c r="CY184" i="6"/>
  <c r="CY189" i="6" s="1"/>
  <c r="CY191" i="6" s="1"/>
  <c r="BP200" i="6"/>
  <c r="CJ113" i="6"/>
  <c r="CJ110" i="6"/>
  <c r="CJ112" i="6"/>
  <c r="CJ198" i="6"/>
  <c r="CJ199" i="6"/>
  <c r="BE128" i="6"/>
  <c r="BE22" i="6" s="1"/>
  <c r="BE129" i="6"/>
  <c r="BE23" i="6" s="1"/>
  <c r="CU98" i="6"/>
  <c r="CU101" i="6"/>
  <c r="CU100" i="6"/>
  <c r="CU99" i="6"/>
  <c r="AZ199" i="6"/>
  <c r="AZ198" i="6"/>
  <c r="BK191" i="6"/>
  <c r="AL196" i="6"/>
  <c r="AL190" i="6"/>
  <c r="AL197" i="6"/>
  <c r="AL209" i="6"/>
  <c r="BT110" i="6"/>
  <c r="BT113" i="6"/>
  <c r="BT112" i="6"/>
  <c r="AH182" i="6"/>
  <c r="AH183" i="6"/>
  <c r="AH180" i="6"/>
  <c r="AH181" i="6"/>
  <c r="K195" i="6"/>
  <c r="K194" i="6"/>
  <c r="K192" i="6"/>
  <c r="CI115" i="6"/>
  <c r="CI108" i="6"/>
  <c r="CI127" i="6"/>
  <c r="CI114" i="6"/>
  <c r="AT97" i="6"/>
  <c r="AT102" i="6"/>
  <c r="AT107" i="6" s="1"/>
  <c r="AT109" i="6" s="1"/>
  <c r="BE194" i="6"/>
  <c r="BE195" i="6"/>
  <c r="BE192" i="6"/>
  <c r="CY101" i="6"/>
  <c r="CY99" i="6"/>
  <c r="CY98" i="6"/>
  <c r="CY100" i="6"/>
  <c r="BM211" i="6"/>
  <c r="BM27" i="6" s="1"/>
  <c r="BM210" i="6"/>
  <c r="BM26" i="6" s="1"/>
  <c r="AD198" i="6"/>
  <c r="AD199" i="6"/>
  <c r="AY100" i="6"/>
  <c r="AY99" i="6"/>
  <c r="AY101" i="6"/>
  <c r="AY98" i="6"/>
  <c r="BY179" i="6"/>
  <c r="BY184" i="6"/>
  <c r="BY189" i="6" s="1"/>
  <c r="BY191" i="6" s="1"/>
  <c r="S98" i="6"/>
  <c r="CF129" i="6"/>
  <c r="CF23" i="6" s="1"/>
  <c r="CF128" i="6"/>
  <c r="CF22" i="6" s="1"/>
  <c r="AZ114" i="6"/>
  <c r="AZ115" i="6"/>
  <c r="AZ127" i="6"/>
  <c r="AZ108" i="6"/>
  <c r="CP181" i="6"/>
  <c r="CP180" i="6"/>
  <c r="CP183" i="6"/>
  <c r="CP182" i="6"/>
  <c r="BP211" i="6"/>
  <c r="BP27" i="6" s="1"/>
  <c r="BP210" i="6"/>
  <c r="BP26" i="6" s="1"/>
  <c r="BB194" i="6"/>
  <c r="BB195" i="6"/>
  <c r="BB192" i="6"/>
  <c r="BG179" i="6"/>
  <c r="BG184" i="6"/>
  <c r="BG189" i="6" s="1"/>
  <c r="BG191" i="6" s="1"/>
  <c r="BL100" i="6"/>
  <c r="BL98" i="6"/>
  <c r="BL99" i="6"/>
  <c r="BL101" i="6"/>
  <c r="BI112" i="6"/>
  <c r="BI113" i="6"/>
  <c r="BI110" i="6"/>
  <c r="BB97" i="6"/>
  <c r="BB102" i="6"/>
  <c r="BB107" i="6" s="1"/>
  <c r="BB109" i="6" s="1"/>
  <c r="AF199" i="6"/>
  <c r="AF198" i="6"/>
  <c r="BF110" i="6"/>
  <c r="BF113" i="6"/>
  <c r="BF112" i="6"/>
  <c r="R183" i="6"/>
  <c r="R182" i="6"/>
  <c r="R180" i="6"/>
  <c r="R181" i="6"/>
  <c r="AA117" i="6"/>
  <c r="AA116" i="6"/>
  <c r="CO200" i="6"/>
  <c r="BL194" i="6"/>
  <c r="BL192" i="6"/>
  <c r="CX183" i="6"/>
  <c r="CX181" i="6"/>
  <c r="CX182" i="6"/>
  <c r="CX180" i="6"/>
  <c r="U182" i="6"/>
  <c r="U180" i="6"/>
  <c r="U183" i="6"/>
  <c r="U181" i="6"/>
  <c r="O181" i="6"/>
  <c r="O180" i="6"/>
  <c r="O183" i="6"/>
  <c r="O182" i="6"/>
  <c r="CO97" i="6"/>
  <c r="CO102" i="6"/>
  <c r="CO107" i="6" s="1"/>
  <c r="CO109" i="6" s="1"/>
  <c r="AY197" i="6"/>
  <c r="AY196" i="6"/>
  <c r="AY209" i="6"/>
  <c r="AY190" i="6"/>
  <c r="BZ182" i="6"/>
  <c r="BZ181" i="6"/>
  <c r="BZ183" i="6"/>
  <c r="BZ180" i="6"/>
  <c r="BK208" i="6"/>
  <c r="BK25" i="6" s="1"/>
  <c r="BK188" i="6"/>
  <c r="AY126" i="6"/>
  <c r="AY21" i="6" s="1"/>
  <c r="AY106" i="6"/>
  <c r="AI179" i="6"/>
  <c r="AI184" i="6"/>
  <c r="AI189" i="6" s="1"/>
  <c r="AI191" i="6" s="1"/>
  <c r="CJ210" i="6"/>
  <c r="CJ26" i="6" s="1"/>
  <c r="CJ211" i="6"/>
  <c r="CJ27" i="6" s="1"/>
  <c r="CW199" i="6"/>
  <c r="CW198" i="6"/>
  <c r="AV196" i="6"/>
  <c r="AV190" i="6"/>
  <c r="AV209" i="6"/>
  <c r="AV197" i="6"/>
  <c r="BV180" i="6"/>
  <c r="BV181" i="6"/>
  <c r="BV183" i="6"/>
  <c r="BV182" i="6"/>
  <c r="BK180" i="6"/>
  <c r="AT195" i="6"/>
  <c r="S113" i="6"/>
  <c r="S112" i="6"/>
  <c r="S110" i="6"/>
  <c r="AM115" i="6" l="1"/>
  <c r="AK113" i="6"/>
  <c r="AK112" i="6"/>
  <c r="AM108" i="6"/>
  <c r="AM116" i="6" s="1"/>
  <c r="Q112" i="6"/>
  <c r="CC117" i="6"/>
  <c r="CR113" i="6"/>
  <c r="Q127" i="6"/>
  <c r="Q128" i="6" s="1"/>
  <c r="Q22" i="6" s="1"/>
  <c r="Q113" i="6"/>
  <c r="O113" i="6"/>
  <c r="O110" i="6"/>
  <c r="O114" i="6" s="1"/>
  <c r="BU194" i="6"/>
  <c r="AW110" i="6"/>
  <c r="CN209" i="6"/>
  <c r="BU192" i="6"/>
  <c r="BV194" i="6"/>
  <c r="O195" i="6"/>
  <c r="CN197" i="6"/>
  <c r="BV192" i="6"/>
  <c r="BV197" i="6" s="1"/>
  <c r="O192" i="6"/>
  <c r="L195" i="6"/>
  <c r="AK195" i="6"/>
  <c r="AK194" i="6"/>
  <c r="AK192" i="6"/>
  <c r="CR127" i="6"/>
  <c r="L192" i="6"/>
  <c r="I181" i="6"/>
  <c r="BS210" i="6"/>
  <c r="BS26" i="6" s="1"/>
  <c r="AK182" i="6"/>
  <c r="AK181" i="6"/>
  <c r="AK183" i="6"/>
  <c r="AK180" i="6"/>
  <c r="AQ190" i="6"/>
  <c r="G196" i="6"/>
  <c r="CK200" i="6"/>
  <c r="CH197" i="6"/>
  <c r="AQ209" i="6"/>
  <c r="CZ195" i="6"/>
  <c r="CH209" i="6"/>
  <c r="CH128" i="6"/>
  <c r="CH22" i="6" s="1"/>
  <c r="CH194" i="6"/>
  <c r="CZ194" i="6"/>
  <c r="G190" i="6"/>
  <c r="G198" i="6" s="1"/>
  <c r="CH190" i="6"/>
  <c r="CH195" i="6"/>
  <c r="CG196" i="6"/>
  <c r="CG190" i="6"/>
  <c r="CG209" i="6"/>
  <c r="CG197" i="6"/>
  <c r="O115" i="6"/>
  <c r="CA211" i="6"/>
  <c r="CA27" i="6" s="1"/>
  <c r="Y209" i="6"/>
  <c r="L116" i="6"/>
  <c r="V115" i="6"/>
  <c r="CR112" i="6"/>
  <c r="AZ211" i="6"/>
  <c r="AZ27" i="6" s="1"/>
  <c r="AT192" i="6"/>
  <c r="AT209" i="6" s="1"/>
  <c r="CX194" i="6"/>
  <c r="BC114" i="6"/>
  <c r="Q190" i="6"/>
  <c r="BN190" i="6"/>
  <c r="BN199" i="6" s="1"/>
  <c r="Q209" i="6"/>
  <c r="Q210" i="6" s="1"/>
  <c r="Q26" i="6" s="1"/>
  <c r="CW200" i="6"/>
  <c r="Y196" i="6"/>
  <c r="Y200" i="6" s="1"/>
  <c r="BO182" i="6"/>
  <c r="BO180" i="6"/>
  <c r="BO181" i="6"/>
  <c r="BO183" i="6"/>
  <c r="BO194" i="6"/>
  <c r="BO195" i="6"/>
  <c r="BO192" i="6"/>
  <c r="M196" i="6"/>
  <c r="M197" i="6"/>
  <c r="M190" i="6"/>
  <c r="M209" i="6"/>
  <c r="AR127" i="6"/>
  <c r="AR128" i="6" s="1"/>
  <c r="AR22" i="6" s="1"/>
  <c r="Q196" i="6"/>
  <c r="Q200" i="6" s="1"/>
  <c r="G197" i="6"/>
  <c r="CH117" i="6"/>
  <c r="CB211" i="6"/>
  <c r="CB27" i="6" s="1"/>
  <c r="BC195" i="6"/>
  <c r="BM200" i="6"/>
  <c r="BK183" i="6"/>
  <c r="AH108" i="6"/>
  <c r="AH117" i="6" s="1"/>
  <c r="BK182" i="6"/>
  <c r="CB200" i="6"/>
  <c r="AH127" i="6"/>
  <c r="AP192" i="6"/>
  <c r="AP196" i="6" s="1"/>
  <c r="AP195" i="6"/>
  <c r="CM196" i="6"/>
  <c r="CM200" i="6" s="1"/>
  <c r="AJ181" i="6"/>
  <c r="AX129" i="6"/>
  <c r="AX23" i="6" s="1"/>
  <c r="AC192" i="6"/>
  <c r="AC197" i="6" s="1"/>
  <c r="AW112" i="6"/>
  <c r="CN113" i="6"/>
  <c r="CR115" i="6"/>
  <c r="BJ183" i="6"/>
  <c r="BN197" i="6"/>
  <c r="BN200" i="6" s="1"/>
  <c r="AE108" i="6"/>
  <c r="AE116" i="6" s="1"/>
  <c r="AM200" i="6"/>
  <c r="V128" i="6"/>
  <c r="V22" i="6" s="1"/>
  <c r="CI197" i="6"/>
  <c r="CI200" i="6" s="1"/>
  <c r="AJ182" i="6"/>
  <c r="N197" i="6"/>
  <c r="N200" i="6" s="1"/>
  <c r="AC195" i="6"/>
  <c r="V108" i="6"/>
  <c r="V116" i="6" s="1"/>
  <c r="AX117" i="6"/>
  <c r="CR108" i="6"/>
  <c r="CR117" i="6" s="1"/>
  <c r="BC117" i="6"/>
  <c r="AJ183" i="6"/>
  <c r="CN114" i="6"/>
  <c r="V114" i="6"/>
  <c r="AE195" i="6"/>
  <c r="CJ200" i="6"/>
  <c r="AW98" i="6"/>
  <c r="P196" i="6"/>
  <c r="P190" i="6"/>
  <c r="P197" i="6"/>
  <c r="P209" i="6"/>
  <c r="CN196" i="6"/>
  <c r="CN200" i="6" s="1"/>
  <c r="AE114" i="6"/>
  <c r="BC98" i="6"/>
  <c r="BC100" i="6"/>
  <c r="BC99" i="6"/>
  <c r="BC101" i="6"/>
  <c r="BS198" i="6"/>
  <c r="BS199" i="6"/>
  <c r="CR199" i="6"/>
  <c r="AA196" i="6"/>
  <c r="J127" i="6"/>
  <c r="J128" i="6" s="1"/>
  <c r="J22" i="6" s="1"/>
  <c r="BM115" i="6"/>
  <c r="AW101" i="6"/>
  <c r="P112" i="6"/>
  <c r="I182" i="6"/>
  <c r="BC127" i="6"/>
  <c r="BC115" i="6"/>
  <c r="BT196" i="6"/>
  <c r="AM127" i="6"/>
  <c r="AM129" i="6" s="1"/>
  <c r="AM23" i="6" s="1"/>
  <c r="CK199" i="6"/>
  <c r="CK198" i="6"/>
  <c r="CD112" i="6"/>
  <c r="BJ180" i="6"/>
  <c r="J108" i="6"/>
  <c r="J116" i="6" s="1"/>
  <c r="CT116" i="6"/>
  <c r="BJ181" i="6"/>
  <c r="CW110" i="6"/>
  <c r="CW115" i="6" s="1"/>
  <c r="J115" i="6"/>
  <c r="N209" i="6"/>
  <c r="N211" i="6" s="1"/>
  <c r="N27" i="6" s="1"/>
  <c r="AE127" i="6"/>
  <c r="AE129" i="6" s="1"/>
  <c r="AE23" i="6" s="1"/>
  <c r="CB112" i="6"/>
  <c r="CB110" i="6"/>
  <c r="CB113" i="6"/>
  <c r="BH190" i="6"/>
  <c r="BH199" i="6" s="1"/>
  <c r="CM114" i="6"/>
  <c r="CU196" i="6"/>
  <c r="I183" i="6"/>
  <c r="CB99" i="6"/>
  <c r="CB100" i="6"/>
  <c r="CB101" i="6"/>
  <c r="CB98" i="6"/>
  <c r="AM210" i="6"/>
  <c r="AM26" i="6" s="1"/>
  <c r="AM211" i="6"/>
  <c r="AM27" i="6" s="1"/>
  <c r="F113" i="6"/>
  <c r="AB114" i="6"/>
  <c r="BV108" i="6"/>
  <c r="BV117" i="6" s="1"/>
  <c r="CW113" i="6"/>
  <c r="BH197" i="6"/>
  <c r="AC114" i="6"/>
  <c r="AM198" i="6"/>
  <c r="AM199" i="6"/>
  <c r="BP199" i="6"/>
  <c r="Y110" i="6"/>
  <c r="Y115" i="6" s="1"/>
  <c r="CU190" i="6"/>
  <c r="CU198" i="6" s="1"/>
  <c r="BT209" i="6"/>
  <c r="BT210" i="6" s="1"/>
  <c r="BT26" i="6" s="1"/>
  <c r="Y112" i="6"/>
  <c r="AA197" i="6"/>
  <c r="AA200" i="6" s="1"/>
  <c r="AA209" i="6"/>
  <c r="AA210" i="6" s="1"/>
  <c r="AA26" i="6" s="1"/>
  <c r="BT197" i="6"/>
  <c r="AP194" i="6"/>
  <c r="CR210" i="6"/>
  <c r="CR26" i="6" s="1"/>
  <c r="S99" i="6"/>
  <c r="P114" i="6"/>
  <c r="P127" i="6"/>
  <c r="P129" i="6" s="1"/>
  <c r="P23" i="6" s="1"/>
  <c r="P108" i="6"/>
  <c r="P116" i="6" s="1"/>
  <c r="CM190" i="6"/>
  <c r="CM199" i="6" s="1"/>
  <c r="X209" i="6"/>
  <c r="X211" i="6" s="1"/>
  <c r="X27" i="6" s="1"/>
  <c r="X190" i="6"/>
  <c r="X199" i="6" s="1"/>
  <c r="BH196" i="6"/>
  <c r="AH115" i="6"/>
  <c r="AL112" i="6"/>
  <c r="CD113" i="6"/>
  <c r="CN112" i="6"/>
  <c r="BF194" i="6"/>
  <c r="BF192" i="6"/>
  <c r="BF209" i="6" s="1"/>
  <c r="BF210" i="6" s="1"/>
  <c r="BF26" i="6" s="1"/>
  <c r="BF182" i="6"/>
  <c r="BF180" i="6"/>
  <c r="BF183" i="6"/>
  <c r="BF181" i="6"/>
  <c r="CI190" i="6"/>
  <c r="CI198" i="6" s="1"/>
  <c r="CV114" i="6"/>
  <c r="AG190" i="6"/>
  <c r="AG199" i="6" s="1"/>
  <c r="BW198" i="6"/>
  <c r="CN127" i="6"/>
  <c r="CN128" i="6" s="1"/>
  <c r="CN22" i="6" s="1"/>
  <c r="K112" i="6"/>
  <c r="K113" i="6"/>
  <c r="DA200" i="6"/>
  <c r="CL195" i="6"/>
  <c r="DA211" i="6"/>
  <c r="DA27" i="6" s="1"/>
  <c r="DA210" i="6"/>
  <c r="DA26" i="6" s="1"/>
  <c r="CM209" i="6"/>
  <c r="CM210" i="6" s="1"/>
  <c r="CM26" i="6" s="1"/>
  <c r="BV127" i="6"/>
  <c r="BV128" i="6" s="1"/>
  <c r="BV22" i="6" s="1"/>
  <c r="AG197" i="6"/>
  <c r="AG200" i="6" s="1"/>
  <c r="CN108" i="6"/>
  <c r="CN116" i="6" s="1"/>
  <c r="AN183" i="6"/>
  <c r="DA199" i="6"/>
  <c r="DA198" i="6"/>
  <c r="P113" i="6"/>
  <c r="BV115" i="6"/>
  <c r="AC115" i="6"/>
  <c r="AG209" i="6"/>
  <c r="AG210" i="6" s="1"/>
  <c r="AG26" i="6" s="1"/>
  <c r="BJ194" i="6"/>
  <c r="AZ200" i="6"/>
  <c r="G200" i="6"/>
  <c r="Z190" i="6"/>
  <c r="Z209" i="6"/>
  <c r="Z196" i="6"/>
  <c r="Z197" i="6"/>
  <c r="AH192" i="6"/>
  <c r="AH209" i="6" s="1"/>
  <c r="BH113" i="6"/>
  <c r="BN115" i="6"/>
  <c r="CI209" i="6"/>
  <c r="CI210" i="6" s="1"/>
  <c r="CI26" i="6" s="1"/>
  <c r="H192" i="6"/>
  <c r="H190" i="6" s="1"/>
  <c r="Y198" i="6"/>
  <c r="Y199" i="6"/>
  <c r="H194" i="6"/>
  <c r="BH112" i="6"/>
  <c r="CE128" i="6"/>
  <c r="CE22" i="6" s="1"/>
  <c r="CE30" i="6" s="1"/>
  <c r="BS115" i="6"/>
  <c r="BM127" i="6"/>
  <c r="BM128" i="6" s="1"/>
  <c r="BM22" i="6" s="1"/>
  <c r="AC183" i="6"/>
  <c r="AL110" i="6"/>
  <c r="AL114" i="6" s="1"/>
  <c r="BH127" i="6"/>
  <c r="BH129" i="6" s="1"/>
  <c r="BH23" i="6" s="1"/>
  <c r="AN180" i="6"/>
  <c r="F192" i="6"/>
  <c r="F194" i="6"/>
  <c r="F195" i="6"/>
  <c r="AC181" i="6"/>
  <c r="F182" i="6"/>
  <c r="F183" i="6"/>
  <c r="F180" i="6"/>
  <c r="F181" i="6"/>
  <c r="BB180" i="6"/>
  <c r="BN209" i="6"/>
  <c r="BN210" i="6" s="1"/>
  <c r="BN26" i="6" s="1"/>
  <c r="BM114" i="6"/>
  <c r="BJ192" i="6"/>
  <c r="BJ196" i="6" s="1"/>
  <c r="AC180" i="6"/>
  <c r="AN182" i="6"/>
  <c r="BS108" i="6"/>
  <c r="BS117" i="6" s="1"/>
  <c r="CA199" i="6"/>
  <c r="BZ114" i="6"/>
  <c r="CL192" i="6"/>
  <c r="CL190" i="6" s="1"/>
  <c r="K127" i="6"/>
  <c r="K129" i="6" s="1"/>
  <c r="K23" i="6" s="1"/>
  <c r="Y210" i="6"/>
  <c r="Y26" i="6" s="1"/>
  <c r="Y211" i="6"/>
  <c r="Y27" i="6" s="1"/>
  <c r="AS197" i="6"/>
  <c r="BU113" i="6"/>
  <c r="X197" i="6"/>
  <c r="X200" i="6" s="1"/>
  <c r="AD210" i="6"/>
  <c r="AD26" i="6" s="1"/>
  <c r="CT129" i="6"/>
  <c r="CT23" i="6" s="1"/>
  <c r="AU209" i="6"/>
  <c r="AU211" i="6" s="1"/>
  <c r="AU27" i="6" s="1"/>
  <c r="AS196" i="6"/>
  <c r="AE192" i="6"/>
  <c r="AE190" i="6" s="1"/>
  <c r="CP112" i="6"/>
  <c r="AB127" i="6"/>
  <c r="AK115" i="6"/>
  <c r="BU112" i="6"/>
  <c r="AU196" i="6"/>
  <c r="BW127" i="6"/>
  <c r="BW128" i="6" s="1"/>
  <c r="BW22" i="6" s="1"/>
  <c r="CM108" i="6"/>
  <c r="CM116" i="6" s="1"/>
  <c r="K108" i="6"/>
  <c r="K117" i="6" s="1"/>
  <c r="AC127" i="6"/>
  <c r="AC128" i="6" s="1"/>
  <c r="AC22" i="6" s="1"/>
  <c r="CW211" i="6"/>
  <c r="CW27" i="6" s="1"/>
  <c r="AU197" i="6"/>
  <c r="BW114" i="6"/>
  <c r="I98" i="6"/>
  <c r="CP110" i="6"/>
  <c r="CP115" i="6" s="1"/>
  <c r="K115" i="6"/>
  <c r="AB108" i="6"/>
  <c r="CM127" i="6"/>
  <c r="CM128" i="6" s="1"/>
  <c r="CM22" i="6" s="1"/>
  <c r="AQ129" i="6"/>
  <c r="AQ23" i="6" s="1"/>
  <c r="I99" i="6"/>
  <c r="CV127" i="6"/>
  <c r="CV129" i="6" s="1"/>
  <c r="CV23" i="6" s="1"/>
  <c r="BO116" i="6"/>
  <c r="AV100" i="6"/>
  <c r="AJ110" i="6"/>
  <c r="AJ108" i="6" s="1"/>
  <c r="AJ117" i="6" s="1"/>
  <c r="O127" i="6"/>
  <c r="O128" i="6" s="1"/>
  <c r="O22" i="6" s="1"/>
  <c r="CV108" i="6"/>
  <c r="CV116" i="6" s="1"/>
  <c r="BW108" i="6"/>
  <c r="BW117" i="6" s="1"/>
  <c r="BH108" i="6"/>
  <c r="BH115" i="6"/>
  <c r="O108" i="6"/>
  <c r="O117" i="6" s="1"/>
  <c r="BO129" i="6"/>
  <c r="BO23" i="6" s="1"/>
  <c r="AJ112" i="6"/>
  <c r="P99" i="6"/>
  <c r="AV117" i="6"/>
  <c r="BZ108" i="6"/>
  <c r="BZ116" i="6" s="1"/>
  <c r="S100" i="6"/>
  <c r="BZ127" i="6"/>
  <c r="BZ129" i="6" s="1"/>
  <c r="BZ23" i="6" s="1"/>
  <c r="BD115" i="6"/>
  <c r="AA128" i="6"/>
  <c r="AA22" i="6" s="1"/>
  <c r="CL113" i="6"/>
  <c r="F110" i="6"/>
  <c r="F115" i="6" s="1"/>
  <c r="BK108" i="6"/>
  <c r="BK117" i="6" s="1"/>
  <c r="CQ113" i="6"/>
  <c r="AR116" i="6"/>
  <c r="BT99" i="6"/>
  <c r="CQ112" i="6"/>
  <c r="BK114" i="6"/>
  <c r="BS127" i="6"/>
  <c r="BS129" i="6" s="1"/>
  <c r="BS23" i="6" s="1"/>
  <c r="CL108" i="6"/>
  <c r="CL117" i="6" s="1"/>
  <c r="CL127" i="6"/>
  <c r="CL129" i="6" s="1"/>
  <c r="CL23" i="6" s="1"/>
  <c r="X112" i="6"/>
  <c r="CL115" i="6"/>
  <c r="BK127" i="6"/>
  <c r="BK128" i="6" s="1"/>
  <c r="BK22" i="6" s="1"/>
  <c r="P100" i="6"/>
  <c r="P101" i="6"/>
  <c r="X110" i="6"/>
  <c r="X115" i="6" s="1"/>
  <c r="CL112" i="6"/>
  <c r="BN108" i="6"/>
  <c r="BN116" i="6" s="1"/>
  <c r="Z129" i="6"/>
  <c r="Z23" i="6" s="1"/>
  <c r="BT101" i="6"/>
  <c r="BN114" i="6"/>
  <c r="BT100" i="6"/>
  <c r="AN112" i="6"/>
  <c r="AK127" i="6"/>
  <c r="AK129" i="6" s="1"/>
  <c r="AK23" i="6" s="1"/>
  <c r="CG112" i="6"/>
  <c r="AN110" i="6"/>
  <c r="AN114" i="6" s="1"/>
  <c r="BD114" i="6"/>
  <c r="P115" i="6"/>
  <c r="AQ117" i="6"/>
  <c r="AK114" i="6"/>
  <c r="R110" i="6"/>
  <c r="R108" i="6" s="1"/>
  <c r="I101" i="6"/>
  <c r="AD110" i="6"/>
  <c r="AD114" i="6" s="1"/>
  <c r="CR101" i="6"/>
  <c r="CR98" i="6"/>
  <c r="H98" i="6"/>
  <c r="CR99" i="6"/>
  <c r="CS114" i="6"/>
  <c r="CS127" i="6"/>
  <c r="CS115" i="6"/>
  <c r="CS108" i="6"/>
  <c r="CR100" i="6"/>
  <c r="R112" i="6"/>
  <c r="AU110" i="6"/>
  <c r="AU108" i="6" s="1"/>
  <c r="AU117" i="6" s="1"/>
  <c r="AU113" i="6"/>
  <c r="AV99" i="6"/>
  <c r="AV98" i="6"/>
  <c r="AH194" i="6"/>
  <c r="AS209" i="6"/>
  <c r="AS210" i="6" s="1"/>
  <c r="AS26" i="6" s="1"/>
  <c r="I209" i="6"/>
  <c r="I210" i="6" s="1"/>
  <c r="I26" i="6" s="1"/>
  <c r="I196" i="6"/>
  <c r="I197" i="6"/>
  <c r="CL182" i="6"/>
  <c r="CL181" i="6"/>
  <c r="CL180" i="6"/>
  <c r="CL183" i="6"/>
  <c r="BD192" i="6"/>
  <c r="BD197" i="6" s="1"/>
  <c r="G199" i="6"/>
  <c r="CZ209" i="6"/>
  <c r="CZ190" i="6"/>
  <c r="CZ197" i="6"/>
  <c r="CZ196" i="6"/>
  <c r="CH200" i="6"/>
  <c r="T211" i="6"/>
  <c r="T27" i="6" s="1"/>
  <c r="T210" i="6"/>
  <c r="T26" i="6" s="1"/>
  <c r="R195" i="6"/>
  <c r="CX192" i="6"/>
  <c r="CX196" i="6" s="1"/>
  <c r="CU197" i="6"/>
  <c r="T199" i="6"/>
  <c r="T198" i="6"/>
  <c r="AV200" i="6"/>
  <c r="BB181" i="6"/>
  <c r="BB183" i="6"/>
  <c r="BA200" i="6"/>
  <c r="R192" i="6"/>
  <c r="R190" i="6" s="1"/>
  <c r="CT200" i="6"/>
  <c r="W200" i="6"/>
  <c r="BR192" i="6"/>
  <c r="BR197" i="6" s="1"/>
  <c r="BW211" i="6"/>
  <c r="BW27" i="6" s="1"/>
  <c r="BR194" i="6"/>
  <c r="AN200" i="6"/>
  <c r="AN211" i="6"/>
  <c r="AN27" i="6" s="1"/>
  <c r="AN210" i="6"/>
  <c r="AN26" i="6" s="1"/>
  <c r="AQ200" i="6"/>
  <c r="AN199" i="6"/>
  <c r="AN198" i="6"/>
  <c r="BC192" i="6"/>
  <c r="BC197" i="6" s="1"/>
  <c r="BD194" i="6"/>
  <c r="BI198" i="6"/>
  <c r="BI199" i="6"/>
  <c r="BX209" i="6"/>
  <c r="BX197" i="6"/>
  <c r="BX190" i="6"/>
  <c r="BX196" i="6"/>
  <c r="AQ211" i="6"/>
  <c r="AQ27" i="6" s="1"/>
  <c r="AQ210" i="6"/>
  <c r="AQ26" i="6" s="1"/>
  <c r="AR190" i="6"/>
  <c r="AR209" i="6"/>
  <c r="AR196" i="6"/>
  <c r="AR197" i="6"/>
  <c r="CV200" i="6"/>
  <c r="BI200" i="6"/>
  <c r="AQ199" i="6"/>
  <c r="AQ198" i="6"/>
  <c r="BI211" i="6"/>
  <c r="BI27" i="6" s="1"/>
  <c r="BI210" i="6"/>
  <c r="BI26" i="6" s="1"/>
  <c r="BP115" i="6"/>
  <c r="CX127" i="6"/>
  <c r="CX114" i="6"/>
  <c r="CX115" i="6"/>
  <c r="CX108" i="6"/>
  <c r="AU101" i="6"/>
  <c r="AU100" i="6"/>
  <c r="AU98" i="6"/>
  <c r="AU99" i="6"/>
  <c r="H110" i="6"/>
  <c r="H108" i="6" s="1"/>
  <c r="AP112" i="6"/>
  <c r="AV129" i="6"/>
  <c r="AV23" i="6" s="1"/>
  <c r="H112" i="6"/>
  <c r="CG113" i="6"/>
  <c r="BY110" i="6"/>
  <c r="BY127" i="6" s="1"/>
  <c r="BG114" i="6"/>
  <c r="BG108" i="6"/>
  <c r="BG115" i="6"/>
  <c r="BG127" i="6"/>
  <c r="AK116" i="6"/>
  <c r="AK117" i="6"/>
  <c r="BD108" i="6"/>
  <c r="BD117" i="6" s="1"/>
  <c r="BJ128" i="6"/>
  <c r="BJ22" i="6" s="1"/>
  <c r="BJ129" i="6"/>
  <c r="BJ23" i="6" s="1"/>
  <c r="H99" i="6"/>
  <c r="T110" i="6"/>
  <c r="T114" i="6" s="1"/>
  <c r="AP113" i="6"/>
  <c r="T113" i="6"/>
  <c r="CK110" i="6"/>
  <c r="CK113" i="6"/>
  <c r="CK112" i="6"/>
  <c r="T99" i="6"/>
  <c r="BY112" i="6"/>
  <c r="BJ116" i="6"/>
  <c r="BJ117" i="6"/>
  <c r="H100" i="6"/>
  <c r="DA127" i="6"/>
  <c r="DA129" i="6" s="1"/>
  <c r="DA23" i="6" s="1"/>
  <c r="T98" i="6"/>
  <c r="BP127" i="6"/>
  <c r="BP129" i="6" s="1"/>
  <c r="BP23" i="6" s="1"/>
  <c r="DA115" i="6"/>
  <c r="BP114" i="6"/>
  <c r="DA108" i="6"/>
  <c r="DA117" i="6" s="1"/>
  <c r="CD115" i="6"/>
  <c r="CD114" i="6"/>
  <c r="CD108" i="6"/>
  <c r="CD127" i="6"/>
  <c r="CW100" i="6"/>
  <c r="T100" i="6"/>
  <c r="W108" i="6"/>
  <c r="W114" i="6"/>
  <c r="W127" i="6"/>
  <c r="W115" i="6"/>
  <c r="CW99" i="6"/>
  <c r="AD113" i="6"/>
  <c r="AW127" i="6"/>
  <c r="AW108" i="6"/>
  <c r="AW115" i="6"/>
  <c r="AW114" i="6"/>
  <c r="AF114" i="6"/>
  <c r="AF127" i="6"/>
  <c r="AF115" i="6"/>
  <c r="AF108" i="6"/>
  <c r="CW98" i="6"/>
  <c r="CJ114" i="6"/>
  <c r="CJ127" i="6"/>
  <c r="CJ115" i="6"/>
  <c r="CJ108" i="6"/>
  <c r="AY200" i="6"/>
  <c r="BL190" i="6"/>
  <c r="BL196" i="6"/>
  <c r="BL197" i="6"/>
  <c r="BL209" i="6"/>
  <c r="BG195" i="6"/>
  <c r="BG194" i="6"/>
  <c r="BG192" i="6"/>
  <c r="BB196" i="6"/>
  <c r="BB197" i="6"/>
  <c r="BB190" i="6"/>
  <c r="BB209" i="6"/>
  <c r="AZ117" i="6"/>
  <c r="AZ116" i="6"/>
  <c r="BE190" i="6"/>
  <c r="BE196" i="6"/>
  <c r="BE209" i="6"/>
  <c r="BE197" i="6"/>
  <c r="BA211" i="6"/>
  <c r="BA27" i="6" s="1"/>
  <c r="BA210" i="6"/>
  <c r="BA26" i="6" s="1"/>
  <c r="N129" i="6"/>
  <c r="N23" i="6" s="1"/>
  <c r="N128" i="6"/>
  <c r="N22" i="6" s="1"/>
  <c r="CZ115" i="6"/>
  <c r="CZ114" i="6"/>
  <c r="CZ108" i="6"/>
  <c r="CZ127" i="6"/>
  <c r="AG115" i="6"/>
  <c r="AG108" i="6"/>
  <c r="AG114" i="6"/>
  <c r="AG127" i="6"/>
  <c r="U190" i="6"/>
  <c r="U197" i="6"/>
  <c r="U196" i="6"/>
  <c r="U209" i="6"/>
  <c r="AW200" i="6"/>
  <c r="AH129" i="6"/>
  <c r="AH23" i="6" s="1"/>
  <c r="AH128" i="6"/>
  <c r="AH22" i="6" s="1"/>
  <c r="AJ197" i="6"/>
  <c r="AJ190" i="6"/>
  <c r="AJ196" i="6"/>
  <c r="AJ209" i="6"/>
  <c r="W199" i="6"/>
  <c r="W198" i="6"/>
  <c r="CD200" i="6"/>
  <c r="BU190" i="6"/>
  <c r="BU196" i="6"/>
  <c r="BU209" i="6"/>
  <c r="BU197" i="6"/>
  <c r="CO112" i="6"/>
  <c r="CO113" i="6"/>
  <c r="CO110" i="6"/>
  <c r="BB112" i="6"/>
  <c r="BB113" i="6"/>
  <c r="BB110" i="6"/>
  <c r="BU114" i="6"/>
  <c r="BU115" i="6"/>
  <c r="BU127" i="6"/>
  <c r="BU108" i="6"/>
  <c r="BG180" i="6"/>
  <c r="BG182" i="6"/>
  <c r="BG183" i="6"/>
  <c r="BG181" i="6"/>
  <c r="AZ129" i="6"/>
  <c r="AZ23" i="6" s="1"/>
  <c r="AZ128" i="6"/>
  <c r="AZ22" i="6" s="1"/>
  <c r="K197" i="6"/>
  <c r="K190" i="6"/>
  <c r="K209" i="6"/>
  <c r="K196" i="6"/>
  <c r="BH210" i="6"/>
  <c r="BH26" i="6" s="1"/>
  <c r="BH211" i="6"/>
  <c r="BH27" i="6" s="1"/>
  <c r="BP117" i="6"/>
  <c r="BP116" i="6"/>
  <c r="U128" i="6"/>
  <c r="U22" i="6" s="1"/>
  <c r="U129" i="6"/>
  <c r="U23" i="6" s="1"/>
  <c r="AP197" i="6"/>
  <c r="BA199" i="6"/>
  <c r="BA198" i="6"/>
  <c r="AW198" i="6"/>
  <c r="AW199" i="6"/>
  <c r="CG108" i="6"/>
  <c r="CG127" i="6"/>
  <c r="CG114" i="6"/>
  <c r="CG115" i="6"/>
  <c r="CD211" i="6"/>
  <c r="CD27" i="6" s="1"/>
  <c r="CD210" i="6"/>
  <c r="CD26" i="6" s="1"/>
  <c r="CA115" i="6"/>
  <c r="CA114" i="6"/>
  <c r="CA108" i="6"/>
  <c r="CA127" i="6"/>
  <c r="CY114" i="6"/>
  <c r="CY108" i="6"/>
  <c r="CY115" i="6"/>
  <c r="CY127" i="6"/>
  <c r="CT198" i="6"/>
  <c r="CT199" i="6"/>
  <c r="AS117" i="6"/>
  <c r="AS116" i="6"/>
  <c r="AW210" i="6"/>
  <c r="AW26" i="6" s="1"/>
  <c r="AW211" i="6"/>
  <c r="AW27" i="6" s="1"/>
  <c r="J190" i="6"/>
  <c r="J196" i="6"/>
  <c r="J197" i="6"/>
  <c r="J209" i="6"/>
  <c r="BT114" i="6"/>
  <c r="BT127" i="6"/>
  <c r="BT115" i="6"/>
  <c r="BT108" i="6"/>
  <c r="L197" i="6"/>
  <c r="L196" i="6"/>
  <c r="L190" i="6"/>
  <c r="L209" i="6"/>
  <c r="S192" i="6"/>
  <c r="S195" i="6"/>
  <c r="S194" i="6"/>
  <c r="AI129" i="6"/>
  <c r="AI23" i="6" s="1"/>
  <c r="AI128" i="6"/>
  <c r="AI22" i="6" s="1"/>
  <c r="CF183" i="6"/>
  <c r="CF181" i="6"/>
  <c r="CF182" i="6"/>
  <c r="CF180" i="6"/>
  <c r="S180" i="6"/>
  <c r="S181" i="6"/>
  <c r="S182" i="6"/>
  <c r="S183" i="6"/>
  <c r="CD198" i="6"/>
  <c r="CD199" i="6"/>
  <c r="AA199" i="6"/>
  <c r="AA198" i="6"/>
  <c r="AT98" i="6"/>
  <c r="AT99" i="6"/>
  <c r="AT101" i="6"/>
  <c r="AT100" i="6"/>
  <c r="AL200" i="6"/>
  <c r="U116" i="6"/>
  <c r="U117" i="6"/>
  <c r="AO116" i="6"/>
  <c r="AO117" i="6"/>
  <c r="AX196" i="6"/>
  <c r="AX190" i="6"/>
  <c r="AX209" i="6"/>
  <c r="AX197" i="6"/>
  <c r="CT210" i="6"/>
  <c r="CT26" i="6" s="1"/>
  <c r="CT211" i="6"/>
  <c r="CT27" i="6" s="1"/>
  <c r="CS199" i="6"/>
  <c r="CS198" i="6"/>
  <c r="BD129" i="6"/>
  <c r="BD23" i="6" s="1"/>
  <c r="BD128" i="6"/>
  <c r="BD22" i="6" s="1"/>
  <c r="BQ114" i="6"/>
  <c r="BQ127" i="6"/>
  <c r="BQ115" i="6"/>
  <c r="BQ108" i="6"/>
  <c r="BM117" i="6"/>
  <c r="BM116" i="6"/>
  <c r="I115" i="6"/>
  <c r="I114" i="6"/>
  <c r="I127" i="6"/>
  <c r="I108" i="6"/>
  <c r="G128" i="6"/>
  <c r="G22" i="6" s="1"/>
  <c r="G129" i="6"/>
  <c r="G23" i="6" s="1"/>
  <c r="CQ211" i="6"/>
  <c r="CQ27" i="6" s="1"/>
  <c r="CQ210" i="6"/>
  <c r="CQ26" i="6" s="1"/>
  <c r="CO99" i="6"/>
  <c r="CO100" i="6"/>
  <c r="CO101" i="6"/>
  <c r="CO98" i="6"/>
  <c r="BB100" i="6"/>
  <c r="BB98" i="6"/>
  <c r="BB99" i="6"/>
  <c r="BB101" i="6"/>
  <c r="BY195" i="6"/>
  <c r="BY192" i="6"/>
  <c r="BY194" i="6"/>
  <c r="BT199" i="6"/>
  <c r="BT198" i="6"/>
  <c r="M115" i="6"/>
  <c r="M108" i="6"/>
  <c r="M114" i="6"/>
  <c r="M127" i="6"/>
  <c r="N117" i="6"/>
  <c r="N116" i="6"/>
  <c r="CN211" i="6"/>
  <c r="CN27" i="6" s="1"/>
  <c r="CN210" i="6"/>
  <c r="CN26" i="6" s="1"/>
  <c r="AY113" i="6"/>
  <c r="AY112" i="6"/>
  <c r="AY110" i="6"/>
  <c r="AV199" i="6"/>
  <c r="AV198" i="6"/>
  <c r="BY180" i="6"/>
  <c r="BY181" i="6"/>
  <c r="BY183" i="6"/>
  <c r="BY182" i="6"/>
  <c r="BK192" i="6"/>
  <c r="BK194" i="6"/>
  <c r="BK195" i="6"/>
  <c r="CY181" i="6"/>
  <c r="CY183" i="6"/>
  <c r="CY180" i="6"/>
  <c r="CY182" i="6"/>
  <c r="AC117" i="6"/>
  <c r="AC116" i="6"/>
  <c r="CU115" i="6"/>
  <c r="CU127" i="6"/>
  <c r="CU108" i="6"/>
  <c r="CU114" i="6"/>
  <c r="AS198" i="6"/>
  <c r="AS199" i="6"/>
  <c r="BA117" i="6"/>
  <c r="BA116" i="6"/>
  <c r="CV211" i="6"/>
  <c r="CV27" i="6" s="1"/>
  <c r="CV210" i="6"/>
  <c r="CV26" i="6" s="1"/>
  <c r="AI192" i="6"/>
  <c r="AI195" i="6"/>
  <c r="AI194" i="6"/>
  <c r="AY198" i="6"/>
  <c r="AY199" i="6"/>
  <c r="BV116" i="6"/>
  <c r="AL199" i="6"/>
  <c r="AL198" i="6"/>
  <c r="AO128" i="6"/>
  <c r="AO22" i="6" s="1"/>
  <c r="AO129" i="6"/>
  <c r="AO23" i="6" s="1"/>
  <c r="AI117" i="6"/>
  <c r="AI116" i="6"/>
  <c r="AS128" i="6"/>
  <c r="AS22" i="6" s="1"/>
  <c r="AS129" i="6"/>
  <c r="AS23" i="6" s="1"/>
  <c r="BX117" i="6"/>
  <c r="BX116" i="6"/>
  <c r="CS211" i="6"/>
  <c r="CS27" i="6" s="1"/>
  <c r="CS210" i="6"/>
  <c r="CS26" i="6" s="1"/>
  <c r="AU199" i="6"/>
  <c r="AU198" i="6"/>
  <c r="CC192" i="6"/>
  <c r="CC195" i="6"/>
  <c r="CC194" i="6"/>
  <c r="CN198" i="6"/>
  <c r="CN199" i="6"/>
  <c r="CU210" i="6"/>
  <c r="CU26" i="6" s="1"/>
  <c r="CU211" i="6"/>
  <c r="CU27" i="6" s="1"/>
  <c r="BR113" i="6"/>
  <c r="BR110" i="6"/>
  <c r="BR112" i="6"/>
  <c r="BN128" i="6"/>
  <c r="BN22" i="6" s="1"/>
  <c r="BN129" i="6"/>
  <c r="BN23" i="6" s="1"/>
  <c r="BA129" i="6"/>
  <c r="BA23" i="6" s="1"/>
  <c r="BA128" i="6"/>
  <c r="BA22" i="6" s="1"/>
  <c r="G116" i="6"/>
  <c r="G117" i="6"/>
  <c r="CQ200" i="6"/>
  <c r="V192" i="6"/>
  <c r="V194" i="6"/>
  <c r="V195" i="6"/>
  <c r="AC196" i="6"/>
  <c r="CV198" i="6"/>
  <c r="CV199" i="6"/>
  <c r="CI117" i="6"/>
  <c r="CI116" i="6"/>
  <c r="BL112" i="6"/>
  <c r="BL110" i="6"/>
  <c r="BL113" i="6"/>
  <c r="CU199" i="6"/>
  <c r="N198" i="6"/>
  <c r="N199" i="6"/>
  <c r="CH198" i="6"/>
  <c r="CH199" i="6"/>
  <c r="AP127" i="6"/>
  <c r="AP115" i="6"/>
  <c r="AP114" i="6"/>
  <c r="AP108" i="6"/>
  <c r="AV211" i="6"/>
  <c r="AV27" i="6" s="1"/>
  <c r="AV210" i="6"/>
  <c r="AV26" i="6" s="1"/>
  <c r="CY195" i="6"/>
  <c r="CY192" i="6"/>
  <c r="CY194" i="6"/>
  <c r="CF194" i="6"/>
  <c r="CF195" i="6"/>
  <c r="CF192" i="6"/>
  <c r="CQ115" i="6"/>
  <c r="CQ114" i="6"/>
  <c r="CQ127" i="6"/>
  <c r="CQ108" i="6"/>
  <c r="CH211" i="6"/>
  <c r="CH27" i="6" s="1"/>
  <c r="CH210" i="6"/>
  <c r="CH26" i="6" s="1"/>
  <c r="AT113" i="6"/>
  <c r="AT112" i="6"/>
  <c r="AT110" i="6"/>
  <c r="AL211" i="6"/>
  <c r="AL27" i="6" s="1"/>
  <c r="AL210" i="6"/>
  <c r="AL26" i="6" s="1"/>
  <c r="AT197" i="6"/>
  <c r="AT190" i="6"/>
  <c r="AT196" i="6"/>
  <c r="S115" i="6"/>
  <c r="S108" i="6"/>
  <c r="S114" i="6"/>
  <c r="S127" i="6"/>
  <c r="AI180" i="6"/>
  <c r="AI181" i="6"/>
  <c r="AI183" i="6"/>
  <c r="AI182" i="6"/>
  <c r="CR128" i="6"/>
  <c r="CR22" i="6" s="1"/>
  <c r="CR129" i="6"/>
  <c r="CR23" i="6" s="1"/>
  <c r="AY210" i="6"/>
  <c r="AY26" i="6" s="1"/>
  <c r="AY211" i="6"/>
  <c r="AY27" i="6" s="1"/>
  <c r="BF108" i="6"/>
  <c r="BF127" i="6"/>
  <c r="BF114" i="6"/>
  <c r="BF115" i="6"/>
  <c r="BI108" i="6"/>
  <c r="BI115" i="6"/>
  <c r="BI127" i="6"/>
  <c r="BI114" i="6"/>
  <c r="BN198" i="6"/>
  <c r="CI128" i="6"/>
  <c r="CI22" i="6" s="1"/>
  <c r="CI129" i="6"/>
  <c r="CI23" i="6" s="1"/>
  <c r="BZ196" i="6"/>
  <c r="BZ190" i="6"/>
  <c r="BZ197" i="6"/>
  <c r="BZ209" i="6"/>
  <c r="O197" i="6"/>
  <c r="O190" i="6"/>
  <c r="O196" i="6"/>
  <c r="O209" i="6"/>
  <c r="BX128" i="6"/>
  <c r="BX22" i="6" s="1"/>
  <c r="BX129" i="6"/>
  <c r="BX23" i="6" s="1"/>
  <c r="CS200" i="6"/>
  <c r="CC182" i="6"/>
  <c r="CC180" i="6"/>
  <c r="CC181" i="6"/>
  <c r="CC183" i="6"/>
  <c r="I198" i="6"/>
  <c r="I199" i="6"/>
  <c r="BR99" i="6"/>
  <c r="BR100" i="6"/>
  <c r="BR98" i="6"/>
  <c r="BR101" i="6"/>
  <c r="W210" i="6"/>
  <c r="W26" i="6" s="1"/>
  <c r="W211" i="6"/>
  <c r="W27" i="6" s="1"/>
  <c r="CP196" i="6"/>
  <c r="CP190" i="6"/>
  <c r="CP197" i="6"/>
  <c r="CP209" i="6"/>
  <c r="CQ198" i="6"/>
  <c r="CQ199" i="6"/>
  <c r="V182" i="6"/>
  <c r="V181" i="6"/>
  <c r="V183" i="6"/>
  <c r="V180" i="6"/>
  <c r="AM117" i="6" l="1"/>
  <c r="AH116" i="6"/>
  <c r="AR129" i="6"/>
  <c r="AR23" i="6" s="1"/>
  <c r="Q129" i="6"/>
  <c r="Q23" i="6" s="1"/>
  <c r="BV209" i="6"/>
  <c r="BV190" i="6"/>
  <c r="BV196" i="6"/>
  <c r="AK190" i="6"/>
  <c r="AK197" i="6"/>
  <c r="AK196" i="6"/>
  <c r="AK209" i="6"/>
  <c r="AP190" i="6"/>
  <c r="AP199" i="6" s="1"/>
  <c r="I200" i="6"/>
  <c r="CG198" i="6"/>
  <c r="CG199" i="6"/>
  <c r="Q211" i="6"/>
  <c r="Q27" i="6" s="1"/>
  <c r="Q30" i="6" s="1"/>
  <c r="Q34" i="6" s="1"/>
  <c r="CG210" i="6"/>
  <c r="CG26" i="6" s="1"/>
  <c r="CG211" i="6"/>
  <c r="CG27" i="6" s="1"/>
  <c r="AP209" i="6"/>
  <c r="AP210" i="6" s="1"/>
  <c r="AP26" i="6" s="1"/>
  <c r="CG200" i="6"/>
  <c r="CI199" i="6"/>
  <c r="AE128" i="6"/>
  <c r="AE22" i="6" s="1"/>
  <c r="CM117" i="6"/>
  <c r="BZ128" i="6"/>
  <c r="BZ22" i="6" s="1"/>
  <c r="Q198" i="6"/>
  <c r="Q199" i="6"/>
  <c r="M200" i="6"/>
  <c r="BO196" i="6"/>
  <c r="BO190" i="6"/>
  <c r="BO209" i="6"/>
  <c r="BO197" i="6"/>
  <c r="Z200" i="6"/>
  <c r="P128" i="6"/>
  <c r="P22" i="6" s="1"/>
  <c r="M211" i="6"/>
  <c r="M27" i="6" s="1"/>
  <c r="M210" i="6"/>
  <c r="M26" i="6" s="1"/>
  <c r="M199" i="6"/>
  <c r="M198" i="6"/>
  <c r="CW114" i="6"/>
  <c r="CM211" i="6"/>
  <c r="CM27" i="6" s="1"/>
  <c r="CW127" i="6"/>
  <c r="CW128" i="6" s="1"/>
  <c r="CW22" i="6" s="1"/>
  <c r="AC190" i="6"/>
  <c r="CW108" i="6"/>
  <c r="CW116" i="6" s="1"/>
  <c r="CU200" i="6"/>
  <c r="Y108" i="6"/>
  <c r="Y116" i="6" s="1"/>
  <c r="R196" i="6"/>
  <c r="CN129" i="6"/>
  <c r="CN23" i="6" s="1"/>
  <c r="X210" i="6"/>
  <c r="X26" i="6" s="1"/>
  <c r="CR116" i="6"/>
  <c r="BT200" i="6"/>
  <c r="Y127" i="6"/>
  <c r="Y129" i="6" s="1"/>
  <c r="Y23" i="6" s="1"/>
  <c r="N210" i="6"/>
  <c r="N26" i="6" s="1"/>
  <c r="N30" i="6" s="1"/>
  <c r="N34" i="6" s="1"/>
  <c r="Y114" i="6"/>
  <c r="AH196" i="6"/>
  <c r="K116" i="6"/>
  <c r="BV129" i="6"/>
  <c r="BV23" i="6" s="1"/>
  <c r="BF197" i="6"/>
  <c r="X198" i="6"/>
  <c r="AH190" i="6"/>
  <c r="AH198" i="6" s="1"/>
  <c r="AC209" i="6"/>
  <c r="AC211" i="6" s="1"/>
  <c r="AC27" i="6" s="1"/>
  <c r="V117" i="6"/>
  <c r="AE117" i="6"/>
  <c r="X114" i="6"/>
  <c r="AG211" i="6"/>
  <c r="AG27" i="6" s="1"/>
  <c r="CB115" i="6"/>
  <c r="CB127" i="6"/>
  <c r="CB114" i="6"/>
  <c r="CB108" i="6"/>
  <c r="BC129" i="6"/>
  <c r="BC23" i="6" s="1"/>
  <c r="BC128" i="6"/>
  <c r="BC22" i="6" s="1"/>
  <c r="P210" i="6"/>
  <c r="P26" i="6" s="1"/>
  <c r="P211" i="6"/>
  <c r="P27" i="6" s="1"/>
  <c r="CM198" i="6"/>
  <c r="J129" i="6"/>
  <c r="J23" i="6" s="1"/>
  <c r="AE196" i="6"/>
  <c r="AA211" i="6"/>
  <c r="AA27" i="6" s="1"/>
  <c r="AA30" i="6" s="1"/>
  <c r="AA34" i="6" s="1"/>
  <c r="BH198" i="6"/>
  <c r="AL115" i="6"/>
  <c r="P200" i="6"/>
  <c r="J117" i="6"/>
  <c r="BH200" i="6"/>
  <c r="P199" i="6"/>
  <c r="P198" i="6"/>
  <c r="P117" i="6"/>
  <c r="AM128" i="6"/>
  <c r="AM22" i="6" s="1"/>
  <c r="AM30" i="6" s="1"/>
  <c r="AM34" i="6" s="1"/>
  <c r="BN117" i="6"/>
  <c r="BK116" i="6"/>
  <c r="CV117" i="6"/>
  <c r="BS116" i="6"/>
  <c r="BN211" i="6"/>
  <c r="BN27" i="6" s="1"/>
  <c r="BN30" i="6" s="1"/>
  <c r="BN34" i="6" s="1"/>
  <c r="CM129" i="6"/>
  <c r="CM23" i="6" s="1"/>
  <c r="CL197" i="6"/>
  <c r="CL116" i="6"/>
  <c r="AC129" i="6"/>
  <c r="AC23" i="6" s="1"/>
  <c r="BT211" i="6"/>
  <c r="BT27" i="6" s="1"/>
  <c r="CN117" i="6"/>
  <c r="F108" i="6"/>
  <c r="F116" i="6" s="1"/>
  <c r="AU200" i="6"/>
  <c r="BF196" i="6"/>
  <c r="BF190" i="6"/>
  <c r="K128" i="6"/>
  <c r="K22" i="6" s="1"/>
  <c r="BH128" i="6"/>
  <c r="BH22" i="6" s="1"/>
  <c r="BH30" i="6" s="1"/>
  <c r="BH34" i="6" s="1"/>
  <c r="Z199" i="6"/>
  <c r="Z198" i="6"/>
  <c r="AH197" i="6"/>
  <c r="AG198" i="6"/>
  <c r="AE197" i="6"/>
  <c r="AE200" i="6" s="1"/>
  <c r="Z211" i="6"/>
  <c r="Z27" i="6" s="1"/>
  <c r="Z210" i="6"/>
  <c r="Z26" i="6" s="1"/>
  <c r="AE209" i="6"/>
  <c r="AE210" i="6" s="1"/>
  <c r="AE26" i="6" s="1"/>
  <c r="BD209" i="6"/>
  <c r="BD210" i="6" s="1"/>
  <c r="BD26" i="6" s="1"/>
  <c r="CL209" i="6"/>
  <c r="CL211" i="6" s="1"/>
  <c r="CL27" i="6" s="1"/>
  <c r="CI211" i="6"/>
  <c r="CI27" i="6" s="1"/>
  <c r="CI30" i="6" s="1"/>
  <c r="H197" i="6"/>
  <c r="BZ117" i="6"/>
  <c r="CX190" i="6"/>
  <c r="CX198" i="6" s="1"/>
  <c r="H196" i="6"/>
  <c r="BD190" i="6"/>
  <c r="BD199" i="6" s="1"/>
  <c r="AL108" i="6"/>
  <c r="AL116" i="6" s="1"/>
  <c r="BJ190" i="6"/>
  <c r="BJ198" i="6" s="1"/>
  <c r="BJ209" i="6"/>
  <c r="BJ210" i="6" s="1"/>
  <c r="BJ26" i="6" s="1"/>
  <c r="CL196" i="6"/>
  <c r="H209" i="6"/>
  <c r="H210" i="6" s="1"/>
  <c r="H26" i="6" s="1"/>
  <c r="BJ197" i="6"/>
  <c r="BJ200" i="6" s="1"/>
  <c r="BM129" i="6"/>
  <c r="BM23" i="6" s="1"/>
  <c r="BM30" i="6" s="1"/>
  <c r="AL127" i="6"/>
  <c r="AL129" i="6" s="1"/>
  <c r="AL23" i="6" s="1"/>
  <c r="F190" i="6"/>
  <c r="F209" i="6"/>
  <c r="F196" i="6"/>
  <c r="F197" i="6"/>
  <c r="CP108" i="6"/>
  <c r="CP116" i="6" s="1"/>
  <c r="BD196" i="6"/>
  <c r="BD200" i="6" s="1"/>
  <c r="AN108" i="6"/>
  <c r="AN116" i="6" s="1"/>
  <c r="AU210" i="6"/>
  <c r="AU26" i="6" s="1"/>
  <c r="O116" i="6"/>
  <c r="I211" i="6"/>
  <c r="I27" i="6" s="1"/>
  <c r="BW129" i="6"/>
  <c r="BW23" i="6" s="1"/>
  <c r="BW30" i="6" s="1"/>
  <c r="BW34" i="6" s="1"/>
  <c r="BF211" i="6"/>
  <c r="BF27" i="6" s="1"/>
  <c r="CV128" i="6"/>
  <c r="CV22" i="6" s="1"/>
  <c r="CV30" i="6" s="1"/>
  <c r="CL128" i="6"/>
  <c r="CL22" i="6" s="1"/>
  <c r="BC209" i="6"/>
  <c r="BC211" i="6" s="1"/>
  <c r="BC27" i="6" s="1"/>
  <c r="F114" i="6"/>
  <c r="AD127" i="6"/>
  <c r="AD129" i="6" s="1"/>
  <c r="AD23" i="6" s="1"/>
  <c r="AS211" i="6"/>
  <c r="AS27" i="6" s="1"/>
  <c r="AS30" i="6" s="1"/>
  <c r="BC190" i="6"/>
  <c r="BC198" i="6" s="1"/>
  <c r="AB129" i="6"/>
  <c r="AB23" i="6" s="1"/>
  <c r="AB128" i="6"/>
  <c r="AB22" i="6" s="1"/>
  <c r="AD115" i="6"/>
  <c r="BC196" i="6"/>
  <c r="BC200" i="6" s="1"/>
  <c r="CP127" i="6"/>
  <c r="CP128" i="6" s="1"/>
  <c r="CP22" i="6" s="1"/>
  <c r="AB117" i="6"/>
  <c r="AB116" i="6"/>
  <c r="CP114" i="6"/>
  <c r="AS200" i="6"/>
  <c r="BH117" i="6"/>
  <c r="BH116" i="6"/>
  <c r="BS128" i="6"/>
  <c r="BS22" i="6" s="1"/>
  <c r="BS30" i="6" s="1"/>
  <c r="BS34" i="6" s="1"/>
  <c r="AJ114" i="6"/>
  <c r="X127" i="6"/>
  <c r="X128" i="6" s="1"/>
  <c r="X22" i="6" s="1"/>
  <c r="AJ115" i="6"/>
  <c r="X108" i="6"/>
  <c r="X116" i="6" s="1"/>
  <c r="O129" i="6"/>
  <c r="O23" i="6" s="1"/>
  <c r="AN115" i="6"/>
  <c r="AJ116" i="6"/>
  <c r="BW116" i="6"/>
  <c r="BK129" i="6"/>
  <c r="BK23" i="6" s="1"/>
  <c r="AJ127" i="6"/>
  <c r="AN127" i="6"/>
  <c r="AN129" i="6" s="1"/>
  <c r="AN23" i="6" s="1"/>
  <c r="AD108" i="6"/>
  <c r="AD116" i="6" s="1"/>
  <c r="F127" i="6"/>
  <c r="H115" i="6"/>
  <c r="AU115" i="6"/>
  <c r="DA116" i="6"/>
  <c r="R127" i="6"/>
  <c r="R128" i="6" s="1"/>
  <c r="R22" i="6" s="1"/>
  <c r="R115" i="6"/>
  <c r="AK128" i="6"/>
  <c r="AK22" i="6" s="1"/>
  <c r="R114" i="6"/>
  <c r="H114" i="6"/>
  <c r="BD116" i="6"/>
  <c r="H127" i="6"/>
  <c r="H128" i="6" s="1"/>
  <c r="H22" i="6" s="1"/>
  <c r="T115" i="6"/>
  <c r="CS128" i="6"/>
  <c r="CS22" i="6" s="1"/>
  <c r="CS129" i="6"/>
  <c r="CS23" i="6" s="1"/>
  <c r="T108" i="6"/>
  <c r="T117" i="6" s="1"/>
  <c r="AU127" i="6"/>
  <c r="AU114" i="6"/>
  <c r="CS116" i="6"/>
  <c r="CS117" i="6"/>
  <c r="T127" i="6"/>
  <c r="T128" i="6" s="1"/>
  <c r="T22" i="6" s="1"/>
  <c r="CZ200" i="6"/>
  <c r="CZ199" i="6"/>
  <c r="CZ198" i="6"/>
  <c r="CZ210" i="6"/>
  <c r="CZ26" i="6" s="1"/>
  <c r="CZ211" i="6"/>
  <c r="CZ27" i="6" s="1"/>
  <c r="R209" i="6"/>
  <c r="R210" i="6" s="1"/>
  <c r="R26" i="6" s="1"/>
  <c r="R197" i="6"/>
  <c r="CX209" i="6"/>
  <c r="CX211" i="6" s="1"/>
  <c r="CX27" i="6" s="1"/>
  <c r="CX197" i="6"/>
  <c r="CX200" i="6" s="1"/>
  <c r="BR196" i="6"/>
  <c r="BR200" i="6" s="1"/>
  <c r="AR200" i="6"/>
  <c r="BR209" i="6"/>
  <c r="BR210" i="6" s="1"/>
  <c r="BR26" i="6" s="1"/>
  <c r="AT200" i="6"/>
  <c r="BR190" i="6"/>
  <c r="BR199" i="6" s="1"/>
  <c r="CH30" i="6"/>
  <c r="CH34" i="6" s="1"/>
  <c r="J200" i="6"/>
  <c r="AQ30" i="6"/>
  <c r="AQ34" i="6" s="1"/>
  <c r="CT30" i="6"/>
  <c r="CT34" i="6" s="1"/>
  <c r="BX199" i="6"/>
  <c r="BX198" i="6"/>
  <c r="CP200" i="6"/>
  <c r="BZ200" i="6"/>
  <c r="AR211" i="6"/>
  <c r="AR27" i="6" s="1"/>
  <c r="AR210" i="6"/>
  <c r="AR26" i="6" s="1"/>
  <c r="BX200" i="6"/>
  <c r="AR198" i="6"/>
  <c r="AR199" i="6"/>
  <c r="BX210" i="6"/>
  <c r="BX26" i="6" s="1"/>
  <c r="BX211" i="6"/>
  <c r="BX27" i="6" s="1"/>
  <c r="AC200" i="6"/>
  <c r="AX200" i="6"/>
  <c r="BE200" i="6"/>
  <c r="BL200" i="6"/>
  <c r="AV30" i="6"/>
  <c r="AV34" i="6" s="1"/>
  <c r="BU200" i="6"/>
  <c r="BY129" i="6"/>
  <c r="BY23" i="6" s="1"/>
  <c r="BY128" i="6"/>
  <c r="BY22" i="6" s="1"/>
  <c r="CX116" i="6"/>
  <c r="CX117" i="6"/>
  <c r="CX129" i="6"/>
  <c r="CX23" i="6" s="1"/>
  <c r="CX128" i="6"/>
  <c r="CX22" i="6" s="1"/>
  <c r="BG117" i="6"/>
  <c r="BG116" i="6"/>
  <c r="DA128" i="6"/>
  <c r="DA22" i="6" s="1"/>
  <c r="DA30" i="6" s="1"/>
  <c r="BY114" i="6"/>
  <c r="BY115" i="6"/>
  <c r="BG128" i="6"/>
  <c r="BG22" i="6" s="1"/>
  <c r="BG129" i="6"/>
  <c r="BG23" i="6" s="1"/>
  <c r="BY108" i="6"/>
  <c r="AU116" i="6"/>
  <c r="CK114" i="6"/>
  <c r="CK115" i="6"/>
  <c r="CK108" i="6"/>
  <c r="CK127" i="6"/>
  <c r="BP128" i="6"/>
  <c r="BP22" i="6" s="1"/>
  <c r="BP30" i="6" s="1"/>
  <c r="BP34" i="6" s="1"/>
  <c r="CD129" i="6"/>
  <c r="CD23" i="6" s="1"/>
  <c r="CD128" i="6"/>
  <c r="CD22" i="6" s="1"/>
  <c r="CD117" i="6"/>
  <c r="CD116" i="6"/>
  <c r="W116" i="6"/>
  <c r="W117" i="6"/>
  <c r="W129" i="6"/>
  <c r="W23" i="6" s="1"/>
  <c r="W128" i="6"/>
  <c r="W22" i="6" s="1"/>
  <c r="AF116" i="6"/>
  <c r="AF117" i="6"/>
  <c r="CN30" i="6"/>
  <c r="CN34" i="6" s="1"/>
  <c r="AF129" i="6"/>
  <c r="AF23" i="6" s="1"/>
  <c r="AF128" i="6"/>
  <c r="AF22" i="6" s="1"/>
  <c r="AW116" i="6"/>
  <c r="AW117" i="6"/>
  <c r="AW129" i="6"/>
  <c r="AW23" i="6" s="1"/>
  <c r="AW128" i="6"/>
  <c r="AW22" i="6" s="1"/>
  <c r="BA30" i="6"/>
  <c r="BA34" i="6" s="1"/>
  <c r="I129" i="6"/>
  <c r="I23" i="6" s="1"/>
  <c r="I128" i="6"/>
  <c r="I22" i="6" s="1"/>
  <c r="BJ211" i="6"/>
  <c r="BJ27" i="6" s="1"/>
  <c r="S128" i="6"/>
  <c r="S22" i="6" s="1"/>
  <c r="S129" i="6"/>
  <c r="S23" i="6" s="1"/>
  <c r="V209" i="6"/>
  <c r="V196" i="6"/>
  <c r="V190" i="6"/>
  <c r="V197" i="6"/>
  <c r="CU129" i="6"/>
  <c r="CU23" i="6" s="1"/>
  <c r="CU128" i="6"/>
  <c r="CU22" i="6" s="1"/>
  <c r="BQ128" i="6"/>
  <c r="BQ22" i="6" s="1"/>
  <c r="BQ129" i="6"/>
  <c r="BQ23" i="6" s="1"/>
  <c r="S196" i="6"/>
  <c r="S197" i="6"/>
  <c r="S190" i="6"/>
  <c r="S209" i="6"/>
  <c r="CA116" i="6"/>
  <c r="CA117" i="6"/>
  <c r="BU117" i="6"/>
  <c r="BU116" i="6"/>
  <c r="CZ116" i="6"/>
  <c r="CZ117" i="6"/>
  <c r="BG197" i="6"/>
  <c r="BG196" i="6"/>
  <c r="BG190" i="6"/>
  <c r="BG209" i="6"/>
  <c r="CP199" i="6"/>
  <c r="CP198" i="6"/>
  <c r="BZ199" i="6"/>
  <c r="BZ198" i="6"/>
  <c r="BI117" i="6"/>
  <c r="BI116" i="6"/>
  <c r="AP117" i="6"/>
  <c r="AP116" i="6"/>
  <c r="BR108" i="6"/>
  <c r="BR115" i="6"/>
  <c r="BR114" i="6"/>
  <c r="BR127" i="6"/>
  <c r="AI197" i="6"/>
  <c r="AI190" i="6"/>
  <c r="AI196" i="6"/>
  <c r="AI209" i="6"/>
  <c r="AY114" i="6"/>
  <c r="AY115" i="6"/>
  <c r="AY108" i="6"/>
  <c r="AY127" i="6"/>
  <c r="H198" i="6"/>
  <c r="H199" i="6"/>
  <c r="G30" i="6"/>
  <c r="L211" i="6"/>
  <c r="L27" i="6" s="1"/>
  <c r="L210" i="6"/>
  <c r="L26" i="6" s="1"/>
  <c r="BT117" i="6"/>
  <c r="BT116" i="6"/>
  <c r="CW129" i="6"/>
  <c r="CW23" i="6" s="1"/>
  <c r="BU128" i="6"/>
  <c r="BU22" i="6" s="1"/>
  <c r="BU129" i="6"/>
  <c r="BU23" i="6" s="1"/>
  <c r="U200" i="6"/>
  <c r="CP211" i="6"/>
  <c r="CP27" i="6" s="1"/>
  <c r="CP210" i="6"/>
  <c r="CP26" i="6" s="1"/>
  <c r="CU116" i="6"/>
  <c r="CU117" i="6"/>
  <c r="CY116" i="6"/>
  <c r="CY117" i="6"/>
  <c r="CZ128" i="6"/>
  <c r="CZ22" i="6" s="1"/>
  <c r="CZ129" i="6"/>
  <c r="CZ23" i="6" s="1"/>
  <c r="S116" i="6"/>
  <c r="S117" i="6"/>
  <c r="AH210" i="6"/>
  <c r="AH26" i="6" s="1"/>
  <c r="AH211" i="6"/>
  <c r="AH27" i="6" s="1"/>
  <c r="H117" i="6"/>
  <c r="H116" i="6"/>
  <c r="L198" i="6"/>
  <c r="L199" i="6"/>
  <c r="O210" i="6"/>
  <c r="O26" i="6" s="1"/>
  <c r="O211" i="6"/>
  <c r="O27" i="6" s="1"/>
  <c r="CQ128" i="6"/>
  <c r="CQ22" i="6" s="1"/>
  <c r="CQ129" i="6"/>
  <c r="CQ23" i="6" s="1"/>
  <c r="CC196" i="6"/>
  <c r="CC209" i="6"/>
  <c r="CC190" i="6"/>
  <c r="CC197" i="6"/>
  <c r="BV211" i="6"/>
  <c r="BV27" i="6" s="1"/>
  <c r="BV210" i="6"/>
  <c r="BV26" i="6" s="1"/>
  <c r="AX211" i="6"/>
  <c r="AX27" i="6" s="1"/>
  <c r="AX210" i="6"/>
  <c r="AX26" i="6" s="1"/>
  <c r="BU210" i="6"/>
  <c r="BU26" i="6" s="1"/>
  <c r="BU211" i="6"/>
  <c r="BU27" i="6" s="1"/>
  <c r="BL211" i="6"/>
  <c r="BL27" i="6" s="1"/>
  <c r="BL210" i="6"/>
  <c r="BL26" i="6" s="1"/>
  <c r="BV199" i="6"/>
  <c r="BV198" i="6"/>
  <c r="M128" i="6"/>
  <c r="M22" i="6" s="1"/>
  <c r="M129" i="6"/>
  <c r="M23" i="6" s="1"/>
  <c r="AE198" i="6"/>
  <c r="AE199" i="6"/>
  <c r="AX199" i="6"/>
  <c r="AX198" i="6"/>
  <c r="L200" i="6"/>
  <c r="CG129" i="6"/>
  <c r="CG23" i="6" s="1"/>
  <c r="CG128" i="6"/>
  <c r="CG22" i="6" s="1"/>
  <c r="K199" i="6"/>
  <c r="K198" i="6"/>
  <c r="BB108" i="6"/>
  <c r="BB115" i="6"/>
  <c r="BB127" i="6"/>
  <c r="BB114" i="6"/>
  <c r="BB211" i="6"/>
  <c r="BB27" i="6" s="1"/>
  <c r="BB210" i="6"/>
  <c r="BB26" i="6" s="1"/>
  <c r="CJ116" i="6"/>
  <c r="CJ117" i="6"/>
  <c r="BI129" i="6"/>
  <c r="BI23" i="6" s="1"/>
  <c r="BI128" i="6"/>
  <c r="BI22" i="6" s="1"/>
  <c r="CA128" i="6"/>
  <c r="CA22" i="6" s="1"/>
  <c r="CA129" i="6"/>
  <c r="CA23" i="6" s="1"/>
  <c r="CQ116" i="6"/>
  <c r="CQ117" i="6"/>
  <c r="U199" i="6"/>
  <c r="U198" i="6"/>
  <c r="CR30" i="6"/>
  <c r="AJ210" i="6"/>
  <c r="AJ26" i="6" s="1"/>
  <c r="AJ211" i="6"/>
  <c r="AJ27" i="6" s="1"/>
  <c r="AG128" i="6"/>
  <c r="AG22" i="6" s="1"/>
  <c r="AG129" i="6"/>
  <c r="AG23" i="6" s="1"/>
  <c r="BF129" i="6"/>
  <c r="BF23" i="6" s="1"/>
  <c r="BF128" i="6"/>
  <c r="BF22" i="6" s="1"/>
  <c r="CE34" i="6"/>
  <c r="BF117" i="6"/>
  <c r="BF116" i="6"/>
  <c r="AT198" i="6"/>
  <c r="AT199" i="6"/>
  <c r="CL198" i="6"/>
  <c r="CL199" i="6"/>
  <c r="CY128" i="6"/>
  <c r="CY22" i="6" s="1"/>
  <c r="CY129" i="6"/>
  <c r="CY23" i="6" s="1"/>
  <c r="CG117" i="6"/>
  <c r="CG116" i="6"/>
  <c r="AP200" i="6"/>
  <c r="K200" i="6"/>
  <c r="BU198" i="6"/>
  <c r="BU199" i="6"/>
  <c r="AJ199" i="6"/>
  <c r="AJ198" i="6"/>
  <c r="AG117" i="6"/>
  <c r="AG116" i="6"/>
  <c r="BE211" i="6"/>
  <c r="BE27" i="6" s="1"/>
  <c r="BE210" i="6"/>
  <c r="BE26" i="6" s="1"/>
  <c r="BB199" i="6"/>
  <c r="BB198" i="6"/>
  <c r="BZ211" i="6"/>
  <c r="BZ27" i="6" s="1"/>
  <c r="BZ210" i="6"/>
  <c r="BZ26" i="6" s="1"/>
  <c r="AT108" i="6"/>
  <c r="AT114" i="6"/>
  <c r="AT127" i="6"/>
  <c r="AT115" i="6"/>
  <c r="J210" i="6"/>
  <c r="J26" i="6" s="1"/>
  <c r="J211" i="6"/>
  <c r="J27" i="6" s="1"/>
  <c r="CO115" i="6"/>
  <c r="CO114" i="6"/>
  <c r="CO108" i="6"/>
  <c r="CO127" i="6"/>
  <c r="U210" i="6"/>
  <c r="U26" i="6" s="1"/>
  <c r="U211" i="6"/>
  <c r="U27" i="6" s="1"/>
  <c r="BE199" i="6"/>
  <c r="BE198" i="6"/>
  <c r="CY190" i="6"/>
  <c r="CY209" i="6"/>
  <c r="CY196" i="6"/>
  <c r="CY197" i="6"/>
  <c r="J198" i="6"/>
  <c r="J199" i="6"/>
  <c r="BY196" i="6"/>
  <c r="BY190" i="6"/>
  <c r="BY197" i="6"/>
  <c r="BY209" i="6"/>
  <c r="BT129" i="6"/>
  <c r="BT23" i="6" s="1"/>
  <c r="BT128" i="6"/>
  <c r="BT22" i="6" s="1"/>
  <c r="K210" i="6"/>
  <c r="K26" i="6" s="1"/>
  <c r="K211" i="6"/>
  <c r="K27" i="6" s="1"/>
  <c r="AP129" i="6"/>
  <c r="AP23" i="6" s="1"/>
  <c r="AP128" i="6"/>
  <c r="AP22" i="6" s="1"/>
  <c r="AC198" i="6"/>
  <c r="AC199" i="6"/>
  <c r="O198" i="6"/>
  <c r="O199" i="6"/>
  <c r="R198" i="6"/>
  <c r="R199" i="6"/>
  <c r="R116" i="6"/>
  <c r="R117" i="6"/>
  <c r="O200" i="6"/>
  <c r="AT210" i="6"/>
  <c r="AT26" i="6" s="1"/>
  <c r="AT211" i="6"/>
  <c r="AT27" i="6" s="1"/>
  <c r="CF190" i="6"/>
  <c r="CF197" i="6"/>
  <c r="CF196" i="6"/>
  <c r="CF209" i="6"/>
  <c r="BL115" i="6"/>
  <c r="BL114" i="6"/>
  <c r="BL108" i="6"/>
  <c r="BL127" i="6"/>
  <c r="AO30" i="6"/>
  <c r="BV200" i="6"/>
  <c r="BK190" i="6"/>
  <c r="BK209" i="6"/>
  <c r="BK197" i="6"/>
  <c r="BK196" i="6"/>
  <c r="M117" i="6"/>
  <c r="M116" i="6"/>
  <c r="I117" i="6"/>
  <c r="I116" i="6"/>
  <c r="BQ116" i="6"/>
  <c r="BQ117" i="6"/>
  <c r="AP198" i="6"/>
  <c r="AZ30" i="6"/>
  <c r="AJ200" i="6"/>
  <c r="BB200" i="6"/>
  <c r="BL198" i="6"/>
  <c r="BL199" i="6"/>
  <c r="CJ128" i="6"/>
  <c r="CJ22" i="6" s="1"/>
  <c r="CJ129" i="6"/>
  <c r="CJ23" i="6" s="1"/>
  <c r="AK211" i="6" l="1"/>
  <c r="AK27" i="6" s="1"/>
  <c r="AK210" i="6"/>
  <c r="AK26" i="6" s="1"/>
  <c r="AK30" i="6" s="1"/>
  <c r="AK34" i="6" s="1"/>
  <c r="Y117" i="6"/>
  <c r="AK200" i="6"/>
  <c r="AK198" i="6"/>
  <c r="AK199" i="6"/>
  <c r="AH199" i="6"/>
  <c r="CW117" i="6"/>
  <c r="AP211" i="6"/>
  <c r="AP27" i="6" s="1"/>
  <c r="Y128" i="6"/>
  <c r="Y22" i="6" s="1"/>
  <c r="AD128" i="6"/>
  <c r="AD22" i="6" s="1"/>
  <c r="AD30" i="6" s="1"/>
  <c r="AC210" i="6"/>
  <c r="AC26" i="6" s="1"/>
  <c r="AC30" i="6" s="1"/>
  <c r="AC34" i="6" s="1"/>
  <c r="R200" i="6"/>
  <c r="CM30" i="6"/>
  <c r="CM34" i="6" s="1"/>
  <c r="AH200" i="6"/>
  <c r="BO200" i="6"/>
  <c r="BO210" i="6"/>
  <c r="BO26" i="6" s="1"/>
  <c r="BO211" i="6"/>
  <c r="BO27" i="6" s="1"/>
  <c r="BO199" i="6"/>
  <c r="BO198" i="6"/>
  <c r="T116" i="6"/>
  <c r="H211" i="6"/>
  <c r="H27" i="6" s="1"/>
  <c r="F117" i="6"/>
  <c r="P30" i="6"/>
  <c r="P34" i="6" s="1"/>
  <c r="AN128" i="6"/>
  <c r="AN22" i="6" s="1"/>
  <c r="AN30" i="6" s="1"/>
  <c r="H200" i="6"/>
  <c r="CL210" i="6"/>
  <c r="CL26" i="6" s="1"/>
  <c r="CL30" i="6" s="1"/>
  <c r="CL34" i="6" s="1"/>
  <c r="BF200" i="6"/>
  <c r="AB30" i="6"/>
  <c r="AB34" i="6" s="1"/>
  <c r="CL200" i="6"/>
  <c r="CB116" i="6"/>
  <c r="CB117" i="6"/>
  <c r="BJ199" i="6"/>
  <c r="CB129" i="6"/>
  <c r="CB23" i="6" s="1"/>
  <c r="CB128" i="6"/>
  <c r="CB22" i="6" s="1"/>
  <c r="Z30" i="6"/>
  <c r="Z34" i="6" s="1"/>
  <c r="F200" i="6"/>
  <c r="BD211" i="6"/>
  <c r="BD27" i="6" s="1"/>
  <c r="BD30" i="6" s="1"/>
  <c r="BD34" i="6" s="1"/>
  <c r="AL117" i="6"/>
  <c r="BF198" i="6"/>
  <c r="BF199" i="6"/>
  <c r="AE211" i="6"/>
  <c r="AE27" i="6" s="1"/>
  <c r="AE30" i="6" s="1"/>
  <c r="AN117" i="6"/>
  <c r="BY200" i="6"/>
  <c r="R211" i="6"/>
  <c r="R27" i="6" s="1"/>
  <c r="F198" i="6"/>
  <c r="F199" i="6"/>
  <c r="AL128" i="6"/>
  <c r="AL22" i="6" s="1"/>
  <c r="AL30" i="6" s="1"/>
  <c r="AL34" i="6" s="1"/>
  <c r="BD198" i="6"/>
  <c r="CX199" i="6"/>
  <c r="CP117" i="6"/>
  <c r="F211" i="6"/>
  <c r="F27" i="6" s="1"/>
  <c r="F210" i="6"/>
  <c r="F26" i="6" s="1"/>
  <c r="X117" i="6"/>
  <c r="H129" i="6"/>
  <c r="H23" i="6" s="1"/>
  <c r="CP129" i="6"/>
  <c r="CP23" i="6" s="1"/>
  <c r="CP30" i="6" s="1"/>
  <c r="CP34" i="6" s="1"/>
  <c r="BC199" i="6"/>
  <c r="BR198" i="6"/>
  <c r="AD117" i="6"/>
  <c r="BC210" i="6"/>
  <c r="BC26" i="6" s="1"/>
  <c r="BC30" i="6" s="1"/>
  <c r="BC34" i="6" s="1"/>
  <c r="F129" i="6"/>
  <c r="F23" i="6" s="1"/>
  <c r="F128" i="6"/>
  <c r="F22" i="6" s="1"/>
  <c r="X129" i="6"/>
  <c r="X23" i="6" s="1"/>
  <c r="X30" i="6" s="1"/>
  <c r="R129" i="6"/>
  <c r="R23" i="6" s="1"/>
  <c r="O30" i="6"/>
  <c r="O34" i="6" s="1"/>
  <c r="CS30" i="6"/>
  <c r="CS34" i="6" s="1"/>
  <c r="AJ129" i="6"/>
  <c r="AJ23" i="6" s="1"/>
  <c r="AJ128" i="6"/>
  <c r="AJ22" i="6" s="1"/>
  <c r="T129" i="6"/>
  <c r="T23" i="6" s="1"/>
  <c r="T30" i="6" s="1"/>
  <c r="T34" i="6" s="1"/>
  <c r="AW30" i="6"/>
  <c r="AW34" i="6" s="1"/>
  <c r="AU128" i="6"/>
  <c r="AU22" i="6" s="1"/>
  <c r="AU129" i="6"/>
  <c r="AU23" i="6" s="1"/>
  <c r="AF30" i="6"/>
  <c r="AF34" i="6" s="1"/>
  <c r="AH30" i="6"/>
  <c r="AH34" i="6" s="1"/>
  <c r="CX210" i="6"/>
  <c r="CX26" i="6" s="1"/>
  <c r="CX30" i="6" s="1"/>
  <c r="BE30" i="6"/>
  <c r="BE34" i="6" s="1"/>
  <c r="BV30" i="6"/>
  <c r="BV34" i="6" s="1"/>
  <c r="CF200" i="6"/>
  <c r="BR211" i="6"/>
  <c r="BR27" i="6" s="1"/>
  <c r="J30" i="6"/>
  <c r="J34" i="6" s="1"/>
  <c r="S200" i="6"/>
  <c r="BZ30" i="6"/>
  <c r="BZ34" i="6" s="1"/>
  <c r="AR30" i="6"/>
  <c r="AR34" i="6" s="1"/>
  <c r="BX30" i="6"/>
  <c r="BX34" i="6" s="1"/>
  <c r="BJ30" i="6"/>
  <c r="BJ34" i="6" s="1"/>
  <c r="U30" i="6"/>
  <c r="U34" i="6" s="1"/>
  <c r="AI200" i="6"/>
  <c r="CY200" i="6"/>
  <c r="AX30" i="6"/>
  <c r="AX34" i="6" s="1"/>
  <c r="K30" i="6"/>
  <c r="K34" i="6" s="1"/>
  <c r="BK200" i="6"/>
  <c r="CC200" i="6"/>
  <c r="V200" i="6"/>
  <c r="BT30" i="6"/>
  <c r="BT34" i="6" s="1"/>
  <c r="Y30" i="6"/>
  <c r="Y34" i="6" s="1"/>
  <c r="BY117" i="6"/>
  <c r="BY116" i="6"/>
  <c r="CK128" i="6"/>
  <c r="CK22" i="6" s="1"/>
  <c r="CK129" i="6"/>
  <c r="CK23" i="6" s="1"/>
  <c r="CK116" i="6"/>
  <c r="CK117" i="6"/>
  <c r="CD30" i="6"/>
  <c r="CD34" i="6" s="1"/>
  <c r="W30" i="6"/>
  <c r="W34" i="6" s="1"/>
  <c r="CW30" i="6"/>
  <c r="CW34" i="6" s="1"/>
  <c r="CU30" i="6"/>
  <c r="CU34" i="6" s="1"/>
  <c r="BF30" i="6"/>
  <c r="BF34" i="6" s="1"/>
  <c r="CA30" i="6"/>
  <c r="CA34" i="6" s="1"/>
  <c r="M30" i="6"/>
  <c r="M34" i="6" s="1"/>
  <c r="I30" i="6"/>
  <c r="I34" i="6" s="1"/>
  <c r="AG30" i="6"/>
  <c r="BQ30" i="6"/>
  <c r="AP30" i="6"/>
  <c r="CO128" i="6"/>
  <c r="CO22" i="6" s="1"/>
  <c r="CO129" i="6"/>
  <c r="CO23" i="6" s="1"/>
  <c r="CG30" i="6"/>
  <c r="CI34" i="6"/>
  <c r="CV34" i="6"/>
  <c r="AY116" i="6"/>
  <c r="AY117" i="6"/>
  <c r="BG200" i="6"/>
  <c r="V210" i="6"/>
  <c r="V26" i="6" s="1"/>
  <c r="V211" i="6"/>
  <c r="V27" i="6" s="1"/>
  <c r="BY198" i="6"/>
  <c r="BY199" i="6"/>
  <c r="CC211" i="6"/>
  <c r="CC27" i="6" s="1"/>
  <c r="CC210" i="6"/>
  <c r="CC26" i="6" s="1"/>
  <c r="CF211" i="6"/>
  <c r="CF27" i="6" s="1"/>
  <c r="CF210" i="6"/>
  <c r="CF26" i="6" s="1"/>
  <c r="BB128" i="6"/>
  <c r="BB22" i="6" s="1"/>
  <c r="BB129" i="6"/>
  <c r="BB23" i="6" s="1"/>
  <c r="BM34" i="6"/>
  <c r="S210" i="6"/>
  <c r="S26" i="6" s="1"/>
  <c r="S211" i="6"/>
  <c r="S27" i="6" s="1"/>
  <c r="CY211" i="6"/>
  <c r="CY27" i="6" s="1"/>
  <c r="CY210" i="6"/>
  <c r="CY26" i="6" s="1"/>
  <c r="AT129" i="6"/>
  <c r="AT23" i="6" s="1"/>
  <c r="AT128" i="6"/>
  <c r="AT22" i="6" s="1"/>
  <c r="BI30" i="6"/>
  <c r="CQ30" i="6"/>
  <c r="BR117" i="6"/>
  <c r="BR116" i="6"/>
  <c r="S199" i="6"/>
  <c r="S198" i="6"/>
  <c r="BL129" i="6"/>
  <c r="BL23" i="6" s="1"/>
  <c r="BL128" i="6"/>
  <c r="BL22" i="6" s="1"/>
  <c r="AY129" i="6"/>
  <c r="AY23" i="6" s="1"/>
  <c r="AY128" i="6"/>
  <c r="AY22" i="6" s="1"/>
  <c r="CY198" i="6"/>
  <c r="CY199" i="6"/>
  <c r="CR34" i="6"/>
  <c r="BB117" i="6"/>
  <c r="BB116" i="6"/>
  <c r="AI210" i="6"/>
  <c r="AI26" i="6" s="1"/>
  <c r="AI211" i="6"/>
  <c r="AI27" i="6" s="1"/>
  <c r="BY210" i="6"/>
  <c r="BY26" i="6" s="1"/>
  <c r="BY211" i="6"/>
  <c r="BY27" i="6" s="1"/>
  <c r="BU30" i="6"/>
  <c r="AI198" i="6"/>
  <c r="AI199" i="6"/>
  <c r="BG211" i="6"/>
  <c r="BG27" i="6" s="1"/>
  <c r="BG210" i="6"/>
  <c r="BG26" i="6" s="1"/>
  <c r="DA34" i="6"/>
  <c r="BK211" i="6"/>
  <c r="BK27" i="6" s="1"/>
  <c r="BK210" i="6"/>
  <c r="BK26" i="6" s="1"/>
  <c r="BL116" i="6"/>
  <c r="BL117" i="6"/>
  <c r="CC198" i="6"/>
  <c r="CC199" i="6"/>
  <c r="BG199" i="6"/>
  <c r="BG198" i="6"/>
  <c r="V198" i="6"/>
  <c r="V199" i="6"/>
  <c r="BK198" i="6"/>
  <c r="BK199" i="6"/>
  <c r="BR129" i="6"/>
  <c r="BR23" i="6" s="1"/>
  <c r="BR128" i="6"/>
  <c r="BR22" i="6" s="1"/>
  <c r="AZ34" i="6"/>
  <c r="CO117" i="6"/>
  <c r="CO116" i="6"/>
  <c r="CJ30" i="6"/>
  <c r="AO34" i="6"/>
  <c r="CF198" i="6"/>
  <c r="CF199" i="6"/>
  <c r="AT117" i="6"/>
  <c r="AT116" i="6"/>
  <c r="AS34" i="6"/>
  <c r="CZ30" i="6"/>
  <c r="L30" i="6"/>
  <c r="G34" i="6"/>
  <c r="BO30" i="6" l="1"/>
  <c r="BO34" i="6" s="1"/>
  <c r="H30" i="6"/>
  <c r="CB30" i="6"/>
  <c r="CB34" i="6" s="1"/>
  <c r="CY30" i="6"/>
  <c r="CY34" i="6" s="1"/>
  <c r="R30" i="6"/>
  <c r="R34" i="6" s="1"/>
  <c r="AJ30" i="6"/>
  <c r="AJ34" i="6" s="1"/>
  <c r="AU30" i="6"/>
  <c r="AU34" i="6" s="1"/>
  <c r="BK30" i="6"/>
  <c r="BK34" i="6" s="1"/>
  <c r="CF30" i="6"/>
  <c r="CF34" i="6" s="1"/>
  <c r="S30" i="6"/>
  <c r="S34" i="6" s="1"/>
  <c r="DG5" i="6" a="1"/>
  <c r="DG6" i="6" s="1"/>
  <c r="BY30" i="6"/>
  <c r="BY34" i="6" s="1"/>
  <c r="CK30" i="6"/>
  <c r="CK34" i="6" s="1"/>
  <c r="BB30" i="6"/>
  <c r="BB34" i="6" s="1"/>
  <c r="BR30" i="6"/>
  <c r="BR34" i="6" s="1"/>
  <c r="AY30" i="6"/>
  <c r="AY34" i="6" s="1"/>
  <c r="AT30" i="6"/>
  <c r="AT34" i="6" s="1"/>
  <c r="CO30" i="6"/>
  <c r="CO34" i="6" s="1"/>
  <c r="CG34" i="6"/>
  <c r="CJ34" i="6"/>
  <c r="CX34" i="6"/>
  <c r="BG30" i="6"/>
  <c r="CC30" i="6"/>
  <c r="AP34" i="6"/>
  <c r="BL30" i="6"/>
  <c r="H34" i="6"/>
  <c r="AD34" i="6"/>
  <c r="V30" i="6"/>
  <c r="BQ34" i="6"/>
  <c r="AN34" i="6"/>
  <c r="AI30" i="6"/>
  <c r="X34" i="6"/>
  <c r="L34" i="6"/>
  <c r="BU34" i="6"/>
  <c r="CQ34" i="6"/>
  <c r="AG34" i="6"/>
  <c r="AE34" i="6"/>
  <c r="CZ34" i="6"/>
  <c r="BI34" i="6"/>
  <c r="DD5" i="6" a="1"/>
  <c r="G32" i="6" l="1"/>
  <c r="G35" i="6" s="1"/>
  <c r="E4" i="7" s="1"/>
  <c r="DG85" i="6"/>
  <c r="DI46" i="6"/>
  <c r="DH51" i="6"/>
  <c r="DH41" i="6"/>
  <c r="DG67" i="6"/>
  <c r="DI18" i="6"/>
  <c r="DI9" i="6"/>
  <c r="DH46" i="6"/>
  <c r="DH74" i="6"/>
  <c r="DG81" i="6"/>
  <c r="DG46" i="6"/>
  <c r="DH71" i="6"/>
  <c r="DI67" i="6"/>
  <c r="DI20" i="6"/>
  <c r="DG64" i="6"/>
  <c r="DI88" i="6"/>
  <c r="DH18" i="6"/>
  <c r="DG44" i="6"/>
  <c r="DH49" i="6"/>
  <c r="DH50" i="6"/>
  <c r="DI89" i="6"/>
  <c r="DI70" i="6"/>
  <c r="DI26" i="6"/>
  <c r="DG42" i="6"/>
  <c r="DI56" i="6"/>
  <c r="DG38" i="6"/>
  <c r="DH7" i="6"/>
  <c r="DI34" i="6"/>
  <c r="DI51" i="6"/>
  <c r="DH24" i="6"/>
  <c r="DI30" i="6"/>
  <c r="DG33" i="6"/>
  <c r="DI81" i="6"/>
  <c r="DI43" i="6"/>
  <c r="DG101" i="6"/>
  <c r="DI38" i="6"/>
  <c r="DI21" i="6"/>
  <c r="DI5" i="6"/>
  <c r="DH10" i="6"/>
  <c r="DI32" i="6"/>
  <c r="DH56" i="6"/>
  <c r="DG50" i="6"/>
  <c r="DI87" i="6"/>
  <c r="DG28" i="6"/>
  <c r="DG18" i="6"/>
  <c r="DH103" i="6"/>
  <c r="DH16" i="6"/>
  <c r="DI49" i="6"/>
  <c r="DG19" i="6"/>
  <c r="DG12" i="6"/>
  <c r="DI33" i="6"/>
  <c r="DH31" i="6"/>
  <c r="DI69" i="6"/>
  <c r="DH83" i="6"/>
  <c r="DG69" i="6"/>
  <c r="DH68" i="6"/>
  <c r="DI82" i="6"/>
  <c r="DG86" i="6"/>
  <c r="DI95" i="6"/>
  <c r="DI96" i="6"/>
  <c r="DI6" i="6"/>
  <c r="DI15" i="6"/>
  <c r="DH30" i="6"/>
  <c r="DG87" i="6"/>
  <c r="DH62" i="6"/>
  <c r="DI41" i="6"/>
  <c r="DG29" i="6"/>
  <c r="DH98" i="6"/>
  <c r="DH40" i="6"/>
  <c r="DI91" i="6"/>
  <c r="DI63" i="6"/>
  <c r="DG22" i="6"/>
  <c r="DH85" i="6"/>
  <c r="DH43" i="6"/>
  <c r="DG36" i="6"/>
  <c r="DI78" i="6"/>
  <c r="DH52" i="6"/>
  <c r="DI77" i="6"/>
  <c r="DG52" i="6"/>
  <c r="DH96" i="6"/>
  <c r="DG60" i="6"/>
  <c r="DH64" i="6"/>
  <c r="DH15" i="6"/>
  <c r="DG63" i="6"/>
  <c r="DH75" i="6"/>
  <c r="DI85" i="6"/>
  <c r="DI74" i="6"/>
  <c r="DI86" i="6"/>
  <c r="DG40" i="6"/>
  <c r="DG96" i="6"/>
  <c r="DI42" i="6"/>
  <c r="DI7" i="6"/>
  <c r="DI75" i="6"/>
  <c r="DI8" i="6"/>
  <c r="DG102" i="6"/>
  <c r="DI48" i="6"/>
  <c r="DG8" i="6"/>
  <c r="DH26" i="6"/>
  <c r="DH92" i="6"/>
  <c r="DH72" i="6"/>
  <c r="DH66" i="6"/>
  <c r="DG39" i="6"/>
  <c r="DI12" i="6"/>
  <c r="DG27" i="6"/>
  <c r="DG72" i="6"/>
  <c r="DI13" i="6"/>
  <c r="DI59" i="6"/>
  <c r="DH70" i="6"/>
  <c r="DH36" i="6"/>
  <c r="DH88" i="6"/>
  <c r="DH76" i="6"/>
  <c r="DI99" i="6"/>
  <c r="DG11" i="6"/>
  <c r="DH87" i="6"/>
  <c r="DG54" i="6"/>
  <c r="DH34" i="6"/>
  <c r="DH69" i="6"/>
  <c r="DI68" i="6"/>
  <c r="DI23" i="6"/>
  <c r="DI83" i="6"/>
  <c r="DI29" i="6"/>
  <c r="DH42" i="6"/>
  <c r="DG45" i="6"/>
  <c r="DG51" i="6"/>
  <c r="DH73" i="6"/>
  <c r="DH21" i="6"/>
  <c r="DH101" i="6"/>
  <c r="DI103" i="6"/>
  <c r="DG70" i="6"/>
  <c r="DG43" i="6"/>
  <c r="DH97" i="6"/>
  <c r="DH80" i="6"/>
  <c r="DG59" i="6"/>
  <c r="DG77" i="6"/>
  <c r="DG24" i="6"/>
  <c r="DH65" i="6"/>
  <c r="DG23" i="6"/>
  <c r="DH14" i="6"/>
  <c r="DH78" i="6"/>
  <c r="DI98" i="6"/>
  <c r="DG75" i="6"/>
  <c r="DH63" i="6"/>
  <c r="DI50" i="6"/>
  <c r="DH6" i="6"/>
  <c r="DH19" i="6"/>
  <c r="DI76" i="6"/>
  <c r="DI72" i="6"/>
  <c r="DI55" i="6"/>
  <c r="DH53" i="6"/>
  <c r="DG94" i="6"/>
  <c r="DG68" i="6"/>
  <c r="DH48" i="6"/>
  <c r="DH95" i="6"/>
  <c r="DI36" i="6"/>
  <c r="DG97" i="6"/>
  <c r="DH57" i="6"/>
  <c r="DI53" i="6"/>
  <c r="DH45" i="6"/>
  <c r="DH22" i="6"/>
  <c r="DI45" i="6"/>
  <c r="DG65" i="6"/>
  <c r="DH90" i="6"/>
  <c r="DI61" i="6"/>
  <c r="DI58" i="6"/>
  <c r="DI19" i="6"/>
  <c r="DI24" i="6"/>
  <c r="DI92" i="6"/>
  <c r="DG74" i="6"/>
  <c r="DH17" i="6"/>
  <c r="DG49" i="6"/>
  <c r="DG41" i="6"/>
  <c r="DI73" i="6"/>
  <c r="DG73" i="6"/>
  <c r="DG16" i="6"/>
  <c r="DG66" i="6"/>
  <c r="DH89" i="6"/>
  <c r="DH60" i="6"/>
  <c r="DH23" i="6"/>
  <c r="DI31" i="6"/>
  <c r="DI47" i="6"/>
  <c r="DG10" i="6"/>
  <c r="DG37" i="6"/>
  <c r="DI101" i="6"/>
  <c r="DG34" i="6"/>
  <c r="DI54" i="6"/>
  <c r="DH20" i="6"/>
  <c r="DG56" i="6"/>
  <c r="DI44" i="6"/>
  <c r="DH32" i="6"/>
  <c r="DH29" i="6"/>
  <c r="DI80" i="6"/>
  <c r="DH27" i="6"/>
  <c r="DG99" i="6"/>
  <c r="DH100" i="6"/>
  <c r="DG100" i="6"/>
  <c r="DH102" i="6"/>
  <c r="DH86" i="6"/>
  <c r="DG80" i="6"/>
  <c r="DG89" i="6"/>
  <c r="DH94" i="6"/>
  <c r="DI102" i="6"/>
  <c r="DI35" i="6"/>
  <c r="DH54" i="6"/>
  <c r="DH67" i="6"/>
  <c r="DI28" i="6"/>
  <c r="DG83" i="6"/>
  <c r="DH44" i="6"/>
  <c r="DH81" i="6"/>
  <c r="DH13" i="6"/>
  <c r="DI93" i="6"/>
  <c r="DH38" i="6"/>
  <c r="DH8" i="6"/>
  <c r="DG5" i="6"/>
  <c r="DI62" i="6"/>
  <c r="DI97" i="6"/>
  <c r="DI22" i="6"/>
  <c r="DH84" i="6"/>
  <c r="DG31" i="6"/>
  <c r="DG32" i="6"/>
  <c r="DH25" i="6"/>
  <c r="DG82" i="6"/>
  <c r="DH39" i="6"/>
  <c r="DH47" i="6"/>
  <c r="DG55" i="6"/>
  <c r="DG61" i="6"/>
  <c r="DH35" i="6"/>
  <c r="DI27" i="6"/>
  <c r="DG21" i="6"/>
  <c r="DG48" i="6"/>
  <c r="DG7" i="6"/>
  <c r="DG25" i="6"/>
  <c r="DG26" i="6"/>
  <c r="DH77" i="6"/>
  <c r="DG98" i="6"/>
  <c r="DG58" i="6"/>
  <c r="DI14" i="6"/>
  <c r="DG88" i="6"/>
  <c r="DI16" i="6"/>
  <c r="DG14" i="6"/>
  <c r="DH12" i="6"/>
  <c r="DI40" i="6"/>
  <c r="DH58" i="6"/>
  <c r="DG84" i="6"/>
  <c r="DG15" i="6"/>
  <c r="DG20" i="6"/>
  <c r="DH33" i="6"/>
  <c r="DG93" i="6"/>
  <c r="DG90" i="6"/>
  <c r="DI71" i="6"/>
  <c r="DG17" i="6"/>
  <c r="DI60" i="6"/>
  <c r="DI64" i="6"/>
  <c r="DI94" i="6"/>
  <c r="DH9" i="6"/>
  <c r="DG35" i="6"/>
  <c r="DG92" i="6"/>
  <c r="DH11" i="6"/>
  <c r="DH93" i="6"/>
  <c r="DI66" i="6"/>
  <c r="DG30" i="6"/>
  <c r="DI90" i="6"/>
  <c r="DG103" i="6"/>
  <c r="DI57" i="6"/>
  <c r="DI84" i="6"/>
  <c r="DI11" i="6"/>
  <c r="DH91" i="6"/>
  <c r="DG91" i="6"/>
  <c r="DG13" i="6"/>
  <c r="DI79" i="6"/>
  <c r="DH37" i="6"/>
  <c r="DG79" i="6"/>
  <c r="DG47" i="6"/>
  <c r="DI17" i="6"/>
  <c r="DH61" i="6"/>
  <c r="DH55" i="6"/>
  <c r="DH5" i="6"/>
  <c r="DI37" i="6"/>
  <c r="DG78" i="6"/>
  <c r="DH82" i="6"/>
  <c r="DG71" i="6"/>
  <c r="DH59" i="6"/>
  <c r="DH28" i="6"/>
  <c r="DI25" i="6"/>
  <c r="DH99" i="6"/>
  <c r="DG9" i="6"/>
  <c r="DI100" i="6"/>
  <c r="DG76" i="6"/>
  <c r="DI65" i="6"/>
  <c r="DI10" i="6"/>
  <c r="DG57" i="6"/>
  <c r="DG53" i="6"/>
  <c r="DI39" i="6"/>
  <c r="DI52" i="6"/>
  <c r="DH79" i="6"/>
  <c r="DG62" i="6"/>
  <c r="DG95" i="6"/>
  <c r="DJ5" i="6" a="1"/>
  <c r="DJ42" i="6" s="1"/>
  <c r="DK42" i="6" s="1"/>
  <c r="CC34" i="6"/>
  <c r="BG34" i="6"/>
  <c r="DE9" i="6"/>
  <c r="DE62" i="6"/>
  <c r="DD30" i="6"/>
  <c r="DF51" i="6"/>
  <c r="DF42" i="6"/>
  <c r="DF65" i="6"/>
  <c r="DE23" i="6"/>
  <c r="DD44" i="6"/>
  <c r="DE100" i="6"/>
  <c r="DF13" i="6"/>
  <c r="DE41" i="6"/>
  <c r="DF79" i="6"/>
  <c r="DF88" i="6"/>
  <c r="DE19" i="6"/>
  <c r="DE73" i="6"/>
  <c r="DF6" i="6"/>
  <c r="DD94" i="6"/>
  <c r="DF85" i="6"/>
  <c r="DD88" i="6"/>
  <c r="DF70" i="6"/>
  <c r="DD60" i="6"/>
  <c r="DD74" i="6"/>
  <c r="DD57" i="6"/>
  <c r="DD15" i="6"/>
  <c r="DF34" i="6"/>
  <c r="DF95" i="6"/>
  <c r="DF19" i="6"/>
  <c r="DD9" i="6"/>
  <c r="DF84" i="6"/>
  <c r="DF81" i="6"/>
  <c r="DD83" i="6"/>
  <c r="DF58" i="6"/>
  <c r="DD18" i="6"/>
  <c r="DF93" i="6"/>
  <c r="DD59" i="6"/>
  <c r="DF7" i="6"/>
  <c r="DF27" i="6"/>
  <c r="DE68" i="6"/>
  <c r="DF56" i="6"/>
  <c r="DF69" i="6"/>
  <c r="DE40" i="6"/>
  <c r="DE98" i="6"/>
  <c r="DF77" i="6"/>
  <c r="DE65" i="6"/>
  <c r="DF48" i="6"/>
  <c r="DE36" i="6"/>
  <c r="DD36" i="6"/>
  <c r="DE85" i="6"/>
  <c r="DD82" i="6"/>
  <c r="DD68" i="6"/>
  <c r="DD103" i="6"/>
  <c r="DD19" i="6"/>
  <c r="DE22" i="6"/>
  <c r="DD54" i="6"/>
  <c r="DE42" i="6"/>
  <c r="DE43" i="6"/>
  <c r="DF54" i="6"/>
  <c r="DE66" i="6"/>
  <c r="DF55" i="6"/>
  <c r="DE63" i="6"/>
  <c r="DE54" i="6"/>
  <c r="DD52" i="6"/>
  <c r="DF72" i="6"/>
  <c r="DE39" i="6"/>
  <c r="DF50" i="6"/>
  <c r="DE29" i="6"/>
  <c r="DF83" i="6"/>
  <c r="DD65" i="6"/>
  <c r="DE97" i="6"/>
  <c r="DD22" i="6"/>
  <c r="DE93" i="6"/>
  <c r="DD12" i="6"/>
  <c r="DD71" i="6"/>
  <c r="DF82" i="6"/>
  <c r="DF10" i="6"/>
  <c r="DD5" i="6"/>
  <c r="DD47" i="6"/>
  <c r="DF53" i="6"/>
  <c r="DF25" i="6"/>
  <c r="DD38" i="6"/>
  <c r="DF100" i="6"/>
  <c r="DF75" i="6"/>
  <c r="DF62" i="6"/>
  <c r="DE83" i="6"/>
  <c r="DF94" i="6"/>
  <c r="DD28" i="6"/>
  <c r="DD17" i="6"/>
  <c r="DE17" i="6"/>
  <c r="DE32" i="6"/>
  <c r="DD69" i="6"/>
  <c r="DF97" i="6"/>
  <c r="DE101" i="6"/>
  <c r="DF68" i="6"/>
  <c r="DD102" i="6"/>
  <c r="DE71" i="6"/>
  <c r="DD48" i="6"/>
  <c r="DE49" i="6"/>
  <c r="DF38" i="6"/>
  <c r="DF47" i="6"/>
  <c r="DF49" i="6"/>
  <c r="DF80" i="6"/>
  <c r="DF103" i="6"/>
  <c r="DF14" i="6"/>
  <c r="DE78" i="6"/>
  <c r="DF35" i="6"/>
  <c r="DE92" i="6"/>
  <c r="DD49" i="6"/>
  <c r="DD80" i="6"/>
  <c r="DE26" i="6"/>
  <c r="DF37" i="6"/>
  <c r="DF20" i="6"/>
  <c r="DD43" i="6"/>
  <c r="DF36" i="6"/>
  <c r="DE14" i="6"/>
  <c r="DD35" i="6"/>
  <c r="DE57" i="6"/>
  <c r="DD34" i="6"/>
  <c r="DD92" i="6"/>
  <c r="DD81" i="6"/>
  <c r="DE81" i="6"/>
  <c r="DF73" i="6"/>
  <c r="DE90" i="6"/>
  <c r="DF23" i="6"/>
  <c r="DE45" i="6"/>
  <c r="DD13" i="6"/>
  <c r="DD25" i="6"/>
  <c r="DD79" i="6"/>
  <c r="DE31" i="6"/>
  <c r="DE27" i="6"/>
  <c r="DD10" i="6"/>
  <c r="DD72" i="6"/>
  <c r="DF59" i="6"/>
  <c r="DE28" i="6"/>
  <c r="DF26" i="6"/>
  <c r="DE5" i="6"/>
  <c r="DD33" i="6"/>
  <c r="DD101" i="6"/>
  <c r="DE86" i="6"/>
  <c r="DE64" i="6"/>
  <c r="DE47" i="6"/>
  <c r="DE18" i="6"/>
  <c r="DF39" i="6"/>
  <c r="DD61" i="6"/>
  <c r="DE52" i="6"/>
  <c r="DD93" i="6"/>
  <c r="DD7" i="6"/>
  <c r="DE60" i="6"/>
  <c r="DD37" i="6"/>
  <c r="DE74" i="6"/>
  <c r="DF17" i="6"/>
  <c r="DF86" i="6"/>
  <c r="DE56" i="6"/>
  <c r="DD58" i="6"/>
  <c r="DF31" i="6"/>
  <c r="DE75" i="6"/>
  <c r="DF64" i="6"/>
  <c r="DD56" i="6"/>
  <c r="DE21" i="6"/>
  <c r="DE50" i="6"/>
  <c r="DD62" i="6"/>
  <c r="DE34" i="6"/>
  <c r="DE82" i="6"/>
  <c r="DD23" i="6"/>
  <c r="DE51" i="6"/>
  <c r="DE99" i="6"/>
  <c r="DF61" i="6"/>
  <c r="DD29" i="6"/>
  <c r="DE25" i="6"/>
  <c r="DF89" i="6"/>
  <c r="DD84" i="6"/>
  <c r="DE72" i="6"/>
  <c r="DF8" i="6"/>
  <c r="DF98" i="6"/>
  <c r="DD55" i="6"/>
  <c r="DF33" i="6"/>
  <c r="DD6" i="6"/>
  <c r="DE55" i="6"/>
  <c r="DD14" i="6"/>
  <c r="DF67" i="6"/>
  <c r="DF40" i="6"/>
  <c r="DE94" i="6"/>
  <c r="DF60" i="6"/>
  <c r="DD73" i="6"/>
  <c r="DF32" i="6"/>
  <c r="DD78" i="6"/>
  <c r="DE16" i="6"/>
  <c r="DF101" i="6"/>
  <c r="DD99" i="6"/>
  <c r="DE76" i="6"/>
  <c r="DE35" i="6"/>
  <c r="DF90" i="6"/>
  <c r="DD89" i="6"/>
  <c r="DE77" i="6"/>
  <c r="DF52" i="6"/>
  <c r="DD97" i="6"/>
  <c r="DF24" i="6"/>
  <c r="DF21" i="6"/>
  <c r="DF57" i="6"/>
  <c r="DE79" i="6"/>
  <c r="DE24" i="6"/>
  <c r="DD40" i="6"/>
  <c r="DF78" i="6"/>
  <c r="DF5" i="6"/>
  <c r="DE11" i="6"/>
  <c r="DD26" i="6"/>
  <c r="DE61" i="6"/>
  <c r="DD20" i="6"/>
  <c r="DE6" i="6"/>
  <c r="DD41" i="6"/>
  <c r="DE30" i="6"/>
  <c r="DF9" i="6"/>
  <c r="DD64" i="6"/>
  <c r="DF71" i="6"/>
  <c r="DD95" i="6"/>
  <c r="DE70" i="6"/>
  <c r="DF41" i="6"/>
  <c r="DD46" i="6"/>
  <c r="DD67" i="6"/>
  <c r="DE8" i="6"/>
  <c r="DE80" i="6"/>
  <c r="DD85" i="6"/>
  <c r="DF76" i="6"/>
  <c r="DE69" i="6"/>
  <c r="DD50" i="6"/>
  <c r="DF18" i="6"/>
  <c r="DD51" i="6"/>
  <c r="DF16" i="6"/>
  <c r="DF91" i="6"/>
  <c r="DE53" i="6"/>
  <c r="DD75" i="6"/>
  <c r="DD100" i="6"/>
  <c r="DF92" i="6"/>
  <c r="DD90" i="6"/>
  <c r="DE20" i="6"/>
  <c r="DF66" i="6"/>
  <c r="DE58" i="6"/>
  <c r="DF43" i="6"/>
  <c r="DD76" i="6"/>
  <c r="DD87" i="6"/>
  <c r="DD45" i="6"/>
  <c r="DD27" i="6"/>
  <c r="DF96" i="6"/>
  <c r="DD98" i="6"/>
  <c r="DE7" i="6"/>
  <c r="DF87" i="6"/>
  <c r="DF28" i="6"/>
  <c r="DD66" i="6"/>
  <c r="DE88" i="6"/>
  <c r="DE38" i="6"/>
  <c r="DE96" i="6"/>
  <c r="DE44" i="6"/>
  <c r="DE59" i="6"/>
  <c r="DF44" i="6"/>
  <c r="DD31" i="6"/>
  <c r="DF63" i="6"/>
  <c r="DE12" i="6"/>
  <c r="DF11" i="6"/>
  <c r="DD32" i="6"/>
  <c r="DE10" i="6"/>
  <c r="DE33" i="6"/>
  <c r="DE67" i="6"/>
  <c r="DE102" i="6"/>
  <c r="DD70" i="6"/>
  <c r="DD63" i="6"/>
  <c r="DF15" i="6"/>
  <c r="DE13" i="6"/>
  <c r="DF102" i="6"/>
  <c r="DE84" i="6"/>
  <c r="DF12" i="6"/>
  <c r="DE87" i="6"/>
  <c r="DE95" i="6"/>
  <c r="DD53" i="6"/>
  <c r="DE91" i="6"/>
  <c r="DF99" i="6"/>
  <c r="DE37" i="6"/>
  <c r="DE15" i="6"/>
  <c r="DD24" i="6"/>
  <c r="DE48" i="6"/>
  <c r="DD91" i="6"/>
  <c r="DF30" i="6"/>
  <c r="DD16" i="6"/>
  <c r="DE103" i="6"/>
  <c r="DD96" i="6"/>
  <c r="DD11" i="6"/>
  <c r="DE46" i="6"/>
  <c r="DD77" i="6"/>
  <c r="DF45" i="6"/>
  <c r="DF74" i="6"/>
  <c r="DF22" i="6"/>
  <c r="DD42" i="6"/>
  <c r="DD39" i="6"/>
  <c r="DF29" i="6"/>
  <c r="DF46" i="6"/>
  <c r="DD86" i="6"/>
  <c r="DD21" i="6"/>
  <c r="DD8" i="6"/>
  <c r="DE89" i="6"/>
  <c r="AI34" i="6"/>
  <c r="BL34" i="6"/>
  <c r="V34" i="6"/>
  <c r="DL100" i="6" l="1"/>
  <c r="DM100" i="6" s="1"/>
  <c r="DL22" i="6"/>
  <c r="DM22" i="6" s="1"/>
  <c r="DJ99" i="6"/>
  <c r="DK99" i="6" s="1"/>
  <c r="DJ23" i="6"/>
  <c r="DK23" i="6" s="1"/>
  <c r="DJ13" i="6"/>
  <c r="DK13" i="6" s="1"/>
  <c r="DJ22" i="6"/>
  <c r="DK22" i="6" s="1"/>
  <c r="DJ86" i="6"/>
  <c r="DK86" i="6" s="1"/>
  <c r="DJ75" i="6"/>
  <c r="DK75" i="6" s="1"/>
  <c r="DJ46" i="6"/>
  <c r="DK46" i="6" s="1"/>
  <c r="DJ20" i="6"/>
  <c r="DK20" i="6" s="1"/>
  <c r="DL46" i="6"/>
  <c r="DM46" i="6" s="1"/>
  <c r="DJ34" i="6"/>
  <c r="DK34" i="6" s="1"/>
  <c r="DJ35" i="6"/>
  <c r="DK35" i="6" s="1"/>
  <c r="DJ33" i="6"/>
  <c r="DK33" i="6" s="1"/>
  <c r="DJ53" i="6"/>
  <c r="DK53" i="6" s="1"/>
  <c r="DJ74" i="6"/>
  <c r="DK74" i="6" s="1"/>
  <c r="DJ9" i="6"/>
  <c r="DK9" i="6" s="1"/>
  <c r="DJ19" i="6"/>
  <c r="DK19" i="6" s="1"/>
  <c r="DJ81" i="6"/>
  <c r="DK81" i="6" s="1"/>
  <c r="DJ40" i="6"/>
  <c r="DK40" i="6" s="1"/>
  <c r="DJ103" i="6"/>
  <c r="DK103" i="6" s="1"/>
  <c r="DJ78" i="6"/>
  <c r="DK78" i="6" s="1"/>
  <c r="DJ61" i="6"/>
  <c r="DK61" i="6" s="1"/>
  <c r="DJ11" i="6"/>
  <c r="DK11" i="6" s="1"/>
  <c r="DJ95" i="6"/>
  <c r="DK95" i="6" s="1"/>
  <c r="DJ17" i="6"/>
  <c r="DK17" i="6" s="1"/>
  <c r="DJ32" i="6"/>
  <c r="DK32" i="6" s="1"/>
  <c r="DJ39" i="6"/>
  <c r="DK39" i="6" s="1"/>
  <c r="DJ66" i="6"/>
  <c r="DK66" i="6" s="1"/>
  <c r="DJ31" i="6"/>
  <c r="DK31" i="6" s="1"/>
  <c r="DJ10" i="6"/>
  <c r="DK10" i="6" s="1"/>
  <c r="DJ77" i="6"/>
  <c r="DK77" i="6" s="1"/>
  <c r="DJ73" i="6"/>
  <c r="DK73" i="6" s="1"/>
  <c r="DJ58" i="6"/>
  <c r="DK58" i="6" s="1"/>
  <c r="DJ62" i="6"/>
  <c r="DK62" i="6" s="1"/>
  <c r="DJ16" i="6"/>
  <c r="DK16" i="6" s="1"/>
  <c r="DJ38" i="6"/>
  <c r="DK38" i="6" s="1"/>
  <c r="DJ56" i="6"/>
  <c r="DK56" i="6" s="1"/>
  <c r="DJ14" i="6"/>
  <c r="DK14" i="6" s="1"/>
  <c r="DJ30" i="6"/>
  <c r="DK30" i="6" s="1"/>
  <c r="DL66" i="6"/>
  <c r="DM66" i="6" s="1"/>
  <c r="DL16" i="6"/>
  <c r="DN16" i="6" s="1"/>
  <c r="DL62" i="6"/>
  <c r="DN62" i="6" s="1"/>
  <c r="DJ82" i="6"/>
  <c r="DK82" i="6" s="1"/>
  <c r="DJ71" i="6"/>
  <c r="DK71" i="6" s="1"/>
  <c r="DJ63" i="6"/>
  <c r="DK63" i="6" s="1"/>
  <c r="DJ27" i="6"/>
  <c r="DK27" i="6" s="1"/>
  <c r="DJ51" i="6"/>
  <c r="DK51" i="6" s="1"/>
  <c r="DJ25" i="6"/>
  <c r="DK25" i="6" s="1"/>
  <c r="DL18" i="6"/>
  <c r="DN18" i="6" s="1"/>
  <c r="DL54" i="6"/>
  <c r="DM54" i="6" s="1"/>
  <c r="DL74" i="6"/>
  <c r="DM74" i="6" s="1"/>
  <c r="DJ59" i="6"/>
  <c r="DK59" i="6" s="1"/>
  <c r="DJ83" i="6"/>
  <c r="DK83" i="6" s="1"/>
  <c r="DJ48" i="6"/>
  <c r="DK48" i="6" s="1"/>
  <c r="DJ50" i="6"/>
  <c r="DK50" i="6" s="1"/>
  <c r="DJ65" i="6"/>
  <c r="DK65" i="6" s="1"/>
  <c r="DJ37" i="6"/>
  <c r="DK37" i="6" s="1"/>
  <c r="DL102" i="6"/>
  <c r="DM102" i="6" s="1"/>
  <c r="DL19" i="6"/>
  <c r="DM19" i="6" s="1"/>
  <c r="DJ44" i="6"/>
  <c r="DK44" i="6" s="1"/>
  <c r="DJ49" i="6"/>
  <c r="DK49" i="6" s="1"/>
  <c r="DJ102" i="6"/>
  <c r="DK102" i="6" s="1"/>
  <c r="DJ100" i="6"/>
  <c r="DK100" i="6" s="1"/>
  <c r="DJ72" i="6"/>
  <c r="DK72" i="6" s="1"/>
  <c r="DJ97" i="6"/>
  <c r="DK97" i="6" s="1"/>
  <c r="DJ8" i="6"/>
  <c r="DK8" i="6" s="1"/>
  <c r="DJ43" i="6"/>
  <c r="DK43" i="6" s="1"/>
  <c r="DJ87" i="6"/>
  <c r="DK87" i="6" s="1"/>
  <c r="DJ89" i="6"/>
  <c r="DK89" i="6" s="1"/>
  <c r="DJ15" i="6"/>
  <c r="DK15" i="6" s="1"/>
  <c r="DJ26" i="6"/>
  <c r="DK26" i="6" s="1"/>
  <c r="DJ57" i="6"/>
  <c r="DK57" i="6" s="1"/>
  <c r="DJ101" i="6"/>
  <c r="DK101" i="6" s="1"/>
  <c r="DJ93" i="6"/>
  <c r="DK93" i="6" s="1"/>
  <c r="DJ29" i="6"/>
  <c r="DK29" i="6" s="1"/>
  <c r="DJ94" i="6"/>
  <c r="DK94" i="6" s="1"/>
  <c r="DJ55" i="6"/>
  <c r="DK55" i="6" s="1"/>
  <c r="DJ88" i="6"/>
  <c r="DK88" i="6" s="1"/>
  <c r="DJ5" i="6"/>
  <c r="DK5" i="6" s="1"/>
  <c r="DJ60" i="6"/>
  <c r="DK60" i="6" s="1"/>
  <c r="DJ64" i="6"/>
  <c r="DK64" i="6" s="1"/>
  <c r="DJ24" i="6"/>
  <c r="DK24" i="6" s="1"/>
  <c r="DJ80" i="6"/>
  <c r="DK80" i="6" s="1"/>
  <c r="DJ41" i="6"/>
  <c r="DK41" i="6" s="1"/>
  <c r="DJ79" i="6"/>
  <c r="DK79" i="6" s="1"/>
  <c r="DJ67" i="6"/>
  <c r="DK67" i="6" s="1"/>
  <c r="DJ28" i="6"/>
  <c r="DK28" i="6" s="1"/>
  <c r="DJ6" i="6"/>
  <c r="DK6" i="6" s="1"/>
  <c r="DJ92" i="6"/>
  <c r="DK92" i="6" s="1"/>
  <c r="DJ54" i="6"/>
  <c r="DK54" i="6" s="1"/>
  <c r="DJ47" i="6"/>
  <c r="DK47" i="6" s="1"/>
  <c r="DJ21" i="6"/>
  <c r="DK21" i="6" s="1"/>
  <c r="DJ98" i="6"/>
  <c r="DK98" i="6" s="1"/>
  <c r="DJ84" i="6"/>
  <c r="DK84" i="6" s="1"/>
  <c r="DJ36" i="6"/>
  <c r="DK36" i="6" s="1"/>
  <c r="DJ12" i="6"/>
  <c r="DK12" i="6" s="1"/>
  <c r="DJ18" i="6"/>
  <c r="DK18" i="6" s="1"/>
  <c r="DJ52" i="6"/>
  <c r="DK52" i="6" s="1"/>
  <c r="DJ68" i="6"/>
  <c r="DK68" i="6" s="1"/>
  <c r="DJ91" i="6"/>
  <c r="DK91" i="6" s="1"/>
  <c r="DJ45" i="6"/>
  <c r="DK45" i="6" s="1"/>
  <c r="DJ70" i="6"/>
  <c r="DK70" i="6" s="1"/>
  <c r="DJ7" i="6"/>
  <c r="DK7" i="6" s="1"/>
  <c r="DJ85" i="6"/>
  <c r="DK85" i="6" s="1"/>
  <c r="DJ76" i="6"/>
  <c r="DK76" i="6" s="1"/>
  <c r="DJ96" i="6"/>
  <c r="DK96" i="6" s="1"/>
  <c r="DJ90" i="6"/>
  <c r="DK90" i="6" s="1"/>
  <c r="DJ69" i="6"/>
  <c r="DK69" i="6" s="1"/>
  <c r="DL101" i="6"/>
  <c r="DM101" i="6" s="1"/>
  <c r="DL30" i="6"/>
  <c r="DM30" i="6" s="1"/>
  <c r="DL92" i="6"/>
  <c r="DM92" i="6" s="1"/>
  <c r="DL69" i="6"/>
  <c r="DN69" i="6" s="1"/>
  <c r="DL58" i="6"/>
  <c r="DM58" i="6" s="1"/>
  <c r="DL47" i="6"/>
  <c r="DN47" i="6" s="1"/>
  <c r="DL83" i="6"/>
  <c r="DM83" i="6" s="1"/>
  <c r="DL45" i="6"/>
  <c r="DN45" i="6" s="1"/>
  <c r="DL33" i="6"/>
  <c r="DN33" i="6" s="1"/>
  <c r="DL63" i="6"/>
  <c r="DN63" i="6" s="1"/>
  <c r="DL15" i="6"/>
  <c r="DM15" i="6" s="1"/>
  <c r="DL11" i="6"/>
  <c r="DM11" i="6" s="1"/>
  <c r="DL73" i="6"/>
  <c r="DM73" i="6" s="1"/>
  <c r="DL36" i="6"/>
  <c r="DM36" i="6" s="1"/>
  <c r="DL35" i="6"/>
  <c r="DM35" i="6" s="1"/>
  <c r="DL50" i="6"/>
  <c r="DM50" i="6" s="1"/>
  <c r="DL41" i="6"/>
  <c r="DN41" i="6" s="1"/>
  <c r="DL90" i="6"/>
  <c r="DM90" i="6" s="1"/>
  <c r="DL57" i="6"/>
  <c r="DN57" i="6" s="1"/>
  <c r="DL103" i="6"/>
  <c r="DN103" i="6" s="1"/>
  <c r="DL65" i="6"/>
  <c r="DM65" i="6" s="1"/>
  <c r="DL44" i="6"/>
  <c r="DM44" i="6" s="1"/>
  <c r="DL87" i="6"/>
  <c r="DM87" i="6" s="1"/>
  <c r="DL71" i="6"/>
  <c r="DM71" i="6" s="1"/>
  <c r="DL21" i="6"/>
  <c r="DN21" i="6" s="1"/>
  <c r="DL98" i="6"/>
  <c r="DN98" i="6" s="1"/>
  <c r="DL80" i="6"/>
  <c r="DM80" i="6" s="1"/>
  <c r="DL68" i="6"/>
  <c r="DM68" i="6" s="1"/>
  <c r="DL48" i="6"/>
  <c r="DM48" i="6" s="1"/>
  <c r="DL84" i="6"/>
  <c r="DN84" i="6" s="1"/>
  <c r="DL86" i="6"/>
  <c r="DM86" i="6" s="1"/>
  <c r="DL20" i="6"/>
  <c r="DN20" i="6" s="1"/>
  <c r="DL14" i="6"/>
  <c r="DN14" i="6" s="1"/>
  <c r="DL72" i="6"/>
  <c r="DN72" i="6" s="1"/>
  <c r="DL29" i="6"/>
  <c r="DN29" i="6" s="1"/>
  <c r="DL32" i="6"/>
  <c r="DL6" i="6"/>
  <c r="DL25" i="6"/>
  <c r="DL56" i="6"/>
  <c r="DL28" i="6"/>
  <c r="DL76" i="6"/>
  <c r="DL60" i="6"/>
  <c r="DL61" i="6"/>
  <c r="DL17" i="6"/>
  <c r="DL39" i="6"/>
  <c r="DL26" i="6"/>
  <c r="DL37" i="6"/>
  <c r="DL53" i="6"/>
  <c r="DL81" i="6"/>
  <c r="DL94" i="6"/>
  <c r="DL27" i="6"/>
  <c r="DL88" i="6"/>
  <c r="DL42" i="6"/>
  <c r="DL91" i="6"/>
  <c r="DL24" i="6"/>
  <c r="DL40" i="6"/>
  <c r="DL8" i="6"/>
  <c r="DL64" i="6"/>
  <c r="DL59" i="6"/>
  <c r="DL49" i="6"/>
  <c r="DL7" i="6"/>
  <c r="DL70" i="6"/>
  <c r="DL79" i="6"/>
  <c r="DL51" i="6"/>
  <c r="DL34" i="6"/>
  <c r="DL12" i="6"/>
  <c r="DL43" i="6"/>
  <c r="DL23" i="6"/>
  <c r="DL97" i="6"/>
  <c r="DL55" i="6"/>
  <c r="DL77" i="6"/>
  <c r="DN22" i="6"/>
  <c r="DL89" i="6"/>
  <c r="DL9" i="6"/>
  <c r="DL5" i="6"/>
  <c r="DL67" i="6"/>
  <c r="DL10" i="6"/>
  <c r="DL99" i="6"/>
  <c r="DL96" i="6"/>
  <c r="DL78" i="6"/>
  <c r="DL52" i="6"/>
  <c r="DL31" i="6"/>
  <c r="DL38" i="6"/>
  <c r="DL75" i="6"/>
  <c r="DL82" i="6"/>
  <c r="DL93" i="6"/>
  <c r="DL95" i="6"/>
  <c r="DL85" i="6"/>
  <c r="DL13" i="6"/>
  <c r="DN100" i="6" l="1"/>
  <c r="DN30" i="6"/>
  <c r="DN15" i="6"/>
  <c r="DM84" i="6"/>
  <c r="DN87" i="6"/>
  <c r="DM62" i="6"/>
  <c r="DN19" i="6"/>
  <c r="DN74" i="6"/>
  <c r="DN35" i="6"/>
  <c r="DM18" i="6"/>
  <c r="DW33" i="6"/>
  <c r="DW34" i="6" s="1"/>
  <c r="DM16" i="6"/>
  <c r="DN46" i="6"/>
  <c r="DM63" i="6"/>
  <c r="DM21" i="6"/>
  <c r="DN58" i="6"/>
  <c r="DM20" i="6"/>
  <c r="DN66" i="6"/>
  <c r="DN71" i="6"/>
  <c r="DM33" i="6"/>
  <c r="DN44" i="6"/>
  <c r="DR33" i="6"/>
  <c r="DR34" i="6" s="1"/>
  <c r="DN92" i="6"/>
  <c r="DN102" i="6"/>
  <c r="DN101" i="6"/>
  <c r="DN54" i="6"/>
  <c r="DM47" i="6"/>
  <c r="DM41" i="6"/>
  <c r="DX33" i="6"/>
  <c r="DX34" i="6" s="1"/>
  <c r="DT33" i="6"/>
  <c r="DT34" i="6" s="1"/>
  <c r="DU33" i="6"/>
  <c r="DU34" i="6" s="1"/>
  <c r="DV33" i="6"/>
  <c r="DV34" i="6" s="1"/>
  <c r="DN90" i="6"/>
  <c r="DS33" i="6"/>
  <c r="DS34" i="6" s="1"/>
  <c r="DN68" i="6"/>
  <c r="DM69" i="6"/>
  <c r="DM98" i="6"/>
  <c r="DN80" i="6"/>
  <c r="DN83" i="6"/>
  <c r="DN65" i="6"/>
  <c r="DM45" i="6"/>
  <c r="DN48" i="6"/>
  <c r="DN36" i="6"/>
  <c r="DM14" i="6"/>
  <c r="DM103" i="6"/>
  <c r="DM57" i="6"/>
  <c r="DN11" i="6"/>
  <c r="DN86" i="6"/>
  <c r="DN50" i="6"/>
  <c r="DM29" i="6"/>
  <c r="DN73" i="6"/>
  <c r="DM72" i="6"/>
  <c r="DN75" i="6"/>
  <c r="DM75" i="6"/>
  <c r="DN24" i="6"/>
  <c r="DM24" i="6"/>
  <c r="DN38" i="6"/>
  <c r="DM38" i="6"/>
  <c r="DN70" i="6"/>
  <c r="DM70" i="6"/>
  <c r="DM26" i="6"/>
  <c r="DN26" i="6"/>
  <c r="DN28" i="6"/>
  <c r="DM28" i="6"/>
  <c r="DM31" i="6"/>
  <c r="DN31" i="6"/>
  <c r="DN67" i="6"/>
  <c r="DM67" i="6"/>
  <c r="DN77" i="6"/>
  <c r="DM77" i="6"/>
  <c r="DM7" i="6"/>
  <c r="DN7" i="6"/>
  <c r="DN39" i="6"/>
  <c r="DM39" i="6"/>
  <c r="DM56" i="6"/>
  <c r="DN56" i="6"/>
  <c r="DN6" i="6"/>
  <c r="DM6" i="6"/>
  <c r="DN79" i="6"/>
  <c r="DM79" i="6"/>
  <c r="DM37" i="6"/>
  <c r="DN37" i="6"/>
  <c r="DM23" i="6"/>
  <c r="DN23" i="6"/>
  <c r="DM52" i="6"/>
  <c r="DN52" i="6"/>
  <c r="DM89" i="6"/>
  <c r="DN89" i="6"/>
  <c r="DN12" i="6"/>
  <c r="DM12" i="6"/>
  <c r="DM49" i="6"/>
  <c r="DN49" i="6"/>
  <c r="DN27" i="6"/>
  <c r="DM27" i="6"/>
  <c r="DM78" i="6"/>
  <c r="DN78" i="6"/>
  <c r="DN53" i="6"/>
  <c r="DM53" i="6"/>
  <c r="DN60" i="6"/>
  <c r="DM60" i="6"/>
  <c r="DN25" i="6"/>
  <c r="DM25" i="6"/>
  <c r="DN32" i="6"/>
  <c r="DM32" i="6"/>
  <c r="DN43" i="6"/>
  <c r="DM43" i="6"/>
  <c r="DM76" i="6"/>
  <c r="DN76" i="6"/>
  <c r="DM61" i="6"/>
  <c r="DN61" i="6"/>
  <c r="DM95" i="6"/>
  <c r="DN95" i="6"/>
  <c r="DN64" i="6"/>
  <c r="DM64" i="6"/>
  <c r="DN93" i="6"/>
  <c r="DM93" i="6"/>
  <c r="DM99" i="6"/>
  <c r="DN99" i="6"/>
  <c r="DN97" i="6"/>
  <c r="DM97" i="6"/>
  <c r="DN34" i="6"/>
  <c r="DM34" i="6"/>
  <c r="DN8" i="6"/>
  <c r="DM8" i="6"/>
  <c r="DM94" i="6"/>
  <c r="DN94" i="6"/>
  <c r="DM88" i="6"/>
  <c r="DN88" i="6"/>
  <c r="DN91" i="6"/>
  <c r="DM91" i="6"/>
  <c r="DN13" i="6"/>
  <c r="DM13" i="6"/>
  <c r="DM5" i="6"/>
  <c r="DN5" i="6"/>
  <c r="DN55" i="6"/>
  <c r="DM55" i="6"/>
  <c r="DN17" i="6"/>
  <c r="DM17" i="6"/>
  <c r="DM85" i="6"/>
  <c r="DN85" i="6"/>
  <c r="DM9" i="6"/>
  <c r="DN9" i="6"/>
  <c r="DN59" i="6"/>
  <c r="DM59" i="6"/>
  <c r="DN81" i="6"/>
  <c r="DM81" i="6"/>
  <c r="DM96" i="6"/>
  <c r="DN96" i="6"/>
  <c r="DM82" i="6"/>
  <c r="DN82" i="6"/>
  <c r="DM10" i="6"/>
  <c r="DN10" i="6"/>
  <c r="DN51" i="6"/>
  <c r="DM51" i="6"/>
  <c r="DN40" i="6"/>
  <c r="DM40" i="6"/>
  <c r="DM42" i="6"/>
  <c r="DN42" i="6"/>
  <c r="EA8" i="6" l="1"/>
  <c r="EG9" i="6"/>
  <c r="DS9" i="6"/>
  <c r="ED9" i="6"/>
  <c r="EC8" i="6"/>
  <c r="EE6" i="6"/>
  <c r="EA6" i="6"/>
  <c r="EC9" i="6"/>
  <c r="DR9" i="6"/>
  <c r="EB6" i="6"/>
  <c r="DV9" i="6"/>
  <c r="DR8" i="6"/>
  <c r="DS7" i="6"/>
  <c r="DW9" i="6"/>
  <c r="DX8" i="6"/>
  <c r="DW11" i="6"/>
  <c r="EG6" i="6"/>
  <c r="DR6" i="6"/>
  <c r="DU8" i="6"/>
  <c r="EG8" i="6"/>
  <c r="DY8" i="6"/>
  <c r="EH8" i="6"/>
  <c r="DV7" i="6"/>
  <c r="EE7" i="6"/>
  <c r="EF8" i="6"/>
  <c r="DU9" i="6"/>
  <c r="EB8" i="6"/>
  <c r="DW7" i="6"/>
  <c r="DT8" i="6"/>
  <c r="DS6" i="6"/>
  <c r="DR12" i="6" s="1"/>
  <c r="DZ11" i="6"/>
  <c r="DZ6" i="6"/>
  <c r="EF9" i="6"/>
  <c r="DX6" i="6"/>
  <c r="EE8" i="6"/>
  <c r="DY9" i="6"/>
  <c r="DX9" i="6"/>
  <c r="EA7" i="6"/>
  <c r="EE9" i="6"/>
  <c r="EA9" i="6"/>
  <c r="DV8" i="6"/>
  <c r="DZ7" i="6"/>
  <c r="EH9" i="6"/>
  <c r="EF7" i="6"/>
  <c r="EF6" i="6"/>
  <c r="DV11" i="6"/>
  <c r="EC7" i="6"/>
  <c r="DY6" i="6"/>
  <c r="DX12" i="6" s="1"/>
  <c r="DR7" i="6"/>
  <c r="DW8" i="6"/>
  <c r="DZ9" i="6"/>
  <c r="ED6" i="6"/>
  <c r="ED8" i="6"/>
  <c r="DX7" i="6"/>
  <c r="DY11" i="6"/>
  <c r="EF10" i="6"/>
  <c r="EF22" i="6" s="1"/>
  <c r="DT11" i="6"/>
  <c r="EH11" i="6"/>
  <c r="DU6" i="6"/>
  <c r="EE11" i="6"/>
  <c r="EH6" i="6"/>
  <c r="DY7" i="6"/>
  <c r="DY13" i="6" s="1"/>
  <c r="EF11" i="6"/>
  <c r="EC6" i="6"/>
  <c r="EB12" i="6" s="1"/>
  <c r="EB10" i="6"/>
  <c r="EB22" i="6" s="1"/>
  <c r="EC10" i="6"/>
  <c r="EC22" i="6" s="1"/>
  <c r="DT10" i="6"/>
  <c r="DT22" i="6" s="1"/>
  <c r="DR11" i="6"/>
  <c r="DT6" i="6"/>
  <c r="DZ8" i="6"/>
  <c r="EC11" i="6"/>
  <c r="DU11" i="6"/>
  <c r="DT7" i="6"/>
  <c r="EA11" i="6"/>
  <c r="DV6" i="6"/>
  <c r="DU12" i="6" s="1"/>
  <c r="DY10" i="6"/>
  <c r="DY22" i="6" s="1"/>
  <c r="EB7" i="6"/>
  <c r="EB9" i="6"/>
  <c r="EB11" i="6"/>
  <c r="EA10" i="6"/>
  <c r="EA22" i="6" s="1"/>
  <c r="DW6" i="6"/>
  <c r="DS8" i="6"/>
  <c r="DX11" i="6"/>
  <c r="ED10" i="6"/>
  <c r="ED22" i="6" s="1"/>
  <c r="EG10" i="6"/>
  <c r="EG22" i="6" s="1"/>
  <c r="DW10" i="6"/>
  <c r="DW22" i="6" s="1"/>
  <c r="EH7" i="6"/>
  <c r="EH13" i="6" s="1"/>
  <c r="ED11" i="6"/>
  <c r="DX10" i="6"/>
  <c r="DX22" i="6" s="1"/>
  <c r="EG7" i="6"/>
  <c r="DT9" i="6"/>
  <c r="EE10" i="6"/>
  <c r="EE22" i="6" s="1"/>
  <c r="DU10" i="6"/>
  <c r="DU22" i="6" s="1"/>
  <c r="ED7" i="6"/>
  <c r="EG11" i="6"/>
  <c r="DS11" i="6"/>
  <c r="DS10" i="6"/>
  <c r="DS22" i="6" s="1"/>
  <c r="DZ10" i="6"/>
  <c r="DZ22" i="6" s="1"/>
  <c r="DV10" i="6"/>
  <c r="DV22" i="6" s="1"/>
  <c r="DU7" i="6"/>
  <c r="EH10" i="6"/>
  <c r="EH22" i="6" s="1"/>
  <c r="DR10" i="6"/>
  <c r="DR22" i="6" s="1"/>
  <c r="EE13" i="6" l="1"/>
  <c r="EB13" i="6"/>
  <c r="DS13" i="6"/>
  <c r="DU13" i="6"/>
  <c r="DV12" i="6"/>
  <c r="EC13" i="6"/>
  <c r="DV13" i="6"/>
  <c r="EF13" i="6"/>
  <c r="DW13" i="6"/>
  <c r="DR16" i="6"/>
  <c r="DS12" i="6"/>
  <c r="EE12" i="6"/>
  <c r="DZ13" i="6"/>
  <c r="DU18" i="6"/>
  <c r="DU19" i="6"/>
  <c r="EA17" i="6"/>
  <c r="EA15" i="6"/>
  <c r="EC17" i="6"/>
  <c r="EC15" i="6"/>
  <c r="EC18" i="6"/>
  <c r="EC19" i="6"/>
  <c r="DY19" i="6"/>
  <c r="DY18" i="6"/>
  <c r="EE15" i="6"/>
  <c r="EE17" i="6"/>
  <c r="DZ19" i="6"/>
  <c r="DZ18" i="6"/>
  <c r="DX16" i="6"/>
  <c r="DW14" i="6"/>
  <c r="DZ12" i="6"/>
  <c r="ED13" i="6"/>
  <c r="EB17" i="6"/>
  <c r="EB15" i="6"/>
  <c r="DY14" i="6"/>
  <c r="DZ16" i="6"/>
  <c r="DX13" i="6"/>
  <c r="DV18" i="6"/>
  <c r="DV19" i="6"/>
  <c r="EA13" i="6"/>
  <c r="EH14" i="6"/>
  <c r="EH16" i="6"/>
  <c r="EG14" i="6"/>
  <c r="DW15" i="6"/>
  <c r="DW17" i="6"/>
  <c r="ED12" i="6"/>
  <c r="ED18" i="6"/>
  <c r="ED19" i="6"/>
  <c r="EB18" i="6"/>
  <c r="EB19" i="6"/>
  <c r="DT16" i="6"/>
  <c r="DS14" i="6"/>
  <c r="DR18" i="6"/>
  <c r="DR19" i="6"/>
  <c r="EF14" i="6"/>
  <c r="EG16" i="6"/>
  <c r="DT15" i="6"/>
  <c r="DT17" i="6"/>
  <c r="DX18" i="6"/>
  <c r="DX19" i="6"/>
  <c r="DT12" i="6"/>
  <c r="DZ17" i="6"/>
  <c r="DZ15" i="6"/>
  <c r="EH17" i="6"/>
  <c r="EH15" i="6"/>
  <c r="ED14" i="6"/>
  <c r="EE16" i="6"/>
  <c r="EA14" i="6"/>
  <c r="EB16" i="6"/>
  <c r="DU16" i="6"/>
  <c r="DT14" i="6"/>
  <c r="DV17" i="6"/>
  <c r="DV15" i="6"/>
  <c r="DS17" i="6"/>
  <c r="DS15" i="6"/>
  <c r="DS18" i="6"/>
  <c r="DS19" i="6"/>
  <c r="DY12" i="6"/>
  <c r="EG18" i="6"/>
  <c r="EG19" i="6"/>
  <c r="EF19" i="6"/>
  <c r="EF18" i="6"/>
  <c r="ED16" i="6"/>
  <c r="EC14" i="6"/>
  <c r="DX14" i="6"/>
  <c r="DY16" i="6"/>
  <c r="EC12" i="6"/>
  <c r="EG13" i="6"/>
  <c r="DR14" i="6"/>
  <c r="DS16" i="6"/>
  <c r="EA19" i="6"/>
  <c r="EA18" i="6"/>
  <c r="EH18" i="6"/>
  <c r="EH19" i="6"/>
  <c r="DW16" i="6"/>
  <c r="DV14" i="6"/>
  <c r="DW12" i="6"/>
  <c r="DU15" i="6"/>
  <c r="DU17" i="6"/>
  <c r="EA12" i="6"/>
  <c r="EG17" i="6"/>
  <c r="EG15" i="6"/>
  <c r="DW19" i="6"/>
  <c r="DW18" i="6"/>
  <c r="EG12" i="6"/>
  <c r="EH12" i="6"/>
  <c r="DX17" i="6"/>
  <c r="DX15" i="6"/>
  <c r="EB14" i="6"/>
  <c r="EC16" i="6"/>
  <c r="EE19" i="6"/>
  <c r="EE18" i="6"/>
  <c r="DY15" i="6"/>
  <c r="DY17" i="6"/>
  <c r="ED17" i="6"/>
  <c r="ED15" i="6"/>
  <c r="DT13" i="6"/>
  <c r="DT18" i="6"/>
  <c r="DT19" i="6"/>
  <c r="DR13" i="6"/>
  <c r="DU14" i="6"/>
  <c r="DV16" i="6"/>
  <c r="EF17" i="6"/>
  <c r="EF15" i="6"/>
  <c r="EE14" i="6"/>
  <c r="EF16" i="6"/>
  <c r="EF12" i="6"/>
  <c r="DR17" i="6"/>
  <c r="DR15" i="6"/>
  <c r="DZ14" i="6"/>
  <c r="EA16" i="6"/>
  <c r="EB21" i="6" l="1"/>
  <c r="DW20" i="6"/>
  <c r="EA21" i="6"/>
  <c r="DT20" i="6"/>
  <c r="DV20" i="6"/>
  <c r="EC21" i="6"/>
  <c r="DS21" i="6"/>
  <c r="DR20" i="6"/>
  <c r="EH20" i="6"/>
  <c r="DR24" i="6"/>
  <c r="EC20" i="6"/>
  <c r="EA20" i="6"/>
  <c r="DX21" i="6"/>
  <c r="EF21" i="6"/>
  <c r="DZ21" i="6"/>
  <c r="EE20" i="6"/>
  <c r="EF20" i="6"/>
  <c r="DS20" i="6"/>
  <c r="DX20" i="6"/>
  <c r="DZ20" i="6"/>
  <c r="DR25" i="6"/>
  <c r="EG21" i="6"/>
  <c r="ED21" i="6"/>
  <c r="EB20" i="6"/>
  <c r="DT21" i="6"/>
  <c r="EE21" i="6"/>
  <c r="DW21" i="6"/>
  <c r="EG20" i="6"/>
  <c r="ED20" i="6"/>
  <c r="DY20" i="6"/>
  <c r="DU21" i="6"/>
  <c r="EH21" i="6"/>
  <c r="DR21" i="6"/>
  <c r="DV21" i="6"/>
  <c r="DY21" i="6"/>
  <c r="DU20" i="6"/>
  <c r="DR26" i="6" l="1"/>
  <c r="E5" i="7" s="1"/>
</calcChain>
</file>

<file path=xl/sharedStrings.xml><?xml version="1.0" encoding="utf-8"?>
<sst xmlns="http://schemas.openxmlformats.org/spreadsheetml/2006/main" count="643" uniqueCount="360">
  <si>
    <t>cmf2</t>
  </si>
  <si>
    <t>nm</t>
  </si>
  <si>
    <t>cmf10</t>
  </si>
  <si>
    <t>sample type:</t>
  </si>
  <si>
    <t>1 - Nature</t>
  </si>
  <si>
    <t>2 - Skin</t>
  </si>
  <si>
    <t>3 - Textiles</t>
  </si>
  <si>
    <t>4 - Paints</t>
  </si>
  <si>
    <t>5 - Plastic</t>
  </si>
  <si>
    <t>6 - Printed</t>
  </si>
  <si>
    <t>7 - Color System</t>
  </si>
  <si>
    <t>sample nr</t>
  </si>
  <si>
    <t>CCTv</t>
  </si>
  <si>
    <t xml:space="preserve"> 1000-20000K</t>
  </si>
  <si>
    <t>x input</t>
  </si>
  <si>
    <t xml:space="preserve">       (u,v)</t>
  </si>
  <si>
    <t xml:space="preserve"> </t>
  </si>
  <si>
    <t>y input</t>
  </si>
  <si>
    <t xml:space="preserve">   d</t>
  </si>
  <si>
    <t xml:space="preserve">   d^2</t>
  </si>
  <si>
    <t>(Tm+1 - Tm-1)</t>
  </si>
  <si>
    <t>u</t>
  </si>
  <si>
    <t>Tm-1</t>
  </si>
  <si>
    <t>set u in D2</t>
  </si>
  <si>
    <t>Tm</t>
  </si>
  <si>
    <t xml:space="preserve"> Dist. Ti+1,Ti-1</t>
  </si>
  <si>
    <t>v</t>
  </si>
  <si>
    <t>Tm+1</t>
  </si>
  <si>
    <t>set v in E2</t>
  </si>
  <si>
    <t>Calculate d2</t>
  </si>
  <si>
    <t>(c2:1986 CODATA, n=1)</t>
  </si>
  <si>
    <t>value of Tm</t>
  </si>
  <si>
    <t>Color Temp</t>
  </si>
  <si>
    <t>Distance ^2</t>
  </si>
  <si>
    <t>save to D5</t>
  </si>
  <si>
    <t xml:space="preserve"> Value of Tm+1 </t>
  </si>
  <si>
    <t>save to D6</t>
  </si>
  <si>
    <t xml:space="preserve"> Value of Tm-1 </t>
  </si>
  <si>
    <t>save to D4</t>
  </si>
  <si>
    <t xml:space="preserve"> d(i+1)^2</t>
  </si>
  <si>
    <t xml:space="preserve"> --&gt;G6</t>
  </si>
  <si>
    <t xml:space="preserve"> d(i-1)^2</t>
  </si>
  <si>
    <t xml:space="preserve"> --G4</t>
  </si>
  <si>
    <t xml:space="preserve"> d(i)^2</t>
  </si>
  <si>
    <t xml:space="preserve"> --&gt;G5</t>
  </si>
  <si>
    <t xml:space="preserve"> sqrt of D(i)^2</t>
  </si>
  <si>
    <t>to E5</t>
  </si>
  <si>
    <t xml:space="preserve"> Sqrt of d(i-1)^2</t>
  </si>
  <si>
    <t>to E4</t>
  </si>
  <si>
    <t xml:space="preserve"> Sqrt of d(i+1)^2</t>
  </si>
  <si>
    <t>to E6</t>
  </si>
  <si>
    <t>a</t>
  </si>
  <si>
    <t>b</t>
  </si>
  <si>
    <t>c</t>
  </si>
  <si>
    <t>A</t>
  </si>
  <si>
    <t>B</t>
  </si>
  <si>
    <t>C</t>
  </si>
  <si>
    <t>solution T</t>
  </si>
  <si>
    <t>write to D7</t>
  </si>
  <si>
    <t>delta uv</t>
  </si>
  <si>
    <t>value of v at Tm</t>
  </si>
  <si>
    <t>sign of duv</t>
  </si>
  <si>
    <t>write to E7</t>
  </si>
  <si>
    <t>(Tm+1 - Tm-1)/20</t>
  </si>
  <si>
    <t>save to H4</t>
  </si>
  <si>
    <t xml:space="preserve"> u(i+1)</t>
  </si>
  <si>
    <t xml:space="preserve"> v(i+1)</t>
  </si>
  <si>
    <t xml:space="preserve"> u(i-1)</t>
  </si>
  <si>
    <t xml:space="preserve"> v(i-1)</t>
  </si>
  <si>
    <t xml:space="preserve"> x in distance</t>
  </si>
  <si>
    <t>T solution</t>
  </si>
  <si>
    <t>duv (h)</t>
  </si>
  <si>
    <t>Linear shift</t>
  </si>
  <si>
    <t>duv</t>
  </si>
  <si>
    <t>[INPUT]</t>
  </si>
  <si>
    <t>CIE Publ. 15.2 Table 1.2</t>
  </si>
  <si>
    <t>Selected</t>
  </si>
  <si>
    <t>Test source</t>
  </si>
  <si>
    <t>2 degree</t>
  </si>
  <si>
    <t>Normalized for Y=100</t>
  </si>
  <si>
    <t>Reference</t>
  </si>
  <si>
    <t>T=</t>
  </si>
  <si>
    <t>Result</t>
  </si>
  <si>
    <t>Daylight Illuminant</t>
  </si>
  <si>
    <t>20000 K Daylight</t>
    <phoneticPr fontId="20" type="noConversion"/>
  </si>
  <si>
    <t>Wavelength (nm)</t>
  </si>
  <si>
    <t>Y-normallized</t>
  </si>
  <si>
    <t>x-bar</t>
  </si>
  <si>
    <t>y-bar</t>
  </si>
  <si>
    <t>z-bar</t>
  </si>
  <si>
    <t>Planck's Law</t>
  </si>
  <si>
    <t>Plancks</t>
  </si>
  <si>
    <t>Source</t>
  </si>
  <si>
    <t>Wavelength</t>
  </si>
  <si>
    <t>S0</t>
  </si>
  <si>
    <t>S1</t>
  </si>
  <si>
    <t>S2</t>
  </si>
  <si>
    <t>Illuminant</t>
  </si>
  <si>
    <t>u'</t>
    <phoneticPr fontId="20" type="noConversion"/>
  </si>
  <si>
    <t>v'</t>
    <phoneticPr fontId="20" type="noConversion"/>
  </si>
  <si>
    <t>&lt;-----------</t>
  </si>
  <si>
    <t xml:space="preserve"> --&gt;</t>
  </si>
  <si>
    <t>4000-7000K</t>
  </si>
  <si>
    <t>For Planck variable</t>
    <phoneticPr fontId="20" type="noConversion"/>
  </si>
  <si>
    <t xml:space="preserve">  maximum</t>
  </si>
  <si>
    <t>XD=</t>
  </si>
  <si>
    <t>7000-25000K</t>
  </si>
  <si>
    <t>X</t>
  </si>
  <si>
    <t>Y</t>
  </si>
  <si>
    <t>Automatic selection</t>
  </si>
  <si>
    <t>V(l)</t>
  </si>
  <si>
    <t>Z</t>
  </si>
  <si>
    <t>x</t>
  </si>
  <si>
    <t>YD=</t>
  </si>
  <si>
    <t>y</t>
  </si>
  <si>
    <t>M1=</t>
  </si>
  <si>
    <t>M2=</t>
  </si>
  <si>
    <t>T</t>
  </si>
  <si>
    <t>∆uv</t>
  </si>
  <si>
    <t>LER</t>
  </si>
  <si>
    <t>DC</t>
  </si>
  <si>
    <t>Real D65 data (5 nm, 380-780 nm)</t>
  </si>
  <si>
    <t>Calculation of chromaticity coordinates of samples, dEi, dErms, nRi and nRa</t>
  </si>
  <si>
    <t>(calculation of CCT and reference happens on other sheets)</t>
  </si>
  <si>
    <t>Angle bin averages</t>
  </si>
  <si>
    <t>(repat first point to close the gamut path)</t>
  </si>
  <si>
    <t>normallized</t>
  </si>
  <si>
    <t>HL1</t>
  </si>
  <si>
    <t>HL2</t>
  </si>
  <si>
    <t>HL3</t>
  </si>
  <si>
    <t>HL4</t>
  </si>
  <si>
    <t>HL5</t>
  </si>
  <si>
    <t>HL6</t>
  </si>
  <si>
    <t>HL7</t>
  </si>
  <si>
    <t>HL8</t>
  </si>
  <si>
    <t>HL9</t>
  </si>
  <si>
    <t>HL10</t>
  </si>
  <si>
    <t>HL11</t>
  </si>
  <si>
    <t>HL12</t>
  </si>
  <si>
    <t>HL13</t>
  </si>
  <si>
    <t>HL14</t>
  </si>
  <si>
    <t>HL15</t>
  </si>
  <si>
    <t>HL16</t>
  </si>
  <si>
    <t>HL17</t>
  </si>
  <si>
    <t>HL18</t>
  </si>
  <si>
    <t>HL19</t>
  </si>
  <si>
    <t>HL20</t>
  </si>
  <si>
    <t>HL21</t>
  </si>
  <si>
    <t>HL22</t>
  </si>
  <si>
    <t>HL23</t>
  </si>
  <si>
    <t>HL24</t>
  </si>
  <si>
    <t>HL25</t>
  </si>
  <si>
    <t>HL26</t>
  </si>
  <si>
    <t>HL27</t>
  </si>
  <si>
    <t>HL28</t>
  </si>
  <si>
    <t>HL29</t>
  </si>
  <si>
    <t>HL30</t>
  </si>
  <si>
    <t>HL31</t>
  </si>
  <si>
    <t>HL32</t>
  </si>
  <si>
    <t>HL33</t>
  </si>
  <si>
    <t>HL34</t>
  </si>
  <si>
    <t>HL35</t>
  </si>
  <si>
    <t>HL36</t>
  </si>
  <si>
    <t>HL37</t>
  </si>
  <si>
    <t>HL38</t>
  </si>
  <si>
    <t>HL39</t>
  </si>
  <si>
    <t>HL40</t>
  </si>
  <si>
    <t>HL41</t>
  </si>
  <si>
    <t>HL42</t>
  </si>
  <si>
    <t>HL43</t>
  </si>
  <si>
    <t>HL44</t>
  </si>
  <si>
    <t>HL45</t>
  </si>
  <si>
    <t>HL46</t>
  </si>
  <si>
    <t>HL47</t>
  </si>
  <si>
    <t>HL48</t>
  </si>
  <si>
    <t>HL49</t>
  </si>
  <si>
    <t>HL50</t>
  </si>
  <si>
    <t>HL51</t>
  </si>
  <si>
    <t>HL52</t>
  </si>
  <si>
    <t>HL53</t>
  </si>
  <si>
    <t>HL54</t>
  </si>
  <si>
    <t>HL55</t>
  </si>
  <si>
    <t>HL56</t>
  </si>
  <si>
    <t>HL57</t>
  </si>
  <si>
    <t>HL58</t>
  </si>
  <si>
    <t>HL59</t>
  </si>
  <si>
    <t>HL60</t>
  </si>
  <si>
    <t>HL61</t>
  </si>
  <si>
    <t>HL62</t>
  </si>
  <si>
    <t>HL63</t>
  </si>
  <si>
    <t>HL64</t>
  </si>
  <si>
    <t>HL65</t>
  </si>
  <si>
    <t>HL66</t>
  </si>
  <si>
    <t>HL67</t>
  </si>
  <si>
    <t>HL68</t>
  </si>
  <si>
    <t>HL69</t>
  </si>
  <si>
    <t>HL70</t>
  </si>
  <si>
    <t>HL71</t>
  </si>
  <si>
    <t>HL72</t>
  </si>
  <si>
    <t>HL73</t>
  </si>
  <si>
    <t>HL74</t>
  </si>
  <si>
    <t>HL75</t>
  </si>
  <si>
    <t>HL76</t>
  </si>
  <si>
    <t>HL77</t>
  </si>
  <si>
    <t>HL78</t>
  </si>
  <si>
    <t>HL79</t>
  </si>
  <si>
    <t>HL80</t>
  </si>
  <si>
    <t>HL81</t>
  </si>
  <si>
    <t>HL82</t>
  </si>
  <si>
    <t>HL83</t>
  </si>
  <si>
    <t>HL84</t>
  </si>
  <si>
    <t>HL85</t>
  </si>
  <si>
    <t>HL86</t>
  </si>
  <si>
    <t>HL87</t>
  </si>
  <si>
    <t>HL88</t>
  </si>
  <si>
    <t>HL89</t>
  </si>
  <si>
    <t>HL90</t>
  </si>
  <si>
    <t>HL91</t>
  </si>
  <si>
    <t>HL92</t>
  </si>
  <si>
    <t>HL93</t>
  </si>
  <si>
    <t>HL94</t>
  </si>
  <si>
    <t>HL95</t>
  </si>
  <si>
    <t>HL96</t>
  </si>
  <si>
    <t>HL97</t>
  </si>
  <si>
    <t>HL98</t>
  </si>
  <si>
    <t>HL99</t>
  </si>
  <si>
    <t>J_r</t>
  </si>
  <si>
    <t>a_r</t>
  </si>
  <si>
    <t>b_r</t>
  </si>
  <si>
    <t>J</t>
  </si>
  <si>
    <t>dE</t>
  </si>
  <si>
    <t>dE^2</t>
  </si>
  <si>
    <t>theta</t>
  </si>
  <si>
    <t>theta(°)</t>
  </si>
  <si>
    <t>bin</t>
  </si>
  <si>
    <t>sample_type</t>
  </si>
  <si>
    <t>ar</t>
  </si>
  <si>
    <t>br</t>
  </si>
  <si>
    <t>Test</t>
  </si>
  <si>
    <t>diff(ar)</t>
  </si>
  <si>
    <t>mean(br)</t>
  </si>
  <si>
    <t>diff(a)</t>
  </si>
  <si>
    <t>mean(b)</t>
  </si>
  <si>
    <t>da_relative</t>
  </si>
  <si>
    <t>∆x</t>
  </si>
  <si>
    <t>db_relative</t>
  </si>
  <si>
    <t>∆y</t>
  </si>
  <si>
    <t>path_x ref</t>
  </si>
  <si>
    <t>path_y ref</t>
  </si>
  <si>
    <t>path_x test</t>
  </si>
  <si>
    <t>J'</t>
  </si>
  <si>
    <t>path_y test</t>
  </si>
  <si>
    <t>aM</t>
  </si>
  <si>
    <t>Rf_i</t>
  </si>
  <si>
    <t>bM</t>
  </si>
  <si>
    <t>A0</t>
  </si>
  <si>
    <t>A1</t>
  </si>
  <si>
    <t>Rg</t>
  </si>
  <si>
    <t>Sample type averages</t>
  </si>
  <si>
    <t>Color syst</t>
  </si>
  <si>
    <t>Printed</t>
  </si>
  <si>
    <t>Plastics</t>
  </si>
  <si>
    <t>Paints</t>
  </si>
  <si>
    <t>Textiles</t>
  </si>
  <si>
    <t>Skin</t>
  </si>
  <si>
    <t>Nature</t>
  </si>
  <si>
    <t>dEavg</t>
  </si>
  <si>
    <t>cfactor</t>
  </si>
  <si>
    <t>Rf by type</t>
  </si>
  <si>
    <t>Rf</t>
  </si>
  <si>
    <t>Sample_type</t>
  </si>
  <si>
    <t>CIECAM02</t>
  </si>
  <si>
    <t>MCAT02</t>
  </si>
  <si>
    <t>invCAT02</t>
  </si>
  <si>
    <t>MHPE</t>
  </si>
  <si>
    <t>invMPHE</t>
  </si>
  <si>
    <t>LA (cd/m2)</t>
  </si>
  <si>
    <t>Yb</t>
  </si>
  <si>
    <t>Did</t>
  </si>
  <si>
    <t>F</t>
  </si>
  <si>
    <t>Nc</t>
  </si>
  <si>
    <t>D</t>
  </si>
  <si>
    <t>Xw</t>
  </si>
  <si>
    <t>Yw</t>
  </si>
  <si>
    <t>Zw</t>
  </si>
  <si>
    <t>k</t>
  </si>
  <si>
    <t>FL</t>
  </si>
  <si>
    <t>n</t>
  </si>
  <si>
    <t>Nbb</t>
  </si>
  <si>
    <t>Ncb</t>
  </si>
  <si>
    <t>z</t>
  </si>
  <si>
    <t>R</t>
  </si>
  <si>
    <t>G</t>
  </si>
  <si>
    <t>Rw</t>
  </si>
  <si>
    <t>Gw</t>
  </si>
  <si>
    <t>Bw</t>
  </si>
  <si>
    <t>Rc</t>
  </si>
  <si>
    <t>Gc</t>
  </si>
  <si>
    <t>Bc</t>
  </si>
  <si>
    <t>Rcw</t>
  </si>
  <si>
    <t>Gcw</t>
  </si>
  <si>
    <t>Bcw</t>
  </si>
  <si>
    <t>Xc</t>
  </si>
  <si>
    <t>Yc</t>
  </si>
  <si>
    <t>Zc</t>
  </si>
  <si>
    <t>Xcw</t>
  </si>
  <si>
    <t>Ycw</t>
  </si>
  <si>
    <t>Zcw</t>
  </si>
  <si>
    <t>R'</t>
  </si>
  <si>
    <t>G'</t>
  </si>
  <si>
    <t>B'</t>
  </si>
  <si>
    <t>R'w</t>
  </si>
  <si>
    <t>G'w</t>
  </si>
  <si>
    <t>B'w</t>
  </si>
  <si>
    <t>R'a</t>
  </si>
  <si>
    <t>G'a</t>
  </si>
  <si>
    <t>B'a</t>
  </si>
  <si>
    <t>R'aw</t>
  </si>
  <si>
    <t>G'aw</t>
  </si>
  <si>
    <t>B'aw</t>
  </si>
  <si>
    <t>h</t>
  </si>
  <si>
    <t>H</t>
  </si>
  <si>
    <t>Hc (Red)</t>
  </si>
  <si>
    <t>Hc (Yellow)</t>
  </si>
  <si>
    <t>Hc (Green)</t>
  </si>
  <si>
    <t>Hc (Blue)</t>
  </si>
  <si>
    <t>e</t>
  </si>
  <si>
    <t>Aw</t>
  </si>
  <si>
    <t>Q</t>
  </si>
  <si>
    <t>t</t>
  </si>
  <si>
    <t>s</t>
  </si>
  <si>
    <t>M</t>
  </si>
  <si>
    <t>ac</t>
  </si>
  <si>
    <t>bc</t>
  </si>
  <si>
    <t>as</t>
  </si>
  <si>
    <t>bs</t>
  </si>
  <si>
    <t>CAM02UCS</t>
  </si>
  <si>
    <t>Jc=(1+100*0.007)*J./(1+0.007*J);</t>
  </si>
  <si>
    <t>Mc=(1/0.0228)*log(1+0.0228*M);</t>
  </si>
  <si>
    <t>aMc=Mc.*cos(h*pi/180);</t>
  </si>
  <si>
    <t>bMc=Mc.*sin(h*pi/180);</t>
  </si>
  <si>
    <t>Jc</t>
  </si>
  <si>
    <t>Mc</t>
  </si>
  <si>
    <t>Tbounds for smooth mix</t>
  </si>
  <si>
    <t>Tb(K)</t>
  </si>
  <si>
    <t>Te(K)</t>
  </si>
  <si>
    <t>aB</t>
  </si>
  <si>
    <t>aD</t>
  </si>
  <si>
    <t>wavelength</t>
  </si>
  <si>
    <t>CIE F4</t>
  </si>
  <si>
    <t>reference</t>
  </si>
  <si>
    <t>CCT (K)</t>
  </si>
  <si>
    <t>Duv</t>
  </si>
  <si>
    <t>LER (lm/W)</t>
  </si>
  <si>
    <t>SPD Conversion (1nm to 5nm)</t>
  </si>
  <si>
    <t>1nm</t>
  </si>
  <si>
    <t>5nm</t>
  </si>
  <si>
    <t>Reference source locus</t>
  </si>
  <si>
    <t>Normalized</t>
  </si>
  <si>
    <t>This is an unlocked version which could contain errors.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</si>
</sst>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0000000"/>
    <numFmt numFmtId="165" formatCode="0.000E+00"/>
    <numFmt numFmtId="166" formatCode="0.00000000000"/>
    <numFmt numFmtId="167" formatCode="0.0000"/>
    <numFmt numFmtId="168" formatCode="0.0"/>
    <numFmt numFmtId="169" formatCode="0.0000000"/>
    <numFmt numFmtId="170" formatCode="0.00000"/>
    <numFmt numFmtId="171" formatCode="0.000"/>
  </numFmts>
  <fonts count="46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Geneva"/>
    </font>
    <font>
      <sz val="10"/>
      <color indexed="12"/>
      <name val="Geneva"/>
    </font>
    <font>
      <sz val="10"/>
      <color indexed="11"/>
      <name val="Geneva"/>
    </font>
    <font>
      <sz val="10"/>
      <color indexed="10"/>
      <name val="Geneva"/>
    </font>
    <font>
      <b/>
      <sz val="10"/>
      <color indexed="10"/>
      <name val="Geneva"/>
    </font>
    <font>
      <sz val="10"/>
      <color indexed="17"/>
      <name val="Geneva"/>
    </font>
    <font>
      <sz val="10"/>
      <name val="Arial CE"/>
    </font>
    <font>
      <sz val="9"/>
      <color indexed="17"/>
      <name val="Geneva"/>
    </font>
    <font>
      <sz val="10"/>
      <name val="Geneva"/>
    </font>
    <font>
      <sz val="9"/>
      <color indexed="12"/>
      <name val="Geneva"/>
    </font>
    <font>
      <b/>
      <sz val="10"/>
      <color indexed="56"/>
      <name val="Geneva"/>
    </font>
    <font>
      <sz val="9"/>
      <color indexed="10"/>
      <name val="Geneva"/>
    </font>
    <font>
      <b/>
      <sz val="9"/>
      <color indexed="12"/>
      <name val="Geneva"/>
    </font>
    <font>
      <b/>
      <sz val="9"/>
      <name val="Geneva"/>
    </font>
    <font>
      <sz val="9"/>
      <color indexed="55"/>
      <name val="Geneva"/>
    </font>
    <font>
      <b/>
      <sz val="9"/>
      <color indexed="10"/>
      <name val="Geneva"/>
    </font>
    <font>
      <sz val="10"/>
      <color indexed="8"/>
      <name val="Geneva"/>
      <family val="2"/>
    </font>
    <font>
      <b/>
      <sz val="14"/>
      <name val="Geneva"/>
    </font>
    <font>
      <b/>
      <sz val="10"/>
      <name val="Geneva"/>
    </font>
    <font>
      <b/>
      <sz val="10"/>
      <color indexed="12"/>
      <name val="Geneva"/>
    </font>
    <font>
      <sz val="10"/>
      <color rgb="FF0000FF"/>
      <name val="Geneva"/>
    </font>
    <font>
      <sz val="9"/>
      <color rgb="FF0000FF"/>
      <name val="Geneva"/>
    </font>
    <font>
      <sz val="10"/>
      <color rgb="FFC00000"/>
      <name val="Geneva"/>
    </font>
    <font>
      <sz val="9"/>
      <color rgb="FFC00000"/>
      <name val="Geneva"/>
    </font>
    <font>
      <sz val="10"/>
      <color theme="1"/>
      <name val="Geneva"/>
    </font>
    <font>
      <sz val="9"/>
      <color theme="1"/>
      <name val="Geneva"/>
    </font>
    <font>
      <i/>
      <sz val="11"/>
      <color theme="1"/>
      <name val="Arial Narrow"/>
      <family val="2"/>
    </font>
    <font>
      <i/>
      <sz val="10"/>
      <name val="Geneva"/>
    </font>
    <font>
      <b/>
      <sz val="10"/>
      <color theme="0"/>
      <name val="Geneva"/>
    </font>
    <font>
      <b/>
      <sz val="14"/>
      <color theme="0" tint="-4.9989318521683403E-2"/>
      <name val="Geneva"/>
    </font>
    <font>
      <b/>
      <sz val="14"/>
      <color theme="0"/>
      <name val="Geneva"/>
    </font>
    <font>
      <b/>
      <sz val="10"/>
      <color theme="1" tint="0.499984740745262"/>
      <name val="Geneva"/>
    </font>
    <font>
      <b/>
      <sz val="11"/>
      <color theme="0"/>
      <name val="Geneva"/>
    </font>
    <font>
      <sz val="9"/>
      <color theme="1" tint="0.499984740745262"/>
      <name val="Geneva"/>
    </font>
    <font>
      <sz val="9"/>
      <color theme="0"/>
      <name val="Geneva"/>
    </font>
    <font>
      <sz val="11"/>
      <color theme="0"/>
      <name val="Geneva"/>
    </font>
    <font>
      <b/>
      <sz val="10"/>
      <color rgb="FFFF0000"/>
      <name val="Geneva"/>
    </font>
    <font>
      <sz val="10"/>
      <color theme="0"/>
      <name val="Geneva"/>
    </font>
    <font>
      <b/>
      <sz val="10"/>
      <color theme="1"/>
      <name val="Geneva"/>
    </font>
    <font>
      <b/>
      <sz val="11"/>
      <color theme="0" tint="-0.499984740745262"/>
      <name val="Geneva"/>
    </font>
    <font>
      <sz val="9"/>
      <color theme="0" tint="-0.499984740745262"/>
      <name val="Geneva"/>
    </font>
    <font>
      <sz val="9"/>
      <color theme="0" tint="-4.9989318521683403E-2"/>
      <name val="Geneva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6795556505021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/>
      <top/>
      <bottom/>
      <diagonal/>
    </border>
    <border>
      <left style="medium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/>
      <right style="thin">
        <color theme="0"/>
      </right>
      <top/>
      <bottom/>
      <diagonal/>
    </border>
    <border>
      <left/>
      <right/>
      <top style="thin">
        <color theme="0"/>
      </top>
      <bottom/>
      <diagonal/>
    </border>
  </borders>
  <cellStyleXfs count="5">
    <xf numFmtId="0" fontId="0" fillId="0" borderId="0"/>
    <xf numFmtId="0" fontId="1" fillId="0" borderId="0">
      <alignment vertical="center"/>
    </xf>
    <xf numFmtId="0" fontId="4" fillId="0" borderId="0"/>
    <xf numFmtId="0" fontId="10" fillId="0" borderId="0"/>
    <xf numFmtId="0" fontId="3" fillId="0" borderId="0"/>
  </cellStyleXfs>
  <cellXfs count="214">
    <xf numFmtId="0" fontId="0" fillId="0" borderId="0" xfId="0"/>
    <xf numFmtId="164" fontId="0" fillId="0" borderId="0" xfId="0" applyNumberFormat="1"/>
    <xf numFmtId="165" fontId="1" fillId="0" borderId="0" xfId="1" applyNumberFormat="1">
      <alignment vertical="center"/>
    </xf>
    <xf numFmtId="165" fontId="1" fillId="0" borderId="0" xfId="1" applyNumberFormat="1" applyFill="1">
      <alignment vertical="center"/>
    </xf>
    <xf numFmtId="166" fontId="0" fillId="0" borderId="0" xfId="0" applyNumberFormat="1" applyAlignment="1">
      <alignment vertical="center"/>
    </xf>
    <xf numFmtId="164" fontId="0" fillId="0" borderId="0" xfId="0" applyNumberFormat="1" applyAlignment="1">
      <alignment vertical="center"/>
    </xf>
    <xf numFmtId="0" fontId="2" fillId="2" borderId="0" xfId="0" applyFont="1" applyFill="1" applyAlignment="1">
      <alignment horizontal="left"/>
    </xf>
    <xf numFmtId="0" fontId="2" fillId="2" borderId="0" xfId="0" applyFont="1" applyFill="1" applyBorder="1" applyAlignment="1">
      <alignment horizontal="center"/>
    </xf>
    <xf numFmtId="167" fontId="2" fillId="0" borderId="0" xfId="0" applyNumberFormat="1" applyFont="1" applyAlignment="1">
      <alignment horizontal="center"/>
    </xf>
    <xf numFmtId="0" fontId="4" fillId="0" borderId="0" xfId="2"/>
    <xf numFmtId="0" fontId="4" fillId="0" borderId="0" xfId="2" applyAlignment="1">
      <alignment horizontal="center"/>
    </xf>
    <xf numFmtId="167" fontId="4" fillId="0" borderId="0" xfId="2" applyNumberFormat="1"/>
    <xf numFmtId="0" fontId="4" fillId="3" borderId="0" xfId="2" applyFont="1" applyFill="1"/>
    <xf numFmtId="0" fontId="4" fillId="0" borderId="0" xfId="2" applyAlignment="1">
      <alignment horizontal="right"/>
    </xf>
    <xf numFmtId="0" fontId="5" fillId="0" borderId="0" xfId="2" applyFont="1"/>
    <xf numFmtId="0" fontId="6" fillId="0" borderId="0" xfId="2" applyFont="1"/>
    <xf numFmtId="168" fontId="4" fillId="0" borderId="0" xfId="2" applyNumberFormat="1"/>
    <xf numFmtId="0" fontId="4" fillId="0" borderId="0" xfId="2" applyNumberFormat="1"/>
    <xf numFmtId="168" fontId="5" fillId="0" borderId="0" xfId="2" applyNumberFormat="1" applyFont="1"/>
    <xf numFmtId="0" fontId="5" fillId="0" borderId="0" xfId="2" applyNumberFormat="1" applyFont="1"/>
    <xf numFmtId="168" fontId="7" fillId="0" borderId="0" xfId="2" applyNumberFormat="1" applyFont="1"/>
    <xf numFmtId="0" fontId="8" fillId="0" borderId="0" xfId="2" applyFont="1"/>
    <xf numFmtId="0" fontId="7" fillId="0" borderId="0" xfId="2" applyNumberFormat="1" applyFont="1"/>
    <xf numFmtId="11" fontId="4" fillId="0" borderId="0" xfId="2" applyNumberFormat="1"/>
    <xf numFmtId="0" fontId="4" fillId="0" borderId="1" xfId="2" applyBorder="1" applyAlignment="1">
      <alignment horizontal="center"/>
    </xf>
    <xf numFmtId="1" fontId="9" fillId="0" borderId="0" xfId="2" applyNumberFormat="1" applyFont="1"/>
    <xf numFmtId="0" fontId="9" fillId="0" borderId="0" xfId="2" applyFont="1"/>
    <xf numFmtId="168" fontId="9" fillId="0" borderId="0" xfId="2" applyNumberFormat="1" applyFont="1"/>
    <xf numFmtId="168" fontId="9" fillId="0" borderId="0" xfId="0" applyNumberFormat="1" applyFont="1"/>
    <xf numFmtId="0" fontId="11" fillId="0" borderId="0" xfId="2" applyFont="1"/>
    <xf numFmtId="169" fontId="12" fillId="0" borderId="0" xfId="2" applyNumberFormat="1" applyFont="1" applyBorder="1"/>
    <xf numFmtId="0" fontId="13" fillId="0" borderId="0" xfId="2" applyFont="1"/>
    <xf numFmtId="1" fontId="14" fillId="0" borderId="2" xfId="2" applyNumberFormat="1" applyFont="1" applyBorder="1"/>
    <xf numFmtId="11" fontId="15" fillId="0" borderId="0" xfId="2" applyNumberFormat="1" applyFont="1"/>
    <xf numFmtId="11" fontId="13" fillId="0" borderId="3" xfId="2" applyNumberFormat="1" applyFont="1" applyBorder="1"/>
    <xf numFmtId="11" fontId="13" fillId="0" borderId="0" xfId="2" applyNumberFormat="1" applyFont="1"/>
    <xf numFmtId="0" fontId="16" fillId="0" borderId="0" xfId="2" applyFont="1"/>
    <xf numFmtId="0" fontId="4" fillId="0" borderId="3" xfId="2" applyBorder="1"/>
    <xf numFmtId="0" fontId="15" fillId="0" borderId="0" xfId="2" applyFont="1"/>
    <xf numFmtId="0" fontId="4" fillId="0" borderId="0" xfId="2" applyBorder="1"/>
    <xf numFmtId="1" fontId="15" fillId="0" borderId="0" xfId="2" applyNumberFormat="1" applyFont="1"/>
    <xf numFmtId="0" fontId="13" fillId="0" borderId="3" xfId="2" applyFont="1" applyBorder="1"/>
    <xf numFmtId="0" fontId="16" fillId="0" borderId="0" xfId="2" applyFont="1" applyAlignment="1">
      <alignment horizontal="center"/>
    </xf>
    <xf numFmtId="169" fontId="12" fillId="0" borderId="0" xfId="2" applyNumberFormat="1" applyFont="1" applyBorder="1" applyAlignment="1">
      <alignment horizontal="center"/>
    </xf>
    <xf numFmtId="1" fontId="13" fillId="0" borderId="3" xfId="2" applyNumberFormat="1" applyFont="1" applyBorder="1"/>
    <xf numFmtId="1" fontId="13" fillId="0" borderId="0" xfId="2" applyNumberFormat="1" applyFont="1"/>
    <xf numFmtId="0" fontId="17" fillId="0" borderId="0" xfId="2" applyFont="1" applyAlignment="1">
      <alignment horizontal="right"/>
    </xf>
    <xf numFmtId="1" fontId="17" fillId="0" borderId="0" xfId="2" applyNumberFormat="1" applyFont="1"/>
    <xf numFmtId="170" fontId="11" fillId="0" borderId="0" xfId="2" applyNumberFormat="1" applyFont="1"/>
    <xf numFmtId="169" fontId="4" fillId="0" borderId="0" xfId="2" applyNumberFormat="1" applyBorder="1"/>
    <xf numFmtId="11" fontId="4" fillId="0" borderId="1" xfId="2" applyNumberFormat="1" applyBorder="1"/>
    <xf numFmtId="0" fontId="15" fillId="0" borderId="1" xfId="2" applyFont="1" applyBorder="1"/>
    <xf numFmtId="0" fontId="15" fillId="0" borderId="0" xfId="2" applyFont="1" applyBorder="1"/>
    <xf numFmtId="0" fontId="13" fillId="0" borderId="0" xfId="2" applyFont="1" applyBorder="1"/>
    <xf numFmtId="0" fontId="4" fillId="0" borderId="0" xfId="2" applyBorder="1" applyAlignment="1">
      <alignment horizontal="center"/>
    </xf>
    <xf numFmtId="170" fontId="18" fillId="0" borderId="0" xfId="2" applyNumberFormat="1" applyFont="1"/>
    <xf numFmtId="167" fontId="15" fillId="0" borderId="0" xfId="2" applyNumberFormat="1" applyFont="1"/>
    <xf numFmtId="169" fontId="4" fillId="0" borderId="0" xfId="2" applyNumberFormat="1" applyFont="1" applyBorder="1"/>
    <xf numFmtId="167" fontId="15" fillId="0" borderId="0" xfId="2" applyNumberFormat="1" applyFont="1" applyAlignment="1">
      <alignment horizontal="right"/>
    </xf>
    <xf numFmtId="167" fontId="13" fillId="0" borderId="3" xfId="2" applyNumberFormat="1" applyFont="1" applyBorder="1" applyAlignment="1">
      <alignment horizontal="right"/>
    </xf>
    <xf numFmtId="167" fontId="16" fillId="0" borderId="0" xfId="2" applyNumberFormat="1" applyFont="1" applyAlignment="1">
      <alignment horizontal="right"/>
    </xf>
    <xf numFmtId="167" fontId="16" fillId="0" borderId="0" xfId="2" applyNumberFormat="1" applyFont="1"/>
    <xf numFmtId="0" fontId="17" fillId="0" borderId="0" xfId="2" applyFont="1"/>
    <xf numFmtId="2" fontId="4" fillId="0" borderId="0" xfId="2" applyNumberFormat="1"/>
    <xf numFmtId="2" fontId="15" fillId="0" borderId="0" xfId="2" applyNumberFormat="1" applyFont="1"/>
    <xf numFmtId="167" fontId="4" fillId="0" borderId="0" xfId="2" applyNumberFormat="1" applyBorder="1"/>
    <xf numFmtId="167" fontId="13" fillId="0" borderId="0" xfId="2" applyNumberFormat="1" applyFont="1" applyAlignment="1">
      <alignment horizontal="right"/>
    </xf>
    <xf numFmtId="170" fontId="4" fillId="0" borderId="0" xfId="2" applyNumberFormat="1"/>
    <xf numFmtId="0" fontId="4" fillId="0" borderId="0" xfId="2" applyFont="1" applyFill="1" applyBorder="1"/>
    <xf numFmtId="167" fontId="4" fillId="0" borderId="0" xfId="2" applyNumberFormat="1" applyFont="1" applyFill="1" applyBorder="1"/>
    <xf numFmtId="167" fontId="15" fillId="0" borderId="4" xfId="2" applyNumberFormat="1" applyFont="1" applyBorder="1"/>
    <xf numFmtId="167" fontId="19" fillId="0" borderId="5" xfId="2" applyNumberFormat="1" applyFont="1" applyBorder="1"/>
    <xf numFmtId="167" fontId="13" fillId="0" borderId="4" xfId="2" applyNumberFormat="1" applyFont="1" applyBorder="1"/>
    <xf numFmtId="167" fontId="16" fillId="0" borderId="5" xfId="2" applyNumberFormat="1" applyFont="1" applyBorder="1"/>
    <xf numFmtId="167" fontId="15" fillId="0" borderId="3" xfId="2" applyNumberFormat="1" applyFont="1" applyBorder="1"/>
    <xf numFmtId="2" fontId="15" fillId="0" borderId="6" xfId="2" applyNumberFormat="1" applyFont="1" applyBorder="1"/>
    <xf numFmtId="167" fontId="13" fillId="0" borderId="3" xfId="2" applyNumberFormat="1" applyFont="1" applyBorder="1"/>
    <xf numFmtId="2" fontId="13" fillId="0" borderId="6" xfId="2" applyNumberFormat="1" applyFont="1" applyBorder="1"/>
    <xf numFmtId="11" fontId="4" fillId="0" borderId="1" xfId="2" applyNumberFormat="1" applyBorder="1" applyAlignment="1">
      <alignment horizontal="center" vertical="center" wrapText="1"/>
    </xf>
    <xf numFmtId="0" fontId="4" fillId="0" borderId="0" xfId="2" applyAlignment="1">
      <alignment horizontal="center" vertical="center" wrapText="1"/>
    </xf>
    <xf numFmtId="167" fontId="15" fillId="0" borderId="6" xfId="2" applyNumberFormat="1" applyFont="1" applyBorder="1"/>
    <xf numFmtId="167" fontId="13" fillId="0" borderId="6" xfId="2" applyNumberFormat="1" applyFont="1" applyBorder="1"/>
    <xf numFmtId="0" fontId="15" fillId="0" borderId="3" xfId="2" applyFont="1" applyBorder="1"/>
    <xf numFmtId="1" fontId="19" fillId="0" borderId="6" xfId="2" applyNumberFormat="1" applyFont="1" applyBorder="1"/>
    <xf numFmtId="167" fontId="15" fillId="0" borderId="7" xfId="2" applyNumberFormat="1" applyFont="1" applyBorder="1"/>
    <xf numFmtId="1" fontId="16" fillId="0" borderId="6" xfId="2" applyNumberFormat="1" applyFont="1" applyBorder="1"/>
    <xf numFmtId="167" fontId="13" fillId="0" borderId="7" xfId="2" applyNumberFormat="1" applyFont="1" applyBorder="1"/>
    <xf numFmtId="167" fontId="15" fillId="0" borderId="8" xfId="2" applyNumberFormat="1" applyFont="1" applyBorder="1"/>
    <xf numFmtId="167" fontId="13" fillId="0" borderId="8" xfId="2" applyNumberFormat="1" applyFont="1" applyBorder="1"/>
    <xf numFmtId="167" fontId="13" fillId="0" borderId="0" xfId="2" applyNumberFormat="1" applyFont="1"/>
    <xf numFmtId="168" fontId="19" fillId="0" borderId="0" xfId="2" applyNumberFormat="1" applyFont="1"/>
    <xf numFmtId="167" fontId="16" fillId="0" borderId="3" xfId="2" applyNumberFormat="1" applyFont="1" applyBorder="1"/>
    <xf numFmtId="171" fontId="13" fillId="0" borderId="6" xfId="2" applyNumberFormat="1" applyFont="1" applyBorder="1"/>
    <xf numFmtId="0" fontId="20" fillId="0" borderId="0" xfId="2" applyFont="1"/>
    <xf numFmtId="0" fontId="21" fillId="0" borderId="0" xfId="0" applyFont="1"/>
    <xf numFmtId="0" fontId="15" fillId="0" borderId="0" xfId="0" applyFont="1"/>
    <xf numFmtId="171" fontId="12" fillId="0" borderId="0" xfId="0" applyNumberFormat="1" applyFont="1" applyBorder="1"/>
    <xf numFmtId="167" fontId="12" fillId="0" borderId="0" xfId="0" applyNumberFormat="1" applyFont="1" applyBorder="1"/>
    <xf numFmtId="1" fontId="15" fillId="0" borderId="0" xfId="0" applyNumberFormat="1" applyFont="1"/>
    <xf numFmtId="0" fontId="12" fillId="0" borderId="0" xfId="0" applyFont="1"/>
    <xf numFmtId="0" fontId="7" fillId="0" borderId="0" xfId="0" applyFont="1"/>
    <xf numFmtId="0" fontId="17" fillId="0" borderId="0" xfId="0" applyFont="1" applyFill="1"/>
    <xf numFmtId="167" fontId="12" fillId="0" borderId="0" xfId="0" applyNumberFormat="1" applyFont="1" applyFill="1" applyBorder="1"/>
    <xf numFmtId="0" fontId="12" fillId="0" borderId="0" xfId="0" applyFont="1" applyFill="1"/>
    <xf numFmtId="0" fontId="22" fillId="0" borderId="0" xfId="0" applyFont="1"/>
    <xf numFmtId="0" fontId="5" fillId="3" borderId="0" xfId="0" applyFont="1" applyFill="1" applyBorder="1"/>
    <xf numFmtId="167" fontId="5" fillId="3" borderId="0" xfId="0" applyNumberFormat="1" applyFont="1" applyFill="1" applyBorder="1"/>
    <xf numFmtId="0" fontId="5" fillId="3" borderId="0" xfId="0" applyFont="1" applyFill="1"/>
    <xf numFmtId="0" fontId="5" fillId="0" borderId="0" xfId="0" applyFont="1" applyFill="1"/>
    <xf numFmtId="0" fontId="23" fillId="0" borderId="0" xfId="0" applyFont="1" applyFill="1" applyAlignment="1">
      <alignment horizontal="center"/>
    </xf>
    <xf numFmtId="0" fontId="12" fillId="0" borderId="0" xfId="0" applyFont="1" applyFill="1" applyAlignment="1">
      <alignment horizontal="center"/>
    </xf>
    <xf numFmtId="167" fontId="0" fillId="0" borderId="0" xfId="0" applyNumberFormat="1" applyFont="1"/>
    <xf numFmtId="167" fontId="0" fillId="0" borderId="0" xfId="0" applyNumberFormat="1"/>
    <xf numFmtId="171" fontId="5" fillId="3" borderId="0" xfId="0" applyNumberFormat="1" applyFont="1" applyFill="1" applyBorder="1" applyAlignment="1">
      <alignment horizontal="right"/>
    </xf>
    <xf numFmtId="168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/>
    <xf numFmtId="0" fontId="5" fillId="3" borderId="0" xfId="0" applyFont="1" applyFill="1" applyBorder="1" applyAlignment="1">
      <alignment horizontal="right"/>
    </xf>
    <xf numFmtId="167" fontId="13" fillId="3" borderId="0" xfId="0" applyNumberFormat="1" applyFont="1" applyFill="1" applyBorder="1"/>
    <xf numFmtId="167" fontId="15" fillId="0" borderId="0" xfId="0" applyNumberFormat="1" applyFont="1"/>
    <xf numFmtId="0" fontId="7" fillId="3" borderId="0" xfId="0" applyFont="1" applyFill="1" applyBorder="1"/>
    <xf numFmtId="167" fontId="15" fillId="3" borderId="0" xfId="0" applyNumberFormat="1" applyFont="1" applyFill="1" applyBorder="1"/>
    <xf numFmtId="167" fontId="15" fillId="3" borderId="0" xfId="0" applyNumberFormat="1" applyFont="1" applyFill="1"/>
    <xf numFmtId="171" fontId="7" fillId="3" borderId="0" xfId="0" applyNumberFormat="1" applyFont="1" applyFill="1" applyBorder="1" applyAlignment="1">
      <alignment horizontal="right"/>
    </xf>
    <xf numFmtId="167" fontId="7" fillId="3" borderId="0" xfId="0" applyNumberFormat="1" applyFont="1" applyFill="1" applyBorder="1"/>
    <xf numFmtId="0" fontId="15" fillId="3" borderId="0" xfId="0" applyFont="1" applyFill="1" applyBorder="1" applyAlignment="1">
      <alignment horizontal="right"/>
    </xf>
    <xf numFmtId="171" fontId="7" fillId="3" borderId="0" xfId="0" applyNumberFormat="1" applyFont="1" applyFill="1" applyBorder="1"/>
    <xf numFmtId="0" fontId="15" fillId="3" borderId="0" xfId="0" applyFont="1" applyFill="1"/>
    <xf numFmtId="171" fontId="20" fillId="3" borderId="0" xfId="0" applyNumberFormat="1" applyFont="1" applyFill="1" applyBorder="1" applyAlignment="1">
      <alignment horizontal="right"/>
    </xf>
    <xf numFmtId="167" fontId="20" fillId="3" borderId="0" xfId="0" applyNumberFormat="1" applyFont="1" applyFill="1" applyBorder="1"/>
    <xf numFmtId="171" fontId="20" fillId="3" borderId="0" xfId="0" applyNumberFormat="1" applyFont="1" applyFill="1" applyBorder="1"/>
    <xf numFmtId="171" fontId="12" fillId="3" borderId="0" xfId="0" applyNumberFormat="1" applyFont="1" applyFill="1" applyBorder="1" applyAlignment="1">
      <alignment horizontal="right"/>
    </xf>
    <xf numFmtId="0" fontId="0" fillId="3" borderId="0" xfId="0" applyFill="1"/>
    <xf numFmtId="171" fontId="24" fillId="3" borderId="0" xfId="0" applyNumberFormat="1" applyFont="1" applyFill="1" applyBorder="1" applyAlignment="1">
      <alignment horizontal="right"/>
    </xf>
    <xf numFmtId="167" fontId="24" fillId="3" borderId="0" xfId="0" applyNumberFormat="1" applyFont="1" applyFill="1" applyBorder="1"/>
    <xf numFmtId="171" fontId="24" fillId="3" borderId="0" xfId="0" applyNumberFormat="1" applyFont="1" applyFill="1" applyBorder="1"/>
    <xf numFmtId="0" fontId="25" fillId="3" borderId="0" xfId="0" applyFont="1" applyFill="1"/>
    <xf numFmtId="171" fontId="26" fillId="3" borderId="0" xfId="0" applyNumberFormat="1" applyFont="1" applyFill="1" applyBorder="1" applyAlignment="1">
      <alignment horizontal="right"/>
    </xf>
    <xf numFmtId="167" fontId="26" fillId="3" borderId="0" xfId="0" applyNumberFormat="1" applyFont="1" applyFill="1" applyBorder="1"/>
    <xf numFmtId="171" fontId="26" fillId="3" borderId="0" xfId="0" applyNumberFormat="1" applyFont="1" applyFill="1" applyBorder="1"/>
    <xf numFmtId="0" fontId="27" fillId="3" borderId="0" xfId="0" applyFont="1" applyFill="1"/>
    <xf numFmtId="0" fontId="17" fillId="0" borderId="0" xfId="0" applyFont="1"/>
    <xf numFmtId="0" fontId="17" fillId="4" borderId="0" xfId="0" applyFont="1" applyFill="1" applyBorder="1" applyAlignment="1">
      <alignment horizontal="right"/>
    </xf>
    <xf numFmtId="0" fontId="0" fillId="4" borderId="0" xfId="0" applyFill="1" applyBorder="1"/>
    <xf numFmtId="168" fontId="0" fillId="4" borderId="0" xfId="0" applyNumberFormat="1" applyFill="1" applyBorder="1"/>
    <xf numFmtId="2" fontId="0" fillId="4" borderId="0" xfId="0" applyNumberFormat="1" applyFill="1" applyBorder="1"/>
    <xf numFmtId="171" fontId="0" fillId="4" borderId="0" xfId="0" applyNumberFormat="1" applyFill="1" applyBorder="1"/>
    <xf numFmtId="171" fontId="22" fillId="4" borderId="0" xfId="0" applyNumberFormat="1" applyFont="1" applyFill="1" applyBorder="1" applyAlignment="1">
      <alignment horizontal="right"/>
    </xf>
    <xf numFmtId="167" fontId="12" fillId="4" borderId="0" xfId="0" applyNumberFormat="1" applyFont="1" applyFill="1" applyBorder="1"/>
    <xf numFmtId="171" fontId="12" fillId="4" borderId="0" xfId="0" applyNumberFormat="1" applyFont="1" applyFill="1" applyBorder="1"/>
    <xf numFmtId="0" fontId="3" fillId="4" borderId="0" xfId="4" applyFill="1" applyBorder="1"/>
    <xf numFmtId="171" fontId="12" fillId="5" borderId="0" xfId="0" applyNumberFormat="1" applyFont="1" applyFill="1" applyBorder="1" applyAlignment="1">
      <alignment horizontal="right"/>
    </xf>
    <xf numFmtId="167" fontId="7" fillId="5" borderId="0" xfId="0" applyNumberFormat="1" applyFont="1" applyFill="1" applyBorder="1"/>
    <xf numFmtId="171" fontId="7" fillId="5" borderId="0" xfId="0" applyNumberFormat="1" applyFont="1" applyFill="1" applyBorder="1"/>
    <xf numFmtId="0" fontId="0" fillId="5" borderId="0" xfId="0" applyFill="1" applyBorder="1"/>
    <xf numFmtId="171" fontId="12" fillId="5" borderId="0" xfId="0" applyNumberFormat="1" applyFont="1" applyFill="1" applyBorder="1"/>
    <xf numFmtId="167" fontId="5" fillId="5" borderId="0" xfId="0" applyNumberFormat="1" applyFont="1" applyFill="1" applyBorder="1"/>
    <xf numFmtId="0" fontId="13" fillId="5" borderId="0" xfId="0" applyFont="1" applyFill="1" applyBorder="1"/>
    <xf numFmtId="0" fontId="15" fillId="5" borderId="0" xfId="0" applyFont="1" applyFill="1" applyBorder="1"/>
    <xf numFmtId="167" fontId="12" fillId="6" borderId="0" xfId="0" applyNumberFormat="1" applyFont="1" applyFill="1" applyBorder="1"/>
    <xf numFmtId="167" fontId="5" fillId="6" borderId="0" xfId="0" applyNumberFormat="1" applyFont="1" applyFill="1" applyBorder="1"/>
    <xf numFmtId="167" fontId="13" fillId="6" borderId="0" xfId="0" applyNumberFormat="1" applyFont="1" applyFill="1" applyBorder="1"/>
    <xf numFmtId="167" fontId="28" fillId="6" borderId="0" xfId="0" applyNumberFormat="1" applyFont="1" applyFill="1" applyBorder="1" applyAlignment="1">
      <alignment horizontal="center"/>
    </xf>
    <xf numFmtId="167" fontId="29" fillId="6" borderId="0" xfId="0" applyNumberFormat="1" applyFont="1" applyFill="1" applyBorder="1" applyAlignment="1">
      <alignment horizontal="center"/>
    </xf>
    <xf numFmtId="167" fontId="29" fillId="6" borderId="0" xfId="0" applyNumberFormat="1" applyFont="1" applyFill="1" applyBorder="1"/>
    <xf numFmtId="167" fontId="29" fillId="6" borderId="0" xfId="0" applyNumberFormat="1" applyFont="1" applyFill="1"/>
    <xf numFmtId="167" fontId="12" fillId="6" borderId="0" xfId="0" applyNumberFormat="1" applyFont="1" applyFill="1" applyAlignment="1">
      <alignment horizontal="left"/>
    </xf>
    <xf numFmtId="167" fontId="0" fillId="6" borderId="0" xfId="0" applyNumberFormat="1" applyFill="1"/>
    <xf numFmtId="167" fontId="30" fillId="6" borderId="0" xfId="2" applyNumberFormat="1" applyFont="1" applyFill="1" applyBorder="1"/>
    <xf numFmtId="167" fontId="15" fillId="6" borderId="0" xfId="0" applyNumberFormat="1" applyFont="1" applyFill="1" applyBorder="1"/>
    <xf numFmtId="167" fontId="0" fillId="6" borderId="0" xfId="0" applyNumberFormat="1" applyFill="1" applyBorder="1"/>
    <xf numFmtId="167" fontId="31" fillId="6" borderId="0" xfId="0" applyNumberFormat="1" applyFont="1" applyFill="1" applyAlignment="1">
      <alignment horizontal="center"/>
    </xf>
    <xf numFmtId="167" fontId="12" fillId="6" borderId="0" xfId="0" applyNumberFormat="1" applyFont="1" applyFill="1"/>
    <xf numFmtId="167" fontId="12" fillId="6" borderId="0" xfId="0" applyNumberFormat="1" applyFont="1" applyFill="1" applyBorder="1" applyAlignment="1">
      <alignment horizontal="center"/>
    </xf>
    <xf numFmtId="2" fontId="12" fillId="6" borderId="0" xfId="0" applyNumberFormat="1" applyFont="1" applyFill="1" applyBorder="1"/>
    <xf numFmtId="0" fontId="32" fillId="7" borderId="0" xfId="0" applyFont="1" applyFill="1" applyAlignment="1">
      <alignment horizontal="center"/>
    </xf>
    <xf numFmtId="171" fontId="33" fillId="7" borderId="0" xfId="0" applyNumberFormat="1" applyFont="1" applyFill="1" applyAlignment="1">
      <alignment horizontal="center"/>
    </xf>
    <xf numFmtId="0" fontId="34" fillId="7" borderId="0" xfId="0" applyFont="1" applyFill="1" applyAlignment="1">
      <alignment horizontal="center"/>
    </xf>
    <xf numFmtId="0" fontId="35" fillId="7" borderId="0" xfId="0" applyFont="1" applyFill="1" applyAlignment="1">
      <alignment horizontal="center"/>
    </xf>
    <xf numFmtId="171" fontId="35" fillId="7" borderId="0" xfId="0" applyNumberFormat="1" applyFont="1" applyFill="1" applyAlignment="1">
      <alignment horizontal="center"/>
    </xf>
    <xf numFmtId="0" fontId="36" fillId="7" borderId="0" xfId="0" applyFont="1" applyFill="1" applyAlignment="1">
      <alignment horizontal="center"/>
    </xf>
    <xf numFmtId="0" fontId="37" fillId="7" borderId="0" xfId="0" applyFont="1" applyFill="1" applyAlignment="1">
      <alignment horizontal="center"/>
    </xf>
    <xf numFmtId="171" fontId="37" fillId="7" borderId="0" xfId="0" applyNumberFormat="1" applyFont="1" applyFill="1" applyAlignment="1">
      <alignment horizontal="center"/>
    </xf>
    <xf numFmtId="0" fontId="38" fillId="7" borderId="0" xfId="0" applyFont="1" applyFill="1" applyAlignment="1">
      <alignment horizontal="center"/>
    </xf>
    <xf numFmtId="1" fontId="39" fillId="7" borderId="0" xfId="0" applyNumberFormat="1" applyFont="1" applyFill="1" applyAlignment="1">
      <alignment horizontal="center"/>
    </xf>
    <xf numFmtId="0" fontId="32" fillId="7" borderId="10" xfId="0" applyFont="1" applyFill="1" applyBorder="1" applyAlignment="1">
      <alignment horizontal="center"/>
    </xf>
    <xf numFmtId="168" fontId="40" fillId="7" borderId="11" xfId="0" applyNumberFormat="1" applyFont="1" applyFill="1" applyBorder="1" applyAlignment="1">
      <alignment horizontal="center"/>
    </xf>
    <xf numFmtId="168" fontId="36" fillId="7" borderId="0" xfId="0" applyNumberFormat="1" applyFont="1" applyFill="1" applyBorder="1" applyAlignment="1">
      <alignment horizontal="center"/>
    </xf>
    <xf numFmtId="0" fontId="32" fillId="7" borderId="12" xfId="0" applyFont="1" applyFill="1" applyBorder="1" applyAlignment="1">
      <alignment horizontal="center"/>
    </xf>
    <xf numFmtId="168" fontId="40" fillId="7" borderId="13" xfId="0" applyNumberFormat="1" applyFont="1" applyFill="1" applyBorder="1" applyAlignment="1">
      <alignment horizontal="center"/>
    </xf>
    <xf numFmtId="1" fontId="41" fillId="7" borderId="14" xfId="0" applyNumberFormat="1" applyFont="1" applyFill="1" applyBorder="1" applyAlignment="1">
      <alignment horizontal="center"/>
    </xf>
    <xf numFmtId="0" fontId="39" fillId="7" borderId="0" xfId="0" applyFont="1" applyFill="1" applyAlignment="1">
      <alignment horizontal="center"/>
    </xf>
    <xf numFmtId="170" fontId="41" fillId="7" borderId="14" xfId="0" applyNumberFormat="1" applyFont="1" applyFill="1" applyBorder="1" applyAlignment="1">
      <alignment horizontal="center"/>
    </xf>
    <xf numFmtId="171" fontId="39" fillId="7" borderId="0" xfId="0" applyNumberFormat="1" applyFont="1" applyFill="1" applyAlignment="1">
      <alignment horizontal="center"/>
    </xf>
    <xf numFmtId="168" fontId="41" fillId="7" borderId="14" xfId="0" applyNumberFormat="1" applyFont="1" applyFill="1" applyBorder="1" applyAlignment="1">
      <alignment horizontal="center"/>
    </xf>
    <xf numFmtId="0" fontId="42" fillId="7" borderId="15" xfId="0" applyFont="1" applyFill="1" applyBorder="1" applyAlignment="1">
      <alignment horizontal="center"/>
    </xf>
    <xf numFmtId="171" fontId="28" fillId="7" borderId="15" xfId="0" applyNumberFormat="1" applyFont="1" applyFill="1" applyBorder="1" applyAlignment="1">
      <alignment horizontal="center"/>
    </xf>
    <xf numFmtId="168" fontId="39" fillId="7" borderId="0" xfId="0" applyNumberFormat="1" applyFont="1" applyFill="1" applyAlignment="1">
      <alignment horizontal="center"/>
    </xf>
    <xf numFmtId="0" fontId="42" fillId="7" borderId="0" xfId="0" applyFont="1" applyFill="1" applyBorder="1" applyAlignment="1">
      <alignment horizontal="center"/>
    </xf>
    <xf numFmtId="171" fontId="28" fillId="7" borderId="0" xfId="0" applyNumberFormat="1" applyFont="1" applyFill="1" applyBorder="1" applyAlignment="1">
      <alignment horizontal="center"/>
    </xf>
    <xf numFmtId="0" fontId="29" fillId="7" borderId="0" xfId="0" applyFont="1" applyFill="1" applyAlignment="1">
      <alignment horizontal="center"/>
    </xf>
    <xf numFmtId="0" fontId="0" fillId="7" borderId="0" xfId="0" applyFill="1"/>
    <xf numFmtId="0" fontId="43" fillId="7" borderId="0" xfId="0" applyFont="1" applyFill="1" applyAlignment="1">
      <alignment horizontal="center"/>
    </xf>
    <xf numFmtId="0" fontId="44" fillId="7" borderId="0" xfId="0" applyFont="1" applyFill="1" applyAlignment="1">
      <alignment horizontal="center"/>
    </xf>
    <xf numFmtId="169" fontId="45" fillId="8" borderId="0" xfId="0" applyNumberFormat="1" applyFont="1" applyFill="1"/>
    <xf numFmtId="169" fontId="44" fillId="7" borderId="0" xfId="0" applyNumberFormat="1" applyFont="1" applyFill="1" applyAlignment="1">
      <alignment horizontal="center"/>
    </xf>
    <xf numFmtId="169" fontId="45" fillId="8" borderId="0" xfId="0" applyNumberFormat="1" applyFont="1" applyFill="1" applyAlignment="1">
      <alignment horizontal="center"/>
    </xf>
    <xf numFmtId="171" fontId="32" fillId="7" borderId="9" xfId="0" applyNumberFormat="1" applyFont="1" applyFill="1" applyBorder="1" applyAlignment="1">
      <alignment horizontal="center"/>
    </xf>
    <xf numFmtId="167" fontId="38" fillId="7" borderId="0" xfId="0" applyNumberFormat="1" applyFont="1" applyFill="1" applyAlignment="1">
      <alignment horizontal="center"/>
    </xf>
    <xf numFmtId="167" fontId="38" fillId="7" borderId="0" xfId="0" applyNumberFormat="1" applyFont="1" applyFill="1" applyAlignment="1" applyProtection="1">
      <alignment horizontal="center"/>
    </xf>
    <xf numFmtId="170" fontId="44" fillId="0" borderId="0" xfId="2" applyNumberFormat="1" applyFont="1"/>
    <xf numFmtId="171" fontId="21" fillId="7" borderId="0" xfId="0" applyNumberFormat="1" applyFont="1" applyFill="1" applyAlignment="1">
      <alignment horizontal="center"/>
    </xf>
    <xf numFmtId="0" fontId="43" fillId="7" borderId="0" xfId="0" applyFont="1" applyFill="1" applyAlignment="1">
      <alignment horizontal="center" vertical="center"/>
    </xf>
  </cellXfs>
  <cellStyles count="5">
    <cellStyle name="Normal 5" xfId="4"/>
    <cellStyle name="Normal_CAS interpolation_Zong" xfId="3"/>
    <cellStyle name="Standaard" xfId="0" builtinId="0"/>
    <cellStyle name="Standaard 2" xfId="2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xlMacrosheet" Target="macrosheets/sheet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.xml"/><Relationship Id="rId1" Type="http://schemas.openxmlformats.org/officeDocument/2006/relationships/image" Target="../media/image2.jpe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5400"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Calculator!$DR$18:$EH$18</c:f>
              <c:numCache>
                <c:formatCode>0.00</c:formatCode>
                <c:ptCount val="17"/>
                <c:pt idx="0">
                  <c:v>0.97866296321567658</c:v>
                </c:pt>
                <c:pt idx="1">
                  <c:v>0.79420805449404652</c:v>
                </c:pt>
                <c:pt idx="2">
                  <c:v>0.5579310600207803</c:v>
                </c:pt>
                <c:pt idx="3">
                  <c:v>0.12023914883379919</c:v>
                </c:pt>
                <c:pt idx="4">
                  <c:v>-0.21255063616334341</c:v>
                </c:pt>
                <c:pt idx="5">
                  <c:v>-0.59837420603083258</c:v>
                </c:pt>
                <c:pt idx="6">
                  <c:v>-0.81947612417386129</c:v>
                </c:pt>
                <c:pt idx="7">
                  <c:v>-0.96103399614621543</c:v>
                </c:pt>
                <c:pt idx="8">
                  <c:v>-0.98436844022024328</c:v>
                </c:pt>
                <c:pt idx="9">
                  <c:v>-0.83946625717339796</c:v>
                </c:pt>
                <c:pt idx="10">
                  <c:v>-0.56105747867423728</c:v>
                </c:pt>
                <c:pt idx="11">
                  <c:v>-0.27004504116915756</c:v>
                </c:pt>
                <c:pt idx="12">
                  <c:v>0.1788466314149742</c:v>
                </c:pt>
                <c:pt idx="13">
                  <c:v>0.56306292509883149</c:v>
                </c:pt>
                <c:pt idx="14">
                  <c:v>0.8150299238027352</c:v>
                </c:pt>
                <c:pt idx="15">
                  <c:v>0.96468141787898731</c:v>
                </c:pt>
                <c:pt idx="16">
                  <c:v>0.97866296321567658</c:v>
                </c:pt>
              </c:numCache>
            </c:numRef>
          </c:xVal>
          <c:yVal>
            <c:numRef>
              <c:f>Calculator!$DR$19:$EH$19</c:f>
              <c:numCache>
                <c:formatCode>0.00</c:formatCode>
                <c:ptCount val="17"/>
                <c:pt idx="0">
                  <c:v>0.20547215001043628</c:v>
                </c:pt>
                <c:pt idx="1">
                  <c:v>0.60764592171492571</c:v>
                </c:pt>
                <c:pt idx="2">
                  <c:v>0.8298873009415727</c:v>
                </c:pt>
                <c:pt idx="3">
                  <c:v>0.99274495571003707</c:v>
                </c:pt>
                <c:pt idx="4">
                  <c:v>0.97715005350588713</c:v>
                </c:pt>
                <c:pt idx="5">
                  <c:v>0.8012167681451573</c:v>
                </c:pt>
                <c:pt idx="6">
                  <c:v>0.57311332379293556</c:v>
                </c:pt>
                <c:pt idx="7">
                  <c:v>0.27643020502693988</c:v>
                </c:pt>
                <c:pt idx="8">
                  <c:v>-0.17612147483587934</c:v>
                </c:pt>
                <c:pt idx="9">
                  <c:v>-0.54341181719510523</c:v>
                </c:pt>
                <c:pt idx="10">
                  <c:v>-0.82777684530536844</c:v>
                </c:pt>
                <c:pt idx="11">
                  <c:v>-0.96284769083170574</c:v>
                </c:pt>
                <c:pt idx="12">
                  <c:v>-0.98387696508837752</c:v>
                </c:pt>
                <c:pt idx="13">
                  <c:v>-0.8264140260058197</c:v>
                </c:pt>
                <c:pt idx="14">
                  <c:v>-0.57941886688828803</c:v>
                </c:pt>
                <c:pt idx="15">
                  <c:v>-0.26341936526950077</c:v>
                </c:pt>
                <c:pt idx="16">
                  <c:v>0.20547215001043628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9DB-4B7E-B27A-3AD2FFB842D2}"/>
            </c:ext>
          </c:extLst>
        </c:ser>
        <c:ser>
          <c:idx val="1"/>
          <c:order val="1"/>
          <c:spPr>
            <a:ln w="254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Calculator!$DR$20:$EH$20</c:f>
              <c:numCache>
                <c:formatCode>0.00</c:formatCode>
                <c:ptCount val="17"/>
                <c:pt idx="0">
                  <c:v>0.71480090173449184</c:v>
                </c:pt>
                <c:pt idx="1">
                  <c:v>0.4872191915988901</c:v>
                </c:pt>
                <c:pt idx="2">
                  <c:v>0.21987652325786738</c:v>
                </c:pt>
                <c:pt idx="3">
                  <c:v>-0.14461170326330178</c:v>
                </c:pt>
                <c:pt idx="4">
                  <c:v>-0.36832563610980207</c:v>
                </c:pt>
                <c:pt idx="5">
                  <c:v>-0.55321162216624753</c:v>
                </c:pt>
                <c:pt idx="6">
                  <c:v>-0.65144346372584605</c:v>
                </c:pt>
                <c:pt idx="7">
                  <c:v>-0.72723351276473258</c:v>
                </c:pt>
                <c:pt idx="8">
                  <c:v>-0.74628826114986979</c:v>
                </c:pt>
                <c:pt idx="9">
                  <c:v>-0.53098725149316994</c:v>
                </c:pt>
                <c:pt idx="10">
                  <c:v>-0.21508183625104282</c:v>
                </c:pt>
                <c:pt idx="11">
                  <c:v>-7.4916894969560194E-2</c:v>
                </c:pt>
                <c:pt idx="12">
                  <c:v>0.20485907123905608</c:v>
                </c:pt>
                <c:pt idx="13">
                  <c:v>0.47691937971809312</c:v>
                </c:pt>
                <c:pt idx="14">
                  <c:v>0.67077151116372025</c:v>
                </c:pt>
                <c:pt idx="15">
                  <c:v>0.70599981418589475</c:v>
                </c:pt>
                <c:pt idx="16">
                  <c:v>0.71480090173449184</c:v>
                </c:pt>
              </c:numCache>
            </c:numRef>
          </c:xVal>
          <c:yVal>
            <c:numRef>
              <c:f>Calculator!$DR$21:$EH$21</c:f>
              <c:numCache>
                <c:formatCode>0.00</c:formatCode>
                <c:ptCount val="17"/>
                <c:pt idx="0">
                  <c:v>0.10831435280071244</c:v>
                </c:pt>
                <c:pt idx="1">
                  <c:v>0.65161530450504723</c:v>
                </c:pt>
                <c:pt idx="2">
                  <c:v>0.95173399386113133</c:v>
                </c:pt>
                <c:pt idx="3">
                  <c:v>1.1910269380093752</c:v>
                </c:pt>
                <c:pt idx="4">
                  <c:v>1.1482584840333625</c:v>
                </c:pt>
                <c:pt idx="5">
                  <c:v>0.95834755240922154</c:v>
                </c:pt>
                <c:pt idx="6">
                  <c:v>0.8195373386967697</c:v>
                </c:pt>
                <c:pt idx="7">
                  <c:v>0.3613984465696114</c:v>
                </c:pt>
                <c:pt idx="8">
                  <c:v>-9.4198943493832468E-2</c:v>
                </c:pt>
                <c:pt idx="9">
                  <c:v>-0.55914024732288603</c:v>
                </c:pt>
                <c:pt idx="10">
                  <c:v>-0.87021662824699919</c:v>
                </c:pt>
                <c:pt idx="11">
                  <c:v>-1.0455179155850347</c:v>
                </c:pt>
                <c:pt idx="12">
                  <c:v>-1.1119341812494099</c:v>
                </c:pt>
                <c:pt idx="13">
                  <c:v>-1.0196581530713664</c:v>
                </c:pt>
                <c:pt idx="14">
                  <c:v>-0.80281256400082834</c:v>
                </c:pt>
                <c:pt idx="15">
                  <c:v>-0.41951219451453559</c:v>
                </c:pt>
                <c:pt idx="16">
                  <c:v>0.10831435280071244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9DB-4B7E-B27A-3AD2FFB84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202272"/>
        <c:axId val="551205408"/>
      </c:scatterChart>
      <c:valAx>
        <c:axId val="551202272"/>
        <c:scaling>
          <c:orientation val="minMax"/>
          <c:max val="1.5"/>
          <c:min val="-1.5"/>
        </c:scaling>
        <c:delete val="1"/>
        <c:axPos val="b"/>
        <c:majorGridlines>
          <c:spPr>
            <a:ln w="9525">
              <a:solidFill>
                <a:schemeClr val="tx1">
                  <a:tint val="75000"/>
                  <a:shade val="95000"/>
                  <a:satMod val="105000"/>
                  <a:alpha val="50000"/>
                </a:schemeClr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551205408"/>
        <c:crosses val="autoZero"/>
        <c:crossBetween val="midCat"/>
        <c:majorUnit val="0.5"/>
      </c:valAx>
      <c:valAx>
        <c:axId val="551205408"/>
        <c:scaling>
          <c:orientation val="minMax"/>
          <c:max val="1.5"/>
          <c:min val="-1.5"/>
        </c:scaling>
        <c:delete val="1"/>
        <c:axPos val="l"/>
        <c:majorGridlines>
          <c:spPr>
            <a:ln>
              <a:solidFill>
                <a:schemeClr val="tx1">
                  <a:tint val="75000"/>
                  <a:shade val="95000"/>
                  <a:satMod val="105000"/>
                  <a:alpha val="50000"/>
                </a:schemeClr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551202272"/>
        <c:crosses val="autoZero"/>
        <c:crossBetween val="midCat"/>
        <c:majorUnit val="0.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nl-B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54967081628763"/>
          <c:y val="0.11878279720154435"/>
          <c:w val="0.70306954647428843"/>
          <c:h val="0.67072030671933924"/>
        </c:manualLayout>
      </c:layout>
      <c:scatterChart>
        <c:scatterStyle val="smoothMarker"/>
        <c:varyColors val="0"/>
        <c:ser>
          <c:idx val="1"/>
          <c:order val="0"/>
          <c:tx>
            <c:v>Reference</c:v>
          </c:tx>
          <c:spPr>
            <a:ln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Reference!$A$5:$A$99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Reference!$N$5:$N$99</c:f>
              <c:numCache>
                <c:formatCode>0.0000</c:formatCode>
                <c:ptCount val="95"/>
                <c:pt idx="0">
                  <c:v>0.3288910725078098</c:v>
                </c:pt>
                <c:pt idx="1">
                  <c:v>0.3698550390489353</c:v>
                </c:pt>
                <c:pt idx="2">
                  <c:v>0.4142201345046056</c:v>
                </c:pt>
                <c:pt idx="3">
                  <c:v>0.46209113393437218</c:v>
                </c:pt>
                <c:pt idx="4">
                  <c:v>0.51356239633563705</c:v>
                </c:pt>
                <c:pt idx="5">
                  <c:v>0.56871729967613449</c:v>
                </c:pt>
                <c:pt idx="6">
                  <c:v>0.62762777694334881</c:v>
                </c:pt>
                <c:pt idx="7">
                  <c:v>0.69035395274121736</c:v>
                </c:pt>
                <c:pt idx="8">
                  <c:v>0.75694387871463786</c:v>
                </c:pt>
                <c:pt idx="9">
                  <c:v>0.82743336498568754</c:v>
                </c:pt>
                <c:pt idx="10">
                  <c:v>0.90184590384311203</c:v>
                </c:pt>
                <c:pt idx="11">
                  <c:v>0.98019268113629998</c:v>
                </c:pt>
                <c:pt idx="12">
                  <c:v>1.0624726701812641</c:v>
                </c:pt>
                <c:pt idx="13">
                  <c:v>1.1486728024820738</c:v>
                </c:pt>
                <c:pt idx="14">
                  <c:v>1.2387682091969834</c:v>
                </c:pt>
                <c:pt idx="15">
                  <c:v>1.3327225270247289</c:v>
                </c:pt>
                <c:pt idx="16">
                  <c:v>1.4304882620411479</c:v>
                </c:pt>
                <c:pt idx="17">
                  <c:v>1.5320072049686697</c:v>
                </c:pt>
                <c:pt idx="18">
                  <c:v>1.6372108913994032</c:v>
                </c:pt>
                <c:pt idx="19">
                  <c:v>1.746021100605208</c:v>
                </c:pt>
                <c:pt idx="20">
                  <c:v>1.8583503867442959</c:v>
                </c:pt>
                <c:pt idx="21">
                  <c:v>1.974102636503255</c:v>
                </c:pt>
                <c:pt idx="22">
                  <c:v>2.0931736474855192</c:v>
                </c:pt>
                <c:pt idx="23">
                  <c:v>2.2154517219640533</c:v>
                </c:pt>
                <c:pt idx="24">
                  <c:v>2.3408182709481693</c:v>
                </c:pt>
                <c:pt idx="25">
                  <c:v>2.4691484238647461</c:v>
                </c:pt>
                <c:pt idx="26">
                  <c:v>2.6003116395165318</c:v>
                </c:pt>
                <c:pt idx="27">
                  <c:v>2.7341723143474184</c:v>
                </c:pt>
                <c:pt idx="28">
                  <c:v>2.8705903844130387</c:v>
                </c:pt>
                <c:pt idx="29">
                  <c:v>3.0094219178190258</c:v>
                </c:pt>
                <c:pt idx="30">
                  <c:v>3.1505196947457437</c:v>
                </c:pt>
                <c:pt idx="31">
                  <c:v>3.2937337725239444</c:v>
                </c:pt>
                <c:pt idx="32">
                  <c:v>3.4389120335582253</c:v>
                </c:pt>
                <c:pt idx="33">
                  <c:v>3.5859007142119079</c:v>
                </c:pt>
                <c:pt idx="34">
                  <c:v>3.7345449130674391</c:v>
                </c:pt>
                <c:pt idx="35">
                  <c:v>3.8846890772584102</c:v>
                </c:pt>
                <c:pt idx="36">
                  <c:v>4.036177465832905</c:v>
                </c:pt>
                <c:pt idx="37">
                  <c:v>4.18885458935274</c:v>
                </c:pt>
                <c:pt idx="38">
                  <c:v>4.3425656251580342</c:v>
                </c:pt>
                <c:pt idx="39">
                  <c:v>4.4971568079335684</c:v>
                </c:pt>
                <c:pt idx="40">
                  <c:v>4.6524757954006093</c:v>
                </c:pt>
                <c:pt idx="41">
                  <c:v>4.808372009127635</c:v>
                </c:pt>
                <c:pt idx="42">
                  <c:v>4.9646969506053011</c:v>
                </c:pt>
                <c:pt idx="43">
                  <c:v>5.1213044928660567</c:v>
                </c:pt>
                <c:pt idx="44">
                  <c:v>5.2780511480479149</c:v>
                </c:pt>
                <c:pt idx="45">
                  <c:v>5.4347963114057638</c:v>
                </c:pt>
                <c:pt idx="46">
                  <c:v>5.5914024823632982</c:v>
                </c:pt>
                <c:pt idx="47">
                  <c:v>5.7477354632750233</c:v>
                </c:pt>
                <c:pt idx="48">
                  <c:v>5.9036645366316209</c:v>
                </c:pt>
                <c:pt idx="49">
                  <c:v>6.0590626214946388</c:v>
                </c:pt>
                <c:pt idx="50">
                  <c:v>6.2138064099882477</c:v>
                </c:pt>
                <c:pt idx="51">
                  <c:v>6.3677764847084841</c:v>
                </c:pt>
                <c:pt idx="52">
                  <c:v>6.520857417933505</c:v>
                </c:pt>
                <c:pt idx="53">
                  <c:v>6.6729378535345596</c:v>
                </c:pt>
                <c:pt idx="54">
                  <c:v>6.82391057249556</c:v>
                </c:pt>
                <c:pt idx="55">
                  <c:v>6.9736725429515047</c:v>
                </c:pt>
                <c:pt idx="56">
                  <c:v>7.1221249556524171</c:v>
                </c:pt>
                <c:pt idx="57">
                  <c:v>7.2691732457511247</c:v>
                </c:pt>
                <c:pt idx="58">
                  <c:v>7.4147271018001319</c:v>
                </c:pt>
                <c:pt idx="59">
                  <c:v>7.5587004628266463</c:v>
                </c:pt>
                <c:pt idx="60">
                  <c:v>7.7010115043346135</c:v>
                </c:pt>
                <c:pt idx="61">
                  <c:v>7.8415826140602896</c:v>
                </c:pt>
                <c:pt idx="62">
                  <c:v>7.9803403582829207</c:v>
                </c:pt>
                <c:pt idx="63">
                  <c:v>8.1172154394654807</c:v>
                </c:pt>
                <c:pt idx="64">
                  <c:v>8.2521426459722047</c:v>
                </c:pt>
                <c:pt idx="65">
                  <c:v>8.3850607945803048</c:v>
                </c:pt>
                <c:pt idx="66">
                  <c:v>8.5159126664731541</c:v>
                </c:pt>
                <c:pt idx="67">
                  <c:v>8.6446449373714369</c:v>
                </c:pt>
                <c:pt idx="68">
                  <c:v>8.7712081024278774</c:v>
                </c:pt>
                <c:pt idx="69">
                  <c:v>8.8955563964798205</c:v>
                </c:pt>
                <c:pt idx="70">
                  <c:v>9.0176477102233026</c:v>
                </c:pt>
                <c:pt idx="71">
                  <c:v>9.1374435028411014</c:v>
                </c:pt>
                <c:pt idx="72">
                  <c:v>9.2549087115871647</c:v>
                </c:pt>
                <c:pt idx="73">
                  <c:v>9.3700116588001841</c:v>
                </c:pt>
                <c:pt idx="74">
                  <c:v>9.4827239567895774</c:v>
                </c:pt>
                <c:pt idx="75">
                  <c:v>9.593020411009153</c:v>
                </c:pt>
                <c:pt idx="76">
                  <c:v>9.7008789219059004</c:v>
                </c:pt>
                <c:pt idx="77">
                  <c:v>9.8062803858049481</c:v>
                </c:pt>
                <c:pt idx="78">
                  <c:v>9.9092085951654774</c:v>
                </c:pt>
                <c:pt idx="79">
                  <c:v>10.009650138518269</c:v>
                </c:pt>
                <c:pt idx="80">
                  <c:v>10.107594300371147</c:v>
                </c:pt>
                <c:pt idx="81">
                  <c:v>10.203032961346086</c:v>
                </c:pt>
                <c:pt idx="82">
                  <c:v>10.295960498789814</c:v>
                </c:pt>
                <c:pt idx="83">
                  <c:v>10.386373688079253</c:v>
                </c:pt>
                <c:pt idx="84">
                  <c:v>10.474271604822833</c:v>
                </c:pt>
                <c:pt idx="85">
                  <c:v>10.55965552814056</c:v>
                </c:pt>
                <c:pt idx="86">
                  <c:v>10.642528845187499</c:v>
                </c:pt>
                <c:pt idx="87">
                  <c:v>10.722896957068821</c:v>
                </c:pt>
                <c:pt idx="88">
                  <c:v>10.800767186278412</c:v>
                </c:pt>
                <c:pt idx="89">
                  <c:v>10.876148685778604</c:v>
                </c:pt>
                <c:pt idx="90">
                  <c:v>10.949052349823821</c:v>
                </c:pt>
                <c:pt idx="91">
                  <c:v>11.019490726618717</c:v>
                </c:pt>
                <c:pt idx="92">
                  <c:v>11.087477932888135</c:v>
                </c:pt>
                <c:pt idx="93">
                  <c:v>11.153029570425463</c:v>
                </c:pt>
                <c:pt idx="94">
                  <c:v>11.216162644674728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457-4227-968E-5417FBFD0CA2}"/>
            </c:ext>
          </c:extLst>
        </c:ser>
        <c:ser>
          <c:idx val="0"/>
          <c:order val="1"/>
          <c:tx>
            <c:strRef>
              <c:f>'Color metric'!$B$2</c:f>
              <c:strCache>
                <c:ptCount val="1"/>
                <c:pt idx="0">
                  <c:v>CIE F4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Reference!$A$5:$A$99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Reference!$C$5:$C$99</c:f>
              <c:numCache>
                <c:formatCode>0.0000</c:formatCode>
                <c:ptCount val="95"/>
                <c:pt idx="0">
                  <c:v>0.19464861624814644</c:v>
                </c:pt>
                <c:pt idx="1">
                  <c:v>0.19464861624814644</c:v>
                </c:pt>
                <c:pt idx="2">
                  <c:v>0.19464861624814644</c:v>
                </c:pt>
                <c:pt idx="3">
                  <c:v>0.19464861624814644</c:v>
                </c:pt>
                <c:pt idx="4">
                  <c:v>0.19464861624814644</c:v>
                </c:pt>
                <c:pt idx="5">
                  <c:v>0.23904216030474126</c:v>
                </c:pt>
                <c:pt idx="6">
                  <c:v>0.29709525637874989</c:v>
                </c:pt>
                <c:pt idx="7">
                  <c:v>0.33465902442663781</c:v>
                </c:pt>
                <c:pt idx="8">
                  <c:v>0.68639248887504267</c:v>
                </c:pt>
                <c:pt idx="9">
                  <c:v>4.695471005985989</c:v>
                </c:pt>
                <c:pt idx="10">
                  <c:v>0.66590316084892198</c:v>
                </c:pt>
                <c:pt idx="11">
                  <c:v>0.54296719269219806</c:v>
                </c:pt>
                <c:pt idx="12">
                  <c:v>0.60102028876620661</c:v>
                </c:pt>
                <c:pt idx="13">
                  <c:v>0.65907338484021516</c:v>
                </c:pt>
                <c:pt idx="14">
                  <c:v>0.71712648091422382</c:v>
                </c:pt>
                <c:pt idx="15">
                  <c:v>10.340280877182236</c:v>
                </c:pt>
                <c:pt idx="16">
                  <c:v>2.7421550674958177</c:v>
                </c:pt>
                <c:pt idx="17">
                  <c:v>0.87079644111012888</c:v>
                </c:pt>
                <c:pt idx="18">
                  <c:v>0.92201976117543061</c:v>
                </c:pt>
                <c:pt idx="19">
                  <c:v>0.96299841722767199</c:v>
                </c:pt>
                <c:pt idx="20">
                  <c:v>0.99373240926685302</c:v>
                </c:pt>
                <c:pt idx="21">
                  <c:v>1.0210515133016806</c:v>
                </c:pt>
                <c:pt idx="22">
                  <c:v>1.0381259533234479</c:v>
                </c:pt>
                <c:pt idx="23">
                  <c:v>1.0517855053408618</c:v>
                </c:pt>
                <c:pt idx="24">
                  <c:v>1.055200393345215</c:v>
                </c:pt>
                <c:pt idx="25">
                  <c:v>1.055200393345215</c:v>
                </c:pt>
                <c:pt idx="26">
                  <c:v>1.0722748333669823</c:v>
                </c:pt>
                <c:pt idx="27">
                  <c:v>1.0449557293321547</c:v>
                </c:pt>
                <c:pt idx="28">
                  <c:v>1.0244664013060341</c:v>
                </c:pt>
                <c:pt idx="29">
                  <c:v>1.0176366252973272</c:v>
                </c:pt>
                <c:pt idx="30">
                  <c:v>1.0278812893103875</c:v>
                </c:pt>
                <c:pt idx="31">
                  <c:v>1.0722748333669823</c:v>
                </c:pt>
                <c:pt idx="32">
                  <c:v>1.1644768094845253</c:v>
                </c:pt>
                <c:pt idx="33">
                  <c:v>1.331806321697844</c:v>
                </c:pt>
                <c:pt idx="34">
                  <c:v>1.6015824740417666</c:v>
                </c:pt>
                <c:pt idx="35">
                  <c:v>1.9840499305293529</c:v>
                </c:pt>
                <c:pt idx="36">
                  <c:v>2.4996980191867229</c:v>
                </c:pt>
                <c:pt idx="37">
                  <c:v>7.7142320018344366</c:v>
                </c:pt>
                <c:pt idx="38">
                  <c:v>5.1598957745780574</c:v>
                </c:pt>
                <c:pt idx="39">
                  <c:v>4.7398645500425847</c:v>
                </c:pt>
                <c:pt idx="40">
                  <c:v>5.576512111109178</c:v>
                </c:pt>
                <c:pt idx="41">
                  <c:v>6.3790107921322381</c:v>
                </c:pt>
                <c:pt idx="42">
                  <c:v>7.0483288409855138</c:v>
                </c:pt>
                <c:pt idx="43">
                  <c:v>8.2913480745701698</c:v>
                </c:pt>
                <c:pt idx="44">
                  <c:v>8.9674958994321514</c:v>
                </c:pt>
                <c:pt idx="45">
                  <c:v>7.9498592741348242</c:v>
                </c:pt>
                <c:pt idx="46">
                  <c:v>7.8337530819868082</c:v>
                </c:pt>
                <c:pt idx="47">
                  <c:v>7.5605620416385317</c:v>
                </c:pt>
                <c:pt idx="48">
                  <c:v>7.1405308171030581</c:v>
                </c:pt>
                <c:pt idx="49">
                  <c:v>6.6351273924587479</c:v>
                </c:pt>
                <c:pt idx="50">
                  <c:v>6.0580113197230139</c:v>
                </c:pt>
                <c:pt idx="51">
                  <c:v>5.4638208069655141</c:v>
                </c:pt>
                <c:pt idx="52">
                  <c:v>4.9242685022776707</c:v>
                </c:pt>
                <c:pt idx="53">
                  <c:v>4.289099333467929</c:v>
                </c:pt>
                <c:pt idx="54">
                  <c:v>3.7324725887583177</c:v>
                </c:pt>
                <c:pt idx="55">
                  <c:v>3.2509733801444813</c:v>
                </c:pt>
                <c:pt idx="56">
                  <c:v>2.7933783875611193</c:v>
                </c:pt>
                <c:pt idx="57">
                  <c:v>2.3938364910517662</c:v>
                </c:pt>
                <c:pt idx="58">
                  <c:v>2.0489328026120681</c:v>
                </c:pt>
                <c:pt idx="59">
                  <c:v>1.7450077702246116</c:v>
                </c:pt>
                <c:pt idx="60">
                  <c:v>1.4888911698981031</c:v>
                </c:pt>
                <c:pt idx="61">
                  <c:v>1.2600936736064219</c:v>
                </c:pt>
                <c:pt idx="62">
                  <c:v>1.0688599453626288</c:v>
                </c:pt>
                <c:pt idx="63">
                  <c:v>0.90153043314930992</c:v>
                </c:pt>
                <c:pt idx="64">
                  <c:v>0.76493491297517224</c:v>
                </c:pt>
                <c:pt idx="65">
                  <c:v>0.65224360883150845</c:v>
                </c:pt>
                <c:pt idx="66">
                  <c:v>0.58053096074008592</c:v>
                </c:pt>
                <c:pt idx="67">
                  <c:v>0.47466943260512912</c:v>
                </c:pt>
                <c:pt idx="68">
                  <c:v>0.40295678451370665</c:v>
                </c:pt>
                <c:pt idx="69">
                  <c:v>0.35173346444840509</c:v>
                </c:pt>
                <c:pt idx="70">
                  <c:v>0.30051014438310331</c:v>
                </c:pt>
                <c:pt idx="71">
                  <c:v>0.25270171232215505</c:v>
                </c:pt>
                <c:pt idx="72">
                  <c:v>0.2185528322786206</c:v>
                </c:pt>
                <c:pt idx="73">
                  <c:v>0.18440395223508613</c:v>
                </c:pt>
                <c:pt idx="74">
                  <c:v>0.1673295122133189</c:v>
                </c:pt>
                <c:pt idx="75">
                  <c:v>0.15708484820025856</c:v>
                </c:pt>
                <c:pt idx="76">
                  <c:v>0.14342529618284477</c:v>
                </c:pt>
                <c:pt idx="77">
                  <c:v>0.12635085616107752</c:v>
                </c:pt>
                <c:pt idx="78">
                  <c:v>0.12635085616107752</c:v>
                </c:pt>
                <c:pt idx="79">
                  <c:v>0.11269130414366374</c:v>
                </c:pt>
                <c:pt idx="80">
                  <c:v>0.11952108015237063</c:v>
                </c:pt>
                <c:pt idx="81">
                  <c:v>0.12293596815672407</c:v>
                </c:pt>
                <c:pt idx="82">
                  <c:v>0.10586152813495683</c:v>
                </c:pt>
                <c:pt idx="83">
                  <c:v>8.8787088113189624E-2</c:v>
                </c:pt>
                <c:pt idx="84">
                  <c:v>6.4882872082715495E-2</c:v>
                </c:pt>
                <c:pt idx="85">
                  <c:v>6.4882872082715495E-2</c:v>
                </c:pt>
                <c:pt idx="86">
                  <c:v>6.4882872082715495E-2</c:v>
                </c:pt>
                <c:pt idx="87">
                  <c:v>6.4882872082715495E-2</c:v>
                </c:pt>
                <c:pt idx="88">
                  <c:v>6.4882872082715495E-2</c:v>
                </c:pt>
                <c:pt idx="89">
                  <c:v>6.4882872082715495E-2</c:v>
                </c:pt>
                <c:pt idx="90">
                  <c:v>6.4882872082715495E-2</c:v>
                </c:pt>
                <c:pt idx="91">
                  <c:v>6.4882872082715495E-2</c:v>
                </c:pt>
                <c:pt idx="92">
                  <c:v>6.4882872082715495E-2</c:v>
                </c:pt>
                <c:pt idx="93">
                  <c:v>6.4882872082715495E-2</c:v>
                </c:pt>
                <c:pt idx="94">
                  <c:v>6.4882872082715495E-2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457-4227-968E-5417FBFD0C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206976"/>
        <c:axId val="551200312"/>
      </c:scatterChart>
      <c:valAx>
        <c:axId val="551206976"/>
        <c:scaling>
          <c:orientation val="minMax"/>
          <c:max val="780"/>
          <c:min val="38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r>
                  <a:rPr lang="en-US">
                    <a:solidFill>
                      <a:schemeClr val="bg1"/>
                    </a:solidFill>
                  </a:rPr>
                  <a:t>wavelength (nm)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nl-BE"/>
          </a:p>
        </c:txPr>
        <c:crossAx val="551200312"/>
        <c:crosses val="autoZero"/>
        <c:crossBetween val="midCat"/>
        <c:majorUnit val="50"/>
      </c:valAx>
      <c:valAx>
        <c:axId val="551200312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r>
                  <a:rPr lang="en-US">
                    <a:solidFill>
                      <a:schemeClr val="bg1"/>
                    </a:solidFill>
                  </a:rPr>
                  <a:t>spectral intensity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nl-BE"/>
          </a:p>
        </c:txPr>
        <c:crossAx val="551206976"/>
        <c:crosses val="autoZero"/>
        <c:crossBetween val="midCat"/>
      </c:valAx>
      <c:spPr>
        <a:solidFill>
          <a:schemeClr val="tx1"/>
        </a:solidFill>
      </c:spPr>
    </c:plotArea>
    <c:legend>
      <c:legendPos val="r"/>
      <c:layout>
        <c:manualLayout>
          <c:xMode val="edge"/>
          <c:yMode val="edge"/>
          <c:x val="0.15828589862021439"/>
          <c:y val="2.1806813397472074E-2"/>
          <c:w val="0.76722620566283961"/>
          <c:h val="8.2665878369299395E-2"/>
        </c:manualLayout>
      </c:layout>
      <c:overlay val="0"/>
      <c:txPr>
        <a:bodyPr/>
        <a:lstStyle/>
        <a:p>
          <a:pPr>
            <a:defRPr>
              <a:solidFill>
                <a:schemeClr val="bg1"/>
              </a:solidFill>
            </a:defRPr>
          </a:pPr>
          <a:endParaRPr lang="nl-BE"/>
        </a:p>
      </c:txPr>
    </c:legend>
    <c:plotVisOnly val="1"/>
    <c:dispBlanksAs val="gap"/>
    <c:showDLblsOverMax val="0"/>
  </c:chart>
  <c:spPr>
    <a:solidFill>
      <a:schemeClr val="tx1"/>
    </a:solidFill>
    <a:ln>
      <a:solidFill>
        <a:schemeClr val="bg1">
          <a:lumMod val="75000"/>
        </a:schemeClr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'Color metric'!$S$2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'Color metric'!$R$3:$R$83</c:f>
              <c:numCache>
                <c:formatCode>0.0000000</c:formatCode>
                <c:ptCount val="81"/>
                <c:pt idx="0">
                  <c:v>1.8075402569103899E-4</c:v>
                </c:pt>
                <c:pt idx="1">
                  <c:v>1.8776473350740999E-4</c:v>
                </c:pt>
                <c:pt idx="2">
                  <c:v>1.9560220758118801E-4</c:v>
                </c:pt>
                <c:pt idx="3">
                  <c:v>1.94323555554524E-4</c:v>
                </c:pt>
                <c:pt idx="4">
                  <c:v>2.0632990908886001E-4</c:v>
                </c:pt>
                <c:pt idx="5">
                  <c:v>2.1542939055504401E-4</c:v>
                </c:pt>
                <c:pt idx="6">
                  <c:v>2.2626676047639001E-4</c:v>
                </c:pt>
                <c:pt idx="7">
                  <c:v>2.3665856084812399E-4</c:v>
                </c:pt>
                <c:pt idx="8">
                  <c:v>2.4981292640591902E-4</c:v>
                </c:pt>
                <c:pt idx="9">
                  <c:v>2.6321119139199899E-4</c:v>
                </c:pt>
                <c:pt idx="10">
                  <c:v>2.7664344713871801E-4</c:v>
                </c:pt>
                <c:pt idx="11">
                  <c:v>2.9439166462552098E-4</c:v>
                </c:pt>
                <c:pt idx="12">
                  <c:v>3.2310079519841899E-4</c:v>
                </c:pt>
                <c:pt idx="13">
                  <c:v>3.5413260145286402E-4</c:v>
                </c:pt>
                <c:pt idx="14">
                  <c:v>3.9673571663520799E-4</c:v>
                </c:pt>
                <c:pt idx="15">
                  <c:v>4.4532108066930499E-4</c:v>
                </c:pt>
                <c:pt idx="16">
                  <c:v>5.1893491876098003E-4</c:v>
                </c:pt>
                <c:pt idx="17">
                  <c:v>6.1134456625155497E-4</c:v>
                </c:pt>
                <c:pt idx="18">
                  <c:v>7.0319105466245895E-4</c:v>
                </c:pt>
                <c:pt idx="19">
                  <c:v>8.2672161243983299E-4</c:v>
                </c:pt>
                <c:pt idx="20">
                  <c:v>9.7982051502023995E-4</c:v>
                </c:pt>
                <c:pt idx="21">
                  <c:v>1.18208899283274E-3</c:v>
                </c:pt>
                <c:pt idx="22">
                  <c:v>1.3804117896048899E-3</c:v>
                </c:pt>
                <c:pt idx="23">
                  <c:v>1.6528088721308599E-3</c:v>
                </c:pt>
                <c:pt idx="24">
                  <c:v>1.9647038512422498E-3</c:v>
                </c:pt>
                <c:pt idx="25">
                  <c:v>2.3132844656651198E-3</c:v>
                </c:pt>
                <c:pt idx="26">
                  <c:v>2.7303753175116998E-3</c:v>
                </c:pt>
                <c:pt idx="27">
                  <c:v>3.1745553869567201E-3</c:v>
                </c:pt>
                <c:pt idx="28">
                  <c:v>3.66383292631022E-3</c:v>
                </c:pt>
                <c:pt idx="29">
                  <c:v>4.21810019204875E-3</c:v>
                </c:pt>
                <c:pt idx="30">
                  <c:v>4.7665384929649196E-3</c:v>
                </c:pt>
                <c:pt idx="31">
                  <c:v>5.3186481499968999E-3</c:v>
                </c:pt>
                <c:pt idx="32">
                  <c:v>5.8378701754880497E-3</c:v>
                </c:pt>
                <c:pt idx="33">
                  <c:v>6.3381170089030197E-3</c:v>
                </c:pt>
                <c:pt idx="34">
                  <c:v>6.8506809640233E-3</c:v>
                </c:pt>
                <c:pt idx="35">
                  <c:v>7.1844692368076401E-3</c:v>
                </c:pt>
                <c:pt idx="36">
                  <c:v>7.3594277582702296E-3</c:v>
                </c:pt>
                <c:pt idx="37">
                  <c:v>7.4886335199046399E-3</c:v>
                </c:pt>
                <c:pt idx="38">
                  <c:v>7.50702775757707E-3</c:v>
                </c:pt>
                <c:pt idx="39">
                  <c:v>7.2266390619975199E-3</c:v>
                </c:pt>
                <c:pt idx="40">
                  <c:v>7.0525977730027598E-3</c:v>
                </c:pt>
                <c:pt idx="41">
                  <c:v>6.7526307967557602E-3</c:v>
                </c:pt>
                <c:pt idx="42">
                  <c:v>6.3205869518548202E-3</c:v>
                </c:pt>
                <c:pt idx="43">
                  <c:v>5.8993869115067299E-3</c:v>
                </c:pt>
                <c:pt idx="44">
                  <c:v>5.5180252768318198E-3</c:v>
                </c:pt>
                <c:pt idx="45">
                  <c:v>5.0865687838841803E-3</c:v>
                </c:pt>
                <c:pt idx="46">
                  <c:v>4.7723565702042503E-3</c:v>
                </c:pt>
                <c:pt idx="47">
                  <c:v>4.4513179486884002E-3</c:v>
                </c:pt>
                <c:pt idx="48">
                  <c:v>4.1554043509233404E-3</c:v>
                </c:pt>
                <c:pt idx="49">
                  <c:v>3.9485546818062997E-3</c:v>
                </c:pt>
                <c:pt idx="50">
                  <c:v>3.7147326919732401E-3</c:v>
                </c:pt>
                <c:pt idx="51">
                  <c:v>3.50547577417322E-3</c:v>
                </c:pt>
                <c:pt idx="52">
                  <c:v>3.3590868499582798E-3</c:v>
                </c:pt>
                <c:pt idx="53">
                  <c:v>3.1874155463492999E-3</c:v>
                </c:pt>
                <c:pt idx="54">
                  <c:v>3.0588971129178999E-3</c:v>
                </c:pt>
                <c:pt idx="55">
                  <c:v>2.9624345608426799E-3</c:v>
                </c:pt>
                <c:pt idx="56">
                  <c:v>2.88076003448858E-3</c:v>
                </c:pt>
                <c:pt idx="57">
                  <c:v>2.85611566287409E-3</c:v>
                </c:pt>
                <c:pt idx="58">
                  <c:v>2.8005730977282602E-3</c:v>
                </c:pt>
                <c:pt idx="59">
                  <c:v>2.8139053723692199E-3</c:v>
                </c:pt>
                <c:pt idx="60">
                  <c:v>2.8057124878535901E-3</c:v>
                </c:pt>
                <c:pt idx="61">
                  <c:v>2.8381448986591201E-3</c:v>
                </c:pt>
                <c:pt idx="62">
                  <c:v>2.8691751366890302E-3</c:v>
                </c:pt>
                <c:pt idx="63">
                  <c:v>2.9290925550739702E-3</c:v>
                </c:pt>
                <c:pt idx="64">
                  <c:v>2.9892101658884102E-3</c:v>
                </c:pt>
                <c:pt idx="65">
                  <c:v>3.0171411222076898E-3</c:v>
                </c:pt>
                <c:pt idx="66">
                  <c:v>3.0737433423033401E-3</c:v>
                </c:pt>
                <c:pt idx="67">
                  <c:v>3.13948257101907E-3</c:v>
                </c:pt>
                <c:pt idx="68">
                  <c:v>3.2094669539334199E-3</c:v>
                </c:pt>
                <c:pt idx="69">
                  <c:v>3.2476710476528402E-3</c:v>
                </c:pt>
                <c:pt idx="70">
                  <c:v>3.30937294987977E-3</c:v>
                </c:pt>
                <c:pt idx="71">
                  <c:v>3.3449037198411799E-3</c:v>
                </c:pt>
                <c:pt idx="72">
                  <c:v>3.38976027618095E-3</c:v>
                </c:pt>
                <c:pt idx="73">
                  <c:v>3.4435110380554401E-3</c:v>
                </c:pt>
                <c:pt idx="74">
                  <c:v>3.4684121743534099E-3</c:v>
                </c:pt>
                <c:pt idx="75">
                  <c:v>3.5370528206537999E-3</c:v>
                </c:pt>
                <c:pt idx="76">
                  <c:v>3.5617806133279601E-3</c:v>
                </c:pt>
                <c:pt idx="77">
                  <c:v>3.5895608695290099E-3</c:v>
                </c:pt>
                <c:pt idx="78">
                  <c:v>3.6040807761602098E-3</c:v>
                </c:pt>
                <c:pt idx="79">
                  <c:v>3.62863389735476E-3</c:v>
                </c:pt>
                <c:pt idx="80">
                  <c:v>3.6240394787112299E-3</c:v>
                </c:pt>
              </c:numCache>
            </c:numRef>
          </c:xVal>
          <c:yVal>
            <c:numRef>
              <c:f>'Color metric'!$S$3:$S$83</c:f>
              <c:numCache>
                <c:formatCode>General</c:formatCode>
                <c:ptCount val="81"/>
                <c:pt idx="0">
                  <c:v>380</c:v>
                </c:pt>
                <c:pt idx="1">
                  <c:v>385</c:v>
                </c:pt>
                <c:pt idx="2">
                  <c:v>382</c:v>
                </c:pt>
                <c:pt idx="3">
                  <c:v>395</c:v>
                </c:pt>
                <c:pt idx="4">
                  <c:v>400</c:v>
                </c:pt>
                <c:pt idx="5">
                  <c:v>405</c:v>
                </c:pt>
                <c:pt idx="6">
                  <c:v>410</c:v>
                </c:pt>
                <c:pt idx="7">
                  <c:v>415</c:v>
                </c:pt>
                <c:pt idx="8">
                  <c:v>420</c:v>
                </c:pt>
                <c:pt idx="9">
                  <c:v>425</c:v>
                </c:pt>
                <c:pt idx="10">
                  <c:v>430</c:v>
                </c:pt>
                <c:pt idx="11">
                  <c:v>435</c:v>
                </c:pt>
                <c:pt idx="12">
                  <c:v>440</c:v>
                </c:pt>
                <c:pt idx="13">
                  <c:v>445</c:v>
                </c:pt>
                <c:pt idx="14">
                  <c:v>450</c:v>
                </c:pt>
                <c:pt idx="15">
                  <c:v>455</c:v>
                </c:pt>
                <c:pt idx="16">
                  <c:v>460</c:v>
                </c:pt>
                <c:pt idx="17">
                  <c:v>465</c:v>
                </c:pt>
                <c:pt idx="18">
                  <c:v>470</c:v>
                </c:pt>
                <c:pt idx="19">
                  <c:v>475</c:v>
                </c:pt>
                <c:pt idx="20">
                  <c:v>480</c:v>
                </c:pt>
                <c:pt idx="21">
                  <c:v>485</c:v>
                </c:pt>
                <c:pt idx="22">
                  <c:v>490</c:v>
                </c:pt>
                <c:pt idx="23">
                  <c:v>495</c:v>
                </c:pt>
                <c:pt idx="24">
                  <c:v>500</c:v>
                </c:pt>
                <c:pt idx="25">
                  <c:v>505</c:v>
                </c:pt>
                <c:pt idx="26">
                  <c:v>510</c:v>
                </c:pt>
                <c:pt idx="27">
                  <c:v>515</c:v>
                </c:pt>
                <c:pt idx="28">
                  <c:v>520</c:v>
                </c:pt>
                <c:pt idx="29">
                  <c:v>525</c:v>
                </c:pt>
                <c:pt idx="30">
                  <c:v>530</c:v>
                </c:pt>
                <c:pt idx="31">
                  <c:v>535</c:v>
                </c:pt>
                <c:pt idx="32">
                  <c:v>540</c:v>
                </c:pt>
                <c:pt idx="33">
                  <c:v>545</c:v>
                </c:pt>
                <c:pt idx="34">
                  <c:v>550</c:v>
                </c:pt>
                <c:pt idx="35">
                  <c:v>555</c:v>
                </c:pt>
                <c:pt idx="36">
                  <c:v>560</c:v>
                </c:pt>
                <c:pt idx="37">
                  <c:v>565</c:v>
                </c:pt>
                <c:pt idx="38">
                  <c:v>570</c:v>
                </c:pt>
                <c:pt idx="39">
                  <c:v>575</c:v>
                </c:pt>
                <c:pt idx="40">
                  <c:v>580</c:v>
                </c:pt>
                <c:pt idx="41">
                  <c:v>585</c:v>
                </c:pt>
                <c:pt idx="42">
                  <c:v>590</c:v>
                </c:pt>
                <c:pt idx="43">
                  <c:v>595</c:v>
                </c:pt>
                <c:pt idx="44">
                  <c:v>600</c:v>
                </c:pt>
                <c:pt idx="45">
                  <c:v>605</c:v>
                </c:pt>
                <c:pt idx="46">
                  <c:v>610</c:v>
                </c:pt>
                <c:pt idx="47">
                  <c:v>615</c:v>
                </c:pt>
                <c:pt idx="48">
                  <c:v>620</c:v>
                </c:pt>
                <c:pt idx="49">
                  <c:v>625</c:v>
                </c:pt>
                <c:pt idx="50">
                  <c:v>630</c:v>
                </c:pt>
                <c:pt idx="51">
                  <c:v>635</c:v>
                </c:pt>
                <c:pt idx="52">
                  <c:v>640</c:v>
                </c:pt>
                <c:pt idx="53">
                  <c:v>645</c:v>
                </c:pt>
                <c:pt idx="54">
                  <c:v>650</c:v>
                </c:pt>
                <c:pt idx="55">
                  <c:v>655</c:v>
                </c:pt>
                <c:pt idx="56">
                  <c:v>660</c:v>
                </c:pt>
                <c:pt idx="57">
                  <c:v>665</c:v>
                </c:pt>
                <c:pt idx="58">
                  <c:v>670</c:v>
                </c:pt>
                <c:pt idx="59">
                  <c:v>675</c:v>
                </c:pt>
                <c:pt idx="60">
                  <c:v>680</c:v>
                </c:pt>
                <c:pt idx="61">
                  <c:v>685</c:v>
                </c:pt>
                <c:pt idx="62">
                  <c:v>690</c:v>
                </c:pt>
                <c:pt idx="63">
                  <c:v>695</c:v>
                </c:pt>
                <c:pt idx="64">
                  <c:v>700</c:v>
                </c:pt>
                <c:pt idx="65">
                  <c:v>705</c:v>
                </c:pt>
                <c:pt idx="66">
                  <c:v>710</c:v>
                </c:pt>
                <c:pt idx="67">
                  <c:v>715</c:v>
                </c:pt>
                <c:pt idx="68">
                  <c:v>720</c:v>
                </c:pt>
                <c:pt idx="69">
                  <c:v>725</c:v>
                </c:pt>
                <c:pt idx="70">
                  <c:v>730</c:v>
                </c:pt>
                <c:pt idx="71">
                  <c:v>735</c:v>
                </c:pt>
                <c:pt idx="72">
                  <c:v>740</c:v>
                </c:pt>
                <c:pt idx="73">
                  <c:v>745</c:v>
                </c:pt>
                <c:pt idx="74">
                  <c:v>750</c:v>
                </c:pt>
                <c:pt idx="75">
                  <c:v>755</c:v>
                </c:pt>
                <c:pt idx="76">
                  <c:v>760</c:v>
                </c:pt>
                <c:pt idx="77">
                  <c:v>765</c:v>
                </c:pt>
                <c:pt idx="78">
                  <c:v>770</c:v>
                </c:pt>
                <c:pt idx="79">
                  <c:v>775</c:v>
                </c:pt>
                <c:pt idx="80">
                  <c:v>780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6FF-4332-BC2D-BD6B108FEAA5}"/>
            </c:ext>
          </c:extLst>
        </c:ser>
        <c:ser>
          <c:idx val="1"/>
          <c:order val="1"/>
          <c:tx>
            <c:strRef>
              <c:f>'Color metric'!$Q$2</c:f>
              <c:strCache>
                <c:ptCount val="1"/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'Color metric'!$P$3:$P$453</c:f>
              <c:numCache>
                <c:formatCode>General</c:formatCode>
                <c:ptCount val="451"/>
              </c:numCache>
            </c:numRef>
          </c:xVal>
          <c:yVal>
            <c:numRef>
              <c:f>'Color metric'!$Q$3:$Q$453</c:f>
              <c:numCache>
                <c:formatCode>General</c:formatCode>
                <c:ptCount val="451"/>
                <c:pt idx="0">
                  <c:v>380</c:v>
                </c:pt>
                <c:pt idx="1">
                  <c:v>381</c:v>
                </c:pt>
                <c:pt idx="2">
                  <c:v>382</c:v>
                </c:pt>
                <c:pt idx="3">
                  <c:v>383</c:v>
                </c:pt>
                <c:pt idx="4">
                  <c:v>384</c:v>
                </c:pt>
                <c:pt idx="5">
                  <c:v>385</c:v>
                </c:pt>
                <c:pt idx="6">
                  <c:v>386</c:v>
                </c:pt>
                <c:pt idx="7">
                  <c:v>387</c:v>
                </c:pt>
                <c:pt idx="8">
                  <c:v>388</c:v>
                </c:pt>
                <c:pt idx="9">
                  <c:v>389</c:v>
                </c:pt>
                <c:pt idx="10">
                  <c:v>390</c:v>
                </c:pt>
                <c:pt idx="11">
                  <c:v>391</c:v>
                </c:pt>
                <c:pt idx="12">
                  <c:v>392</c:v>
                </c:pt>
                <c:pt idx="13">
                  <c:v>393</c:v>
                </c:pt>
                <c:pt idx="14">
                  <c:v>394</c:v>
                </c:pt>
                <c:pt idx="15">
                  <c:v>395</c:v>
                </c:pt>
                <c:pt idx="16">
                  <c:v>396</c:v>
                </c:pt>
                <c:pt idx="17">
                  <c:v>397</c:v>
                </c:pt>
                <c:pt idx="18">
                  <c:v>398</c:v>
                </c:pt>
                <c:pt idx="19">
                  <c:v>399</c:v>
                </c:pt>
                <c:pt idx="20">
                  <c:v>400</c:v>
                </c:pt>
                <c:pt idx="21">
                  <c:v>401</c:v>
                </c:pt>
                <c:pt idx="22">
                  <c:v>402</c:v>
                </c:pt>
                <c:pt idx="23">
                  <c:v>403</c:v>
                </c:pt>
                <c:pt idx="24">
                  <c:v>404</c:v>
                </c:pt>
                <c:pt idx="25">
                  <c:v>405</c:v>
                </c:pt>
                <c:pt idx="26">
                  <c:v>406</c:v>
                </c:pt>
                <c:pt idx="27">
                  <c:v>407</c:v>
                </c:pt>
                <c:pt idx="28">
                  <c:v>408</c:v>
                </c:pt>
                <c:pt idx="29">
                  <c:v>409</c:v>
                </c:pt>
                <c:pt idx="30">
                  <c:v>410</c:v>
                </c:pt>
                <c:pt idx="31">
                  <c:v>411</c:v>
                </c:pt>
                <c:pt idx="32">
                  <c:v>412</c:v>
                </c:pt>
                <c:pt idx="33">
                  <c:v>413</c:v>
                </c:pt>
                <c:pt idx="34">
                  <c:v>414</c:v>
                </c:pt>
                <c:pt idx="35">
                  <c:v>415</c:v>
                </c:pt>
                <c:pt idx="36">
                  <c:v>416</c:v>
                </c:pt>
                <c:pt idx="37">
                  <c:v>417</c:v>
                </c:pt>
                <c:pt idx="38">
                  <c:v>418</c:v>
                </c:pt>
                <c:pt idx="39">
                  <c:v>419</c:v>
                </c:pt>
                <c:pt idx="40">
                  <c:v>420</c:v>
                </c:pt>
                <c:pt idx="41">
                  <c:v>421</c:v>
                </c:pt>
                <c:pt idx="42">
                  <c:v>422</c:v>
                </c:pt>
                <c:pt idx="43">
                  <c:v>423</c:v>
                </c:pt>
                <c:pt idx="44">
                  <c:v>424</c:v>
                </c:pt>
                <c:pt idx="45">
                  <c:v>425</c:v>
                </c:pt>
                <c:pt idx="46">
                  <c:v>426</c:v>
                </c:pt>
                <c:pt idx="47">
                  <c:v>427</c:v>
                </c:pt>
                <c:pt idx="48">
                  <c:v>428</c:v>
                </c:pt>
                <c:pt idx="49">
                  <c:v>429</c:v>
                </c:pt>
                <c:pt idx="50">
                  <c:v>430</c:v>
                </c:pt>
                <c:pt idx="51">
                  <c:v>431</c:v>
                </c:pt>
                <c:pt idx="52">
                  <c:v>432</c:v>
                </c:pt>
                <c:pt idx="53">
                  <c:v>433</c:v>
                </c:pt>
                <c:pt idx="54">
                  <c:v>434</c:v>
                </c:pt>
                <c:pt idx="55">
                  <c:v>435</c:v>
                </c:pt>
                <c:pt idx="56">
                  <c:v>436</c:v>
                </c:pt>
                <c:pt idx="57">
                  <c:v>437</c:v>
                </c:pt>
                <c:pt idx="58">
                  <c:v>438</c:v>
                </c:pt>
                <c:pt idx="59">
                  <c:v>439</c:v>
                </c:pt>
                <c:pt idx="60">
                  <c:v>440</c:v>
                </c:pt>
                <c:pt idx="61">
                  <c:v>441</c:v>
                </c:pt>
                <c:pt idx="62">
                  <c:v>442</c:v>
                </c:pt>
                <c:pt idx="63">
                  <c:v>443</c:v>
                </c:pt>
                <c:pt idx="64">
                  <c:v>444</c:v>
                </c:pt>
                <c:pt idx="65">
                  <c:v>445</c:v>
                </c:pt>
                <c:pt idx="66">
                  <c:v>446</c:v>
                </c:pt>
                <c:pt idx="67">
                  <c:v>447</c:v>
                </c:pt>
                <c:pt idx="68">
                  <c:v>448</c:v>
                </c:pt>
                <c:pt idx="69">
                  <c:v>449</c:v>
                </c:pt>
                <c:pt idx="70">
                  <c:v>450</c:v>
                </c:pt>
                <c:pt idx="71">
                  <c:v>451</c:v>
                </c:pt>
                <c:pt idx="72">
                  <c:v>452</c:v>
                </c:pt>
                <c:pt idx="73">
                  <c:v>453</c:v>
                </c:pt>
                <c:pt idx="74">
                  <c:v>454</c:v>
                </c:pt>
                <c:pt idx="75">
                  <c:v>455</c:v>
                </c:pt>
                <c:pt idx="76">
                  <c:v>456</c:v>
                </c:pt>
                <c:pt idx="77">
                  <c:v>457</c:v>
                </c:pt>
                <c:pt idx="78">
                  <c:v>458</c:v>
                </c:pt>
                <c:pt idx="79">
                  <c:v>459</c:v>
                </c:pt>
                <c:pt idx="80">
                  <c:v>460</c:v>
                </c:pt>
                <c:pt idx="81">
                  <c:v>461</c:v>
                </c:pt>
                <c:pt idx="82">
                  <c:v>462</c:v>
                </c:pt>
                <c:pt idx="83">
                  <c:v>463</c:v>
                </c:pt>
                <c:pt idx="84">
                  <c:v>464</c:v>
                </c:pt>
                <c:pt idx="85">
                  <c:v>465</c:v>
                </c:pt>
                <c:pt idx="86">
                  <c:v>466</c:v>
                </c:pt>
                <c:pt idx="87">
                  <c:v>467</c:v>
                </c:pt>
                <c:pt idx="88">
                  <c:v>468</c:v>
                </c:pt>
                <c:pt idx="89">
                  <c:v>469</c:v>
                </c:pt>
                <c:pt idx="90">
                  <c:v>470</c:v>
                </c:pt>
                <c:pt idx="91">
                  <c:v>471</c:v>
                </c:pt>
                <c:pt idx="92">
                  <c:v>472</c:v>
                </c:pt>
                <c:pt idx="93">
                  <c:v>473</c:v>
                </c:pt>
                <c:pt idx="94">
                  <c:v>474</c:v>
                </c:pt>
                <c:pt idx="95">
                  <c:v>475</c:v>
                </c:pt>
                <c:pt idx="96">
                  <c:v>476</c:v>
                </c:pt>
                <c:pt idx="97">
                  <c:v>477</c:v>
                </c:pt>
                <c:pt idx="98">
                  <c:v>478</c:v>
                </c:pt>
                <c:pt idx="99">
                  <c:v>479</c:v>
                </c:pt>
                <c:pt idx="100">
                  <c:v>480</c:v>
                </c:pt>
                <c:pt idx="101">
                  <c:v>481</c:v>
                </c:pt>
                <c:pt idx="102">
                  <c:v>482</c:v>
                </c:pt>
                <c:pt idx="103">
                  <c:v>483</c:v>
                </c:pt>
                <c:pt idx="104">
                  <c:v>484</c:v>
                </c:pt>
                <c:pt idx="105">
                  <c:v>485</c:v>
                </c:pt>
                <c:pt idx="106">
                  <c:v>486</c:v>
                </c:pt>
                <c:pt idx="107">
                  <c:v>487</c:v>
                </c:pt>
                <c:pt idx="108">
                  <c:v>488</c:v>
                </c:pt>
                <c:pt idx="109">
                  <c:v>489</c:v>
                </c:pt>
                <c:pt idx="110">
                  <c:v>490</c:v>
                </c:pt>
                <c:pt idx="111">
                  <c:v>491</c:v>
                </c:pt>
                <c:pt idx="112">
                  <c:v>492</c:v>
                </c:pt>
                <c:pt idx="113">
                  <c:v>493</c:v>
                </c:pt>
                <c:pt idx="114">
                  <c:v>494</c:v>
                </c:pt>
                <c:pt idx="115">
                  <c:v>495</c:v>
                </c:pt>
                <c:pt idx="116">
                  <c:v>496</c:v>
                </c:pt>
                <c:pt idx="117">
                  <c:v>497</c:v>
                </c:pt>
                <c:pt idx="118">
                  <c:v>498</c:v>
                </c:pt>
                <c:pt idx="119">
                  <c:v>499</c:v>
                </c:pt>
                <c:pt idx="120">
                  <c:v>500</c:v>
                </c:pt>
                <c:pt idx="121">
                  <c:v>501</c:v>
                </c:pt>
                <c:pt idx="122">
                  <c:v>502</c:v>
                </c:pt>
                <c:pt idx="123">
                  <c:v>503</c:v>
                </c:pt>
                <c:pt idx="124">
                  <c:v>504</c:v>
                </c:pt>
                <c:pt idx="125">
                  <c:v>505</c:v>
                </c:pt>
                <c:pt idx="126">
                  <c:v>506</c:v>
                </c:pt>
                <c:pt idx="127">
                  <c:v>507</c:v>
                </c:pt>
                <c:pt idx="128">
                  <c:v>508</c:v>
                </c:pt>
                <c:pt idx="129">
                  <c:v>509</c:v>
                </c:pt>
                <c:pt idx="130">
                  <c:v>510</c:v>
                </c:pt>
                <c:pt idx="131">
                  <c:v>511</c:v>
                </c:pt>
                <c:pt idx="132">
                  <c:v>512</c:v>
                </c:pt>
                <c:pt idx="133">
                  <c:v>513</c:v>
                </c:pt>
                <c:pt idx="134">
                  <c:v>514</c:v>
                </c:pt>
                <c:pt idx="135">
                  <c:v>515</c:v>
                </c:pt>
                <c:pt idx="136">
                  <c:v>516</c:v>
                </c:pt>
                <c:pt idx="137">
                  <c:v>517</c:v>
                </c:pt>
                <c:pt idx="138">
                  <c:v>518</c:v>
                </c:pt>
                <c:pt idx="139">
                  <c:v>519</c:v>
                </c:pt>
                <c:pt idx="140">
                  <c:v>520</c:v>
                </c:pt>
                <c:pt idx="141">
                  <c:v>521</c:v>
                </c:pt>
                <c:pt idx="142">
                  <c:v>522</c:v>
                </c:pt>
                <c:pt idx="143">
                  <c:v>523</c:v>
                </c:pt>
                <c:pt idx="144">
                  <c:v>524</c:v>
                </c:pt>
                <c:pt idx="145">
                  <c:v>525</c:v>
                </c:pt>
                <c:pt idx="146">
                  <c:v>526</c:v>
                </c:pt>
                <c:pt idx="147">
                  <c:v>527</c:v>
                </c:pt>
                <c:pt idx="148">
                  <c:v>528</c:v>
                </c:pt>
                <c:pt idx="149">
                  <c:v>529</c:v>
                </c:pt>
                <c:pt idx="150">
                  <c:v>530</c:v>
                </c:pt>
                <c:pt idx="151">
                  <c:v>531</c:v>
                </c:pt>
                <c:pt idx="152">
                  <c:v>532</c:v>
                </c:pt>
                <c:pt idx="153">
                  <c:v>533</c:v>
                </c:pt>
                <c:pt idx="154">
                  <c:v>534</c:v>
                </c:pt>
                <c:pt idx="155">
                  <c:v>535</c:v>
                </c:pt>
                <c:pt idx="156">
                  <c:v>536</c:v>
                </c:pt>
                <c:pt idx="157">
                  <c:v>537</c:v>
                </c:pt>
                <c:pt idx="158">
                  <c:v>538</c:v>
                </c:pt>
                <c:pt idx="159">
                  <c:v>539</c:v>
                </c:pt>
                <c:pt idx="160">
                  <c:v>540</c:v>
                </c:pt>
                <c:pt idx="161">
                  <c:v>541</c:v>
                </c:pt>
                <c:pt idx="162">
                  <c:v>542</c:v>
                </c:pt>
                <c:pt idx="163">
                  <c:v>543</c:v>
                </c:pt>
                <c:pt idx="164">
                  <c:v>544</c:v>
                </c:pt>
                <c:pt idx="165">
                  <c:v>545</c:v>
                </c:pt>
                <c:pt idx="166">
                  <c:v>546</c:v>
                </c:pt>
                <c:pt idx="167">
                  <c:v>547</c:v>
                </c:pt>
                <c:pt idx="168">
                  <c:v>548</c:v>
                </c:pt>
                <c:pt idx="169">
                  <c:v>549</c:v>
                </c:pt>
                <c:pt idx="170">
                  <c:v>550</c:v>
                </c:pt>
                <c:pt idx="171">
                  <c:v>551</c:v>
                </c:pt>
                <c:pt idx="172">
                  <c:v>552</c:v>
                </c:pt>
                <c:pt idx="173">
                  <c:v>553</c:v>
                </c:pt>
                <c:pt idx="174">
                  <c:v>554</c:v>
                </c:pt>
                <c:pt idx="175">
                  <c:v>555</c:v>
                </c:pt>
                <c:pt idx="176">
                  <c:v>556</c:v>
                </c:pt>
                <c:pt idx="177">
                  <c:v>557</c:v>
                </c:pt>
                <c:pt idx="178">
                  <c:v>558</c:v>
                </c:pt>
                <c:pt idx="179">
                  <c:v>559</c:v>
                </c:pt>
                <c:pt idx="180">
                  <c:v>560</c:v>
                </c:pt>
                <c:pt idx="181">
                  <c:v>561</c:v>
                </c:pt>
                <c:pt idx="182">
                  <c:v>562</c:v>
                </c:pt>
                <c:pt idx="183">
                  <c:v>563</c:v>
                </c:pt>
                <c:pt idx="184">
                  <c:v>564</c:v>
                </c:pt>
                <c:pt idx="185">
                  <c:v>565</c:v>
                </c:pt>
                <c:pt idx="186">
                  <c:v>566</c:v>
                </c:pt>
                <c:pt idx="187">
                  <c:v>567</c:v>
                </c:pt>
                <c:pt idx="188">
                  <c:v>568</c:v>
                </c:pt>
                <c:pt idx="189">
                  <c:v>569</c:v>
                </c:pt>
                <c:pt idx="190">
                  <c:v>570</c:v>
                </c:pt>
                <c:pt idx="191">
                  <c:v>571</c:v>
                </c:pt>
                <c:pt idx="192">
                  <c:v>572</c:v>
                </c:pt>
                <c:pt idx="193">
                  <c:v>573</c:v>
                </c:pt>
                <c:pt idx="194">
                  <c:v>574</c:v>
                </c:pt>
                <c:pt idx="195">
                  <c:v>575</c:v>
                </c:pt>
                <c:pt idx="196">
                  <c:v>576</c:v>
                </c:pt>
                <c:pt idx="197">
                  <c:v>577</c:v>
                </c:pt>
                <c:pt idx="198">
                  <c:v>578</c:v>
                </c:pt>
                <c:pt idx="199">
                  <c:v>579</c:v>
                </c:pt>
                <c:pt idx="200">
                  <c:v>580</c:v>
                </c:pt>
                <c:pt idx="201">
                  <c:v>581</c:v>
                </c:pt>
                <c:pt idx="202">
                  <c:v>582</c:v>
                </c:pt>
                <c:pt idx="203">
                  <c:v>583</c:v>
                </c:pt>
                <c:pt idx="204">
                  <c:v>584</c:v>
                </c:pt>
                <c:pt idx="205">
                  <c:v>585</c:v>
                </c:pt>
                <c:pt idx="206">
                  <c:v>586</c:v>
                </c:pt>
                <c:pt idx="207">
                  <c:v>587</c:v>
                </c:pt>
                <c:pt idx="208">
                  <c:v>588</c:v>
                </c:pt>
                <c:pt idx="209">
                  <c:v>589</c:v>
                </c:pt>
                <c:pt idx="210">
                  <c:v>590</c:v>
                </c:pt>
                <c:pt idx="211">
                  <c:v>591</c:v>
                </c:pt>
                <c:pt idx="212">
                  <c:v>592</c:v>
                </c:pt>
                <c:pt idx="213">
                  <c:v>593</c:v>
                </c:pt>
                <c:pt idx="214">
                  <c:v>594</c:v>
                </c:pt>
                <c:pt idx="215">
                  <c:v>595</c:v>
                </c:pt>
                <c:pt idx="216">
                  <c:v>596</c:v>
                </c:pt>
                <c:pt idx="217">
                  <c:v>597</c:v>
                </c:pt>
                <c:pt idx="218">
                  <c:v>598</c:v>
                </c:pt>
                <c:pt idx="219">
                  <c:v>599</c:v>
                </c:pt>
                <c:pt idx="220">
                  <c:v>600</c:v>
                </c:pt>
                <c:pt idx="221">
                  <c:v>601</c:v>
                </c:pt>
                <c:pt idx="222">
                  <c:v>602</c:v>
                </c:pt>
                <c:pt idx="223">
                  <c:v>603</c:v>
                </c:pt>
                <c:pt idx="224">
                  <c:v>604</c:v>
                </c:pt>
                <c:pt idx="225">
                  <c:v>605</c:v>
                </c:pt>
                <c:pt idx="226">
                  <c:v>606</c:v>
                </c:pt>
                <c:pt idx="227">
                  <c:v>607</c:v>
                </c:pt>
                <c:pt idx="228">
                  <c:v>608</c:v>
                </c:pt>
                <c:pt idx="229">
                  <c:v>609</c:v>
                </c:pt>
                <c:pt idx="230">
                  <c:v>610</c:v>
                </c:pt>
                <c:pt idx="231">
                  <c:v>611</c:v>
                </c:pt>
                <c:pt idx="232">
                  <c:v>612</c:v>
                </c:pt>
                <c:pt idx="233">
                  <c:v>613</c:v>
                </c:pt>
                <c:pt idx="234">
                  <c:v>614</c:v>
                </c:pt>
                <c:pt idx="235">
                  <c:v>615</c:v>
                </c:pt>
                <c:pt idx="236">
                  <c:v>616</c:v>
                </c:pt>
                <c:pt idx="237">
                  <c:v>617</c:v>
                </c:pt>
                <c:pt idx="238">
                  <c:v>618</c:v>
                </c:pt>
                <c:pt idx="239">
                  <c:v>619</c:v>
                </c:pt>
                <c:pt idx="240">
                  <c:v>620</c:v>
                </c:pt>
                <c:pt idx="241">
                  <c:v>621</c:v>
                </c:pt>
                <c:pt idx="242">
                  <c:v>622</c:v>
                </c:pt>
                <c:pt idx="243">
                  <c:v>623</c:v>
                </c:pt>
                <c:pt idx="244">
                  <c:v>624</c:v>
                </c:pt>
                <c:pt idx="245">
                  <c:v>625</c:v>
                </c:pt>
                <c:pt idx="246">
                  <c:v>626</c:v>
                </c:pt>
                <c:pt idx="247">
                  <c:v>627</c:v>
                </c:pt>
                <c:pt idx="248">
                  <c:v>628</c:v>
                </c:pt>
                <c:pt idx="249">
                  <c:v>629</c:v>
                </c:pt>
                <c:pt idx="250">
                  <c:v>630</c:v>
                </c:pt>
                <c:pt idx="251">
                  <c:v>631</c:v>
                </c:pt>
                <c:pt idx="252">
                  <c:v>632</c:v>
                </c:pt>
                <c:pt idx="253">
                  <c:v>633</c:v>
                </c:pt>
                <c:pt idx="254">
                  <c:v>634</c:v>
                </c:pt>
                <c:pt idx="255">
                  <c:v>635</c:v>
                </c:pt>
                <c:pt idx="256">
                  <c:v>636</c:v>
                </c:pt>
                <c:pt idx="257">
                  <c:v>637</c:v>
                </c:pt>
                <c:pt idx="258">
                  <c:v>638</c:v>
                </c:pt>
                <c:pt idx="259">
                  <c:v>639</c:v>
                </c:pt>
                <c:pt idx="260">
                  <c:v>640</c:v>
                </c:pt>
                <c:pt idx="261">
                  <c:v>641</c:v>
                </c:pt>
                <c:pt idx="262">
                  <c:v>642</c:v>
                </c:pt>
                <c:pt idx="263">
                  <c:v>643</c:v>
                </c:pt>
                <c:pt idx="264">
                  <c:v>644</c:v>
                </c:pt>
                <c:pt idx="265">
                  <c:v>645</c:v>
                </c:pt>
                <c:pt idx="266">
                  <c:v>646</c:v>
                </c:pt>
                <c:pt idx="267">
                  <c:v>647</c:v>
                </c:pt>
                <c:pt idx="268">
                  <c:v>648</c:v>
                </c:pt>
                <c:pt idx="269">
                  <c:v>649</c:v>
                </c:pt>
                <c:pt idx="270">
                  <c:v>650</c:v>
                </c:pt>
                <c:pt idx="271">
                  <c:v>651</c:v>
                </c:pt>
                <c:pt idx="272">
                  <c:v>652</c:v>
                </c:pt>
                <c:pt idx="273">
                  <c:v>653</c:v>
                </c:pt>
                <c:pt idx="274">
                  <c:v>654</c:v>
                </c:pt>
                <c:pt idx="275">
                  <c:v>655</c:v>
                </c:pt>
                <c:pt idx="276">
                  <c:v>656</c:v>
                </c:pt>
                <c:pt idx="277">
                  <c:v>657</c:v>
                </c:pt>
                <c:pt idx="278">
                  <c:v>658</c:v>
                </c:pt>
                <c:pt idx="279">
                  <c:v>659</c:v>
                </c:pt>
                <c:pt idx="280">
                  <c:v>660</c:v>
                </c:pt>
                <c:pt idx="281">
                  <c:v>661</c:v>
                </c:pt>
                <c:pt idx="282">
                  <c:v>662</c:v>
                </c:pt>
                <c:pt idx="283">
                  <c:v>663</c:v>
                </c:pt>
                <c:pt idx="284">
                  <c:v>664</c:v>
                </c:pt>
                <c:pt idx="285">
                  <c:v>665</c:v>
                </c:pt>
                <c:pt idx="286">
                  <c:v>666</c:v>
                </c:pt>
                <c:pt idx="287">
                  <c:v>667</c:v>
                </c:pt>
                <c:pt idx="288">
                  <c:v>668</c:v>
                </c:pt>
                <c:pt idx="289">
                  <c:v>669</c:v>
                </c:pt>
                <c:pt idx="290">
                  <c:v>670</c:v>
                </c:pt>
                <c:pt idx="291">
                  <c:v>671</c:v>
                </c:pt>
                <c:pt idx="292">
                  <c:v>672</c:v>
                </c:pt>
                <c:pt idx="293">
                  <c:v>673</c:v>
                </c:pt>
                <c:pt idx="294">
                  <c:v>674</c:v>
                </c:pt>
                <c:pt idx="295">
                  <c:v>675</c:v>
                </c:pt>
                <c:pt idx="296">
                  <c:v>676</c:v>
                </c:pt>
                <c:pt idx="297">
                  <c:v>677</c:v>
                </c:pt>
                <c:pt idx="298">
                  <c:v>678</c:v>
                </c:pt>
                <c:pt idx="299">
                  <c:v>679</c:v>
                </c:pt>
                <c:pt idx="300">
                  <c:v>680</c:v>
                </c:pt>
                <c:pt idx="301">
                  <c:v>681</c:v>
                </c:pt>
                <c:pt idx="302">
                  <c:v>682</c:v>
                </c:pt>
                <c:pt idx="303">
                  <c:v>683</c:v>
                </c:pt>
                <c:pt idx="304">
                  <c:v>684</c:v>
                </c:pt>
                <c:pt idx="305">
                  <c:v>685</c:v>
                </c:pt>
                <c:pt idx="306">
                  <c:v>686</c:v>
                </c:pt>
                <c:pt idx="307">
                  <c:v>687</c:v>
                </c:pt>
                <c:pt idx="308">
                  <c:v>688</c:v>
                </c:pt>
                <c:pt idx="309">
                  <c:v>689</c:v>
                </c:pt>
                <c:pt idx="310">
                  <c:v>690</c:v>
                </c:pt>
                <c:pt idx="311">
                  <c:v>691</c:v>
                </c:pt>
                <c:pt idx="312">
                  <c:v>692</c:v>
                </c:pt>
                <c:pt idx="313">
                  <c:v>693</c:v>
                </c:pt>
                <c:pt idx="314">
                  <c:v>694</c:v>
                </c:pt>
                <c:pt idx="315">
                  <c:v>695</c:v>
                </c:pt>
                <c:pt idx="316">
                  <c:v>696</c:v>
                </c:pt>
                <c:pt idx="317">
                  <c:v>697</c:v>
                </c:pt>
                <c:pt idx="318">
                  <c:v>698</c:v>
                </c:pt>
                <c:pt idx="319">
                  <c:v>699</c:v>
                </c:pt>
                <c:pt idx="320">
                  <c:v>700</c:v>
                </c:pt>
                <c:pt idx="321">
                  <c:v>701</c:v>
                </c:pt>
                <c:pt idx="322">
                  <c:v>702</c:v>
                </c:pt>
                <c:pt idx="323">
                  <c:v>703</c:v>
                </c:pt>
                <c:pt idx="324">
                  <c:v>704</c:v>
                </c:pt>
                <c:pt idx="325">
                  <c:v>705</c:v>
                </c:pt>
                <c:pt idx="326">
                  <c:v>706</c:v>
                </c:pt>
                <c:pt idx="327">
                  <c:v>707</c:v>
                </c:pt>
                <c:pt idx="328">
                  <c:v>708</c:v>
                </c:pt>
                <c:pt idx="329">
                  <c:v>709</c:v>
                </c:pt>
                <c:pt idx="330">
                  <c:v>710</c:v>
                </c:pt>
                <c:pt idx="331">
                  <c:v>711</c:v>
                </c:pt>
                <c:pt idx="332">
                  <c:v>712</c:v>
                </c:pt>
                <c:pt idx="333">
                  <c:v>713</c:v>
                </c:pt>
                <c:pt idx="334">
                  <c:v>714</c:v>
                </c:pt>
                <c:pt idx="335">
                  <c:v>715</c:v>
                </c:pt>
                <c:pt idx="336">
                  <c:v>716</c:v>
                </c:pt>
                <c:pt idx="337">
                  <c:v>717</c:v>
                </c:pt>
                <c:pt idx="338">
                  <c:v>718</c:v>
                </c:pt>
                <c:pt idx="339">
                  <c:v>719</c:v>
                </c:pt>
                <c:pt idx="340">
                  <c:v>720</c:v>
                </c:pt>
                <c:pt idx="341">
                  <c:v>721</c:v>
                </c:pt>
                <c:pt idx="342">
                  <c:v>722</c:v>
                </c:pt>
                <c:pt idx="343">
                  <c:v>723</c:v>
                </c:pt>
                <c:pt idx="344">
                  <c:v>724</c:v>
                </c:pt>
                <c:pt idx="345">
                  <c:v>725</c:v>
                </c:pt>
                <c:pt idx="346">
                  <c:v>726</c:v>
                </c:pt>
                <c:pt idx="347">
                  <c:v>727</c:v>
                </c:pt>
                <c:pt idx="348">
                  <c:v>728</c:v>
                </c:pt>
                <c:pt idx="349">
                  <c:v>729</c:v>
                </c:pt>
                <c:pt idx="350">
                  <c:v>730</c:v>
                </c:pt>
                <c:pt idx="351">
                  <c:v>731</c:v>
                </c:pt>
                <c:pt idx="352">
                  <c:v>732</c:v>
                </c:pt>
                <c:pt idx="353">
                  <c:v>733</c:v>
                </c:pt>
                <c:pt idx="354">
                  <c:v>734</c:v>
                </c:pt>
                <c:pt idx="355">
                  <c:v>735</c:v>
                </c:pt>
                <c:pt idx="356">
                  <c:v>736</c:v>
                </c:pt>
                <c:pt idx="357">
                  <c:v>737</c:v>
                </c:pt>
                <c:pt idx="358">
                  <c:v>738</c:v>
                </c:pt>
                <c:pt idx="359">
                  <c:v>739</c:v>
                </c:pt>
                <c:pt idx="360">
                  <c:v>740</c:v>
                </c:pt>
                <c:pt idx="361">
                  <c:v>741</c:v>
                </c:pt>
                <c:pt idx="362">
                  <c:v>742</c:v>
                </c:pt>
                <c:pt idx="363">
                  <c:v>743</c:v>
                </c:pt>
                <c:pt idx="364">
                  <c:v>744</c:v>
                </c:pt>
                <c:pt idx="365">
                  <c:v>745</c:v>
                </c:pt>
                <c:pt idx="366">
                  <c:v>746</c:v>
                </c:pt>
                <c:pt idx="367">
                  <c:v>747</c:v>
                </c:pt>
                <c:pt idx="368">
                  <c:v>748</c:v>
                </c:pt>
                <c:pt idx="369">
                  <c:v>749</c:v>
                </c:pt>
                <c:pt idx="370">
                  <c:v>750</c:v>
                </c:pt>
                <c:pt idx="371">
                  <c:v>751</c:v>
                </c:pt>
                <c:pt idx="372">
                  <c:v>752</c:v>
                </c:pt>
                <c:pt idx="373">
                  <c:v>753</c:v>
                </c:pt>
                <c:pt idx="374">
                  <c:v>754</c:v>
                </c:pt>
                <c:pt idx="375">
                  <c:v>755</c:v>
                </c:pt>
                <c:pt idx="376">
                  <c:v>756</c:v>
                </c:pt>
                <c:pt idx="377">
                  <c:v>757</c:v>
                </c:pt>
                <c:pt idx="378">
                  <c:v>758</c:v>
                </c:pt>
                <c:pt idx="379">
                  <c:v>759</c:v>
                </c:pt>
                <c:pt idx="380">
                  <c:v>760</c:v>
                </c:pt>
                <c:pt idx="381">
                  <c:v>761</c:v>
                </c:pt>
                <c:pt idx="382">
                  <c:v>762</c:v>
                </c:pt>
                <c:pt idx="383">
                  <c:v>763</c:v>
                </c:pt>
                <c:pt idx="384">
                  <c:v>764</c:v>
                </c:pt>
                <c:pt idx="385">
                  <c:v>765</c:v>
                </c:pt>
                <c:pt idx="386">
                  <c:v>766</c:v>
                </c:pt>
                <c:pt idx="387">
                  <c:v>767</c:v>
                </c:pt>
                <c:pt idx="388">
                  <c:v>768</c:v>
                </c:pt>
                <c:pt idx="389">
                  <c:v>769</c:v>
                </c:pt>
                <c:pt idx="390">
                  <c:v>770</c:v>
                </c:pt>
                <c:pt idx="391">
                  <c:v>771</c:v>
                </c:pt>
                <c:pt idx="392">
                  <c:v>772</c:v>
                </c:pt>
                <c:pt idx="393">
                  <c:v>773</c:v>
                </c:pt>
                <c:pt idx="394">
                  <c:v>774</c:v>
                </c:pt>
                <c:pt idx="395">
                  <c:v>775</c:v>
                </c:pt>
                <c:pt idx="396">
                  <c:v>776</c:v>
                </c:pt>
                <c:pt idx="397">
                  <c:v>777</c:v>
                </c:pt>
                <c:pt idx="398">
                  <c:v>778</c:v>
                </c:pt>
                <c:pt idx="399">
                  <c:v>779</c:v>
                </c:pt>
                <c:pt idx="400">
                  <c:v>780</c:v>
                </c:pt>
                <c:pt idx="401">
                  <c:v>781</c:v>
                </c:pt>
                <c:pt idx="402">
                  <c:v>782</c:v>
                </c:pt>
                <c:pt idx="403">
                  <c:v>783</c:v>
                </c:pt>
                <c:pt idx="404">
                  <c:v>784</c:v>
                </c:pt>
                <c:pt idx="405">
                  <c:v>785</c:v>
                </c:pt>
                <c:pt idx="406">
                  <c:v>786</c:v>
                </c:pt>
                <c:pt idx="407">
                  <c:v>787</c:v>
                </c:pt>
                <c:pt idx="408">
                  <c:v>788</c:v>
                </c:pt>
                <c:pt idx="409">
                  <c:v>789</c:v>
                </c:pt>
                <c:pt idx="410">
                  <c:v>790</c:v>
                </c:pt>
                <c:pt idx="411">
                  <c:v>791</c:v>
                </c:pt>
                <c:pt idx="412">
                  <c:v>792</c:v>
                </c:pt>
                <c:pt idx="413">
                  <c:v>793</c:v>
                </c:pt>
                <c:pt idx="414">
                  <c:v>794</c:v>
                </c:pt>
                <c:pt idx="415">
                  <c:v>795</c:v>
                </c:pt>
                <c:pt idx="416">
                  <c:v>796</c:v>
                </c:pt>
                <c:pt idx="417">
                  <c:v>797</c:v>
                </c:pt>
                <c:pt idx="418">
                  <c:v>798</c:v>
                </c:pt>
                <c:pt idx="419">
                  <c:v>799</c:v>
                </c:pt>
                <c:pt idx="420">
                  <c:v>800</c:v>
                </c:pt>
                <c:pt idx="421">
                  <c:v>801</c:v>
                </c:pt>
                <c:pt idx="422">
                  <c:v>802</c:v>
                </c:pt>
                <c:pt idx="423">
                  <c:v>803</c:v>
                </c:pt>
                <c:pt idx="424">
                  <c:v>804</c:v>
                </c:pt>
                <c:pt idx="425">
                  <c:v>805</c:v>
                </c:pt>
                <c:pt idx="426">
                  <c:v>806</c:v>
                </c:pt>
                <c:pt idx="427">
                  <c:v>807</c:v>
                </c:pt>
                <c:pt idx="428">
                  <c:v>808</c:v>
                </c:pt>
                <c:pt idx="429">
                  <c:v>809</c:v>
                </c:pt>
                <c:pt idx="430">
                  <c:v>810</c:v>
                </c:pt>
                <c:pt idx="431">
                  <c:v>811</c:v>
                </c:pt>
                <c:pt idx="432">
                  <c:v>812</c:v>
                </c:pt>
                <c:pt idx="433">
                  <c:v>813</c:v>
                </c:pt>
                <c:pt idx="434">
                  <c:v>814</c:v>
                </c:pt>
                <c:pt idx="435">
                  <c:v>815</c:v>
                </c:pt>
                <c:pt idx="436">
                  <c:v>816</c:v>
                </c:pt>
                <c:pt idx="437">
                  <c:v>817</c:v>
                </c:pt>
                <c:pt idx="438">
                  <c:v>818</c:v>
                </c:pt>
                <c:pt idx="439">
                  <c:v>819</c:v>
                </c:pt>
                <c:pt idx="440">
                  <c:v>820</c:v>
                </c:pt>
                <c:pt idx="441">
                  <c:v>821</c:v>
                </c:pt>
                <c:pt idx="442">
                  <c:v>822</c:v>
                </c:pt>
                <c:pt idx="443">
                  <c:v>823</c:v>
                </c:pt>
                <c:pt idx="444">
                  <c:v>824</c:v>
                </c:pt>
                <c:pt idx="445">
                  <c:v>825</c:v>
                </c:pt>
                <c:pt idx="446">
                  <c:v>826</c:v>
                </c:pt>
                <c:pt idx="447">
                  <c:v>827</c:v>
                </c:pt>
                <c:pt idx="448">
                  <c:v>828</c:v>
                </c:pt>
                <c:pt idx="449">
                  <c:v>829</c:v>
                </c:pt>
                <c:pt idx="450">
                  <c:v>830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6FF-4332-BC2D-BD6B108FEA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206192"/>
        <c:axId val="551196000"/>
      </c:scatterChart>
      <c:valAx>
        <c:axId val="551206192"/>
        <c:scaling>
          <c:orientation val="minMax"/>
          <c:max val="780"/>
          <c:min val="38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wavelength (nm)</a:t>
                </a:r>
              </a:p>
            </c:rich>
          </c:tx>
          <c:overlay val="0"/>
        </c:title>
        <c:numFmt formatCode="0.00000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nl-BE"/>
          </a:p>
        </c:txPr>
        <c:crossAx val="551196000"/>
        <c:crosses val="autoZero"/>
        <c:crossBetween val="midCat"/>
      </c:valAx>
      <c:valAx>
        <c:axId val="55119600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spectral intensity</a:t>
                </a:r>
              </a:p>
            </c:rich>
          </c:tx>
          <c:overlay val="0"/>
        </c:title>
        <c:numFmt formatCode="0.00E+00" sourceLinked="0"/>
        <c:majorTickMark val="out"/>
        <c:minorTickMark val="none"/>
        <c:tickLblPos val="nextTo"/>
        <c:crossAx val="551206192"/>
        <c:crosses val="autoZero"/>
        <c:crossBetween val="midCat"/>
      </c:valAx>
      <c:spPr>
        <a:solidFill>
          <a:schemeClr val="tx1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tx1"/>
    </a:solidFill>
    <a:ln>
      <a:solidFill>
        <a:schemeClr val="bg1">
          <a:lumMod val="75000"/>
        </a:schemeClr>
      </a:solidFill>
    </a:ln>
  </c:spPr>
  <c:txPr>
    <a:bodyPr/>
    <a:lstStyle/>
    <a:p>
      <a:pPr>
        <a:defRPr>
          <a:solidFill>
            <a:schemeClr val="bg1"/>
          </a:solidFill>
        </a:defRPr>
      </a:pPr>
      <a:endParaRPr lang="nl-B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383794295907997"/>
          <c:y val="9.5553055868016504E-2"/>
          <c:w val="0.73706285321577147"/>
          <c:h val="0.76233728848410076"/>
        </c:manualLayout>
      </c:layout>
      <c:scatterChart>
        <c:scatterStyle val="lineMarker"/>
        <c:varyColors val="0"/>
        <c:ser>
          <c:idx val="0"/>
          <c:order val="0"/>
          <c:tx>
            <c:strRef>
              <c:f>'Color metric'!$B$2</c:f>
              <c:strCache>
                <c:ptCount val="1"/>
                <c:pt idx="0">
                  <c:v>CIE F4</c:v>
                </c:pt>
              </c:strCache>
            </c:strRef>
          </c:tx>
          <c:spPr>
            <a:ln w="28575">
              <a:solidFill>
                <a:schemeClr val="tx1"/>
              </a:solidFill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'Color metric'!$E$4</c:f>
              <c:numCache>
                <c:formatCode>0.0</c:formatCode>
                <c:ptCount val="1"/>
                <c:pt idx="0">
                  <c:v>51.509632655521862</c:v>
                </c:pt>
              </c:numCache>
            </c:numRef>
          </c:xVal>
          <c:yVal>
            <c:numRef>
              <c:f>'Color metric'!$E$5</c:f>
              <c:numCache>
                <c:formatCode>0.0</c:formatCode>
                <c:ptCount val="1"/>
                <c:pt idx="0">
                  <c:v>83.493404839686065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F1-4845-B407-53902714A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204232"/>
        <c:axId val="551206584"/>
      </c:scatterChart>
      <c:valAx>
        <c:axId val="551204232"/>
        <c:scaling>
          <c:orientation val="minMax"/>
          <c:max val="100"/>
          <c:min val="5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r>
                  <a:rPr lang="en-US" i="0" dirty="0">
                    <a:solidFill>
                      <a:schemeClr val="bg1"/>
                    </a:solidFill>
                  </a:rPr>
                  <a:t>Fidelity Index,</a:t>
                </a:r>
                <a:r>
                  <a:rPr lang="en-US" i="0" baseline="0" dirty="0">
                    <a:solidFill>
                      <a:schemeClr val="bg1"/>
                    </a:solidFill>
                  </a:rPr>
                  <a:t> </a:t>
                </a:r>
                <a:r>
                  <a:rPr lang="en-US" i="1" dirty="0">
                    <a:solidFill>
                      <a:schemeClr val="bg1"/>
                    </a:solidFill>
                  </a:rPr>
                  <a:t>R</a:t>
                </a:r>
                <a:r>
                  <a:rPr lang="en-US" baseline="-25000" dirty="0">
                    <a:solidFill>
                      <a:schemeClr val="bg1"/>
                    </a:solidFill>
                  </a:rPr>
                  <a:t>f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in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nl-BE"/>
          </a:p>
        </c:txPr>
        <c:crossAx val="551206584"/>
        <c:crosses val="autoZero"/>
        <c:crossBetween val="midCat"/>
      </c:valAx>
      <c:valAx>
        <c:axId val="551206584"/>
        <c:scaling>
          <c:orientation val="minMax"/>
          <c:max val="140"/>
          <c:min val="6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r>
                  <a:rPr lang="en-US" i="0" dirty="0">
                    <a:solidFill>
                      <a:schemeClr val="bg1"/>
                    </a:solidFill>
                  </a:rPr>
                  <a:t>Gamut Index, </a:t>
                </a:r>
                <a:r>
                  <a:rPr lang="en-US" i="1" dirty="0">
                    <a:solidFill>
                      <a:schemeClr val="bg1"/>
                    </a:solidFill>
                  </a:rPr>
                  <a:t>R</a:t>
                </a:r>
                <a:r>
                  <a:rPr lang="en-US" baseline="-25000" dirty="0">
                    <a:solidFill>
                      <a:schemeClr val="bg1"/>
                    </a:solidFill>
                  </a:rPr>
                  <a:t>g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in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nl-BE"/>
          </a:p>
        </c:txPr>
        <c:crossAx val="551204232"/>
        <c:crosses val="autoZero"/>
        <c:crossBetween val="midCat"/>
      </c:valAx>
      <c:spPr>
        <a:blipFill>
          <a:blip xmlns:r="http://schemas.openxmlformats.org/officeDocument/2006/relationships" r:embed="rId1"/>
          <a:stretch>
            <a:fillRect/>
          </a:stretch>
        </a:blipFill>
        <a:ln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chemeClr val="tx1"/>
    </a:solidFill>
    <a:ln>
      <a:solidFill>
        <a:schemeClr val="bg1">
          <a:lumMod val="75000"/>
        </a:schemeClr>
      </a:solidFill>
    </a:ln>
  </c:spPr>
  <c:printSettings>
    <c:headerFooter/>
    <c:pageMargins b="0.75" l="0.7" r="0.7" t="0.75" header="0.3" footer="0.3"/>
    <c:pageSetup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Calculator!$DR$30:$DX$30</c:f>
              <c:strCache>
                <c:ptCount val="7"/>
                <c:pt idx="0">
                  <c:v>Color syst</c:v>
                </c:pt>
                <c:pt idx="1">
                  <c:v>Printed</c:v>
                </c:pt>
                <c:pt idx="2">
                  <c:v>Plastics</c:v>
                </c:pt>
                <c:pt idx="3">
                  <c:v>Paints</c:v>
                </c:pt>
                <c:pt idx="4">
                  <c:v>Textiles</c:v>
                </c:pt>
                <c:pt idx="5">
                  <c:v>Skin</c:v>
                </c:pt>
                <c:pt idx="6">
                  <c:v>Nature</c:v>
                </c:pt>
              </c:strCache>
            </c:strRef>
          </c:cat>
          <c:val>
            <c:numRef>
              <c:f>Calculator!$DR$34:$DX$34</c:f>
              <c:numCache>
                <c:formatCode>0.00</c:formatCode>
                <c:ptCount val="7"/>
                <c:pt idx="0">
                  <c:v>63.16197510658273</c:v>
                </c:pt>
                <c:pt idx="1">
                  <c:v>56.893902227342885</c:v>
                </c:pt>
                <c:pt idx="2">
                  <c:v>41.732915375567174</c:v>
                </c:pt>
                <c:pt idx="3">
                  <c:v>34.467449322943715</c:v>
                </c:pt>
                <c:pt idx="4">
                  <c:v>51.464104465178096</c:v>
                </c:pt>
                <c:pt idx="5">
                  <c:v>54.05675272784211</c:v>
                </c:pt>
                <c:pt idx="6">
                  <c:v>52.940186614718925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F1-4C51-849A-2057BE4C31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axId val="528210952"/>
        <c:axId val="528208600"/>
      </c:barChart>
      <c:catAx>
        <c:axId val="5282109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nl-BE"/>
          </a:p>
        </c:txPr>
        <c:crossAx val="528208600"/>
        <c:crosses val="autoZero"/>
        <c:auto val="1"/>
        <c:lblAlgn val="ctr"/>
        <c:lblOffset val="100"/>
        <c:noMultiLvlLbl val="0"/>
      </c:catAx>
      <c:valAx>
        <c:axId val="528208600"/>
        <c:scaling>
          <c:orientation val="minMax"/>
          <c:max val="1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050">
                    <a:solidFill>
                      <a:schemeClr val="bg1"/>
                    </a:solidFill>
                  </a:defRPr>
                </a:pPr>
                <a:r>
                  <a:rPr lang="en-US" sz="1050">
                    <a:solidFill>
                      <a:schemeClr val="bg1"/>
                    </a:solidFill>
                  </a:rPr>
                  <a:t>Rf by sample types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nl-BE"/>
          </a:p>
        </c:txPr>
        <c:crossAx val="528210952"/>
        <c:crosses val="autoZero"/>
        <c:crossBetween val="between"/>
      </c:valAx>
      <c:spPr>
        <a:solidFill>
          <a:schemeClr val="tx1"/>
        </a:solidFill>
      </c:spPr>
    </c:plotArea>
    <c:plotVisOnly val="1"/>
    <c:dispBlanksAs val="gap"/>
    <c:showDLblsOverMax val="0"/>
  </c:chart>
  <c:spPr>
    <a:solidFill>
      <a:schemeClr val="tx1"/>
    </a:solidFill>
    <a:ln>
      <a:solidFill>
        <a:schemeClr val="bg1">
          <a:lumMod val="75000"/>
        </a:schemeClr>
      </a:solidFill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16BCB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624-42C8-AE0B-605A325C696C}"/>
              </c:ext>
            </c:extLst>
          </c:dPt>
          <c:dPt>
            <c:idx val="1"/>
            <c:invertIfNegative val="0"/>
            <c:bubble3D val="0"/>
            <c:spPr>
              <a:solidFill>
                <a:srgbClr val="00A4BF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624-42C8-AE0B-605A325C696C}"/>
              </c:ext>
            </c:extLst>
          </c:dPt>
          <c:dPt>
            <c:idx val="2"/>
            <c:invertIfNegative val="0"/>
            <c:bubble3D val="0"/>
            <c:spPr>
              <a:solidFill>
                <a:srgbClr val="0085C3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C624-42C8-AE0B-605A325C696C}"/>
              </c:ext>
            </c:extLst>
          </c:dPt>
          <c:dPt>
            <c:idx val="3"/>
            <c:invertIfNegative val="0"/>
            <c:bubble3D val="0"/>
            <c:spPr>
              <a:solidFill>
                <a:srgbClr val="3B62AA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C624-42C8-AE0B-605A325C696C}"/>
              </c:ext>
            </c:extLst>
          </c:dPt>
          <c:dPt>
            <c:idx val="4"/>
            <c:invertIfNegative val="0"/>
            <c:bubble3D val="0"/>
            <c:spPr>
              <a:solidFill>
                <a:srgbClr val="6D68AE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C624-42C8-AE0B-605A325C696C}"/>
              </c:ext>
            </c:extLst>
          </c:dPt>
          <c:dPt>
            <c:idx val="5"/>
            <c:invertIfNegative val="0"/>
            <c:bubble3D val="0"/>
            <c:spPr>
              <a:solidFill>
                <a:srgbClr val="6A4E8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C624-42C8-AE0B-605A325C696C}"/>
              </c:ext>
            </c:extLst>
          </c:dPt>
          <c:dPt>
            <c:idx val="6"/>
            <c:invertIfNegative val="0"/>
            <c:bubble3D val="0"/>
            <c:spPr>
              <a:solidFill>
                <a:srgbClr val="9D69A1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C624-42C8-AE0B-605A325C696C}"/>
              </c:ext>
            </c:extLst>
          </c:dPt>
          <c:dPt>
            <c:idx val="7"/>
            <c:invertIfNegative val="0"/>
            <c:bubble3D val="0"/>
            <c:spPr>
              <a:solidFill>
                <a:srgbClr val="A74F81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C624-42C8-AE0B-605A325C696C}"/>
              </c:ext>
            </c:extLst>
          </c:dPt>
          <c:dPt>
            <c:idx val="8"/>
            <c:invertIfNegative val="0"/>
            <c:bubble3D val="0"/>
            <c:spPr>
              <a:solidFill>
                <a:srgbClr val="E04F6E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C624-42C8-AE0B-605A325C696C}"/>
              </c:ext>
            </c:extLst>
          </c:dPt>
          <c:dPt>
            <c:idx val="9"/>
            <c:invertIfNegative val="0"/>
            <c:bubble3D val="0"/>
            <c:spPr>
              <a:solidFill>
                <a:srgbClr val="E7353E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C624-42C8-AE0B-605A325C696C}"/>
              </c:ext>
            </c:extLst>
          </c:dPt>
          <c:dPt>
            <c:idx val="10"/>
            <c:invertIfNegative val="0"/>
            <c:bubble3D val="0"/>
            <c:spPr>
              <a:solidFill>
                <a:srgbClr val="FB812E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5-C624-42C8-AE0B-605A325C696C}"/>
              </c:ext>
            </c:extLst>
          </c:dPt>
          <c:dPt>
            <c:idx val="11"/>
            <c:invertIfNegative val="0"/>
            <c:bubble3D val="0"/>
            <c:spPr>
              <a:solidFill>
                <a:srgbClr val="FFB529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7-C624-42C8-AE0B-605A325C696C}"/>
              </c:ext>
            </c:extLst>
          </c:dPt>
          <c:dPt>
            <c:idx val="12"/>
            <c:invertIfNegative val="0"/>
            <c:bubble3D val="0"/>
            <c:spPr>
              <a:solidFill>
                <a:srgbClr val="CBCA46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9-C624-42C8-AE0B-605A325C696C}"/>
              </c:ext>
            </c:extLst>
          </c:dPt>
          <c:dPt>
            <c:idx val="13"/>
            <c:invertIfNegative val="0"/>
            <c:bubble3D val="0"/>
            <c:spPr>
              <a:solidFill>
                <a:srgbClr val="7EB94C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B-C624-42C8-AE0B-605A325C696C}"/>
              </c:ext>
            </c:extLst>
          </c:dPt>
          <c:dPt>
            <c:idx val="14"/>
            <c:invertIfNegative val="0"/>
            <c:bubble3D val="0"/>
            <c:spPr>
              <a:solidFill>
                <a:srgbClr val="41C06D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D-C624-42C8-AE0B-605A325C696C}"/>
              </c:ext>
            </c:extLst>
          </c:dPt>
          <c:dPt>
            <c:idx val="15"/>
            <c:invertIfNegative val="0"/>
            <c:bubble3D val="0"/>
            <c:spPr>
              <a:solidFill>
                <a:srgbClr val="009C7C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F-C624-42C8-AE0B-605A325C696C}"/>
              </c:ext>
            </c:extLst>
          </c:dPt>
          <c:val>
            <c:numRef>
              <c:f>Calculator!$DR$22:$EG$22</c:f>
              <c:numCache>
                <c:formatCode>0.00</c:formatCode>
                <c:ptCount val="16"/>
                <c:pt idx="0">
                  <c:v>43.824909600641327</c:v>
                </c:pt>
                <c:pt idx="1">
                  <c:v>39.623759404564346</c:v>
                </c:pt>
                <c:pt idx="2">
                  <c:v>25.913205126049125</c:v>
                </c:pt>
                <c:pt idx="3">
                  <c:v>46.525517893600124</c:v>
                </c:pt>
                <c:pt idx="4">
                  <c:v>66.663603860591053</c:v>
                </c:pt>
                <c:pt idx="5">
                  <c:v>72.792969679635647</c:v>
                </c:pt>
                <c:pt idx="6">
                  <c:v>48.20063714337028</c:v>
                </c:pt>
                <c:pt idx="7">
                  <c:v>55.573081200027296</c:v>
                </c:pt>
                <c:pt idx="8">
                  <c:v>53.916575274393551</c:v>
                </c:pt>
                <c:pt idx="9">
                  <c:v>42.973704188366639</c:v>
                </c:pt>
                <c:pt idx="10">
                  <c:v>45.369926943400827</c:v>
                </c:pt>
                <c:pt idx="11">
                  <c:v>56.460159575984406</c:v>
                </c:pt>
                <c:pt idx="12">
                  <c:v>76.615818685666028</c:v>
                </c:pt>
                <c:pt idx="13">
                  <c:v>66.57531663398963</c:v>
                </c:pt>
                <c:pt idx="14">
                  <c:v>51.522166075025112</c:v>
                </c:pt>
                <c:pt idx="15">
                  <c:v>54.920430273948412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20-C624-42C8-AE0B-605A325C6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2"/>
        <c:axId val="528211344"/>
        <c:axId val="528210560"/>
      </c:barChart>
      <c:catAx>
        <c:axId val="528211344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 sz="1050">
                    <a:solidFill>
                      <a:schemeClr val="bg1"/>
                    </a:solidFill>
                  </a:defRPr>
                </a:pPr>
                <a:r>
                  <a:rPr lang="en-US" sz="1050">
                    <a:solidFill>
                      <a:schemeClr val="bg1"/>
                    </a:solidFill>
                  </a:rPr>
                  <a:t>Rf by hue</a:t>
                </a:r>
              </a:p>
            </c:rich>
          </c:tx>
          <c:layout>
            <c:manualLayout>
              <c:xMode val="edge"/>
              <c:yMode val="edge"/>
              <c:x val="0.46418356563409074"/>
              <c:y val="0.91982127234095734"/>
            </c:manualLayout>
          </c:layout>
          <c:overlay val="0"/>
        </c:title>
        <c:majorTickMark val="out"/>
        <c:minorTickMark val="none"/>
        <c:tickLblPos val="nextTo"/>
        <c:crossAx val="528210560"/>
        <c:crosses val="autoZero"/>
        <c:auto val="1"/>
        <c:lblAlgn val="ctr"/>
        <c:lblOffset val="100"/>
        <c:noMultiLvlLbl val="0"/>
      </c:catAx>
      <c:valAx>
        <c:axId val="528210560"/>
        <c:scaling>
          <c:orientation val="minMax"/>
          <c:max val="100"/>
          <c:min val="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nl-BE"/>
          </a:p>
        </c:txPr>
        <c:crossAx val="528211344"/>
        <c:crosses val="autoZero"/>
        <c:crossBetween val="between"/>
      </c:valAx>
      <c:spPr>
        <a:solidFill>
          <a:schemeClr val="tx1"/>
        </a:solidFill>
      </c:spPr>
    </c:plotArea>
    <c:plotVisOnly val="1"/>
    <c:dispBlanksAs val="gap"/>
    <c:showDLblsOverMax val="0"/>
  </c:chart>
  <c:spPr>
    <a:solidFill>
      <a:schemeClr val="tx1"/>
    </a:solidFill>
    <a:ln>
      <a:solidFill>
        <a:schemeClr val="bg1">
          <a:lumMod val="75000"/>
        </a:schemeClr>
      </a:solidFill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'99set'!$C$10:$C$104</c:f>
              <c:numCache>
                <c:formatCode>0.0000</c:formatCode>
                <c:ptCount val="95"/>
                <c:pt idx="0">
                  <c:v>0.61946999999999997</c:v>
                </c:pt>
                <c:pt idx="1">
                  <c:v>0.61946999999999997</c:v>
                </c:pt>
                <c:pt idx="2">
                  <c:v>0.61946999999999997</c:v>
                </c:pt>
                <c:pt idx="3">
                  <c:v>0.61946999999999997</c:v>
                </c:pt>
                <c:pt idx="4">
                  <c:v>0.61946999999999997</c:v>
                </c:pt>
                <c:pt idx="5">
                  <c:v>0.62356999999999996</c:v>
                </c:pt>
                <c:pt idx="6">
                  <c:v>0.62766</c:v>
                </c:pt>
                <c:pt idx="7">
                  <c:v>0.63171999999999995</c:v>
                </c:pt>
                <c:pt idx="8">
                  <c:v>0.63590000000000002</c:v>
                </c:pt>
                <c:pt idx="9">
                  <c:v>0.64015</c:v>
                </c:pt>
                <c:pt idx="10">
                  <c:v>0.64539999999999997</c:v>
                </c:pt>
                <c:pt idx="11">
                  <c:v>0.64888000000000001</c:v>
                </c:pt>
                <c:pt idx="12">
                  <c:v>0.65069999999999995</c:v>
                </c:pt>
                <c:pt idx="13">
                  <c:v>0.65146999999999999</c:v>
                </c:pt>
                <c:pt idx="14">
                  <c:v>0.65080000000000005</c:v>
                </c:pt>
                <c:pt idx="15">
                  <c:v>0.64822999999999997</c:v>
                </c:pt>
                <c:pt idx="16">
                  <c:v>0.64400000000000002</c:v>
                </c:pt>
                <c:pt idx="17">
                  <c:v>0.63824999999999998</c:v>
                </c:pt>
                <c:pt idx="18">
                  <c:v>0.63009999999999999</c:v>
                </c:pt>
                <c:pt idx="19">
                  <c:v>0.61895</c:v>
                </c:pt>
                <c:pt idx="20">
                  <c:v>0.60629999999999995</c:v>
                </c:pt>
                <c:pt idx="21">
                  <c:v>0.59360999999999997</c:v>
                </c:pt>
                <c:pt idx="22">
                  <c:v>0.58020000000000005</c:v>
                </c:pt>
                <c:pt idx="23">
                  <c:v>0.56547999999999998</c:v>
                </c:pt>
                <c:pt idx="24">
                  <c:v>0.55149999999999999</c:v>
                </c:pt>
                <c:pt idx="25">
                  <c:v>0.54015999999999997</c:v>
                </c:pt>
                <c:pt idx="26">
                  <c:v>0.53</c:v>
                </c:pt>
                <c:pt idx="27">
                  <c:v>0.51941999999999999</c:v>
                </c:pt>
                <c:pt idx="28">
                  <c:v>0.50949999999999995</c:v>
                </c:pt>
                <c:pt idx="29">
                  <c:v>0.50163000000000002</c:v>
                </c:pt>
                <c:pt idx="30">
                  <c:v>0.49580000000000002</c:v>
                </c:pt>
                <c:pt idx="31">
                  <c:v>0.49170999999999998</c:v>
                </c:pt>
                <c:pt idx="32">
                  <c:v>0.4894</c:v>
                </c:pt>
                <c:pt idx="33">
                  <c:v>0.48884</c:v>
                </c:pt>
                <c:pt idx="34">
                  <c:v>0.4894</c:v>
                </c:pt>
                <c:pt idx="35">
                  <c:v>0.49068000000000001</c:v>
                </c:pt>
                <c:pt idx="36">
                  <c:v>0.49380000000000002</c:v>
                </c:pt>
                <c:pt idx="37">
                  <c:v>0.50011000000000005</c:v>
                </c:pt>
                <c:pt idx="38">
                  <c:v>0.51029999999999998</c:v>
                </c:pt>
                <c:pt idx="39">
                  <c:v>0.52488000000000001</c:v>
                </c:pt>
                <c:pt idx="40">
                  <c:v>0.54420000000000002</c:v>
                </c:pt>
                <c:pt idx="41">
                  <c:v>0.56832000000000005</c:v>
                </c:pt>
                <c:pt idx="42">
                  <c:v>0.59630000000000005</c:v>
                </c:pt>
                <c:pt idx="43">
                  <c:v>0.62678999999999996</c:v>
                </c:pt>
                <c:pt idx="44">
                  <c:v>0.65780000000000005</c:v>
                </c:pt>
                <c:pt idx="45">
                  <c:v>0.68742999999999999</c:v>
                </c:pt>
                <c:pt idx="46">
                  <c:v>0.71489999999999998</c:v>
                </c:pt>
                <c:pt idx="47">
                  <c:v>0.73973999999999995</c:v>
                </c:pt>
                <c:pt idx="48">
                  <c:v>0.76170000000000004</c:v>
                </c:pt>
                <c:pt idx="49">
                  <c:v>0.78071999999999997</c:v>
                </c:pt>
                <c:pt idx="50">
                  <c:v>0.79720000000000002</c:v>
                </c:pt>
                <c:pt idx="51">
                  <c:v>0.81155999999999995</c:v>
                </c:pt>
                <c:pt idx="52">
                  <c:v>0.82389999999999997</c:v>
                </c:pt>
                <c:pt idx="53">
                  <c:v>0.83426999999999996</c:v>
                </c:pt>
                <c:pt idx="54">
                  <c:v>0.84279999999999999</c:v>
                </c:pt>
                <c:pt idx="55">
                  <c:v>0.84970999999999997</c:v>
                </c:pt>
                <c:pt idx="56">
                  <c:v>0.85560000000000003</c:v>
                </c:pt>
                <c:pt idx="57">
                  <c:v>0.86097999999999997</c:v>
                </c:pt>
                <c:pt idx="58">
                  <c:v>0.86570000000000003</c:v>
                </c:pt>
                <c:pt idx="59">
                  <c:v>0.86955000000000005</c:v>
                </c:pt>
                <c:pt idx="60">
                  <c:v>0.87280000000000002</c:v>
                </c:pt>
                <c:pt idx="61">
                  <c:v>0.87578</c:v>
                </c:pt>
                <c:pt idx="62">
                  <c:v>0.87849999999999995</c:v>
                </c:pt>
                <c:pt idx="63">
                  <c:v>0.88093999999999995</c:v>
                </c:pt>
                <c:pt idx="64">
                  <c:v>0.88329999999999997</c:v>
                </c:pt>
                <c:pt idx="65">
                  <c:v>0.88578999999999997</c:v>
                </c:pt>
                <c:pt idx="66">
                  <c:v>0.88839999999999997</c:v>
                </c:pt>
                <c:pt idx="67">
                  <c:v>0.89090999999999998</c:v>
                </c:pt>
                <c:pt idx="68">
                  <c:v>0.89259999999999995</c:v>
                </c:pt>
                <c:pt idx="69">
                  <c:v>0.89419999999999999</c:v>
                </c:pt>
                <c:pt idx="70">
                  <c:v>0.89573000000000003</c:v>
                </c:pt>
                <c:pt idx="71">
                  <c:v>0.89722999999999997</c:v>
                </c:pt>
                <c:pt idx="72">
                  <c:v>0.89871999999999996</c:v>
                </c:pt>
                <c:pt idx="73">
                  <c:v>0.90019000000000005</c:v>
                </c:pt>
                <c:pt idx="74">
                  <c:v>0.90164</c:v>
                </c:pt>
                <c:pt idx="75">
                  <c:v>0.90307000000000004</c:v>
                </c:pt>
                <c:pt idx="76">
                  <c:v>0.90449000000000002</c:v>
                </c:pt>
                <c:pt idx="77">
                  <c:v>0.90588000000000002</c:v>
                </c:pt>
                <c:pt idx="78">
                  <c:v>0.90725999999999996</c:v>
                </c:pt>
                <c:pt idx="79">
                  <c:v>0.90861000000000003</c:v>
                </c:pt>
                <c:pt idx="80">
                  <c:v>0.90995000000000004</c:v>
                </c:pt>
                <c:pt idx="81">
                  <c:v>0.91127999999999998</c:v>
                </c:pt>
                <c:pt idx="82">
                  <c:v>0.91257999999999995</c:v>
                </c:pt>
                <c:pt idx="83">
                  <c:v>0.91386999999999996</c:v>
                </c:pt>
                <c:pt idx="84">
                  <c:v>0.91513999999999995</c:v>
                </c:pt>
                <c:pt idx="85">
                  <c:v>0.91513999999999995</c:v>
                </c:pt>
                <c:pt idx="86">
                  <c:v>0.91513999999999995</c:v>
                </c:pt>
                <c:pt idx="87">
                  <c:v>0.91513999999999995</c:v>
                </c:pt>
                <c:pt idx="88">
                  <c:v>0.91513999999999995</c:v>
                </c:pt>
                <c:pt idx="89">
                  <c:v>0.91513999999999995</c:v>
                </c:pt>
                <c:pt idx="90">
                  <c:v>0.91513999999999995</c:v>
                </c:pt>
                <c:pt idx="91">
                  <c:v>0.91513999999999995</c:v>
                </c:pt>
                <c:pt idx="92">
                  <c:v>0.91513999999999995</c:v>
                </c:pt>
                <c:pt idx="93">
                  <c:v>0.91513999999999995</c:v>
                </c:pt>
                <c:pt idx="94">
                  <c:v>0.91513999999999995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FE4-445B-8EEB-D88489EA6296}"/>
            </c:ext>
          </c:extLst>
        </c:ser>
        <c:ser>
          <c:idx val="2"/>
          <c:order val="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'99set'!$D$10:$D$104</c:f>
              <c:numCache>
                <c:formatCode>0.0000</c:formatCode>
                <c:ptCount val="95"/>
                <c:pt idx="0">
                  <c:v>0.25173000000000001</c:v>
                </c:pt>
                <c:pt idx="1">
                  <c:v>0.25173000000000001</c:v>
                </c:pt>
                <c:pt idx="2">
                  <c:v>0.25173000000000001</c:v>
                </c:pt>
                <c:pt idx="3">
                  <c:v>0.25173000000000001</c:v>
                </c:pt>
                <c:pt idx="4">
                  <c:v>0.25173000000000001</c:v>
                </c:pt>
                <c:pt idx="5">
                  <c:v>0.25413000000000002</c:v>
                </c:pt>
                <c:pt idx="6">
                  <c:v>0.25655</c:v>
                </c:pt>
                <c:pt idx="7">
                  <c:v>0.25897999999999999</c:v>
                </c:pt>
                <c:pt idx="8">
                  <c:v>0.26150000000000001</c:v>
                </c:pt>
                <c:pt idx="9">
                  <c:v>0.26408999999999999</c:v>
                </c:pt>
                <c:pt idx="10">
                  <c:v>0.26700000000000002</c:v>
                </c:pt>
                <c:pt idx="11">
                  <c:v>0.26834000000000002</c:v>
                </c:pt>
                <c:pt idx="12">
                  <c:v>0.26840000000000003</c:v>
                </c:pt>
                <c:pt idx="13">
                  <c:v>0.26778999999999997</c:v>
                </c:pt>
                <c:pt idx="14">
                  <c:v>0.26629999999999998</c:v>
                </c:pt>
                <c:pt idx="15">
                  <c:v>0.26349</c:v>
                </c:pt>
                <c:pt idx="16">
                  <c:v>0.25900000000000001</c:v>
                </c:pt>
                <c:pt idx="17">
                  <c:v>0.25241000000000002</c:v>
                </c:pt>
                <c:pt idx="18">
                  <c:v>0.24310000000000001</c:v>
                </c:pt>
                <c:pt idx="19">
                  <c:v>0.23086000000000001</c:v>
                </c:pt>
                <c:pt idx="20">
                  <c:v>0.2175</c:v>
                </c:pt>
                <c:pt idx="21">
                  <c:v>0.20471</c:v>
                </c:pt>
                <c:pt idx="22">
                  <c:v>0.1918</c:v>
                </c:pt>
                <c:pt idx="23">
                  <c:v>0.17813000000000001</c:v>
                </c:pt>
                <c:pt idx="24">
                  <c:v>0.1656</c:v>
                </c:pt>
                <c:pt idx="25">
                  <c:v>0.15601999999999999</c:v>
                </c:pt>
                <c:pt idx="26">
                  <c:v>0.14810000000000001</c:v>
                </c:pt>
                <c:pt idx="27">
                  <c:v>0.14026</c:v>
                </c:pt>
                <c:pt idx="28">
                  <c:v>0.13270000000000001</c:v>
                </c:pt>
                <c:pt idx="29">
                  <c:v>0.12604000000000001</c:v>
                </c:pt>
                <c:pt idx="30">
                  <c:v>0.12089999999999999</c:v>
                </c:pt>
                <c:pt idx="31">
                  <c:v>0.11769</c:v>
                </c:pt>
                <c:pt idx="32">
                  <c:v>0.11609999999999999</c:v>
                </c:pt>
                <c:pt idx="33">
                  <c:v>0.11569</c:v>
                </c:pt>
                <c:pt idx="34">
                  <c:v>0.11609999999999999</c:v>
                </c:pt>
                <c:pt idx="35">
                  <c:v>0.1171</c:v>
                </c:pt>
                <c:pt idx="36">
                  <c:v>0.1187</c:v>
                </c:pt>
                <c:pt idx="37">
                  <c:v>0.12114</c:v>
                </c:pt>
                <c:pt idx="38">
                  <c:v>0.12520000000000001</c:v>
                </c:pt>
                <c:pt idx="39">
                  <c:v>0.13197999999999999</c:v>
                </c:pt>
                <c:pt idx="40">
                  <c:v>0.14330000000000001</c:v>
                </c:pt>
                <c:pt idx="41">
                  <c:v>0.16092000000000001</c:v>
                </c:pt>
                <c:pt idx="42">
                  <c:v>0.1855</c:v>
                </c:pt>
                <c:pt idx="43">
                  <c:v>0.21707000000000001</c:v>
                </c:pt>
                <c:pt idx="44">
                  <c:v>0.25419999999999998</c:v>
                </c:pt>
                <c:pt idx="45">
                  <c:v>0.29504999999999998</c:v>
                </c:pt>
                <c:pt idx="46">
                  <c:v>0.33760000000000001</c:v>
                </c:pt>
                <c:pt idx="47">
                  <c:v>0.37991000000000003</c:v>
                </c:pt>
                <c:pt idx="48">
                  <c:v>0.42049999999999998</c:v>
                </c:pt>
                <c:pt idx="49">
                  <c:v>0.45828000000000002</c:v>
                </c:pt>
                <c:pt idx="50">
                  <c:v>0.49320000000000003</c:v>
                </c:pt>
                <c:pt idx="51">
                  <c:v>0.52532999999999996</c:v>
                </c:pt>
                <c:pt idx="52">
                  <c:v>0.55400000000000005</c:v>
                </c:pt>
                <c:pt idx="53">
                  <c:v>0.57872000000000001</c:v>
                </c:pt>
                <c:pt idx="54">
                  <c:v>0.60029999999999994</c:v>
                </c:pt>
                <c:pt idx="55">
                  <c:v>0.61963000000000001</c:v>
                </c:pt>
                <c:pt idx="56">
                  <c:v>0.63670000000000004</c:v>
                </c:pt>
                <c:pt idx="57">
                  <c:v>0.65151000000000003</c:v>
                </c:pt>
                <c:pt idx="58">
                  <c:v>0.66510000000000002</c:v>
                </c:pt>
                <c:pt idx="59">
                  <c:v>0.67849999999999999</c:v>
                </c:pt>
                <c:pt idx="60">
                  <c:v>0.69159999999999999</c:v>
                </c:pt>
                <c:pt idx="61">
                  <c:v>0.70421999999999996</c:v>
                </c:pt>
                <c:pt idx="62">
                  <c:v>0.71709999999999996</c:v>
                </c:pt>
                <c:pt idx="63">
                  <c:v>0.73050000000000004</c:v>
                </c:pt>
                <c:pt idx="64">
                  <c:v>0.74199999999999999</c:v>
                </c:pt>
                <c:pt idx="65">
                  <c:v>0.74975999999999998</c:v>
                </c:pt>
                <c:pt idx="66">
                  <c:v>0.7571</c:v>
                </c:pt>
                <c:pt idx="67">
                  <c:v>0.76683999999999997</c:v>
                </c:pt>
                <c:pt idx="68">
                  <c:v>0.77459999999999996</c:v>
                </c:pt>
                <c:pt idx="69">
                  <c:v>0.78200999999999998</c:v>
                </c:pt>
                <c:pt idx="70">
                  <c:v>0.78903000000000001</c:v>
                </c:pt>
                <c:pt idx="71">
                  <c:v>0.79586999999999997</c:v>
                </c:pt>
                <c:pt idx="72">
                  <c:v>0.80256000000000005</c:v>
                </c:pt>
                <c:pt idx="73">
                  <c:v>0.80906999999999996</c:v>
                </c:pt>
                <c:pt idx="74">
                  <c:v>0.81542000000000003</c:v>
                </c:pt>
                <c:pt idx="75">
                  <c:v>0.82160999999999995</c:v>
                </c:pt>
                <c:pt idx="76">
                  <c:v>0.82762999999999998</c:v>
                </c:pt>
                <c:pt idx="77">
                  <c:v>0.83348999999999995</c:v>
                </c:pt>
                <c:pt idx="78">
                  <c:v>0.83918999999999999</c:v>
                </c:pt>
                <c:pt idx="79">
                  <c:v>0.84472999999999998</c:v>
                </c:pt>
                <c:pt idx="80">
                  <c:v>0.85011000000000003</c:v>
                </c:pt>
                <c:pt idx="81">
                  <c:v>0.85533999999999999</c:v>
                </c:pt>
                <c:pt idx="82">
                  <c:v>0.86041999999999996</c:v>
                </c:pt>
                <c:pt idx="83">
                  <c:v>0.86534</c:v>
                </c:pt>
                <c:pt idx="84">
                  <c:v>0.87012</c:v>
                </c:pt>
                <c:pt idx="85">
                  <c:v>0.87012</c:v>
                </c:pt>
                <c:pt idx="86">
                  <c:v>0.87012</c:v>
                </c:pt>
                <c:pt idx="87">
                  <c:v>0.87012</c:v>
                </c:pt>
                <c:pt idx="88">
                  <c:v>0.87012</c:v>
                </c:pt>
                <c:pt idx="89">
                  <c:v>0.87012</c:v>
                </c:pt>
                <c:pt idx="90">
                  <c:v>0.87012</c:v>
                </c:pt>
                <c:pt idx="91">
                  <c:v>0.87012</c:v>
                </c:pt>
                <c:pt idx="92">
                  <c:v>0.87012</c:v>
                </c:pt>
                <c:pt idx="93">
                  <c:v>0.87012</c:v>
                </c:pt>
                <c:pt idx="94">
                  <c:v>0.87012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3FE4-445B-8EEB-D88489EA6296}"/>
            </c:ext>
          </c:extLst>
        </c:ser>
        <c:ser>
          <c:idx val="3"/>
          <c:order val="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'99set'!$E$10:$E$104</c:f>
              <c:numCache>
                <c:formatCode>0.0000</c:formatCode>
                <c:ptCount val="95"/>
                <c:pt idx="0">
                  <c:v>7.61E-6</c:v>
                </c:pt>
                <c:pt idx="1">
                  <c:v>7.61E-6</c:v>
                </c:pt>
                <c:pt idx="2">
                  <c:v>7.61E-6</c:v>
                </c:pt>
                <c:pt idx="3">
                  <c:v>7.61E-6</c:v>
                </c:pt>
                <c:pt idx="4">
                  <c:v>7.61E-6</c:v>
                </c:pt>
                <c:pt idx="5">
                  <c:v>6.6302000000000002E-3</c:v>
                </c:pt>
                <c:pt idx="6">
                  <c:v>1.6937000000000001E-2</c:v>
                </c:pt>
                <c:pt idx="7">
                  <c:v>1.7729000000000002E-2</c:v>
                </c:pt>
                <c:pt idx="8">
                  <c:v>1.1674E-2</c:v>
                </c:pt>
                <c:pt idx="9">
                  <c:v>5.1085000000000002E-3</c:v>
                </c:pt>
                <c:pt idx="10">
                  <c:v>3.7854E-3</c:v>
                </c:pt>
                <c:pt idx="11">
                  <c:v>8.7372999999999999E-3</c:v>
                </c:pt>
                <c:pt idx="12">
                  <c:v>1.8883E-2</c:v>
                </c:pt>
                <c:pt idx="13">
                  <c:v>2.972E-2</c:v>
                </c:pt>
                <c:pt idx="14">
                  <c:v>4.1987999999999998E-2</c:v>
                </c:pt>
                <c:pt idx="15">
                  <c:v>4.8964000000000001E-2</c:v>
                </c:pt>
                <c:pt idx="16">
                  <c:v>5.4566000000000003E-2</c:v>
                </c:pt>
                <c:pt idx="17">
                  <c:v>5.6742000000000001E-2</c:v>
                </c:pt>
                <c:pt idx="18">
                  <c:v>5.4100000000000002E-2</c:v>
                </c:pt>
                <c:pt idx="19">
                  <c:v>5.4871000000000003E-2</c:v>
                </c:pt>
                <c:pt idx="20">
                  <c:v>5.9081000000000002E-2</c:v>
                </c:pt>
                <c:pt idx="21">
                  <c:v>6.0752E-2</c:v>
                </c:pt>
                <c:pt idx="22">
                  <c:v>6.2591999999999995E-2</c:v>
                </c:pt>
                <c:pt idx="23">
                  <c:v>6.3044000000000003E-2</c:v>
                </c:pt>
                <c:pt idx="24">
                  <c:v>6.0686999999999998E-2</c:v>
                </c:pt>
                <c:pt idx="25">
                  <c:v>5.9669E-2</c:v>
                </c:pt>
                <c:pt idx="26">
                  <c:v>5.9438999999999999E-2</c:v>
                </c:pt>
                <c:pt idx="27">
                  <c:v>5.6008000000000002E-2</c:v>
                </c:pt>
                <c:pt idx="28">
                  <c:v>5.3919000000000002E-2</c:v>
                </c:pt>
                <c:pt idx="29">
                  <c:v>5.2020999999999998E-2</c:v>
                </c:pt>
                <c:pt idx="30">
                  <c:v>4.8947999999999998E-2</c:v>
                </c:pt>
                <c:pt idx="31">
                  <c:v>4.7624E-2</c:v>
                </c:pt>
                <c:pt idx="32">
                  <c:v>4.6470999999999998E-2</c:v>
                </c:pt>
                <c:pt idx="33">
                  <c:v>4.3976000000000001E-2</c:v>
                </c:pt>
                <c:pt idx="34">
                  <c:v>4.1023999999999998E-2</c:v>
                </c:pt>
                <c:pt idx="35">
                  <c:v>4.0464E-2</c:v>
                </c:pt>
                <c:pt idx="36">
                  <c:v>4.1868000000000002E-2</c:v>
                </c:pt>
                <c:pt idx="37">
                  <c:v>4.1972000000000002E-2</c:v>
                </c:pt>
                <c:pt idx="38">
                  <c:v>4.1234E-2</c:v>
                </c:pt>
                <c:pt idx="39">
                  <c:v>4.1848999999999997E-2</c:v>
                </c:pt>
                <c:pt idx="40">
                  <c:v>4.3050999999999999E-2</c:v>
                </c:pt>
                <c:pt idx="41">
                  <c:v>4.4837000000000002E-2</c:v>
                </c:pt>
                <c:pt idx="42">
                  <c:v>4.4294E-2</c:v>
                </c:pt>
                <c:pt idx="43">
                  <c:v>4.6315000000000002E-2</c:v>
                </c:pt>
                <c:pt idx="44">
                  <c:v>4.9140999999999997E-2</c:v>
                </c:pt>
                <c:pt idx="45">
                  <c:v>5.151E-2</c:v>
                </c:pt>
                <c:pt idx="46">
                  <c:v>5.3052000000000002E-2</c:v>
                </c:pt>
                <c:pt idx="47">
                  <c:v>5.4632E-2</c:v>
                </c:pt>
                <c:pt idx="48">
                  <c:v>5.8628E-2</c:v>
                </c:pt>
                <c:pt idx="49">
                  <c:v>6.6034999999999996E-2</c:v>
                </c:pt>
                <c:pt idx="50">
                  <c:v>7.4268000000000001E-2</c:v>
                </c:pt>
                <c:pt idx="51">
                  <c:v>8.5163000000000003E-2</c:v>
                </c:pt>
                <c:pt idx="52">
                  <c:v>9.7902000000000003E-2</c:v>
                </c:pt>
                <c:pt idx="53">
                  <c:v>0.10928</c:v>
                </c:pt>
                <c:pt idx="54">
                  <c:v>0.12064</c:v>
                </c:pt>
                <c:pt idx="55">
                  <c:v>0.12748999999999999</c:v>
                </c:pt>
                <c:pt idx="56">
                  <c:v>0.13322000000000001</c:v>
                </c:pt>
                <c:pt idx="57">
                  <c:v>0.14094000000000001</c:v>
                </c:pt>
                <c:pt idx="58">
                  <c:v>0.15003</c:v>
                </c:pt>
                <c:pt idx="59">
                  <c:v>0.15656</c:v>
                </c:pt>
                <c:pt idx="60">
                  <c:v>0.16206999999999999</c:v>
                </c:pt>
                <c:pt idx="61">
                  <c:v>0.17094999999999999</c:v>
                </c:pt>
                <c:pt idx="62">
                  <c:v>0.18004000000000001</c:v>
                </c:pt>
                <c:pt idx="63">
                  <c:v>0.18664</c:v>
                </c:pt>
                <c:pt idx="64">
                  <c:v>0.18611</c:v>
                </c:pt>
                <c:pt idx="65">
                  <c:v>0.1865</c:v>
                </c:pt>
                <c:pt idx="66">
                  <c:v>0.19528999999999999</c:v>
                </c:pt>
                <c:pt idx="67">
                  <c:v>0.2021</c:v>
                </c:pt>
                <c:pt idx="68">
                  <c:v>0.20393</c:v>
                </c:pt>
                <c:pt idx="69">
                  <c:v>0.21328</c:v>
                </c:pt>
                <c:pt idx="70">
                  <c:v>0.21965999999999999</c:v>
                </c:pt>
                <c:pt idx="71">
                  <c:v>0.22617000000000001</c:v>
                </c:pt>
                <c:pt idx="72">
                  <c:v>0.23280999999999999</c:v>
                </c:pt>
                <c:pt idx="73">
                  <c:v>0.23959</c:v>
                </c:pt>
                <c:pt idx="74">
                  <c:v>0.24651000000000001</c:v>
                </c:pt>
                <c:pt idx="75">
                  <c:v>0.25356000000000001</c:v>
                </c:pt>
                <c:pt idx="76">
                  <c:v>0.26073000000000002</c:v>
                </c:pt>
                <c:pt idx="77">
                  <c:v>0.26804</c:v>
                </c:pt>
                <c:pt idx="78">
                  <c:v>0.27548</c:v>
                </c:pt>
                <c:pt idx="79">
                  <c:v>0.28305000000000002</c:v>
                </c:pt>
                <c:pt idx="80">
                  <c:v>0.29074</c:v>
                </c:pt>
                <c:pt idx="81">
                  <c:v>0.29854999999999998</c:v>
                </c:pt>
                <c:pt idx="82">
                  <c:v>0.30647999999999997</c:v>
                </c:pt>
                <c:pt idx="83">
                  <c:v>0.31452000000000002</c:v>
                </c:pt>
                <c:pt idx="84">
                  <c:v>0.32268000000000002</c:v>
                </c:pt>
                <c:pt idx="85">
                  <c:v>0.32268000000000002</c:v>
                </c:pt>
                <c:pt idx="86">
                  <c:v>0.32268000000000002</c:v>
                </c:pt>
                <c:pt idx="87">
                  <c:v>0.32268000000000002</c:v>
                </c:pt>
                <c:pt idx="88">
                  <c:v>0.32268000000000002</c:v>
                </c:pt>
                <c:pt idx="89">
                  <c:v>0.32268000000000002</c:v>
                </c:pt>
                <c:pt idx="90">
                  <c:v>0.32268000000000002</c:v>
                </c:pt>
                <c:pt idx="91">
                  <c:v>0.32268000000000002</c:v>
                </c:pt>
                <c:pt idx="92">
                  <c:v>0.32268000000000002</c:v>
                </c:pt>
                <c:pt idx="93">
                  <c:v>0.32268000000000002</c:v>
                </c:pt>
                <c:pt idx="94">
                  <c:v>0.32268000000000002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3FE4-445B-8EEB-D88489EA6296}"/>
            </c:ext>
          </c:extLst>
        </c:ser>
        <c:ser>
          <c:idx val="4"/>
          <c:order val="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'99set'!$F$10:$F$104</c:f>
              <c:numCache>
                <c:formatCode>0.0000</c:formatCode>
                <c:ptCount val="95"/>
                <c:pt idx="0">
                  <c:v>0.47376000000000001</c:v>
                </c:pt>
                <c:pt idx="1">
                  <c:v>0.47376000000000001</c:v>
                </c:pt>
                <c:pt idx="2">
                  <c:v>0.47376000000000001</c:v>
                </c:pt>
                <c:pt idx="3">
                  <c:v>0.47376000000000001</c:v>
                </c:pt>
                <c:pt idx="4">
                  <c:v>0.47376000000000001</c:v>
                </c:pt>
                <c:pt idx="5">
                  <c:v>0.47793090909090913</c:v>
                </c:pt>
                <c:pt idx="6">
                  <c:v>0.46405857142857149</c:v>
                </c:pt>
                <c:pt idx="7">
                  <c:v>0.44101612903225801</c:v>
                </c:pt>
                <c:pt idx="8">
                  <c:v>0.42156609756097546</c:v>
                </c:pt>
                <c:pt idx="9">
                  <c:v>0.405590487804878</c:v>
                </c:pt>
                <c:pt idx="10">
                  <c:v>0.3894960975609757</c:v>
                </c:pt>
                <c:pt idx="11">
                  <c:v>0.37566512195121954</c:v>
                </c:pt>
                <c:pt idx="12">
                  <c:v>0.36500560975609758</c:v>
                </c:pt>
                <c:pt idx="13">
                  <c:v>0.35610804878048785</c:v>
                </c:pt>
                <c:pt idx="14">
                  <c:v>0.34935804878048782</c:v>
                </c:pt>
                <c:pt idx="15">
                  <c:v>0.34200024390243899</c:v>
                </c:pt>
                <c:pt idx="16">
                  <c:v>0.33382439024390242</c:v>
                </c:pt>
                <c:pt idx="17">
                  <c:v>0.32410560975609753</c:v>
                </c:pt>
                <c:pt idx="18">
                  <c:v>0.31282219512195109</c:v>
                </c:pt>
                <c:pt idx="19">
                  <c:v>0.29816219512195113</c:v>
                </c:pt>
                <c:pt idx="20">
                  <c:v>0.27982121951219507</c:v>
                </c:pt>
                <c:pt idx="21">
                  <c:v>0.26042073170731705</c:v>
                </c:pt>
                <c:pt idx="22">
                  <c:v>0.24078121951219505</c:v>
                </c:pt>
                <c:pt idx="23">
                  <c:v>0.2220568292682927</c:v>
                </c:pt>
                <c:pt idx="24">
                  <c:v>0.20461707317073172</c:v>
                </c:pt>
                <c:pt idx="25">
                  <c:v>0.18883682926829273</c:v>
                </c:pt>
                <c:pt idx="26">
                  <c:v>0.17488487804878056</c:v>
                </c:pt>
                <c:pt idx="27">
                  <c:v>0.16336536585365863</c:v>
                </c:pt>
                <c:pt idx="28">
                  <c:v>0.15560000000000004</c:v>
                </c:pt>
                <c:pt idx="29">
                  <c:v>0.15189536585365859</c:v>
                </c:pt>
                <c:pt idx="30">
                  <c:v>0.15143439024390248</c:v>
                </c:pt>
                <c:pt idx="31">
                  <c:v>0.15411975609756104</c:v>
                </c:pt>
                <c:pt idx="32">
                  <c:v>0.16036341463414638</c:v>
                </c:pt>
                <c:pt idx="33">
                  <c:v>0.17074999999999999</c:v>
                </c:pt>
                <c:pt idx="34">
                  <c:v>0.18585756097560971</c:v>
                </c:pt>
                <c:pt idx="35">
                  <c:v>0.20558487804878051</c:v>
                </c:pt>
                <c:pt idx="36">
                  <c:v>0.22891756097560978</c:v>
                </c:pt>
                <c:pt idx="37">
                  <c:v>0.25477195121951218</c:v>
                </c:pt>
                <c:pt idx="38">
                  <c:v>0.28272097560975618</c:v>
                </c:pt>
                <c:pt idx="39">
                  <c:v>0.31202268292682928</c:v>
                </c:pt>
                <c:pt idx="40">
                  <c:v>0.34200317073170727</c:v>
                </c:pt>
                <c:pt idx="41">
                  <c:v>0.37116268292682919</c:v>
                </c:pt>
                <c:pt idx="42">
                  <c:v>0.39782317073170709</c:v>
                </c:pt>
                <c:pt idx="43">
                  <c:v>0.42122609756097551</c:v>
                </c:pt>
                <c:pt idx="44">
                  <c:v>0.44136121951219498</c:v>
                </c:pt>
                <c:pt idx="45">
                  <c:v>0.45795463414634124</c:v>
                </c:pt>
                <c:pt idx="46">
                  <c:v>0.47105219512195134</c:v>
                </c:pt>
                <c:pt idx="47">
                  <c:v>0.48106609756097574</c:v>
                </c:pt>
                <c:pt idx="48">
                  <c:v>0.488419756097561</c:v>
                </c:pt>
                <c:pt idx="49">
                  <c:v>0.49386365853658526</c:v>
                </c:pt>
                <c:pt idx="50">
                  <c:v>0.49824439024390244</c:v>
                </c:pt>
                <c:pt idx="51">
                  <c:v>0.50228951219512197</c:v>
                </c:pt>
                <c:pt idx="52">
                  <c:v>0.50566560975609764</c:v>
                </c:pt>
                <c:pt idx="53">
                  <c:v>0.5081939024390244</c:v>
                </c:pt>
                <c:pt idx="54">
                  <c:v>0.51008902439024395</c:v>
                </c:pt>
                <c:pt idx="55">
                  <c:v>0.51142414634146338</c:v>
                </c:pt>
                <c:pt idx="56">
                  <c:v>0.51261682926829266</c:v>
                </c:pt>
                <c:pt idx="57">
                  <c:v>0.51402268292682918</c:v>
                </c:pt>
                <c:pt idx="58">
                  <c:v>0.51521853658536587</c:v>
                </c:pt>
                <c:pt idx="59">
                  <c:v>0.51566243902439013</c:v>
                </c:pt>
                <c:pt idx="60">
                  <c:v>0.5152658536585365</c:v>
                </c:pt>
                <c:pt idx="61">
                  <c:v>0.51410439024390242</c:v>
                </c:pt>
                <c:pt idx="62">
                  <c:v>0.51322243902439013</c:v>
                </c:pt>
                <c:pt idx="63">
                  <c:v>0.51342609756097546</c:v>
                </c:pt>
                <c:pt idx="64">
                  <c:v>0.51336829268292683</c:v>
                </c:pt>
                <c:pt idx="65">
                  <c:v>0.51311414634146368</c:v>
                </c:pt>
                <c:pt idx="66">
                  <c:v>0.51261487804878092</c:v>
                </c:pt>
                <c:pt idx="67">
                  <c:v>0.51208195121951239</c:v>
                </c:pt>
                <c:pt idx="68">
                  <c:v>0.51191292682926848</c:v>
                </c:pt>
                <c:pt idx="69">
                  <c:v>0.51290975609756073</c:v>
                </c:pt>
                <c:pt idx="70">
                  <c:v>0.51484951219512176</c:v>
                </c:pt>
                <c:pt idx="71">
                  <c:v>0.51666585365853634</c:v>
                </c:pt>
                <c:pt idx="72">
                  <c:v>0.5184882926829264</c:v>
                </c:pt>
                <c:pt idx="73">
                  <c:v>0.52041048780487775</c:v>
                </c:pt>
                <c:pt idx="74">
                  <c:v>0.52228243902439009</c:v>
                </c:pt>
                <c:pt idx="75">
                  <c:v>0.52415365853658535</c:v>
                </c:pt>
                <c:pt idx="76">
                  <c:v>0.52602414634146344</c:v>
                </c:pt>
                <c:pt idx="77">
                  <c:v>0.52789439024390239</c:v>
                </c:pt>
                <c:pt idx="78">
                  <c:v>0.52976317073170731</c:v>
                </c:pt>
                <c:pt idx="79">
                  <c:v>0.53163170731707332</c:v>
                </c:pt>
                <c:pt idx="80">
                  <c:v>0.53349902439024433</c:v>
                </c:pt>
                <c:pt idx="81">
                  <c:v>0.53536677419354839</c:v>
                </c:pt>
                <c:pt idx="82">
                  <c:v>0.53723333333333323</c:v>
                </c:pt>
                <c:pt idx="83">
                  <c:v>0.53909818181818181</c:v>
                </c:pt>
                <c:pt idx="84">
                  <c:v>0.54096</c:v>
                </c:pt>
                <c:pt idx="85">
                  <c:v>0.54096</c:v>
                </c:pt>
                <c:pt idx="86">
                  <c:v>0.54096</c:v>
                </c:pt>
                <c:pt idx="87">
                  <c:v>0.54096</c:v>
                </c:pt>
                <c:pt idx="88">
                  <c:v>0.54096</c:v>
                </c:pt>
                <c:pt idx="89">
                  <c:v>0.54096</c:v>
                </c:pt>
                <c:pt idx="90">
                  <c:v>0.54096</c:v>
                </c:pt>
                <c:pt idx="91">
                  <c:v>0.54096</c:v>
                </c:pt>
                <c:pt idx="92">
                  <c:v>0.54096</c:v>
                </c:pt>
                <c:pt idx="93">
                  <c:v>0.54096</c:v>
                </c:pt>
                <c:pt idx="94">
                  <c:v>0.54096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3FE4-445B-8EEB-D88489EA6296}"/>
            </c:ext>
          </c:extLst>
        </c:ser>
        <c:ser>
          <c:idx val="5"/>
          <c:order val="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'99set'!$G$10:$G$104</c:f>
              <c:numCache>
                <c:formatCode>0.0000</c:formatCode>
                <c:ptCount val="95"/>
                <c:pt idx="0">
                  <c:v>0.13350999999999999</c:v>
                </c:pt>
                <c:pt idx="1">
                  <c:v>0.13350999999999999</c:v>
                </c:pt>
                <c:pt idx="2">
                  <c:v>0.13350999999999999</c:v>
                </c:pt>
                <c:pt idx="3">
                  <c:v>0.13350999999999999</c:v>
                </c:pt>
                <c:pt idx="4">
                  <c:v>0.13350999999999999</c:v>
                </c:pt>
                <c:pt idx="5">
                  <c:v>0.13539999999999999</c:v>
                </c:pt>
                <c:pt idx="6">
                  <c:v>0.13564999999999999</c:v>
                </c:pt>
                <c:pt idx="7">
                  <c:v>0.13539999999999999</c:v>
                </c:pt>
                <c:pt idx="8">
                  <c:v>0.13578999999999999</c:v>
                </c:pt>
                <c:pt idx="9">
                  <c:v>0.13757</c:v>
                </c:pt>
                <c:pt idx="10">
                  <c:v>0.14001</c:v>
                </c:pt>
                <c:pt idx="11">
                  <c:v>0.14194999999999999</c:v>
                </c:pt>
                <c:pt idx="12">
                  <c:v>0.14194000000000001</c:v>
                </c:pt>
                <c:pt idx="13">
                  <c:v>0.13886999999999999</c:v>
                </c:pt>
                <c:pt idx="14">
                  <c:v>0.13327</c:v>
                </c:pt>
                <c:pt idx="15">
                  <c:v>0.12595000000000001</c:v>
                </c:pt>
                <c:pt idx="16">
                  <c:v>0.11738</c:v>
                </c:pt>
                <c:pt idx="17">
                  <c:v>0.10793999999999999</c:v>
                </c:pt>
                <c:pt idx="18">
                  <c:v>9.819E-2</c:v>
                </c:pt>
                <c:pt idx="19">
                  <c:v>8.8677000000000006E-2</c:v>
                </c:pt>
                <c:pt idx="20">
                  <c:v>7.9780000000000004E-2</c:v>
                </c:pt>
                <c:pt idx="21">
                  <c:v>7.1822999999999998E-2</c:v>
                </c:pt>
                <c:pt idx="22">
                  <c:v>6.5079999999999999E-2</c:v>
                </c:pt>
                <c:pt idx="23">
                  <c:v>5.9762000000000003E-2</c:v>
                </c:pt>
                <c:pt idx="24">
                  <c:v>5.586E-2</c:v>
                </c:pt>
                <c:pt idx="25">
                  <c:v>5.3231000000000001E-2</c:v>
                </c:pt>
                <c:pt idx="26">
                  <c:v>5.1400000000000001E-2</c:v>
                </c:pt>
                <c:pt idx="27">
                  <c:v>4.9907E-2</c:v>
                </c:pt>
                <c:pt idx="28">
                  <c:v>4.8689999999999997E-2</c:v>
                </c:pt>
                <c:pt idx="29">
                  <c:v>4.7834000000000002E-2</c:v>
                </c:pt>
                <c:pt idx="30">
                  <c:v>4.761E-2</c:v>
                </c:pt>
                <c:pt idx="31">
                  <c:v>4.8309999999999999E-2</c:v>
                </c:pt>
                <c:pt idx="32">
                  <c:v>5.0110000000000002E-2</c:v>
                </c:pt>
                <c:pt idx="33">
                  <c:v>5.3024000000000002E-2</c:v>
                </c:pt>
                <c:pt idx="34">
                  <c:v>5.654E-2</c:v>
                </c:pt>
                <c:pt idx="35">
                  <c:v>6.0081000000000002E-2</c:v>
                </c:pt>
                <c:pt idx="36">
                  <c:v>6.3350000000000004E-2</c:v>
                </c:pt>
                <c:pt idx="37">
                  <c:v>6.6281000000000007E-2</c:v>
                </c:pt>
                <c:pt idx="38">
                  <c:v>6.9459999999999994E-2</c:v>
                </c:pt>
                <c:pt idx="39">
                  <c:v>7.3762999999999995E-2</c:v>
                </c:pt>
                <c:pt idx="40">
                  <c:v>8.0589999999999995E-2</c:v>
                </c:pt>
                <c:pt idx="41">
                  <c:v>9.1151999999999997E-2</c:v>
                </c:pt>
                <c:pt idx="42">
                  <c:v>0.10539</c:v>
                </c:pt>
                <c:pt idx="43">
                  <c:v>0.12247</c:v>
                </c:pt>
                <c:pt idx="44">
                  <c:v>0.13976</c:v>
                </c:pt>
                <c:pt idx="45">
                  <c:v>0.15470999999999999</c:v>
                </c:pt>
                <c:pt idx="46">
                  <c:v>0.16697999999999999</c:v>
                </c:pt>
                <c:pt idx="47">
                  <c:v>0.17763000000000001</c:v>
                </c:pt>
                <c:pt idx="48">
                  <c:v>0.19117999999999999</c:v>
                </c:pt>
                <c:pt idx="49">
                  <c:v>0.21263000000000001</c:v>
                </c:pt>
                <c:pt idx="50">
                  <c:v>0.24557000000000001</c:v>
                </c:pt>
                <c:pt idx="51">
                  <c:v>0.29221000000000003</c:v>
                </c:pt>
                <c:pt idx="52">
                  <c:v>0.35063</c:v>
                </c:pt>
                <c:pt idx="53">
                  <c:v>0.41726000000000002</c:v>
                </c:pt>
                <c:pt idx="54">
                  <c:v>0.48613000000000001</c:v>
                </c:pt>
                <c:pt idx="55">
                  <c:v>0.5514</c:v>
                </c:pt>
                <c:pt idx="56">
                  <c:v>0.61007</c:v>
                </c:pt>
                <c:pt idx="57">
                  <c:v>0.66051000000000004</c:v>
                </c:pt>
                <c:pt idx="58">
                  <c:v>0.70369999999999999</c:v>
                </c:pt>
                <c:pt idx="59">
                  <c:v>0.74104999999999999</c:v>
                </c:pt>
                <c:pt idx="60">
                  <c:v>0.77302999999999999</c:v>
                </c:pt>
                <c:pt idx="61">
                  <c:v>0.79995000000000005</c:v>
                </c:pt>
                <c:pt idx="62">
                  <c:v>0.82247999999999999</c:v>
                </c:pt>
                <c:pt idx="63">
                  <c:v>0.84133000000000002</c:v>
                </c:pt>
                <c:pt idx="64">
                  <c:v>0.85711999999999999</c:v>
                </c:pt>
                <c:pt idx="65">
                  <c:v>0.87050000000000005</c:v>
                </c:pt>
                <c:pt idx="66">
                  <c:v>0.88222</c:v>
                </c:pt>
                <c:pt idx="67">
                  <c:v>0.89292000000000005</c:v>
                </c:pt>
                <c:pt idx="68">
                  <c:v>0.90256000000000003</c:v>
                </c:pt>
                <c:pt idx="69">
                  <c:v>0.91091</c:v>
                </c:pt>
                <c:pt idx="70">
                  <c:v>0.91776000000000002</c:v>
                </c:pt>
                <c:pt idx="71">
                  <c:v>0.92303999999999997</c:v>
                </c:pt>
                <c:pt idx="72">
                  <c:v>0.92737000000000003</c:v>
                </c:pt>
                <c:pt idx="73">
                  <c:v>0.93156000000000005</c:v>
                </c:pt>
                <c:pt idx="74">
                  <c:v>0.93638999999999994</c:v>
                </c:pt>
                <c:pt idx="75">
                  <c:v>0.93984999999999996</c:v>
                </c:pt>
                <c:pt idx="76">
                  <c:v>0.94352999999999998</c:v>
                </c:pt>
                <c:pt idx="77">
                  <c:v>0.94699999999999995</c:v>
                </c:pt>
                <c:pt idx="78">
                  <c:v>0.95026999999999995</c:v>
                </c:pt>
                <c:pt idx="79">
                  <c:v>0.95335000000000003</c:v>
                </c:pt>
                <c:pt idx="80">
                  <c:v>0.95625000000000004</c:v>
                </c:pt>
                <c:pt idx="81">
                  <c:v>0.95896999999999999</c:v>
                </c:pt>
                <c:pt idx="82">
                  <c:v>0.96153</c:v>
                </c:pt>
                <c:pt idx="83">
                  <c:v>0.96394000000000002</c:v>
                </c:pt>
                <c:pt idx="84">
                  <c:v>0.96619999999999995</c:v>
                </c:pt>
                <c:pt idx="85">
                  <c:v>0.96619999999999995</c:v>
                </c:pt>
                <c:pt idx="86">
                  <c:v>0.96619999999999995</c:v>
                </c:pt>
                <c:pt idx="87">
                  <c:v>0.96619999999999995</c:v>
                </c:pt>
                <c:pt idx="88">
                  <c:v>0.96619999999999995</c:v>
                </c:pt>
                <c:pt idx="89">
                  <c:v>0.96619999999999995</c:v>
                </c:pt>
                <c:pt idx="90">
                  <c:v>0.96619999999999995</c:v>
                </c:pt>
                <c:pt idx="91">
                  <c:v>0.96619999999999995</c:v>
                </c:pt>
                <c:pt idx="92">
                  <c:v>0.96619999999999995</c:v>
                </c:pt>
                <c:pt idx="93">
                  <c:v>0.96619999999999995</c:v>
                </c:pt>
                <c:pt idx="94">
                  <c:v>0.96619999999999995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3FE4-445B-8EEB-D88489EA6296}"/>
            </c:ext>
          </c:extLst>
        </c:ser>
        <c:ser>
          <c:idx val="6"/>
          <c:order val="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'99set'!$H$10:$H$104</c:f>
              <c:numCache>
                <c:formatCode>0.0000</c:formatCode>
                <c:ptCount val="95"/>
                <c:pt idx="0">
                  <c:v>4.5249999999999999E-2</c:v>
                </c:pt>
                <c:pt idx="1">
                  <c:v>4.5249999999999999E-2</c:v>
                </c:pt>
                <c:pt idx="2">
                  <c:v>4.5249999999999999E-2</c:v>
                </c:pt>
                <c:pt idx="3">
                  <c:v>4.5249999999999999E-2</c:v>
                </c:pt>
                <c:pt idx="4">
                  <c:v>4.5249999999999999E-2</c:v>
                </c:pt>
                <c:pt idx="5">
                  <c:v>5.3370000000000001E-2</c:v>
                </c:pt>
                <c:pt idx="6">
                  <c:v>6.2851000000000004E-2</c:v>
                </c:pt>
                <c:pt idx="7">
                  <c:v>7.3884000000000005E-2</c:v>
                </c:pt>
                <c:pt idx="8">
                  <c:v>8.2491999999999996E-2</c:v>
                </c:pt>
                <c:pt idx="9">
                  <c:v>0.10382</c:v>
                </c:pt>
                <c:pt idx="10">
                  <c:v>0.11965000000000001</c:v>
                </c:pt>
                <c:pt idx="11">
                  <c:v>0.13053000000000001</c:v>
                </c:pt>
                <c:pt idx="12">
                  <c:v>0.13699</c:v>
                </c:pt>
                <c:pt idx="13">
                  <c:v>0.13975000000000001</c:v>
                </c:pt>
                <c:pt idx="14">
                  <c:v>0.14015</c:v>
                </c:pt>
                <c:pt idx="15">
                  <c:v>0.13946</c:v>
                </c:pt>
                <c:pt idx="16">
                  <c:v>0.13788</c:v>
                </c:pt>
                <c:pt idx="17">
                  <c:v>0.13541</c:v>
                </c:pt>
                <c:pt idx="18">
                  <c:v>0.13217000000000001</c:v>
                </c:pt>
                <c:pt idx="19">
                  <c:v>0.12834999999999999</c:v>
                </c:pt>
                <c:pt idx="20">
                  <c:v>0.12428</c:v>
                </c:pt>
                <c:pt idx="21">
                  <c:v>0.12021</c:v>
                </c:pt>
                <c:pt idx="22">
                  <c:v>0.11600000000000001</c:v>
                </c:pt>
                <c:pt idx="23">
                  <c:v>0.11157</c:v>
                </c:pt>
                <c:pt idx="24">
                  <c:v>0.10743</c:v>
                </c:pt>
                <c:pt idx="25">
                  <c:v>0.10413</c:v>
                </c:pt>
                <c:pt idx="26">
                  <c:v>0.10170999999999999</c:v>
                </c:pt>
                <c:pt idx="27">
                  <c:v>9.9987000000000006E-2</c:v>
                </c:pt>
                <c:pt idx="28">
                  <c:v>9.8557000000000006E-2</c:v>
                </c:pt>
                <c:pt idx="29">
                  <c:v>9.7115000000000007E-2</c:v>
                </c:pt>
                <c:pt idx="30">
                  <c:v>9.5994999999999997E-2</c:v>
                </c:pt>
                <c:pt idx="31">
                  <c:v>9.5629000000000006E-2</c:v>
                </c:pt>
                <c:pt idx="32">
                  <c:v>9.6192E-2</c:v>
                </c:pt>
                <c:pt idx="33">
                  <c:v>9.7767999999999994E-2</c:v>
                </c:pt>
                <c:pt idx="34">
                  <c:v>0.10033</c:v>
                </c:pt>
                <c:pt idx="35">
                  <c:v>0.10388</c:v>
                </c:pt>
                <c:pt idx="36">
                  <c:v>0.10861</c:v>
                </c:pt>
                <c:pt idx="37">
                  <c:v>0.11472</c:v>
                </c:pt>
                <c:pt idx="38">
                  <c:v>0.12221</c:v>
                </c:pt>
                <c:pt idx="39">
                  <c:v>0.13103999999999999</c:v>
                </c:pt>
                <c:pt idx="40">
                  <c:v>0.14122999999999999</c:v>
                </c:pt>
                <c:pt idx="41">
                  <c:v>0.15275</c:v>
                </c:pt>
                <c:pt idx="42">
                  <c:v>0.16517999999999999</c:v>
                </c:pt>
                <c:pt idx="43">
                  <c:v>0.17796000000000001</c:v>
                </c:pt>
                <c:pt idx="44">
                  <c:v>0.19031000000000001</c:v>
                </c:pt>
                <c:pt idx="45">
                  <c:v>0.20157</c:v>
                </c:pt>
                <c:pt idx="46">
                  <c:v>0.21160000000000001</c:v>
                </c:pt>
                <c:pt idx="47">
                  <c:v>0.2203</c:v>
                </c:pt>
                <c:pt idx="48">
                  <c:v>0.22708</c:v>
                </c:pt>
                <c:pt idx="49">
                  <c:v>0.23139000000000001</c:v>
                </c:pt>
                <c:pt idx="50">
                  <c:v>0.23327999999999999</c:v>
                </c:pt>
                <c:pt idx="51">
                  <c:v>0.23318</c:v>
                </c:pt>
                <c:pt idx="52">
                  <c:v>0.23230000000000001</c:v>
                </c:pt>
                <c:pt idx="53">
                  <c:v>0.23215</c:v>
                </c:pt>
                <c:pt idx="54">
                  <c:v>0.23457</c:v>
                </c:pt>
                <c:pt idx="55">
                  <c:v>0.24132000000000001</c:v>
                </c:pt>
                <c:pt idx="56">
                  <c:v>0.25369000000000003</c:v>
                </c:pt>
                <c:pt idx="57">
                  <c:v>0.27287</c:v>
                </c:pt>
                <c:pt idx="58">
                  <c:v>0.30030000000000001</c:v>
                </c:pt>
                <c:pt idx="59">
                  <c:v>0.33695000000000003</c:v>
                </c:pt>
                <c:pt idx="60">
                  <c:v>0.38151000000000002</c:v>
                </c:pt>
                <c:pt idx="61">
                  <c:v>0.43148999999999998</c:v>
                </c:pt>
                <c:pt idx="62">
                  <c:v>0.48165000000000002</c:v>
                </c:pt>
                <c:pt idx="63">
                  <c:v>0.5272</c:v>
                </c:pt>
                <c:pt idx="64">
                  <c:v>0.56789000000000001</c:v>
                </c:pt>
                <c:pt idx="65">
                  <c:v>0.60429999999999995</c:v>
                </c:pt>
                <c:pt idx="66">
                  <c:v>0.63588999999999996</c:v>
                </c:pt>
                <c:pt idx="67">
                  <c:v>0.66181000000000001</c:v>
                </c:pt>
                <c:pt idx="68">
                  <c:v>0.68123</c:v>
                </c:pt>
                <c:pt idx="69">
                  <c:v>0.70786000000000004</c:v>
                </c:pt>
                <c:pt idx="70">
                  <c:v>0.73016999999999999</c:v>
                </c:pt>
                <c:pt idx="71">
                  <c:v>0.75138000000000005</c:v>
                </c:pt>
                <c:pt idx="72">
                  <c:v>0.77144999999999997</c:v>
                </c:pt>
                <c:pt idx="73">
                  <c:v>0.79034000000000004</c:v>
                </c:pt>
                <c:pt idx="74">
                  <c:v>0.80806</c:v>
                </c:pt>
                <c:pt idx="75">
                  <c:v>0.82462000000000002</c:v>
                </c:pt>
                <c:pt idx="76">
                  <c:v>0.84003000000000005</c:v>
                </c:pt>
                <c:pt idx="77">
                  <c:v>0.85433000000000003</c:v>
                </c:pt>
                <c:pt idx="78">
                  <c:v>0.86753999999999998</c:v>
                </c:pt>
                <c:pt idx="79">
                  <c:v>0.87973000000000001</c:v>
                </c:pt>
                <c:pt idx="80">
                  <c:v>0.89093999999999995</c:v>
                </c:pt>
                <c:pt idx="81">
                  <c:v>0.90122000000000002</c:v>
                </c:pt>
                <c:pt idx="82">
                  <c:v>0.91063000000000005</c:v>
                </c:pt>
                <c:pt idx="83">
                  <c:v>0.91922999999999999</c:v>
                </c:pt>
                <c:pt idx="84">
                  <c:v>0.92706</c:v>
                </c:pt>
                <c:pt idx="85">
                  <c:v>0.92706</c:v>
                </c:pt>
                <c:pt idx="86">
                  <c:v>0.92706</c:v>
                </c:pt>
                <c:pt idx="87">
                  <c:v>0.92706</c:v>
                </c:pt>
                <c:pt idx="88">
                  <c:v>0.92706</c:v>
                </c:pt>
                <c:pt idx="89">
                  <c:v>0.92706</c:v>
                </c:pt>
                <c:pt idx="90">
                  <c:v>0.92706</c:v>
                </c:pt>
                <c:pt idx="91">
                  <c:v>0.92706</c:v>
                </c:pt>
                <c:pt idx="92">
                  <c:v>0.92706</c:v>
                </c:pt>
                <c:pt idx="93">
                  <c:v>0.92706</c:v>
                </c:pt>
                <c:pt idx="94">
                  <c:v>0.92706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3FE4-445B-8EEB-D88489EA6296}"/>
            </c:ext>
          </c:extLst>
        </c:ser>
        <c:ser>
          <c:idx val="7"/>
          <c:order val="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'99set'!$I$10:$I$104</c:f>
              <c:numCache>
                <c:formatCode>0.0000</c:formatCode>
                <c:ptCount val="95"/>
                <c:pt idx="0">
                  <c:v>6.0012999999999997E-2</c:v>
                </c:pt>
                <c:pt idx="1">
                  <c:v>6.0012999999999997E-2</c:v>
                </c:pt>
                <c:pt idx="2">
                  <c:v>6.0012999999999997E-2</c:v>
                </c:pt>
                <c:pt idx="3">
                  <c:v>6.0012999999999997E-2</c:v>
                </c:pt>
                <c:pt idx="4">
                  <c:v>6.0012999999999997E-2</c:v>
                </c:pt>
                <c:pt idx="5">
                  <c:v>5.9583999999999998E-2</c:v>
                </c:pt>
                <c:pt idx="6">
                  <c:v>5.9158000000000002E-2</c:v>
                </c:pt>
                <c:pt idx="7">
                  <c:v>5.8734000000000001E-2</c:v>
                </c:pt>
                <c:pt idx="8">
                  <c:v>5.8299999999999998E-2</c:v>
                </c:pt>
                <c:pt idx="9">
                  <c:v>5.7858E-2</c:v>
                </c:pt>
                <c:pt idx="10">
                  <c:v>5.7299999999999997E-2</c:v>
                </c:pt>
                <c:pt idx="11">
                  <c:v>5.6918999999999997E-2</c:v>
                </c:pt>
                <c:pt idx="12">
                  <c:v>5.6800000000000003E-2</c:v>
                </c:pt>
                <c:pt idx="13">
                  <c:v>5.6938999999999997E-2</c:v>
                </c:pt>
                <c:pt idx="14">
                  <c:v>5.7200000000000001E-2</c:v>
                </c:pt>
                <c:pt idx="15">
                  <c:v>5.7437000000000002E-2</c:v>
                </c:pt>
                <c:pt idx="16">
                  <c:v>5.7599999999999998E-2</c:v>
                </c:pt>
                <c:pt idx="17">
                  <c:v>5.7625000000000003E-2</c:v>
                </c:pt>
                <c:pt idx="18">
                  <c:v>5.7299999999999997E-2</c:v>
                </c:pt>
                <c:pt idx="19">
                  <c:v>5.6462999999999999E-2</c:v>
                </c:pt>
                <c:pt idx="20">
                  <c:v>5.5300000000000002E-2</c:v>
                </c:pt>
                <c:pt idx="21">
                  <c:v>5.4059999999999997E-2</c:v>
                </c:pt>
                <c:pt idx="22">
                  <c:v>5.2900000000000003E-2</c:v>
                </c:pt>
                <c:pt idx="23">
                  <c:v>5.1922999999999997E-2</c:v>
                </c:pt>
                <c:pt idx="24">
                  <c:v>5.11E-2</c:v>
                </c:pt>
                <c:pt idx="25">
                  <c:v>5.0384999999999999E-2</c:v>
                </c:pt>
                <c:pt idx="26">
                  <c:v>4.9799999999999997E-2</c:v>
                </c:pt>
                <c:pt idx="27">
                  <c:v>4.9361000000000002E-2</c:v>
                </c:pt>
                <c:pt idx="28">
                  <c:v>4.9000000000000002E-2</c:v>
                </c:pt>
                <c:pt idx="29">
                  <c:v>4.8659000000000001E-2</c:v>
                </c:pt>
                <c:pt idx="30">
                  <c:v>4.8399999999999999E-2</c:v>
                </c:pt>
                <c:pt idx="31">
                  <c:v>4.8278000000000001E-2</c:v>
                </c:pt>
                <c:pt idx="32">
                  <c:v>4.82E-2</c:v>
                </c:pt>
                <c:pt idx="33">
                  <c:v>4.8066999999999999E-2</c:v>
                </c:pt>
                <c:pt idx="34">
                  <c:v>4.7899999999999998E-2</c:v>
                </c:pt>
                <c:pt idx="35">
                  <c:v>4.7752999999999997E-2</c:v>
                </c:pt>
                <c:pt idx="36">
                  <c:v>4.7699999999999999E-2</c:v>
                </c:pt>
                <c:pt idx="37">
                  <c:v>4.7795999999999998E-2</c:v>
                </c:pt>
                <c:pt idx="38">
                  <c:v>4.8000000000000001E-2</c:v>
                </c:pt>
                <c:pt idx="39">
                  <c:v>4.8287999999999998E-2</c:v>
                </c:pt>
                <c:pt idx="40">
                  <c:v>4.8800000000000003E-2</c:v>
                </c:pt>
                <c:pt idx="41">
                  <c:v>4.9729000000000002E-2</c:v>
                </c:pt>
                <c:pt idx="42">
                  <c:v>5.1299999999999998E-2</c:v>
                </c:pt>
                <c:pt idx="43">
                  <c:v>5.3897E-2</c:v>
                </c:pt>
                <c:pt idx="44">
                  <c:v>5.8500000000000003E-2</c:v>
                </c:pt>
                <c:pt idx="45">
                  <c:v>6.6356999999999999E-2</c:v>
                </c:pt>
                <c:pt idx="46">
                  <c:v>7.9200000000000007E-2</c:v>
                </c:pt>
                <c:pt idx="47">
                  <c:v>9.8937999999999998E-2</c:v>
                </c:pt>
                <c:pt idx="48">
                  <c:v>0.12770000000000001</c:v>
                </c:pt>
                <c:pt idx="49">
                  <c:v>0.16683000000000001</c:v>
                </c:pt>
                <c:pt idx="50">
                  <c:v>0.21429999999999999</c:v>
                </c:pt>
                <c:pt idx="51">
                  <c:v>0.26677000000000001</c:v>
                </c:pt>
                <c:pt idx="52">
                  <c:v>0.31900000000000001</c:v>
                </c:pt>
                <c:pt idx="53">
                  <c:v>0.36580000000000001</c:v>
                </c:pt>
                <c:pt idx="54">
                  <c:v>0.40400000000000003</c:v>
                </c:pt>
                <c:pt idx="55">
                  <c:v>0.43171999999999999</c:v>
                </c:pt>
                <c:pt idx="56">
                  <c:v>0.45029999999999998</c:v>
                </c:pt>
                <c:pt idx="57">
                  <c:v>0.46188000000000001</c:v>
                </c:pt>
                <c:pt idx="58">
                  <c:v>0.46860000000000002</c:v>
                </c:pt>
                <c:pt idx="59">
                  <c:v>0.4723</c:v>
                </c:pt>
                <c:pt idx="60">
                  <c:v>0.47360000000000002</c:v>
                </c:pt>
                <c:pt idx="61">
                  <c:v>0.47295999999999999</c:v>
                </c:pt>
                <c:pt idx="62">
                  <c:v>0.47149999999999997</c:v>
                </c:pt>
                <c:pt idx="63">
                  <c:v>0.4703</c:v>
                </c:pt>
                <c:pt idx="64">
                  <c:v>0.46949999999999997</c:v>
                </c:pt>
                <c:pt idx="65">
                  <c:v>0.46890999999999999</c:v>
                </c:pt>
                <c:pt idx="66">
                  <c:v>0.46789999999999998</c:v>
                </c:pt>
                <c:pt idx="67">
                  <c:v>0.46606999999999998</c:v>
                </c:pt>
                <c:pt idx="68">
                  <c:v>0.46450000000000002</c:v>
                </c:pt>
                <c:pt idx="69">
                  <c:v>0.46296999999999999</c:v>
                </c:pt>
                <c:pt idx="70">
                  <c:v>0.46148</c:v>
                </c:pt>
                <c:pt idx="71">
                  <c:v>0.45999000000000001</c:v>
                </c:pt>
                <c:pt idx="72">
                  <c:v>0.45850000000000002</c:v>
                </c:pt>
                <c:pt idx="73">
                  <c:v>0.45701999999999998</c:v>
                </c:pt>
                <c:pt idx="74">
                  <c:v>0.45552999999999999</c:v>
                </c:pt>
                <c:pt idx="75">
                  <c:v>0.45404</c:v>
                </c:pt>
                <c:pt idx="76">
                  <c:v>0.45256000000000002</c:v>
                </c:pt>
                <c:pt idx="77">
                  <c:v>0.45107999999999998</c:v>
                </c:pt>
                <c:pt idx="78">
                  <c:v>0.44958999999999999</c:v>
                </c:pt>
                <c:pt idx="79">
                  <c:v>0.44811000000000001</c:v>
                </c:pt>
                <c:pt idx="80">
                  <c:v>0.44663000000000003</c:v>
                </c:pt>
                <c:pt idx="81">
                  <c:v>0.44514999999999999</c:v>
                </c:pt>
                <c:pt idx="82">
                  <c:v>0.44367000000000001</c:v>
                </c:pt>
                <c:pt idx="83">
                  <c:v>0.44219999999999998</c:v>
                </c:pt>
                <c:pt idx="84">
                  <c:v>0.44072</c:v>
                </c:pt>
                <c:pt idx="85">
                  <c:v>0.44072</c:v>
                </c:pt>
                <c:pt idx="86">
                  <c:v>0.44072</c:v>
                </c:pt>
                <c:pt idx="87">
                  <c:v>0.44072</c:v>
                </c:pt>
                <c:pt idx="88">
                  <c:v>0.44072</c:v>
                </c:pt>
                <c:pt idx="89">
                  <c:v>0.44072</c:v>
                </c:pt>
                <c:pt idx="90">
                  <c:v>0.44072</c:v>
                </c:pt>
                <c:pt idx="91">
                  <c:v>0.44072</c:v>
                </c:pt>
                <c:pt idx="92">
                  <c:v>0.44072</c:v>
                </c:pt>
                <c:pt idx="93">
                  <c:v>0.44072</c:v>
                </c:pt>
                <c:pt idx="94">
                  <c:v>0.44072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3FE4-445B-8EEB-D88489EA6296}"/>
            </c:ext>
          </c:extLst>
        </c:ser>
        <c:ser>
          <c:idx val="8"/>
          <c:order val="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'99set'!$J$10:$J$104</c:f>
              <c:numCache>
                <c:formatCode>0.0000</c:formatCode>
                <c:ptCount val="95"/>
                <c:pt idx="0">
                  <c:v>5.8180000000000003E-2</c:v>
                </c:pt>
                <c:pt idx="1">
                  <c:v>5.8180000000000003E-2</c:v>
                </c:pt>
                <c:pt idx="2">
                  <c:v>5.8180000000000003E-2</c:v>
                </c:pt>
                <c:pt idx="3">
                  <c:v>5.8180000000000003E-2</c:v>
                </c:pt>
                <c:pt idx="4">
                  <c:v>5.8180000000000003E-2</c:v>
                </c:pt>
                <c:pt idx="5">
                  <c:v>5.9610000000000003E-2</c:v>
                </c:pt>
                <c:pt idx="6">
                  <c:v>5.9839999999999997E-2</c:v>
                </c:pt>
                <c:pt idx="7">
                  <c:v>5.9409999999999998E-2</c:v>
                </c:pt>
                <c:pt idx="8">
                  <c:v>5.8860000000000003E-2</c:v>
                </c:pt>
                <c:pt idx="9">
                  <c:v>5.8578999999999999E-2</c:v>
                </c:pt>
                <c:pt idx="10">
                  <c:v>5.8360000000000002E-2</c:v>
                </c:pt>
                <c:pt idx="11">
                  <c:v>5.7972999999999997E-2</c:v>
                </c:pt>
                <c:pt idx="12">
                  <c:v>5.7689999999999998E-2</c:v>
                </c:pt>
                <c:pt idx="13">
                  <c:v>5.7771999999999997E-2</c:v>
                </c:pt>
                <c:pt idx="14">
                  <c:v>5.7950000000000002E-2</c:v>
                </c:pt>
                <c:pt idx="15">
                  <c:v>5.7902000000000002E-2</c:v>
                </c:pt>
                <c:pt idx="16">
                  <c:v>5.7639999999999997E-2</c:v>
                </c:pt>
                <c:pt idx="17">
                  <c:v>5.7285999999999997E-2</c:v>
                </c:pt>
                <c:pt idx="18">
                  <c:v>5.7070000000000003E-2</c:v>
                </c:pt>
                <c:pt idx="19">
                  <c:v>5.7145000000000001E-2</c:v>
                </c:pt>
                <c:pt idx="20">
                  <c:v>5.7250000000000002E-2</c:v>
                </c:pt>
                <c:pt idx="21">
                  <c:v>5.7112999999999997E-2</c:v>
                </c:pt>
                <c:pt idx="22">
                  <c:v>5.6849999999999998E-2</c:v>
                </c:pt>
                <c:pt idx="23">
                  <c:v>5.6631000000000001E-2</c:v>
                </c:pt>
                <c:pt idx="24">
                  <c:v>5.6469999999999999E-2</c:v>
                </c:pt>
                <c:pt idx="25">
                  <c:v>5.6326000000000001E-2</c:v>
                </c:pt>
                <c:pt idx="26">
                  <c:v>5.6090000000000001E-2</c:v>
                </c:pt>
                <c:pt idx="27">
                  <c:v>5.5691999999999998E-2</c:v>
                </c:pt>
                <c:pt idx="28">
                  <c:v>5.5289999999999999E-2</c:v>
                </c:pt>
                <c:pt idx="29">
                  <c:v>5.5051000000000003E-2</c:v>
                </c:pt>
                <c:pt idx="30">
                  <c:v>5.4960000000000002E-2</c:v>
                </c:pt>
                <c:pt idx="31">
                  <c:v>5.4947999999999997E-2</c:v>
                </c:pt>
                <c:pt idx="32">
                  <c:v>5.491E-2</c:v>
                </c:pt>
                <c:pt idx="33">
                  <c:v>5.4767999999999997E-2</c:v>
                </c:pt>
                <c:pt idx="34">
                  <c:v>5.459E-2</c:v>
                </c:pt>
                <c:pt idx="35">
                  <c:v>5.4463999999999999E-2</c:v>
                </c:pt>
                <c:pt idx="36">
                  <c:v>5.441E-2</c:v>
                </c:pt>
                <c:pt idx="37">
                  <c:v>5.4420999999999997E-2</c:v>
                </c:pt>
                <c:pt idx="38">
                  <c:v>5.4440000000000002E-2</c:v>
                </c:pt>
                <c:pt idx="39">
                  <c:v>5.4442999999999998E-2</c:v>
                </c:pt>
                <c:pt idx="40">
                  <c:v>5.4579999999999997E-2</c:v>
                </c:pt>
                <c:pt idx="41">
                  <c:v>5.5004999999999998E-2</c:v>
                </c:pt>
                <c:pt idx="42">
                  <c:v>5.5710000000000003E-2</c:v>
                </c:pt>
                <c:pt idx="43">
                  <c:v>5.6818E-2</c:v>
                </c:pt>
                <c:pt idx="44">
                  <c:v>5.9150000000000001E-2</c:v>
                </c:pt>
                <c:pt idx="45">
                  <c:v>6.3787999999999997E-2</c:v>
                </c:pt>
                <c:pt idx="46">
                  <c:v>7.2160000000000002E-2</c:v>
                </c:pt>
                <c:pt idx="47">
                  <c:v>8.5768999999999998E-2</c:v>
                </c:pt>
                <c:pt idx="48">
                  <c:v>0.10607999999999999</c:v>
                </c:pt>
                <c:pt idx="49">
                  <c:v>0.13417000000000001</c:v>
                </c:pt>
                <c:pt idx="50">
                  <c:v>0.16961999999999999</c:v>
                </c:pt>
                <c:pt idx="51">
                  <c:v>0.21129999999999999</c:v>
                </c:pt>
                <c:pt idx="52">
                  <c:v>0.25684000000000001</c:v>
                </c:pt>
                <c:pt idx="53">
                  <c:v>0.30365999999999999</c:v>
                </c:pt>
                <c:pt idx="54">
                  <c:v>0.34959000000000001</c:v>
                </c:pt>
                <c:pt idx="55">
                  <c:v>0.39266000000000001</c:v>
                </c:pt>
                <c:pt idx="56">
                  <c:v>0.43125000000000002</c:v>
                </c:pt>
                <c:pt idx="57">
                  <c:v>0.46417000000000003</c:v>
                </c:pt>
                <c:pt idx="58">
                  <c:v>0.49159999999999998</c:v>
                </c:pt>
                <c:pt idx="59">
                  <c:v>0.51405999999999996</c:v>
                </c:pt>
                <c:pt idx="60">
                  <c:v>0.53220000000000001</c:v>
                </c:pt>
                <c:pt idx="61">
                  <c:v>0.54676000000000002</c:v>
                </c:pt>
                <c:pt idx="62">
                  <c:v>0.55869999999999997</c:v>
                </c:pt>
                <c:pt idx="63">
                  <c:v>0.56896999999999998</c:v>
                </c:pt>
                <c:pt idx="64">
                  <c:v>0.57811999999999997</c:v>
                </c:pt>
                <c:pt idx="65">
                  <c:v>0.58662000000000003</c:v>
                </c:pt>
                <c:pt idx="66">
                  <c:v>0.59482999999999997</c:v>
                </c:pt>
                <c:pt idx="67">
                  <c:v>0.60302999999999995</c:v>
                </c:pt>
                <c:pt idx="68">
                  <c:v>0.61109000000000002</c:v>
                </c:pt>
                <c:pt idx="69">
                  <c:v>0.61878</c:v>
                </c:pt>
                <c:pt idx="70">
                  <c:v>0.62573999999999996</c:v>
                </c:pt>
                <c:pt idx="71">
                  <c:v>0.63173000000000001</c:v>
                </c:pt>
                <c:pt idx="72">
                  <c:v>0.63709000000000005</c:v>
                </c:pt>
                <c:pt idx="73">
                  <c:v>0.64227999999999996</c:v>
                </c:pt>
                <c:pt idx="74">
                  <c:v>0.64778999999999998</c:v>
                </c:pt>
                <c:pt idx="75">
                  <c:v>0.65285000000000004</c:v>
                </c:pt>
                <c:pt idx="76">
                  <c:v>0.65803999999999996</c:v>
                </c:pt>
                <c:pt idx="77">
                  <c:v>0.66318999999999995</c:v>
                </c:pt>
                <c:pt idx="78">
                  <c:v>0.66830000000000001</c:v>
                </c:pt>
                <c:pt idx="79">
                  <c:v>0.67337000000000002</c:v>
                </c:pt>
                <c:pt idx="80">
                  <c:v>0.6784</c:v>
                </c:pt>
                <c:pt idx="81">
                  <c:v>0.68339000000000005</c:v>
                </c:pt>
                <c:pt idx="82">
                  <c:v>0.68833999999999995</c:v>
                </c:pt>
                <c:pt idx="83">
                  <c:v>0.69325000000000003</c:v>
                </c:pt>
                <c:pt idx="84">
                  <c:v>0.69811000000000001</c:v>
                </c:pt>
                <c:pt idx="85">
                  <c:v>0.69811000000000001</c:v>
                </c:pt>
                <c:pt idx="86">
                  <c:v>0.69811000000000001</c:v>
                </c:pt>
                <c:pt idx="87">
                  <c:v>0.69811000000000001</c:v>
                </c:pt>
                <c:pt idx="88">
                  <c:v>0.69811000000000001</c:v>
                </c:pt>
                <c:pt idx="89">
                  <c:v>0.69811000000000001</c:v>
                </c:pt>
                <c:pt idx="90">
                  <c:v>0.69811000000000001</c:v>
                </c:pt>
                <c:pt idx="91">
                  <c:v>0.69811000000000001</c:v>
                </c:pt>
                <c:pt idx="92">
                  <c:v>0.69811000000000001</c:v>
                </c:pt>
                <c:pt idx="93">
                  <c:v>0.69811000000000001</c:v>
                </c:pt>
                <c:pt idx="94">
                  <c:v>0.69811000000000001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3FE4-445B-8EEB-D88489EA6296}"/>
            </c:ext>
          </c:extLst>
        </c:ser>
        <c:ser>
          <c:idx val="9"/>
          <c:order val="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'99set'!$K$10:$K$104</c:f>
              <c:numCache>
                <c:formatCode>0.0000</c:formatCode>
                <c:ptCount val="95"/>
                <c:pt idx="0">
                  <c:v>4.1572999999999999E-2</c:v>
                </c:pt>
                <c:pt idx="1">
                  <c:v>4.1572999999999999E-2</c:v>
                </c:pt>
                <c:pt idx="2">
                  <c:v>4.1572999999999999E-2</c:v>
                </c:pt>
                <c:pt idx="3">
                  <c:v>4.1572999999999999E-2</c:v>
                </c:pt>
                <c:pt idx="4">
                  <c:v>4.1572999999999999E-2</c:v>
                </c:pt>
                <c:pt idx="5">
                  <c:v>4.1723000000000003E-2</c:v>
                </c:pt>
                <c:pt idx="6">
                  <c:v>4.1873E-2</c:v>
                </c:pt>
                <c:pt idx="7">
                  <c:v>4.2023999999999999E-2</c:v>
                </c:pt>
                <c:pt idx="8">
                  <c:v>4.2249000000000002E-2</c:v>
                </c:pt>
                <c:pt idx="9">
                  <c:v>4.2292000000000003E-2</c:v>
                </c:pt>
                <c:pt idx="10">
                  <c:v>4.2455E-2</c:v>
                </c:pt>
                <c:pt idx="11">
                  <c:v>4.2748000000000001E-2</c:v>
                </c:pt>
                <c:pt idx="12">
                  <c:v>4.3177E-2</c:v>
                </c:pt>
                <c:pt idx="13">
                  <c:v>4.3742000000000003E-2</c:v>
                </c:pt>
                <c:pt idx="14">
                  <c:v>4.4413000000000001E-2</c:v>
                </c:pt>
                <c:pt idx="15">
                  <c:v>4.5157000000000003E-2</c:v>
                </c:pt>
                <c:pt idx="16">
                  <c:v>4.5959E-2</c:v>
                </c:pt>
                <c:pt idx="17">
                  <c:v>4.6811999999999999E-2</c:v>
                </c:pt>
                <c:pt idx="18">
                  <c:v>4.7711000000000003E-2</c:v>
                </c:pt>
                <c:pt idx="19">
                  <c:v>4.8615999999999999E-2</c:v>
                </c:pt>
                <c:pt idx="20">
                  <c:v>4.9359E-2</c:v>
                </c:pt>
                <c:pt idx="21">
                  <c:v>4.9806000000000003E-2</c:v>
                </c:pt>
                <c:pt idx="22">
                  <c:v>5.0081000000000001E-2</c:v>
                </c:pt>
                <c:pt idx="23">
                  <c:v>5.0441E-2</c:v>
                </c:pt>
                <c:pt idx="24">
                  <c:v>5.142E-2</c:v>
                </c:pt>
                <c:pt idx="25">
                  <c:v>5.3397E-2</c:v>
                </c:pt>
                <c:pt idx="26">
                  <c:v>5.5850999999999998E-2</c:v>
                </c:pt>
                <c:pt idx="27">
                  <c:v>5.8044999999999999E-2</c:v>
                </c:pt>
                <c:pt idx="28">
                  <c:v>5.9251999999999999E-2</c:v>
                </c:pt>
                <c:pt idx="29">
                  <c:v>5.8986999999999998E-2</c:v>
                </c:pt>
                <c:pt idx="30">
                  <c:v>5.7706E-2</c:v>
                </c:pt>
                <c:pt idx="31">
                  <c:v>5.602E-2</c:v>
                </c:pt>
                <c:pt idx="32">
                  <c:v>5.4203000000000001E-2</c:v>
                </c:pt>
                <c:pt idx="33">
                  <c:v>5.2401999999999997E-2</c:v>
                </c:pt>
                <c:pt idx="34">
                  <c:v>5.0596000000000002E-2</c:v>
                </c:pt>
                <c:pt idx="35">
                  <c:v>4.8717000000000003E-2</c:v>
                </c:pt>
                <c:pt idx="36">
                  <c:v>4.6679999999999999E-2</c:v>
                </c:pt>
                <c:pt idx="37">
                  <c:v>4.4455000000000001E-2</c:v>
                </c:pt>
                <c:pt idx="38">
                  <c:v>4.2249000000000002E-2</c:v>
                </c:pt>
                <c:pt idx="39">
                  <c:v>4.0377999999999997E-2</c:v>
                </c:pt>
                <c:pt idx="40">
                  <c:v>3.9364000000000003E-2</c:v>
                </c:pt>
                <c:pt idx="41">
                  <c:v>3.9604E-2</c:v>
                </c:pt>
                <c:pt idx="42">
                  <c:v>4.0807000000000003E-2</c:v>
                </c:pt>
                <c:pt idx="43">
                  <c:v>4.2577999999999998E-2</c:v>
                </c:pt>
                <c:pt idx="44">
                  <c:v>4.4824999999999997E-2</c:v>
                </c:pt>
                <c:pt idx="45">
                  <c:v>4.7495000000000002E-2</c:v>
                </c:pt>
                <c:pt idx="46">
                  <c:v>5.0389999999999997E-2</c:v>
                </c:pt>
                <c:pt idx="47">
                  <c:v>5.323E-2</c:v>
                </c:pt>
                <c:pt idx="48">
                  <c:v>5.5542000000000001E-2</c:v>
                </c:pt>
                <c:pt idx="49">
                  <c:v>5.6957000000000001E-2</c:v>
                </c:pt>
                <c:pt idx="50">
                  <c:v>5.7706E-2</c:v>
                </c:pt>
                <c:pt idx="51">
                  <c:v>5.8133999999999998E-2</c:v>
                </c:pt>
                <c:pt idx="52">
                  <c:v>5.8428000000000001E-2</c:v>
                </c:pt>
                <c:pt idx="53">
                  <c:v>5.8701000000000003E-2</c:v>
                </c:pt>
                <c:pt idx="54">
                  <c:v>5.8943000000000002E-2</c:v>
                </c:pt>
                <c:pt idx="55">
                  <c:v>5.9172000000000002E-2</c:v>
                </c:pt>
                <c:pt idx="56">
                  <c:v>5.9664000000000002E-2</c:v>
                </c:pt>
                <c:pt idx="57">
                  <c:v>6.0650999999999997E-2</c:v>
                </c:pt>
                <c:pt idx="58">
                  <c:v>6.1931E-2</c:v>
                </c:pt>
                <c:pt idx="59">
                  <c:v>6.3200999999999993E-2</c:v>
                </c:pt>
                <c:pt idx="60">
                  <c:v>6.4198000000000005E-2</c:v>
                </c:pt>
                <c:pt idx="61">
                  <c:v>6.4738000000000004E-2</c:v>
                </c:pt>
                <c:pt idx="62">
                  <c:v>6.4919000000000004E-2</c:v>
                </c:pt>
                <c:pt idx="63">
                  <c:v>6.4892000000000005E-2</c:v>
                </c:pt>
                <c:pt idx="64">
                  <c:v>6.4713000000000007E-2</c:v>
                </c:pt>
                <c:pt idx="65">
                  <c:v>6.4412999999999998E-2</c:v>
                </c:pt>
                <c:pt idx="66">
                  <c:v>6.3991999999999993E-2</c:v>
                </c:pt>
                <c:pt idx="67">
                  <c:v>6.3441999999999998E-2</c:v>
                </c:pt>
                <c:pt idx="68">
                  <c:v>6.2756000000000006E-2</c:v>
                </c:pt>
                <c:pt idx="69">
                  <c:v>6.2282999999999998E-2</c:v>
                </c:pt>
                <c:pt idx="70">
                  <c:v>6.1732000000000002E-2</c:v>
                </c:pt>
                <c:pt idx="71">
                  <c:v>6.1184000000000002E-2</c:v>
                </c:pt>
                <c:pt idx="72">
                  <c:v>6.0642000000000001E-2</c:v>
                </c:pt>
                <c:pt idx="73">
                  <c:v>6.0103999999999998E-2</c:v>
                </c:pt>
                <c:pt idx="74">
                  <c:v>5.9569999999999998E-2</c:v>
                </c:pt>
                <c:pt idx="75">
                  <c:v>5.9041000000000003E-2</c:v>
                </c:pt>
                <c:pt idx="76">
                  <c:v>5.8515999999999999E-2</c:v>
                </c:pt>
                <c:pt idx="77">
                  <c:v>5.7995999999999999E-2</c:v>
                </c:pt>
                <c:pt idx="78">
                  <c:v>5.7480000000000003E-2</c:v>
                </c:pt>
                <c:pt idx="79">
                  <c:v>5.6967999999999998E-2</c:v>
                </c:pt>
                <c:pt idx="80">
                  <c:v>5.6460000000000003E-2</c:v>
                </c:pt>
                <c:pt idx="81">
                  <c:v>5.5957E-2</c:v>
                </c:pt>
                <c:pt idx="82">
                  <c:v>5.5458E-2</c:v>
                </c:pt>
                <c:pt idx="83">
                  <c:v>5.4962999999999998E-2</c:v>
                </c:pt>
                <c:pt idx="84">
                  <c:v>5.4473000000000001E-2</c:v>
                </c:pt>
                <c:pt idx="85">
                  <c:v>5.4473000000000001E-2</c:v>
                </c:pt>
                <c:pt idx="86">
                  <c:v>5.4473000000000001E-2</c:v>
                </c:pt>
                <c:pt idx="87">
                  <c:v>5.4473000000000001E-2</c:v>
                </c:pt>
                <c:pt idx="88">
                  <c:v>5.4473000000000001E-2</c:v>
                </c:pt>
                <c:pt idx="89">
                  <c:v>5.4473000000000001E-2</c:v>
                </c:pt>
                <c:pt idx="90">
                  <c:v>5.4473000000000001E-2</c:v>
                </c:pt>
                <c:pt idx="91">
                  <c:v>5.4473000000000001E-2</c:v>
                </c:pt>
                <c:pt idx="92">
                  <c:v>5.4473000000000001E-2</c:v>
                </c:pt>
                <c:pt idx="93">
                  <c:v>5.4473000000000001E-2</c:v>
                </c:pt>
                <c:pt idx="94">
                  <c:v>5.4473000000000001E-2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3FE4-445B-8EEB-D88489EA6296}"/>
            </c:ext>
          </c:extLst>
        </c:ser>
        <c:ser>
          <c:idx val="10"/>
          <c:order val="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'99set'!$L$10:$L$104</c:f>
              <c:numCache>
                <c:formatCode>0.0000</c:formatCode>
                <c:ptCount val="95"/>
                <c:pt idx="0">
                  <c:v>0.17602000000000001</c:v>
                </c:pt>
                <c:pt idx="1">
                  <c:v>0.17602000000000001</c:v>
                </c:pt>
                <c:pt idx="2">
                  <c:v>0.17602000000000001</c:v>
                </c:pt>
                <c:pt idx="3">
                  <c:v>0.17602000000000001</c:v>
                </c:pt>
                <c:pt idx="4">
                  <c:v>0.17602000000000001</c:v>
                </c:pt>
                <c:pt idx="5">
                  <c:v>0.18171999999999999</c:v>
                </c:pt>
                <c:pt idx="6">
                  <c:v>0.18756</c:v>
                </c:pt>
                <c:pt idx="7">
                  <c:v>0.19353999999999999</c:v>
                </c:pt>
                <c:pt idx="8">
                  <c:v>0.19983000000000001</c:v>
                </c:pt>
                <c:pt idx="9">
                  <c:v>0.20627999999999999</c:v>
                </c:pt>
                <c:pt idx="10">
                  <c:v>0.21152000000000001</c:v>
                </c:pt>
                <c:pt idx="11">
                  <c:v>0.20943999999999999</c:v>
                </c:pt>
                <c:pt idx="12">
                  <c:v>0.20352000000000001</c:v>
                </c:pt>
                <c:pt idx="13">
                  <c:v>0.19850000000000001</c:v>
                </c:pt>
                <c:pt idx="14">
                  <c:v>0.19472999999999999</c:v>
                </c:pt>
                <c:pt idx="15">
                  <c:v>0.19148999999999999</c:v>
                </c:pt>
                <c:pt idx="16">
                  <c:v>0.18842</c:v>
                </c:pt>
                <c:pt idx="17">
                  <c:v>0.18529000000000001</c:v>
                </c:pt>
                <c:pt idx="18">
                  <c:v>0.18231</c:v>
                </c:pt>
                <c:pt idx="19">
                  <c:v>0.17978</c:v>
                </c:pt>
                <c:pt idx="20">
                  <c:v>0.17804</c:v>
                </c:pt>
                <c:pt idx="21">
                  <c:v>0.17718</c:v>
                </c:pt>
                <c:pt idx="22">
                  <c:v>0.17637</c:v>
                </c:pt>
                <c:pt idx="23">
                  <c:v>0.17466999999999999</c:v>
                </c:pt>
                <c:pt idx="24">
                  <c:v>0.17191999999999999</c:v>
                </c:pt>
                <c:pt idx="25">
                  <c:v>0.16833999999999999</c:v>
                </c:pt>
                <c:pt idx="26">
                  <c:v>0.16488</c:v>
                </c:pt>
                <c:pt idx="27">
                  <c:v>0.16250000000000001</c:v>
                </c:pt>
                <c:pt idx="28">
                  <c:v>0.16134999999999999</c:v>
                </c:pt>
                <c:pt idx="29">
                  <c:v>0.16120000000000001</c:v>
                </c:pt>
                <c:pt idx="30">
                  <c:v>0.16111</c:v>
                </c:pt>
                <c:pt idx="31">
                  <c:v>0.16047</c:v>
                </c:pt>
                <c:pt idx="32">
                  <c:v>0.16075</c:v>
                </c:pt>
                <c:pt idx="33">
                  <c:v>0.16356999999999999</c:v>
                </c:pt>
                <c:pt idx="34">
                  <c:v>0.16904</c:v>
                </c:pt>
                <c:pt idx="35">
                  <c:v>0.17688999999999999</c:v>
                </c:pt>
                <c:pt idx="36">
                  <c:v>0.18673000000000001</c:v>
                </c:pt>
                <c:pt idx="37">
                  <c:v>0.19850000000000001</c:v>
                </c:pt>
                <c:pt idx="38">
                  <c:v>0.21354999999999999</c:v>
                </c:pt>
                <c:pt idx="39">
                  <c:v>0.23344999999999999</c:v>
                </c:pt>
                <c:pt idx="40">
                  <c:v>0.25938</c:v>
                </c:pt>
                <c:pt idx="41">
                  <c:v>0.29341</c:v>
                </c:pt>
                <c:pt idx="42">
                  <c:v>0.34156999999999998</c:v>
                </c:pt>
                <c:pt idx="43">
                  <c:v>0.4083</c:v>
                </c:pt>
                <c:pt idx="44">
                  <c:v>0.48748999999999998</c:v>
                </c:pt>
                <c:pt idx="45">
                  <c:v>0.57052999999999998</c:v>
                </c:pt>
                <c:pt idx="46">
                  <c:v>0.64907999999999999</c:v>
                </c:pt>
                <c:pt idx="47">
                  <c:v>0.71596000000000004</c:v>
                </c:pt>
                <c:pt idx="48">
                  <c:v>0.76829999999999998</c:v>
                </c:pt>
                <c:pt idx="49">
                  <c:v>0.80508000000000002</c:v>
                </c:pt>
                <c:pt idx="50">
                  <c:v>0.82848999999999995</c:v>
                </c:pt>
                <c:pt idx="51">
                  <c:v>0.84184999999999999</c:v>
                </c:pt>
                <c:pt idx="52">
                  <c:v>0.84979000000000005</c:v>
                </c:pt>
                <c:pt idx="53">
                  <c:v>0.85636999999999996</c:v>
                </c:pt>
                <c:pt idx="54">
                  <c:v>0.86216999999999999</c:v>
                </c:pt>
                <c:pt idx="55">
                  <c:v>0.86695</c:v>
                </c:pt>
                <c:pt idx="56">
                  <c:v>0.87063999999999997</c:v>
                </c:pt>
                <c:pt idx="57">
                  <c:v>0.87336999999999998</c:v>
                </c:pt>
                <c:pt idx="58">
                  <c:v>0.87575000000000003</c:v>
                </c:pt>
                <c:pt idx="59">
                  <c:v>0.87822</c:v>
                </c:pt>
                <c:pt idx="60">
                  <c:v>0.88010999999999995</c:v>
                </c:pt>
                <c:pt idx="61">
                  <c:v>0.88073999999999997</c:v>
                </c:pt>
                <c:pt idx="62">
                  <c:v>0.88075000000000003</c:v>
                </c:pt>
                <c:pt idx="63">
                  <c:v>0.88085999999999998</c:v>
                </c:pt>
                <c:pt idx="64">
                  <c:v>0.88083</c:v>
                </c:pt>
                <c:pt idx="65">
                  <c:v>0.88044</c:v>
                </c:pt>
                <c:pt idx="66">
                  <c:v>0.88049999999999995</c:v>
                </c:pt>
                <c:pt idx="67">
                  <c:v>0.88166999999999995</c:v>
                </c:pt>
                <c:pt idx="68">
                  <c:v>0.88290999999999997</c:v>
                </c:pt>
                <c:pt idx="69">
                  <c:v>0.88412000000000002</c:v>
                </c:pt>
                <c:pt idx="70">
                  <c:v>0.88529000000000002</c:v>
                </c:pt>
                <c:pt idx="71">
                  <c:v>0.88644999999999996</c:v>
                </c:pt>
                <c:pt idx="72">
                  <c:v>0.88759999999999994</c:v>
                </c:pt>
                <c:pt idx="73">
                  <c:v>0.88873999999999997</c:v>
                </c:pt>
                <c:pt idx="74">
                  <c:v>0.88987000000000005</c:v>
                </c:pt>
                <c:pt idx="75">
                  <c:v>0.89098999999999995</c:v>
                </c:pt>
                <c:pt idx="76">
                  <c:v>0.8921</c:v>
                </c:pt>
                <c:pt idx="77">
                  <c:v>0.89319999999999999</c:v>
                </c:pt>
                <c:pt idx="78">
                  <c:v>0.89429000000000003</c:v>
                </c:pt>
                <c:pt idx="79">
                  <c:v>0.89537</c:v>
                </c:pt>
                <c:pt idx="80">
                  <c:v>0.89644000000000001</c:v>
                </c:pt>
                <c:pt idx="81">
                  <c:v>0.89749999999999996</c:v>
                </c:pt>
                <c:pt idx="82">
                  <c:v>0.89854999999999996</c:v>
                </c:pt>
                <c:pt idx="83">
                  <c:v>0.89959</c:v>
                </c:pt>
                <c:pt idx="84">
                  <c:v>0.90061999999999998</c:v>
                </c:pt>
                <c:pt idx="85">
                  <c:v>0.90061999999999998</c:v>
                </c:pt>
                <c:pt idx="86">
                  <c:v>0.90061999999999998</c:v>
                </c:pt>
                <c:pt idx="87">
                  <c:v>0.90061999999999998</c:v>
                </c:pt>
                <c:pt idx="88">
                  <c:v>0.90061999999999998</c:v>
                </c:pt>
                <c:pt idx="89">
                  <c:v>0.90061999999999998</c:v>
                </c:pt>
                <c:pt idx="90">
                  <c:v>0.90061999999999998</c:v>
                </c:pt>
                <c:pt idx="91">
                  <c:v>0.90061999999999998</c:v>
                </c:pt>
                <c:pt idx="92">
                  <c:v>0.90061999999999998</c:v>
                </c:pt>
                <c:pt idx="93">
                  <c:v>0.90061999999999998</c:v>
                </c:pt>
                <c:pt idx="94">
                  <c:v>0.90061999999999998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9-3FE4-445B-8EEB-D88489EA6296}"/>
            </c:ext>
          </c:extLst>
        </c:ser>
        <c:ser>
          <c:idx val="11"/>
          <c:order val="1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'99set'!$M$10:$M$104</c:f>
              <c:numCache>
                <c:formatCode>0.0000</c:formatCode>
                <c:ptCount val="95"/>
                <c:pt idx="0">
                  <c:v>3.9510999999999998E-2</c:v>
                </c:pt>
                <c:pt idx="1">
                  <c:v>3.9510999999999998E-2</c:v>
                </c:pt>
                <c:pt idx="2">
                  <c:v>3.9510999999999998E-2</c:v>
                </c:pt>
                <c:pt idx="3">
                  <c:v>3.9510999999999998E-2</c:v>
                </c:pt>
                <c:pt idx="4">
                  <c:v>3.9510999999999998E-2</c:v>
                </c:pt>
                <c:pt idx="5">
                  <c:v>4.4489000000000001E-2</c:v>
                </c:pt>
                <c:pt idx="6">
                  <c:v>5.0061000000000001E-2</c:v>
                </c:pt>
                <c:pt idx="7">
                  <c:v>5.6291000000000001E-2</c:v>
                </c:pt>
                <c:pt idx="8">
                  <c:v>6.0810000000000003E-2</c:v>
                </c:pt>
                <c:pt idx="9">
                  <c:v>7.2327000000000002E-2</c:v>
                </c:pt>
                <c:pt idx="10">
                  <c:v>8.0324000000000007E-2</c:v>
                </c:pt>
                <c:pt idx="11">
                  <c:v>8.5217000000000001E-2</c:v>
                </c:pt>
                <c:pt idx="12">
                  <c:v>8.7419999999999998E-2</c:v>
                </c:pt>
                <c:pt idx="13">
                  <c:v>8.7476999999999999E-2</c:v>
                </c:pt>
                <c:pt idx="14">
                  <c:v>8.6434999999999998E-2</c:v>
                </c:pt>
                <c:pt idx="15">
                  <c:v>8.5195999999999994E-2</c:v>
                </c:pt>
                <c:pt idx="16">
                  <c:v>8.3575999999999998E-2</c:v>
                </c:pt>
                <c:pt idx="17">
                  <c:v>8.1206E-2</c:v>
                </c:pt>
                <c:pt idx="18">
                  <c:v>7.8057000000000001E-2</c:v>
                </c:pt>
                <c:pt idx="19">
                  <c:v>7.4227000000000001E-2</c:v>
                </c:pt>
                <c:pt idx="20">
                  <c:v>6.9975999999999997E-2</c:v>
                </c:pt>
                <c:pt idx="21">
                  <c:v>6.5542000000000003E-2</c:v>
                </c:pt>
                <c:pt idx="22">
                  <c:v>6.0907999999999997E-2</c:v>
                </c:pt>
                <c:pt idx="23">
                  <c:v>5.6122999999999999E-2</c:v>
                </c:pt>
                <c:pt idx="24">
                  <c:v>5.1742000000000003E-2</c:v>
                </c:pt>
                <c:pt idx="25">
                  <c:v>4.8326000000000001E-2</c:v>
                </c:pt>
                <c:pt idx="26">
                  <c:v>4.5927999999999997E-2</c:v>
                </c:pt>
                <c:pt idx="27">
                  <c:v>4.4409999999999998E-2</c:v>
                </c:pt>
                <c:pt idx="28">
                  <c:v>4.3365000000000001E-2</c:v>
                </c:pt>
                <c:pt idx="29">
                  <c:v>4.2431999999999997E-2</c:v>
                </c:pt>
                <c:pt idx="30">
                  <c:v>4.1689999999999998E-2</c:v>
                </c:pt>
                <c:pt idx="31">
                  <c:v>4.1311E-2</c:v>
                </c:pt>
                <c:pt idx="32">
                  <c:v>4.1394E-2</c:v>
                </c:pt>
                <c:pt idx="33">
                  <c:v>4.2067E-2</c:v>
                </c:pt>
                <c:pt idx="34">
                  <c:v>4.3660999999999998E-2</c:v>
                </c:pt>
                <c:pt idx="35">
                  <c:v>4.6790999999999999E-2</c:v>
                </c:pt>
                <c:pt idx="36">
                  <c:v>5.3024000000000002E-2</c:v>
                </c:pt>
                <c:pt idx="37">
                  <c:v>6.4186000000000007E-2</c:v>
                </c:pt>
                <c:pt idx="38">
                  <c:v>8.2197000000000006E-2</c:v>
                </c:pt>
                <c:pt idx="39">
                  <c:v>0.10861</c:v>
                </c:pt>
                <c:pt idx="40">
                  <c:v>0.1434</c:v>
                </c:pt>
                <c:pt idx="41">
                  <c:v>0.18551999999999999</c:v>
                </c:pt>
                <c:pt idx="42">
                  <c:v>0.23130999999999999</c:v>
                </c:pt>
                <c:pt idx="43">
                  <c:v>0.27650999999999998</c:v>
                </c:pt>
                <c:pt idx="44">
                  <c:v>0.31696000000000002</c:v>
                </c:pt>
                <c:pt idx="45">
                  <c:v>0.34932999999999997</c:v>
                </c:pt>
                <c:pt idx="46">
                  <c:v>0.37352999999999997</c:v>
                </c:pt>
                <c:pt idx="47">
                  <c:v>0.39051000000000002</c:v>
                </c:pt>
                <c:pt idx="48">
                  <c:v>0.40200999999999998</c:v>
                </c:pt>
                <c:pt idx="49">
                  <c:v>0.40995999999999999</c:v>
                </c:pt>
                <c:pt idx="50">
                  <c:v>0.41600999999999999</c:v>
                </c:pt>
                <c:pt idx="51">
                  <c:v>0.42171999999999998</c:v>
                </c:pt>
                <c:pt idx="52">
                  <c:v>0.42832999999999999</c:v>
                </c:pt>
                <c:pt idx="53">
                  <c:v>0.43684000000000001</c:v>
                </c:pt>
                <c:pt idx="54">
                  <c:v>0.44755</c:v>
                </c:pt>
                <c:pt idx="55">
                  <c:v>0.46045000000000003</c:v>
                </c:pt>
                <c:pt idx="56">
                  <c:v>0.47494999999999998</c:v>
                </c:pt>
                <c:pt idx="57">
                  <c:v>0.49065999999999999</c:v>
                </c:pt>
                <c:pt idx="58">
                  <c:v>0.50854999999999995</c:v>
                </c:pt>
                <c:pt idx="59">
                  <c:v>0.52961999999999998</c:v>
                </c:pt>
                <c:pt idx="60">
                  <c:v>0.55369000000000002</c:v>
                </c:pt>
                <c:pt idx="61">
                  <c:v>0.57982</c:v>
                </c:pt>
                <c:pt idx="62">
                  <c:v>0.60514000000000001</c:v>
                </c:pt>
                <c:pt idx="63">
                  <c:v>0.62726000000000004</c:v>
                </c:pt>
                <c:pt idx="64">
                  <c:v>0.64751999999999998</c:v>
                </c:pt>
                <c:pt idx="65">
                  <c:v>0.66759999999999997</c:v>
                </c:pt>
                <c:pt idx="66">
                  <c:v>0.68674999999999997</c:v>
                </c:pt>
                <c:pt idx="67">
                  <c:v>0.7036</c:v>
                </c:pt>
                <c:pt idx="68">
                  <c:v>0.71680999999999995</c:v>
                </c:pt>
                <c:pt idx="69">
                  <c:v>0.73385999999999996</c:v>
                </c:pt>
                <c:pt idx="70">
                  <c:v>0.74863000000000002</c:v>
                </c:pt>
                <c:pt idx="71">
                  <c:v>0.76285000000000003</c:v>
                </c:pt>
                <c:pt idx="72">
                  <c:v>0.77649999999999997</c:v>
                </c:pt>
                <c:pt idx="73">
                  <c:v>0.78957999999999995</c:v>
                </c:pt>
                <c:pt idx="74">
                  <c:v>0.80208999999999997</c:v>
                </c:pt>
                <c:pt idx="75">
                  <c:v>0.81403000000000003</c:v>
                </c:pt>
                <c:pt idx="76">
                  <c:v>0.82540999999999998</c:v>
                </c:pt>
                <c:pt idx="77">
                  <c:v>0.83623000000000003</c:v>
                </c:pt>
                <c:pt idx="78">
                  <c:v>0.84650999999999998</c:v>
                </c:pt>
                <c:pt idx="79">
                  <c:v>0.85624999999999996</c:v>
                </c:pt>
                <c:pt idx="80">
                  <c:v>0.86546999999999996</c:v>
                </c:pt>
                <c:pt idx="81">
                  <c:v>0.87419000000000002</c:v>
                </c:pt>
                <c:pt idx="82">
                  <c:v>0.88241999999999998</c:v>
                </c:pt>
                <c:pt idx="83">
                  <c:v>0.89017999999999997</c:v>
                </c:pt>
                <c:pt idx="84">
                  <c:v>0.89748000000000006</c:v>
                </c:pt>
                <c:pt idx="85">
                  <c:v>0.89748000000000006</c:v>
                </c:pt>
                <c:pt idx="86">
                  <c:v>0.89748000000000006</c:v>
                </c:pt>
                <c:pt idx="87">
                  <c:v>0.89748000000000006</c:v>
                </c:pt>
                <c:pt idx="88">
                  <c:v>0.89748000000000006</c:v>
                </c:pt>
                <c:pt idx="89">
                  <c:v>0.89748000000000006</c:v>
                </c:pt>
                <c:pt idx="90">
                  <c:v>0.89748000000000006</c:v>
                </c:pt>
                <c:pt idx="91">
                  <c:v>0.89748000000000006</c:v>
                </c:pt>
                <c:pt idx="92">
                  <c:v>0.89748000000000006</c:v>
                </c:pt>
                <c:pt idx="93">
                  <c:v>0.89748000000000006</c:v>
                </c:pt>
                <c:pt idx="94">
                  <c:v>0.89748000000000006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A-3FE4-445B-8EEB-D88489EA6296}"/>
            </c:ext>
          </c:extLst>
        </c:ser>
        <c:ser>
          <c:idx val="12"/>
          <c:order val="1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'99set'!$N$10:$N$104</c:f>
              <c:numCache>
                <c:formatCode>0.0000</c:formatCode>
                <c:ptCount val="95"/>
                <c:pt idx="0">
                  <c:v>0.24167</c:v>
                </c:pt>
                <c:pt idx="1">
                  <c:v>0.24167</c:v>
                </c:pt>
                <c:pt idx="2">
                  <c:v>0.24167</c:v>
                </c:pt>
                <c:pt idx="3">
                  <c:v>0.24167</c:v>
                </c:pt>
                <c:pt idx="4">
                  <c:v>0.24167</c:v>
                </c:pt>
                <c:pt idx="5">
                  <c:v>0.21622</c:v>
                </c:pt>
                <c:pt idx="6">
                  <c:v>0.18687000000000001</c:v>
                </c:pt>
                <c:pt idx="7">
                  <c:v>0.16203999999999999</c:v>
                </c:pt>
                <c:pt idx="8">
                  <c:v>0.14513999999999999</c:v>
                </c:pt>
                <c:pt idx="9">
                  <c:v>0.12981000000000001</c:v>
                </c:pt>
                <c:pt idx="10">
                  <c:v>0.11536</c:v>
                </c:pt>
                <c:pt idx="11">
                  <c:v>0.10584</c:v>
                </c:pt>
                <c:pt idx="12">
                  <c:v>0.1043</c:v>
                </c:pt>
                <c:pt idx="13">
                  <c:v>9.8708000000000004E-2</c:v>
                </c:pt>
                <c:pt idx="14">
                  <c:v>9.4833000000000001E-2</c:v>
                </c:pt>
                <c:pt idx="15">
                  <c:v>9.7670999999999994E-2</c:v>
                </c:pt>
                <c:pt idx="16">
                  <c:v>9.8292000000000004E-2</c:v>
                </c:pt>
                <c:pt idx="17">
                  <c:v>9.4735E-2</c:v>
                </c:pt>
                <c:pt idx="18">
                  <c:v>9.3947000000000003E-2</c:v>
                </c:pt>
                <c:pt idx="19">
                  <c:v>9.1912999999999995E-2</c:v>
                </c:pt>
                <c:pt idx="20">
                  <c:v>8.6025000000000004E-2</c:v>
                </c:pt>
                <c:pt idx="21">
                  <c:v>8.1327999999999998E-2</c:v>
                </c:pt>
                <c:pt idx="22">
                  <c:v>7.5411000000000006E-2</c:v>
                </c:pt>
                <c:pt idx="23">
                  <c:v>6.8276000000000003E-2</c:v>
                </c:pt>
                <c:pt idx="24">
                  <c:v>6.1592000000000001E-2</c:v>
                </c:pt>
                <c:pt idx="25">
                  <c:v>5.7188000000000003E-2</c:v>
                </c:pt>
                <c:pt idx="26">
                  <c:v>5.4162000000000002E-2</c:v>
                </c:pt>
                <c:pt idx="27">
                  <c:v>5.0865E-2</c:v>
                </c:pt>
                <c:pt idx="28">
                  <c:v>4.8672E-2</c:v>
                </c:pt>
                <c:pt idx="29">
                  <c:v>4.9947999999999999E-2</c:v>
                </c:pt>
                <c:pt idx="30">
                  <c:v>5.2351000000000002E-2</c:v>
                </c:pt>
                <c:pt idx="31">
                  <c:v>5.5646000000000001E-2</c:v>
                </c:pt>
                <c:pt idx="32">
                  <c:v>5.9795000000000001E-2</c:v>
                </c:pt>
                <c:pt idx="33">
                  <c:v>6.3376000000000002E-2</c:v>
                </c:pt>
                <c:pt idx="34">
                  <c:v>7.1189000000000002E-2</c:v>
                </c:pt>
                <c:pt idx="35">
                  <c:v>8.2031999999999994E-2</c:v>
                </c:pt>
                <c:pt idx="36">
                  <c:v>9.6584000000000003E-2</c:v>
                </c:pt>
                <c:pt idx="37">
                  <c:v>0.11373999999999999</c:v>
                </c:pt>
                <c:pt idx="38">
                  <c:v>0.13250000000000001</c:v>
                </c:pt>
                <c:pt idx="39">
                  <c:v>0.15515999999999999</c:v>
                </c:pt>
                <c:pt idx="40">
                  <c:v>0.18331</c:v>
                </c:pt>
                <c:pt idx="41">
                  <c:v>0.21657999999999999</c:v>
                </c:pt>
                <c:pt idx="42">
                  <c:v>0.25334000000000001</c:v>
                </c:pt>
                <c:pt idx="43">
                  <c:v>0.29135</c:v>
                </c:pt>
                <c:pt idx="44">
                  <c:v>0.33391999999999999</c:v>
                </c:pt>
                <c:pt idx="45">
                  <c:v>0.37966</c:v>
                </c:pt>
                <c:pt idx="46">
                  <c:v>0.42691000000000001</c:v>
                </c:pt>
                <c:pt idx="47">
                  <c:v>0.47137000000000001</c:v>
                </c:pt>
                <c:pt idx="48">
                  <c:v>0.51259999999999994</c:v>
                </c:pt>
                <c:pt idx="49">
                  <c:v>0.54874000000000001</c:v>
                </c:pt>
                <c:pt idx="50">
                  <c:v>0.5796</c:v>
                </c:pt>
                <c:pt idx="51">
                  <c:v>0.60302</c:v>
                </c:pt>
                <c:pt idx="52">
                  <c:v>0.62229999999999996</c:v>
                </c:pt>
                <c:pt idx="53">
                  <c:v>0.63768999999999998</c:v>
                </c:pt>
                <c:pt idx="54">
                  <c:v>0.64759</c:v>
                </c:pt>
                <c:pt idx="55">
                  <c:v>0.65705000000000002</c:v>
                </c:pt>
                <c:pt idx="56">
                  <c:v>0.66605999999999999</c:v>
                </c:pt>
                <c:pt idx="57">
                  <c:v>0.67239000000000004</c:v>
                </c:pt>
                <c:pt idx="58">
                  <c:v>0.67883000000000004</c:v>
                </c:pt>
                <c:pt idx="59">
                  <c:v>0.67562</c:v>
                </c:pt>
                <c:pt idx="60">
                  <c:v>0.67554999999999998</c:v>
                </c:pt>
                <c:pt idx="61">
                  <c:v>0.67884999999999995</c:v>
                </c:pt>
                <c:pt idx="62">
                  <c:v>0.67820999999999998</c:v>
                </c:pt>
                <c:pt idx="63">
                  <c:v>0.67842999999999998</c:v>
                </c:pt>
                <c:pt idx="64">
                  <c:v>0.68161000000000005</c:v>
                </c:pt>
                <c:pt idx="65">
                  <c:v>0.68411999999999995</c:v>
                </c:pt>
                <c:pt idx="66">
                  <c:v>0.68272999999999995</c:v>
                </c:pt>
                <c:pt idx="67">
                  <c:v>0.68325000000000002</c:v>
                </c:pt>
                <c:pt idx="68">
                  <c:v>0.68676000000000004</c:v>
                </c:pt>
                <c:pt idx="69">
                  <c:v>0.68638999999999994</c:v>
                </c:pt>
                <c:pt idx="70">
                  <c:v>0.68745000000000001</c:v>
                </c:pt>
                <c:pt idx="71">
                  <c:v>0.68850999999999996</c:v>
                </c:pt>
                <c:pt idx="72">
                  <c:v>0.68957000000000002</c:v>
                </c:pt>
                <c:pt idx="73">
                  <c:v>0.69062999999999997</c:v>
                </c:pt>
                <c:pt idx="74">
                  <c:v>0.69169000000000003</c:v>
                </c:pt>
                <c:pt idx="75">
                  <c:v>0.69274999999999998</c:v>
                </c:pt>
                <c:pt idx="76">
                  <c:v>0.69379999999999997</c:v>
                </c:pt>
                <c:pt idx="77">
                  <c:v>0.69484999999999997</c:v>
                </c:pt>
                <c:pt idx="78">
                  <c:v>0.69589999999999996</c:v>
                </c:pt>
                <c:pt idx="79">
                  <c:v>0.69694999999999996</c:v>
                </c:pt>
                <c:pt idx="80">
                  <c:v>0.69799</c:v>
                </c:pt>
                <c:pt idx="81">
                  <c:v>0.69903000000000004</c:v>
                </c:pt>
                <c:pt idx="82">
                  <c:v>0.70006999999999997</c:v>
                </c:pt>
                <c:pt idx="83">
                  <c:v>0.70111000000000001</c:v>
                </c:pt>
                <c:pt idx="84">
                  <c:v>0.70215000000000005</c:v>
                </c:pt>
                <c:pt idx="85">
                  <c:v>0.70215000000000005</c:v>
                </c:pt>
                <c:pt idx="86">
                  <c:v>0.70215000000000005</c:v>
                </c:pt>
                <c:pt idx="87">
                  <c:v>0.70215000000000005</c:v>
                </c:pt>
                <c:pt idx="88">
                  <c:v>0.70215000000000005</c:v>
                </c:pt>
                <c:pt idx="89">
                  <c:v>0.70215000000000005</c:v>
                </c:pt>
                <c:pt idx="90">
                  <c:v>0.70215000000000005</c:v>
                </c:pt>
                <c:pt idx="91">
                  <c:v>0.70215000000000005</c:v>
                </c:pt>
                <c:pt idx="92">
                  <c:v>0.70215000000000005</c:v>
                </c:pt>
                <c:pt idx="93">
                  <c:v>0.70215000000000005</c:v>
                </c:pt>
                <c:pt idx="94">
                  <c:v>0.70215000000000005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B-3FE4-445B-8EEB-D88489EA6296}"/>
            </c:ext>
          </c:extLst>
        </c:ser>
        <c:ser>
          <c:idx val="13"/>
          <c:order val="1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'99set'!$O$10:$O$104</c:f>
              <c:numCache>
                <c:formatCode>0.0000</c:formatCode>
                <c:ptCount val="95"/>
                <c:pt idx="0">
                  <c:v>4.3374000000000003E-2</c:v>
                </c:pt>
                <c:pt idx="1">
                  <c:v>4.3374000000000003E-2</c:v>
                </c:pt>
                <c:pt idx="2">
                  <c:v>4.3374000000000003E-2</c:v>
                </c:pt>
                <c:pt idx="3">
                  <c:v>4.3374000000000003E-2</c:v>
                </c:pt>
                <c:pt idx="4">
                  <c:v>4.3374000000000003E-2</c:v>
                </c:pt>
                <c:pt idx="5">
                  <c:v>4.3328999999999999E-2</c:v>
                </c:pt>
                <c:pt idx="6">
                  <c:v>4.3283000000000002E-2</c:v>
                </c:pt>
                <c:pt idx="7">
                  <c:v>4.3237999999999999E-2</c:v>
                </c:pt>
                <c:pt idx="8">
                  <c:v>4.3269000000000002E-2</c:v>
                </c:pt>
                <c:pt idx="9">
                  <c:v>4.3111999999999998E-2</c:v>
                </c:pt>
                <c:pt idx="10">
                  <c:v>4.3069999999999997E-2</c:v>
                </c:pt>
                <c:pt idx="11">
                  <c:v>4.3201999999999997E-2</c:v>
                </c:pt>
                <c:pt idx="12">
                  <c:v>4.3566000000000001E-2</c:v>
                </c:pt>
                <c:pt idx="13">
                  <c:v>4.4186999999999997E-2</c:v>
                </c:pt>
                <c:pt idx="14">
                  <c:v>4.4956000000000003E-2</c:v>
                </c:pt>
                <c:pt idx="15">
                  <c:v>4.5714999999999999E-2</c:v>
                </c:pt>
                <c:pt idx="16">
                  <c:v>4.6246000000000002E-2</c:v>
                </c:pt>
                <c:pt idx="17">
                  <c:v>4.6407999999999998E-2</c:v>
                </c:pt>
                <c:pt idx="18">
                  <c:v>4.6443999999999999E-2</c:v>
                </c:pt>
                <c:pt idx="19">
                  <c:v>4.6549E-2</c:v>
                </c:pt>
                <c:pt idx="20">
                  <c:v>4.6344999999999997E-2</c:v>
                </c:pt>
                <c:pt idx="21">
                  <c:v>4.5567000000000003E-2</c:v>
                </c:pt>
                <c:pt idx="22">
                  <c:v>4.4956000000000003E-2</c:v>
                </c:pt>
                <c:pt idx="23">
                  <c:v>4.5554999999999998E-2</c:v>
                </c:pt>
                <c:pt idx="24">
                  <c:v>4.8627999999999998E-2</c:v>
                </c:pt>
                <c:pt idx="25">
                  <c:v>5.4969999999999998E-2</c:v>
                </c:pt>
                <c:pt idx="26">
                  <c:v>6.3314999999999996E-2</c:v>
                </c:pt>
                <c:pt idx="27">
                  <c:v>7.1904999999999997E-2</c:v>
                </c:pt>
                <c:pt idx="28">
                  <c:v>7.9093999999999998E-2</c:v>
                </c:pt>
                <c:pt idx="29">
                  <c:v>8.3734000000000003E-2</c:v>
                </c:pt>
                <c:pt idx="30">
                  <c:v>8.6537000000000003E-2</c:v>
                </c:pt>
                <c:pt idx="31">
                  <c:v>8.8405999999999998E-2</c:v>
                </c:pt>
                <c:pt idx="32">
                  <c:v>8.9118000000000003E-2</c:v>
                </c:pt>
                <c:pt idx="33">
                  <c:v>8.8356000000000004E-2</c:v>
                </c:pt>
                <c:pt idx="34">
                  <c:v>8.6537000000000003E-2</c:v>
                </c:pt>
                <c:pt idx="35">
                  <c:v>8.4143999999999997E-2</c:v>
                </c:pt>
                <c:pt idx="36">
                  <c:v>8.1178E-2</c:v>
                </c:pt>
                <c:pt idx="37">
                  <c:v>7.7668000000000001E-2</c:v>
                </c:pt>
                <c:pt idx="38">
                  <c:v>7.4232000000000006E-2</c:v>
                </c:pt>
                <c:pt idx="39">
                  <c:v>7.1485999999999994E-2</c:v>
                </c:pt>
                <c:pt idx="40">
                  <c:v>6.9468000000000002E-2</c:v>
                </c:pt>
                <c:pt idx="41">
                  <c:v>6.8192000000000003E-2</c:v>
                </c:pt>
                <c:pt idx="42">
                  <c:v>6.8178000000000002E-2</c:v>
                </c:pt>
                <c:pt idx="43">
                  <c:v>7.0693000000000006E-2</c:v>
                </c:pt>
                <c:pt idx="44">
                  <c:v>7.9491000000000006E-2</c:v>
                </c:pt>
                <c:pt idx="45">
                  <c:v>9.7538E-2</c:v>
                </c:pt>
                <c:pt idx="46">
                  <c:v>0.12216</c:v>
                </c:pt>
                <c:pt idx="47">
                  <c:v>0.14932999999999999</c:v>
                </c:pt>
                <c:pt idx="48">
                  <c:v>0.17516000000000001</c:v>
                </c:pt>
                <c:pt idx="49">
                  <c:v>0.19672000000000001</c:v>
                </c:pt>
                <c:pt idx="50">
                  <c:v>0.21476000000000001</c:v>
                </c:pt>
                <c:pt idx="51">
                  <c:v>0.23036999999999999</c:v>
                </c:pt>
                <c:pt idx="52">
                  <c:v>0.24254000000000001</c:v>
                </c:pt>
                <c:pt idx="53">
                  <c:v>0.25030000000000002</c:v>
                </c:pt>
                <c:pt idx="54">
                  <c:v>0.25485000000000002</c:v>
                </c:pt>
                <c:pt idx="55">
                  <c:v>0.25780999999999998</c:v>
                </c:pt>
                <c:pt idx="56">
                  <c:v>0.26021</c:v>
                </c:pt>
                <c:pt idx="57">
                  <c:v>0.26266</c:v>
                </c:pt>
                <c:pt idx="58">
                  <c:v>0.26486999999999999</c:v>
                </c:pt>
                <c:pt idx="59">
                  <c:v>0.26640999999999998</c:v>
                </c:pt>
                <c:pt idx="60">
                  <c:v>0.26734999999999998</c:v>
                </c:pt>
                <c:pt idx="61">
                  <c:v>0.26784999999999998</c:v>
                </c:pt>
                <c:pt idx="62">
                  <c:v>0.26795000000000002</c:v>
                </c:pt>
                <c:pt idx="63">
                  <c:v>0.26769999999999999</c:v>
                </c:pt>
                <c:pt idx="64">
                  <c:v>0.26734999999999998</c:v>
                </c:pt>
                <c:pt idx="65">
                  <c:v>0.26712999999999998</c:v>
                </c:pt>
                <c:pt idx="66">
                  <c:v>0.26695999999999998</c:v>
                </c:pt>
                <c:pt idx="67">
                  <c:v>0.26667999999999997</c:v>
                </c:pt>
                <c:pt idx="68">
                  <c:v>0.26616000000000001</c:v>
                </c:pt>
                <c:pt idx="69">
                  <c:v>0.26597999999999999</c:v>
                </c:pt>
                <c:pt idx="70">
                  <c:v>0.26566000000000001</c:v>
                </c:pt>
                <c:pt idx="71">
                  <c:v>0.26534999999999997</c:v>
                </c:pt>
                <c:pt idx="72">
                  <c:v>0.26502999999999999</c:v>
                </c:pt>
                <c:pt idx="73">
                  <c:v>0.26471</c:v>
                </c:pt>
                <c:pt idx="74">
                  <c:v>0.26440000000000002</c:v>
                </c:pt>
                <c:pt idx="75">
                  <c:v>0.26407999999999998</c:v>
                </c:pt>
                <c:pt idx="76">
                  <c:v>0.26375999999999999</c:v>
                </c:pt>
                <c:pt idx="77">
                  <c:v>0.26345000000000002</c:v>
                </c:pt>
                <c:pt idx="78">
                  <c:v>0.26312999999999998</c:v>
                </c:pt>
                <c:pt idx="79">
                  <c:v>0.26282</c:v>
                </c:pt>
                <c:pt idx="80">
                  <c:v>0.26250000000000001</c:v>
                </c:pt>
                <c:pt idx="81">
                  <c:v>0.26218999999999998</c:v>
                </c:pt>
                <c:pt idx="82">
                  <c:v>0.26186999999999999</c:v>
                </c:pt>
                <c:pt idx="83">
                  <c:v>0.26156000000000001</c:v>
                </c:pt>
                <c:pt idx="84">
                  <c:v>0.26124000000000003</c:v>
                </c:pt>
                <c:pt idx="85">
                  <c:v>0.26124000000000003</c:v>
                </c:pt>
                <c:pt idx="86">
                  <c:v>0.26124000000000003</c:v>
                </c:pt>
                <c:pt idx="87">
                  <c:v>0.26124000000000003</c:v>
                </c:pt>
                <c:pt idx="88">
                  <c:v>0.26124000000000003</c:v>
                </c:pt>
                <c:pt idx="89">
                  <c:v>0.26124000000000003</c:v>
                </c:pt>
                <c:pt idx="90">
                  <c:v>0.26124000000000003</c:v>
                </c:pt>
                <c:pt idx="91">
                  <c:v>0.26124000000000003</c:v>
                </c:pt>
                <c:pt idx="92">
                  <c:v>0.26124000000000003</c:v>
                </c:pt>
                <c:pt idx="93">
                  <c:v>0.26124000000000003</c:v>
                </c:pt>
                <c:pt idx="94">
                  <c:v>0.26124000000000003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C-3FE4-445B-8EEB-D88489EA6296}"/>
            </c:ext>
          </c:extLst>
        </c:ser>
        <c:ser>
          <c:idx val="14"/>
          <c:order val="1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'99set'!$P$10:$P$104</c:f>
              <c:numCache>
                <c:formatCode>0.0000</c:formatCode>
                <c:ptCount val="95"/>
                <c:pt idx="0">
                  <c:v>0.33532000000000001</c:v>
                </c:pt>
                <c:pt idx="1">
                  <c:v>0.33532000000000001</c:v>
                </c:pt>
                <c:pt idx="2">
                  <c:v>0.33532000000000001</c:v>
                </c:pt>
                <c:pt idx="3">
                  <c:v>0.33532000000000001</c:v>
                </c:pt>
                <c:pt idx="4">
                  <c:v>0.33532000000000001</c:v>
                </c:pt>
                <c:pt idx="5">
                  <c:v>0.33683000000000002</c:v>
                </c:pt>
                <c:pt idx="6">
                  <c:v>0.33833000000000002</c:v>
                </c:pt>
                <c:pt idx="7">
                  <c:v>0.33983999999999998</c:v>
                </c:pt>
                <c:pt idx="8">
                  <c:v>0.34139999999999998</c:v>
                </c:pt>
                <c:pt idx="9">
                  <c:v>0.34300999999999998</c:v>
                </c:pt>
                <c:pt idx="10">
                  <c:v>0.34510000000000002</c:v>
                </c:pt>
                <c:pt idx="11">
                  <c:v>0.34676000000000001</c:v>
                </c:pt>
                <c:pt idx="12">
                  <c:v>0.34820000000000001</c:v>
                </c:pt>
                <c:pt idx="13">
                  <c:v>0.34976000000000002</c:v>
                </c:pt>
                <c:pt idx="14">
                  <c:v>0.3513</c:v>
                </c:pt>
                <c:pt idx="15">
                  <c:v>0.35260999999999998</c:v>
                </c:pt>
                <c:pt idx="16">
                  <c:v>0.3538</c:v>
                </c:pt>
                <c:pt idx="17">
                  <c:v>0.35499000000000003</c:v>
                </c:pt>
                <c:pt idx="18">
                  <c:v>0.35620000000000002</c:v>
                </c:pt>
                <c:pt idx="19">
                  <c:v>0.35737999999999998</c:v>
                </c:pt>
                <c:pt idx="20">
                  <c:v>0.35849999999999999</c:v>
                </c:pt>
                <c:pt idx="21">
                  <c:v>0.35954999999999998</c:v>
                </c:pt>
                <c:pt idx="22">
                  <c:v>0.36070000000000002</c:v>
                </c:pt>
                <c:pt idx="23">
                  <c:v>0.36204999999999998</c:v>
                </c:pt>
                <c:pt idx="24">
                  <c:v>0.3634</c:v>
                </c:pt>
                <c:pt idx="25">
                  <c:v>0.36453999999999998</c:v>
                </c:pt>
                <c:pt idx="26">
                  <c:v>0.36559999999999998</c:v>
                </c:pt>
                <c:pt idx="27">
                  <c:v>0.36675999999999997</c:v>
                </c:pt>
                <c:pt idx="28">
                  <c:v>0.36820000000000003</c:v>
                </c:pt>
                <c:pt idx="29">
                  <c:v>0.37008999999999997</c:v>
                </c:pt>
                <c:pt idx="30">
                  <c:v>0.37269999999999998</c:v>
                </c:pt>
                <c:pt idx="31">
                  <c:v>0.37624999999999997</c:v>
                </c:pt>
                <c:pt idx="32">
                  <c:v>0.38080000000000003</c:v>
                </c:pt>
                <c:pt idx="33">
                  <c:v>0.38613999999999998</c:v>
                </c:pt>
                <c:pt idx="34">
                  <c:v>0.3911</c:v>
                </c:pt>
                <c:pt idx="35">
                  <c:v>0.39456999999999998</c:v>
                </c:pt>
                <c:pt idx="36">
                  <c:v>0.39660000000000001</c:v>
                </c:pt>
                <c:pt idx="37">
                  <c:v>0.39752999999999999</c:v>
                </c:pt>
                <c:pt idx="38">
                  <c:v>0.39760000000000001</c:v>
                </c:pt>
                <c:pt idx="39">
                  <c:v>0.39728000000000002</c:v>
                </c:pt>
                <c:pt idx="40">
                  <c:v>0.39789999999999998</c:v>
                </c:pt>
                <c:pt idx="41">
                  <c:v>0.40103</c:v>
                </c:pt>
                <c:pt idx="42">
                  <c:v>0.4083</c:v>
                </c:pt>
                <c:pt idx="43">
                  <c:v>0.42058000000000001</c:v>
                </c:pt>
                <c:pt idx="44">
                  <c:v>0.4355</c:v>
                </c:pt>
                <c:pt idx="45">
                  <c:v>0.45008999999999999</c:v>
                </c:pt>
                <c:pt idx="46">
                  <c:v>0.4622</c:v>
                </c:pt>
                <c:pt idx="47">
                  <c:v>0.47043000000000001</c:v>
                </c:pt>
                <c:pt idx="48">
                  <c:v>0.47560000000000002</c:v>
                </c:pt>
                <c:pt idx="49">
                  <c:v>0.47894999999999999</c:v>
                </c:pt>
                <c:pt idx="50">
                  <c:v>0.48120000000000002</c:v>
                </c:pt>
                <c:pt idx="51">
                  <c:v>0.48286000000000001</c:v>
                </c:pt>
                <c:pt idx="52">
                  <c:v>0.48409999999999997</c:v>
                </c:pt>
                <c:pt idx="53">
                  <c:v>0.48498000000000002</c:v>
                </c:pt>
                <c:pt idx="54">
                  <c:v>0.48559999999999998</c:v>
                </c:pt>
                <c:pt idx="55">
                  <c:v>0.48607</c:v>
                </c:pt>
                <c:pt idx="56">
                  <c:v>0.48670000000000002</c:v>
                </c:pt>
                <c:pt idx="57">
                  <c:v>0.48768</c:v>
                </c:pt>
                <c:pt idx="58">
                  <c:v>0.48870000000000002</c:v>
                </c:pt>
                <c:pt idx="59">
                  <c:v>0.48941000000000001</c:v>
                </c:pt>
                <c:pt idx="60">
                  <c:v>0.48980000000000001</c:v>
                </c:pt>
                <c:pt idx="61">
                  <c:v>0.48998999999999998</c:v>
                </c:pt>
                <c:pt idx="62">
                  <c:v>0.49030000000000001</c:v>
                </c:pt>
                <c:pt idx="63">
                  <c:v>0.49098000000000003</c:v>
                </c:pt>
                <c:pt idx="64">
                  <c:v>0.4919</c:v>
                </c:pt>
                <c:pt idx="65">
                  <c:v>0.49282999999999999</c:v>
                </c:pt>
                <c:pt idx="66">
                  <c:v>0.49370000000000003</c:v>
                </c:pt>
                <c:pt idx="67">
                  <c:v>0.49443999999999999</c:v>
                </c:pt>
                <c:pt idx="68">
                  <c:v>0.49490000000000001</c:v>
                </c:pt>
                <c:pt idx="69">
                  <c:v>0.49534</c:v>
                </c:pt>
                <c:pt idx="70">
                  <c:v>0.49576999999999999</c:v>
                </c:pt>
                <c:pt idx="71">
                  <c:v>0.49619000000000002</c:v>
                </c:pt>
                <c:pt idx="72">
                  <c:v>0.49662000000000001</c:v>
                </c:pt>
                <c:pt idx="73">
                  <c:v>0.49703999999999998</c:v>
                </c:pt>
                <c:pt idx="74">
                  <c:v>0.49747000000000002</c:v>
                </c:pt>
                <c:pt idx="75">
                  <c:v>0.49789</c:v>
                </c:pt>
                <c:pt idx="76">
                  <c:v>0.49831999999999999</c:v>
                </c:pt>
                <c:pt idx="77">
                  <c:v>0.49874000000000002</c:v>
                </c:pt>
                <c:pt idx="78">
                  <c:v>0.49917</c:v>
                </c:pt>
                <c:pt idx="79">
                  <c:v>0.49958999999999998</c:v>
                </c:pt>
                <c:pt idx="80">
                  <c:v>0.50002000000000002</c:v>
                </c:pt>
                <c:pt idx="81">
                  <c:v>0.50044</c:v>
                </c:pt>
                <c:pt idx="82">
                  <c:v>0.50087000000000004</c:v>
                </c:pt>
                <c:pt idx="83">
                  <c:v>0.50129000000000001</c:v>
                </c:pt>
                <c:pt idx="84">
                  <c:v>0.50172000000000005</c:v>
                </c:pt>
                <c:pt idx="85">
                  <c:v>0.50172000000000005</c:v>
                </c:pt>
                <c:pt idx="86">
                  <c:v>0.50172000000000005</c:v>
                </c:pt>
                <c:pt idx="87">
                  <c:v>0.50172000000000005</c:v>
                </c:pt>
                <c:pt idx="88">
                  <c:v>0.50172000000000005</c:v>
                </c:pt>
                <c:pt idx="89">
                  <c:v>0.50172000000000005</c:v>
                </c:pt>
                <c:pt idx="90">
                  <c:v>0.50172000000000005</c:v>
                </c:pt>
                <c:pt idx="91">
                  <c:v>0.50172000000000005</c:v>
                </c:pt>
                <c:pt idx="92">
                  <c:v>0.50172000000000005</c:v>
                </c:pt>
                <c:pt idx="93">
                  <c:v>0.50172000000000005</c:v>
                </c:pt>
                <c:pt idx="94">
                  <c:v>0.50172000000000005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D-3FE4-445B-8EEB-D88489EA6296}"/>
            </c:ext>
          </c:extLst>
        </c:ser>
        <c:ser>
          <c:idx val="15"/>
          <c:order val="1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'99set'!$Q$10:$Q$104</c:f>
              <c:numCache>
                <c:formatCode>0.0000</c:formatCode>
                <c:ptCount val="95"/>
                <c:pt idx="0">
                  <c:v>0.16991999999999999</c:v>
                </c:pt>
                <c:pt idx="1">
                  <c:v>0.16991999999999999</c:v>
                </c:pt>
                <c:pt idx="2">
                  <c:v>0.16991999999999999</c:v>
                </c:pt>
                <c:pt idx="3">
                  <c:v>0.16991999999999999</c:v>
                </c:pt>
                <c:pt idx="4">
                  <c:v>0.16991999999999999</c:v>
                </c:pt>
                <c:pt idx="5">
                  <c:v>0.17294999999999999</c:v>
                </c:pt>
                <c:pt idx="6">
                  <c:v>0.17602000000000001</c:v>
                </c:pt>
                <c:pt idx="7">
                  <c:v>0.17913000000000001</c:v>
                </c:pt>
                <c:pt idx="8">
                  <c:v>0.18140999999999999</c:v>
                </c:pt>
                <c:pt idx="9">
                  <c:v>0.18593000000000001</c:v>
                </c:pt>
                <c:pt idx="10">
                  <c:v>0.18883</c:v>
                </c:pt>
                <c:pt idx="11">
                  <c:v>0.19137000000000001</c:v>
                </c:pt>
                <c:pt idx="12">
                  <c:v>0.19478999999999999</c:v>
                </c:pt>
                <c:pt idx="13">
                  <c:v>0.20029</c:v>
                </c:pt>
                <c:pt idx="14">
                  <c:v>0.2089</c:v>
                </c:pt>
                <c:pt idx="15">
                  <c:v>0.22103</c:v>
                </c:pt>
                <c:pt idx="16">
                  <c:v>0.23491999999999999</c:v>
                </c:pt>
                <c:pt idx="17">
                  <c:v>0.24851000000000001</c:v>
                </c:pt>
                <c:pt idx="18">
                  <c:v>0.26083000000000001</c:v>
                </c:pt>
                <c:pt idx="19">
                  <c:v>0.27134999999999998</c:v>
                </c:pt>
                <c:pt idx="20">
                  <c:v>0.28027000000000002</c:v>
                </c:pt>
                <c:pt idx="21">
                  <c:v>0.28799000000000002</c:v>
                </c:pt>
                <c:pt idx="22">
                  <c:v>0.29480000000000001</c:v>
                </c:pt>
                <c:pt idx="23">
                  <c:v>0.30092999999999998</c:v>
                </c:pt>
                <c:pt idx="24">
                  <c:v>0.30659999999999998</c:v>
                </c:pt>
                <c:pt idx="25">
                  <c:v>0.31208000000000002</c:v>
                </c:pt>
                <c:pt idx="26">
                  <c:v>0.318</c:v>
                </c:pt>
                <c:pt idx="27">
                  <c:v>0.32475999999999999</c:v>
                </c:pt>
                <c:pt idx="28">
                  <c:v>0.33167999999999997</c:v>
                </c:pt>
                <c:pt idx="29">
                  <c:v>0.33767000000000003</c:v>
                </c:pt>
                <c:pt idx="30">
                  <c:v>0.34118999999999999</c:v>
                </c:pt>
                <c:pt idx="31">
                  <c:v>0.34098000000000001</c:v>
                </c:pt>
                <c:pt idx="32">
                  <c:v>0.33711999999999998</c:v>
                </c:pt>
                <c:pt idx="33">
                  <c:v>0.33040999999999998</c:v>
                </c:pt>
                <c:pt idx="34">
                  <c:v>0.32312000000000002</c:v>
                </c:pt>
                <c:pt idx="35">
                  <c:v>0.31756000000000001</c:v>
                </c:pt>
                <c:pt idx="36">
                  <c:v>0.31475999999999998</c:v>
                </c:pt>
                <c:pt idx="37">
                  <c:v>0.31513000000000002</c:v>
                </c:pt>
                <c:pt idx="38">
                  <c:v>0.31809999999999999</c:v>
                </c:pt>
                <c:pt idx="39">
                  <c:v>0.32240999999999997</c:v>
                </c:pt>
                <c:pt idx="40">
                  <c:v>0.3251</c:v>
                </c:pt>
                <c:pt idx="41">
                  <c:v>0.32407000000000002</c:v>
                </c:pt>
                <c:pt idx="42">
                  <c:v>0.32228000000000001</c:v>
                </c:pt>
                <c:pt idx="43">
                  <c:v>0.32449</c:v>
                </c:pt>
                <c:pt idx="44">
                  <c:v>0.33774999999999999</c:v>
                </c:pt>
                <c:pt idx="45">
                  <c:v>0.36681999999999998</c:v>
                </c:pt>
                <c:pt idx="46">
                  <c:v>0.40525</c:v>
                </c:pt>
                <c:pt idx="47">
                  <c:v>0.44457000000000002</c:v>
                </c:pt>
                <c:pt idx="48">
                  <c:v>0.47933999999999999</c:v>
                </c:pt>
                <c:pt idx="49">
                  <c:v>0.50614000000000003</c:v>
                </c:pt>
                <c:pt idx="50">
                  <c:v>0.52637</c:v>
                </c:pt>
                <c:pt idx="51">
                  <c:v>0.54227000000000003</c:v>
                </c:pt>
                <c:pt idx="52">
                  <c:v>0.55469000000000002</c:v>
                </c:pt>
                <c:pt idx="53">
                  <c:v>0.56418999999999997</c:v>
                </c:pt>
                <c:pt idx="54">
                  <c:v>0.57172000000000001</c:v>
                </c:pt>
                <c:pt idx="55">
                  <c:v>0.57820000000000005</c:v>
                </c:pt>
                <c:pt idx="56">
                  <c:v>0.58394999999999997</c:v>
                </c:pt>
                <c:pt idx="57">
                  <c:v>0.58911000000000002</c:v>
                </c:pt>
                <c:pt idx="58">
                  <c:v>0.59367000000000003</c:v>
                </c:pt>
                <c:pt idx="59">
                  <c:v>0.59765000000000001</c:v>
                </c:pt>
                <c:pt idx="60">
                  <c:v>0.60150000000000003</c:v>
                </c:pt>
                <c:pt idx="61">
                  <c:v>0.60563</c:v>
                </c:pt>
                <c:pt idx="62">
                  <c:v>0.60997000000000001</c:v>
                </c:pt>
                <c:pt idx="63">
                  <c:v>0.61431000000000002</c:v>
                </c:pt>
                <c:pt idx="64">
                  <c:v>0.61843000000000004</c:v>
                </c:pt>
                <c:pt idx="65">
                  <c:v>0.62214000000000003</c:v>
                </c:pt>
                <c:pt idx="66">
                  <c:v>0.62533000000000005</c:v>
                </c:pt>
                <c:pt idx="67">
                  <c:v>0.62795000000000001</c:v>
                </c:pt>
                <c:pt idx="68">
                  <c:v>0.62992999999999999</c:v>
                </c:pt>
                <c:pt idx="69">
                  <c:v>0.63283999999999996</c:v>
                </c:pt>
                <c:pt idx="70">
                  <c:v>0.63536000000000004</c:v>
                </c:pt>
                <c:pt idx="71">
                  <c:v>0.63788</c:v>
                </c:pt>
                <c:pt idx="72">
                  <c:v>0.64039000000000001</c:v>
                </c:pt>
                <c:pt idx="73">
                  <c:v>0.64288999999999996</c:v>
                </c:pt>
                <c:pt idx="74">
                  <c:v>0.64537999999999995</c:v>
                </c:pt>
                <c:pt idx="75">
                  <c:v>0.64786999999999995</c:v>
                </c:pt>
                <c:pt idx="76">
                  <c:v>0.65034999999999998</c:v>
                </c:pt>
                <c:pt idx="77">
                  <c:v>0.65281999999999996</c:v>
                </c:pt>
                <c:pt idx="78">
                  <c:v>0.65527999999999997</c:v>
                </c:pt>
                <c:pt idx="79">
                  <c:v>0.65773000000000004</c:v>
                </c:pt>
                <c:pt idx="80">
                  <c:v>0.66017999999999999</c:v>
                </c:pt>
                <c:pt idx="81">
                  <c:v>0.66261999999999999</c:v>
                </c:pt>
                <c:pt idx="82">
                  <c:v>0.66503999999999996</c:v>
                </c:pt>
                <c:pt idx="83">
                  <c:v>0.66746000000000005</c:v>
                </c:pt>
                <c:pt idx="84">
                  <c:v>0.66986999999999997</c:v>
                </c:pt>
                <c:pt idx="85">
                  <c:v>0.66986999999999997</c:v>
                </c:pt>
                <c:pt idx="86">
                  <c:v>0.66986999999999997</c:v>
                </c:pt>
                <c:pt idx="87">
                  <c:v>0.66986999999999997</c:v>
                </c:pt>
                <c:pt idx="88">
                  <c:v>0.66986999999999997</c:v>
                </c:pt>
                <c:pt idx="89">
                  <c:v>0.66986999999999997</c:v>
                </c:pt>
                <c:pt idx="90">
                  <c:v>0.66986999999999997</c:v>
                </c:pt>
                <c:pt idx="91">
                  <c:v>0.66986999999999997</c:v>
                </c:pt>
                <c:pt idx="92">
                  <c:v>0.66986999999999997</c:v>
                </c:pt>
                <c:pt idx="93">
                  <c:v>0.66986999999999997</c:v>
                </c:pt>
                <c:pt idx="94">
                  <c:v>0.66986999999999997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E-3FE4-445B-8EEB-D88489EA6296}"/>
            </c:ext>
          </c:extLst>
        </c:ser>
        <c:ser>
          <c:idx val="16"/>
          <c:order val="1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'99set'!$R$10:$R$104</c:f>
              <c:numCache>
                <c:formatCode>0.0000</c:formatCode>
                <c:ptCount val="95"/>
                <c:pt idx="0">
                  <c:v>3.4659000000000002E-2</c:v>
                </c:pt>
                <c:pt idx="1">
                  <c:v>3.4659000000000002E-2</c:v>
                </c:pt>
                <c:pt idx="2">
                  <c:v>3.4659000000000002E-2</c:v>
                </c:pt>
                <c:pt idx="3">
                  <c:v>3.4659000000000002E-2</c:v>
                </c:pt>
                <c:pt idx="4">
                  <c:v>3.4659000000000002E-2</c:v>
                </c:pt>
                <c:pt idx="5">
                  <c:v>3.5367000000000003E-2</c:v>
                </c:pt>
                <c:pt idx="6">
                  <c:v>3.6089000000000003E-2</c:v>
                </c:pt>
                <c:pt idx="7">
                  <c:v>3.6824999999999997E-2</c:v>
                </c:pt>
                <c:pt idx="8">
                  <c:v>3.7670000000000002E-2</c:v>
                </c:pt>
                <c:pt idx="9">
                  <c:v>3.8294000000000002E-2</c:v>
                </c:pt>
                <c:pt idx="10">
                  <c:v>3.9099000000000002E-2</c:v>
                </c:pt>
                <c:pt idx="11">
                  <c:v>4.0030999999999997E-2</c:v>
                </c:pt>
                <c:pt idx="12">
                  <c:v>4.1038999999999999E-2</c:v>
                </c:pt>
                <c:pt idx="13">
                  <c:v>4.2120999999999999E-2</c:v>
                </c:pt>
                <c:pt idx="14">
                  <c:v>4.3489E-2</c:v>
                </c:pt>
                <c:pt idx="15">
                  <c:v>4.5310000000000003E-2</c:v>
                </c:pt>
                <c:pt idx="16">
                  <c:v>4.7368E-2</c:v>
                </c:pt>
                <c:pt idx="17">
                  <c:v>4.9438000000000003E-2</c:v>
                </c:pt>
                <c:pt idx="18">
                  <c:v>5.1656000000000001E-2</c:v>
                </c:pt>
                <c:pt idx="19">
                  <c:v>5.4186999999999999E-2</c:v>
                </c:pt>
                <c:pt idx="20">
                  <c:v>5.6964000000000001E-2</c:v>
                </c:pt>
                <c:pt idx="21">
                  <c:v>5.9891E-2</c:v>
                </c:pt>
                <c:pt idx="22">
                  <c:v>6.2987000000000001E-2</c:v>
                </c:pt>
                <c:pt idx="23">
                  <c:v>6.6283999999999996E-2</c:v>
                </c:pt>
                <c:pt idx="24">
                  <c:v>6.9724999999999995E-2</c:v>
                </c:pt>
                <c:pt idx="25">
                  <c:v>7.3225999999999999E-2</c:v>
                </c:pt>
                <c:pt idx="26">
                  <c:v>7.6666999999999999E-2</c:v>
                </c:pt>
                <c:pt idx="27">
                  <c:v>7.9963000000000006E-2</c:v>
                </c:pt>
                <c:pt idx="28">
                  <c:v>8.3199999999999996E-2</c:v>
                </c:pt>
                <c:pt idx="29">
                  <c:v>8.6472999999999994E-2</c:v>
                </c:pt>
                <c:pt idx="30">
                  <c:v>8.9733999999999994E-2</c:v>
                </c:pt>
                <c:pt idx="31">
                  <c:v>9.2884999999999995E-2</c:v>
                </c:pt>
                <c:pt idx="32">
                  <c:v>9.5756999999999995E-2</c:v>
                </c:pt>
                <c:pt idx="33">
                  <c:v>9.8241999999999996E-2</c:v>
                </c:pt>
                <c:pt idx="34">
                  <c:v>0.10056</c:v>
                </c:pt>
                <c:pt idx="35">
                  <c:v>0.10292999999999999</c:v>
                </c:pt>
                <c:pt idx="36">
                  <c:v>0.10535</c:v>
                </c:pt>
                <c:pt idx="37">
                  <c:v>0.10777</c:v>
                </c:pt>
                <c:pt idx="38">
                  <c:v>0.11015</c:v>
                </c:pt>
                <c:pt idx="39">
                  <c:v>0.1125</c:v>
                </c:pt>
                <c:pt idx="40">
                  <c:v>0.11484999999999999</c:v>
                </c:pt>
                <c:pt idx="41">
                  <c:v>0.1173</c:v>
                </c:pt>
                <c:pt idx="42">
                  <c:v>0.12026000000000001</c:v>
                </c:pt>
                <c:pt idx="43">
                  <c:v>0.12415</c:v>
                </c:pt>
                <c:pt idx="44">
                  <c:v>0.12934000000000001</c:v>
                </c:pt>
                <c:pt idx="45">
                  <c:v>0.13622000000000001</c:v>
                </c:pt>
                <c:pt idx="46">
                  <c:v>0.14527000000000001</c:v>
                </c:pt>
                <c:pt idx="47">
                  <c:v>0.15695999999999999</c:v>
                </c:pt>
                <c:pt idx="48">
                  <c:v>0.1714</c:v>
                </c:pt>
                <c:pt idx="49">
                  <c:v>0.18851999999999999</c:v>
                </c:pt>
                <c:pt idx="50">
                  <c:v>0.20763999999999999</c:v>
                </c:pt>
                <c:pt idx="51">
                  <c:v>0.2281</c:v>
                </c:pt>
                <c:pt idx="52">
                  <c:v>0.24970000000000001</c:v>
                </c:pt>
                <c:pt idx="53">
                  <c:v>0.27223000000000003</c:v>
                </c:pt>
                <c:pt idx="54">
                  <c:v>0.29482999999999998</c:v>
                </c:pt>
                <c:pt idx="55">
                  <c:v>0.31669000000000003</c:v>
                </c:pt>
                <c:pt idx="56">
                  <c:v>0.33779999999999999</c:v>
                </c:pt>
                <c:pt idx="57">
                  <c:v>0.35841000000000001</c:v>
                </c:pt>
                <c:pt idx="58">
                  <c:v>0.37905</c:v>
                </c:pt>
                <c:pt idx="59">
                  <c:v>0.40003</c:v>
                </c:pt>
                <c:pt idx="60">
                  <c:v>0.42038999999999999</c:v>
                </c:pt>
                <c:pt idx="61">
                  <c:v>0.43917</c:v>
                </c:pt>
                <c:pt idx="62">
                  <c:v>0.45673000000000002</c:v>
                </c:pt>
                <c:pt idx="63">
                  <c:v>0.47371000000000002</c:v>
                </c:pt>
                <c:pt idx="64">
                  <c:v>0.49042000000000002</c:v>
                </c:pt>
                <c:pt idx="65">
                  <c:v>0.50702999999999998</c:v>
                </c:pt>
                <c:pt idx="66">
                  <c:v>0.52319000000000004</c:v>
                </c:pt>
                <c:pt idx="67">
                  <c:v>0.53846000000000005</c:v>
                </c:pt>
                <c:pt idx="68">
                  <c:v>0.55239000000000005</c:v>
                </c:pt>
                <c:pt idx="69">
                  <c:v>0.56803999999999999</c:v>
                </c:pt>
                <c:pt idx="70">
                  <c:v>0.58282999999999996</c:v>
                </c:pt>
                <c:pt idx="71">
                  <c:v>0.59748000000000001</c:v>
                </c:pt>
                <c:pt idx="72">
                  <c:v>0.61195999999999995</c:v>
                </c:pt>
                <c:pt idx="73">
                  <c:v>0.62624000000000002</c:v>
                </c:pt>
                <c:pt idx="74">
                  <c:v>0.64029999999999998</c:v>
                </c:pt>
                <c:pt idx="75">
                  <c:v>0.65412999999999999</c:v>
                </c:pt>
                <c:pt idx="76">
                  <c:v>0.66769999999999996</c:v>
                </c:pt>
                <c:pt idx="77">
                  <c:v>0.68100000000000005</c:v>
                </c:pt>
                <c:pt idx="78">
                  <c:v>0.69401000000000002</c:v>
                </c:pt>
                <c:pt idx="79">
                  <c:v>0.70672000000000001</c:v>
                </c:pt>
                <c:pt idx="80">
                  <c:v>0.71911999999999998</c:v>
                </c:pt>
                <c:pt idx="81">
                  <c:v>0.73119000000000001</c:v>
                </c:pt>
                <c:pt idx="82">
                  <c:v>0.74292000000000002</c:v>
                </c:pt>
                <c:pt idx="83">
                  <c:v>0.75431999999999999</c:v>
                </c:pt>
                <c:pt idx="84">
                  <c:v>0.76536999999999999</c:v>
                </c:pt>
                <c:pt idx="85">
                  <c:v>0.76536999999999999</c:v>
                </c:pt>
                <c:pt idx="86">
                  <c:v>0.76536999999999999</c:v>
                </c:pt>
                <c:pt idx="87">
                  <c:v>0.76536999999999999</c:v>
                </c:pt>
                <c:pt idx="88">
                  <c:v>0.76536999999999999</c:v>
                </c:pt>
                <c:pt idx="89">
                  <c:v>0.76536999999999999</c:v>
                </c:pt>
                <c:pt idx="90">
                  <c:v>0.76536999999999999</c:v>
                </c:pt>
                <c:pt idx="91">
                  <c:v>0.76536999999999999</c:v>
                </c:pt>
                <c:pt idx="92">
                  <c:v>0.76536999999999999</c:v>
                </c:pt>
                <c:pt idx="93">
                  <c:v>0.76536999999999999</c:v>
                </c:pt>
                <c:pt idx="94">
                  <c:v>0.76536999999999999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F-3FE4-445B-8EEB-D88489EA6296}"/>
            </c:ext>
          </c:extLst>
        </c:ser>
        <c:ser>
          <c:idx val="17"/>
          <c:order val="1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'99set'!$S$10:$S$104</c:f>
              <c:numCache>
                <c:formatCode>0.0000</c:formatCode>
                <c:ptCount val="95"/>
                <c:pt idx="0">
                  <c:v>3.0797999999999999E-2</c:v>
                </c:pt>
                <c:pt idx="1">
                  <c:v>3.0797999999999999E-2</c:v>
                </c:pt>
                <c:pt idx="2">
                  <c:v>3.0797999999999999E-2</c:v>
                </c:pt>
                <c:pt idx="3">
                  <c:v>3.0797999999999999E-2</c:v>
                </c:pt>
                <c:pt idx="4">
                  <c:v>3.0797999999999999E-2</c:v>
                </c:pt>
                <c:pt idx="5">
                  <c:v>3.3096E-2</c:v>
                </c:pt>
                <c:pt idx="6">
                  <c:v>3.5560000000000001E-2</c:v>
                </c:pt>
                <c:pt idx="7">
                  <c:v>3.8200999999999999E-2</c:v>
                </c:pt>
                <c:pt idx="8">
                  <c:v>4.0309999999999999E-2</c:v>
                </c:pt>
                <c:pt idx="9">
                  <c:v>4.4431999999999999E-2</c:v>
                </c:pt>
                <c:pt idx="10">
                  <c:v>4.7504999999999999E-2</c:v>
                </c:pt>
                <c:pt idx="11">
                  <c:v>4.9665000000000001E-2</c:v>
                </c:pt>
                <c:pt idx="12">
                  <c:v>5.1053000000000001E-2</c:v>
                </c:pt>
                <c:pt idx="13">
                  <c:v>5.1864E-2</c:v>
                </c:pt>
                <c:pt idx="14">
                  <c:v>5.2531000000000001E-2</c:v>
                </c:pt>
                <c:pt idx="15">
                  <c:v>5.3457999999999999E-2</c:v>
                </c:pt>
                <c:pt idx="16">
                  <c:v>5.4698999999999998E-2</c:v>
                </c:pt>
                <c:pt idx="17">
                  <c:v>5.6228E-2</c:v>
                </c:pt>
                <c:pt idx="18">
                  <c:v>5.8049999999999997E-2</c:v>
                </c:pt>
                <c:pt idx="19">
                  <c:v>6.0160999999999999E-2</c:v>
                </c:pt>
                <c:pt idx="20">
                  <c:v>6.2484999999999999E-2</c:v>
                </c:pt>
                <c:pt idx="21">
                  <c:v>6.4919000000000004E-2</c:v>
                </c:pt>
                <c:pt idx="22">
                  <c:v>6.7315E-2</c:v>
                </c:pt>
                <c:pt idx="23">
                  <c:v>6.9524000000000002E-2</c:v>
                </c:pt>
                <c:pt idx="24">
                  <c:v>7.1454000000000004E-2</c:v>
                </c:pt>
                <c:pt idx="25">
                  <c:v>7.3054999999999995E-2</c:v>
                </c:pt>
                <c:pt idx="26">
                  <c:v>7.4411000000000005E-2</c:v>
                </c:pt>
                <c:pt idx="27">
                  <c:v>7.5590000000000004E-2</c:v>
                </c:pt>
                <c:pt idx="28">
                  <c:v>7.6480000000000006E-2</c:v>
                </c:pt>
                <c:pt idx="29">
                  <c:v>7.7010999999999996E-2</c:v>
                </c:pt>
                <c:pt idx="30">
                  <c:v>7.7465999999999993E-2</c:v>
                </c:pt>
                <c:pt idx="31">
                  <c:v>7.8168000000000001E-2</c:v>
                </c:pt>
                <c:pt idx="32">
                  <c:v>7.9240000000000005E-2</c:v>
                </c:pt>
                <c:pt idx="33">
                  <c:v>8.0854999999999996E-2</c:v>
                </c:pt>
                <c:pt idx="34">
                  <c:v>8.3575999999999998E-2</c:v>
                </c:pt>
                <c:pt idx="35">
                  <c:v>8.8106000000000004E-2</c:v>
                </c:pt>
                <c:pt idx="36">
                  <c:v>9.5305000000000001E-2</c:v>
                </c:pt>
                <c:pt idx="37">
                  <c:v>0.10580000000000001</c:v>
                </c:pt>
                <c:pt idx="38">
                  <c:v>0.11916</c:v>
                </c:pt>
                <c:pt idx="39">
                  <c:v>0.13450000000000001</c:v>
                </c:pt>
                <c:pt idx="40">
                  <c:v>0.15040000000000001</c:v>
                </c:pt>
                <c:pt idx="41">
                  <c:v>0.16541</c:v>
                </c:pt>
                <c:pt idx="42">
                  <c:v>0.17859</c:v>
                </c:pt>
                <c:pt idx="43">
                  <c:v>0.18928</c:v>
                </c:pt>
                <c:pt idx="44">
                  <c:v>0.19761000000000001</c:v>
                </c:pt>
                <c:pt idx="45">
                  <c:v>0.20396</c:v>
                </c:pt>
                <c:pt idx="46">
                  <c:v>0.20913999999999999</c:v>
                </c:pt>
                <c:pt idx="47">
                  <c:v>0.21381</c:v>
                </c:pt>
                <c:pt idx="48">
                  <c:v>0.21770999999999999</c:v>
                </c:pt>
                <c:pt idx="49">
                  <c:v>0.22040999999999999</c:v>
                </c:pt>
                <c:pt idx="50">
                  <c:v>0.22166</c:v>
                </c:pt>
                <c:pt idx="51">
                  <c:v>0.22145999999999999</c:v>
                </c:pt>
                <c:pt idx="52">
                  <c:v>0.22076999999999999</c:v>
                </c:pt>
                <c:pt idx="53">
                  <c:v>0.22081000000000001</c:v>
                </c:pt>
                <c:pt idx="54">
                  <c:v>0.22303000000000001</c:v>
                </c:pt>
                <c:pt idx="55">
                  <c:v>0.22881000000000001</c:v>
                </c:pt>
                <c:pt idx="56">
                  <c:v>0.23899999999999999</c:v>
                </c:pt>
                <c:pt idx="57">
                  <c:v>0.25451000000000001</c:v>
                </c:pt>
                <c:pt idx="58">
                  <c:v>0.27704000000000001</c:v>
                </c:pt>
                <c:pt idx="59">
                  <c:v>0.308</c:v>
                </c:pt>
                <c:pt idx="60">
                  <c:v>0.34671999999999997</c:v>
                </c:pt>
                <c:pt idx="61">
                  <c:v>0.39138000000000001</c:v>
                </c:pt>
                <c:pt idx="62">
                  <c:v>0.43730000000000002</c:v>
                </c:pt>
                <c:pt idx="63">
                  <c:v>0.48015999999999998</c:v>
                </c:pt>
                <c:pt idx="64">
                  <c:v>0.51978999999999997</c:v>
                </c:pt>
                <c:pt idx="65">
                  <c:v>0.55666000000000004</c:v>
                </c:pt>
                <c:pt idx="66">
                  <c:v>0.58977000000000002</c:v>
                </c:pt>
                <c:pt idx="67">
                  <c:v>0.61775000000000002</c:v>
                </c:pt>
                <c:pt idx="68">
                  <c:v>0.63924000000000003</c:v>
                </c:pt>
                <c:pt idx="69">
                  <c:v>0.66822999999999999</c:v>
                </c:pt>
                <c:pt idx="70">
                  <c:v>0.69291999999999998</c:v>
                </c:pt>
                <c:pt idx="71">
                  <c:v>0.71655999999999997</c:v>
                </c:pt>
                <c:pt idx="72">
                  <c:v>0.73904999999999998</c:v>
                </c:pt>
                <c:pt idx="73">
                  <c:v>0.76036999999999999</c:v>
                </c:pt>
                <c:pt idx="74">
                  <c:v>0.78044999999999998</c:v>
                </c:pt>
                <c:pt idx="75">
                  <c:v>0.79930000000000001</c:v>
                </c:pt>
                <c:pt idx="76">
                  <c:v>0.81691000000000003</c:v>
                </c:pt>
                <c:pt idx="77">
                  <c:v>0.83330000000000004</c:v>
                </c:pt>
                <c:pt idx="78">
                  <c:v>0.84848999999999997</c:v>
                </c:pt>
                <c:pt idx="79">
                  <c:v>0.86251999999999995</c:v>
                </c:pt>
                <c:pt idx="80">
                  <c:v>0.87544999999999995</c:v>
                </c:pt>
                <c:pt idx="81">
                  <c:v>0.88732</c:v>
                </c:pt>
                <c:pt idx="82">
                  <c:v>0.89819000000000004</c:v>
                </c:pt>
                <c:pt idx="83">
                  <c:v>0.90812000000000004</c:v>
                </c:pt>
                <c:pt idx="84">
                  <c:v>0.91717000000000004</c:v>
                </c:pt>
                <c:pt idx="85">
                  <c:v>0.91717000000000004</c:v>
                </c:pt>
                <c:pt idx="86">
                  <c:v>0.91717000000000004</c:v>
                </c:pt>
                <c:pt idx="87">
                  <c:v>0.91717000000000004</c:v>
                </c:pt>
                <c:pt idx="88">
                  <c:v>0.91717000000000004</c:v>
                </c:pt>
                <c:pt idx="89">
                  <c:v>0.91717000000000004</c:v>
                </c:pt>
                <c:pt idx="90">
                  <c:v>0.91717000000000004</c:v>
                </c:pt>
                <c:pt idx="91">
                  <c:v>0.91717000000000004</c:v>
                </c:pt>
                <c:pt idx="92">
                  <c:v>0.91717000000000004</c:v>
                </c:pt>
                <c:pt idx="93">
                  <c:v>0.91717000000000004</c:v>
                </c:pt>
                <c:pt idx="94">
                  <c:v>0.91717000000000004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0-3FE4-445B-8EEB-D88489EA6296}"/>
            </c:ext>
          </c:extLst>
        </c:ser>
        <c:ser>
          <c:idx val="18"/>
          <c:order val="1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'99set'!$T$10:$T$104</c:f>
              <c:numCache>
                <c:formatCode>0.0000</c:formatCode>
                <c:ptCount val="95"/>
                <c:pt idx="0">
                  <c:v>6.4984E-2</c:v>
                </c:pt>
                <c:pt idx="1">
                  <c:v>6.4984E-2</c:v>
                </c:pt>
                <c:pt idx="2">
                  <c:v>6.4984E-2</c:v>
                </c:pt>
                <c:pt idx="3">
                  <c:v>6.4984E-2</c:v>
                </c:pt>
                <c:pt idx="4">
                  <c:v>6.4984E-2</c:v>
                </c:pt>
                <c:pt idx="5">
                  <c:v>6.6915000000000002E-2</c:v>
                </c:pt>
                <c:pt idx="6">
                  <c:v>6.8899000000000002E-2</c:v>
                </c:pt>
                <c:pt idx="7">
                  <c:v>7.0937E-2</c:v>
                </c:pt>
                <c:pt idx="8">
                  <c:v>7.3099999999999998E-2</c:v>
                </c:pt>
                <c:pt idx="9">
                  <c:v>7.5384000000000007E-2</c:v>
                </c:pt>
                <c:pt idx="10">
                  <c:v>7.85E-2</c:v>
                </c:pt>
                <c:pt idx="11">
                  <c:v>8.1295999999999993E-2</c:v>
                </c:pt>
                <c:pt idx="12">
                  <c:v>8.4099999999999994E-2</c:v>
                </c:pt>
                <c:pt idx="13">
                  <c:v>8.7521000000000002E-2</c:v>
                </c:pt>
                <c:pt idx="14">
                  <c:v>9.1800000000000007E-2</c:v>
                </c:pt>
                <c:pt idx="15">
                  <c:v>9.6957000000000002E-2</c:v>
                </c:pt>
                <c:pt idx="16">
                  <c:v>0.10249999999999999</c:v>
                </c:pt>
                <c:pt idx="17">
                  <c:v>0.10789</c:v>
                </c:pt>
                <c:pt idx="18">
                  <c:v>0.1129</c:v>
                </c:pt>
                <c:pt idx="19">
                  <c:v>0.11747</c:v>
                </c:pt>
                <c:pt idx="20">
                  <c:v>0.12180000000000001</c:v>
                </c:pt>
                <c:pt idx="21">
                  <c:v>0.12611</c:v>
                </c:pt>
                <c:pt idx="22">
                  <c:v>0.13039999999999999</c:v>
                </c:pt>
                <c:pt idx="23">
                  <c:v>0.13466</c:v>
                </c:pt>
                <c:pt idx="24">
                  <c:v>0.13900000000000001</c:v>
                </c:pt>
                <c:pt idx="25">
                  <c:v>0.14355000000000001</c:v>
                </c:pt>
                <c:pt idx="26">
                  <c:v>0.1484</c:v>
                </c:pt>
                <c:pt idx="27">
                  <c:v>0.15359</c:v>
                </c:pt>
                <c:pt idx="28">
                  <c:v>0.159</c:v>
                </c:pt>
                <c:pt idx="29">
                  <c:v>0.16433</c:v>
                </c:pt>
                <c:pt idx="30">
                  <c:v>0.16880000000000001</c:v>
                </c:pt>
                <c:pt idx="31">
                  <c:v>0.17166000000000001</c:v>
                </c:pt>
                <c:pt idx="32">
                  <c:v>0.17280000000000001</c:v>
                </c:pt>
                <c:pt idx="33">
                  <c:v>0.17246</c:v>
                </c:pt>
                <c:pt idx="34">
                  <c:v>0.1716</c:v>
                </c:pt>
                <c:pt idx="35">
                  <c:v>0.17132</c:v>
                </c:pt>
                <c:pt idx="36">
                  <c:v>0.17249999999999999</c:v>
                </c:pt>
                <c:pt idx="37">
                  <c:v>0.17559</c:v>
                </c:pt>
                <c:pt idx="38">
                  <c:v>0.17960000000000001</c:v>
                </c:pt>
                <c:pt idx="39">
                  <c:v>0.18329000000000001</c:v>
                </c:pt>
                <c:pt idx="40">
                  <c:v>0.18579999999999999</c:v>
                </c:pt>
                <c:pt idx="41">
                  <c:v>0.18684999999999999</c:v>
                </c:pt>
                <c:pt idx="42">
                  <c:v>0.18809999999999999</c:v>
                </c:pt>
                <c:pt idx="43">
                  <c:v>0.19170000000000001</c:v>
                </c:pt>
                <c:pt idx="44">
                  <c:v>0.19989999999999999</c:v>
                </c:pt>
                <c:pt idx="45">
                  <c:v>0.21409</c:v>
                </c:pt>
                <c:pt idx="46">
                  <c:v>0.23219999999999999</c:v>
                </c:pt>
                <c:pt idx="47">
                  <c:v>0.25140000000000001</c:v>
                </c:pt>
                <c:pt idx="48">
                  <c:v>0.26939999999999997</c:v>
                </c:pt>
                <c:pt idx="49">
                  <c:v>0.28449999999999998</c:v>
                </c:pt>
                <c:pt idx="50">
                  <c:v>0.2969</c:v>
                </c:pt>
                <c:pt idx="51">
                  <c:v>0.30719999999999997</c:v>
                </c:pt>
                <c:pt idx="52">
                  <c:v>0.31569999999999998</c:v>
                </c:pt>
                <c:pt idx="53">
                  <c:v>0.32272000000000001</c:v>
                </c:pt>
                <c:pt idx="54">
                  <c:v>0.32890000000000003</c:v>
                </c:pt>
                <c:pt idx="55">
                  <c:v>0.33485999999999999</c:v>
                </c:pt>
                <c:pt idx="56">
                  <c:v>0.34079999999999999</c:v>
                </c:pt>
                <c:pt idx="57">
                  <c:v>0.34673999999999999</c:v>
                </c:pt>
                <c:pt idx="58">
                  <c:v>0.35239999999999999</c:v>
                </c:pt>
                <c:pt idx="59">
                  <c:v>0.35758000000000001</c:v>
                </c:pt>
                <c:pt idx="60">
                  <c:v>0.36259999999999998</c:v>
                </c:pt>
                <c:pt idx="61">
                  <c:v>0.36782999999999999</c:v>
                </c:pt>
                <c:pt idx="62">
                  <c:v>0.37319999999999998</c:v>
                </c:pt>
                <c:pt idx="63">
                  <c:v>0.37852999999999998</c:v>
                </c:pt>
                <c:pt idx="64">
                  <c:v>0.3836</c:v>
                </c:pt>
                <c:pt idx="65">
                  <c:v>0.38829000000000002</c:v>
                </c:pt>
                <c:pt idx="66">
                  <c:v>0.39300000000000002</c:v>
                </c:pt>
                <c:pt idx="67">
                  <c:v>0.39783000000000002</c:v>
                </c:pt>
                <c:pt idx="68">
                  <c:v>0.4012</c:v>
                </c:pt>
                <c:pt idx="69">
                  <c:v>0.40448000000000001</c:v>
                </c:pt>
                <c:pt idx="70">
                  <c:v>0.40765000000000001</c:v>
                </c:pt>
                <c:pt idx="71">
                  <c:v>0.41083999999999998</c:v>
                </c:pt>
                <c:pt idx="72">
                  <c:v>0.41403000000000001</c:v>
                </c:pt>
                <c:pt idx="73">
                  <c:v>0.41722999999999999</c:v>
                </c:pt>
                <c:pt idx="74">
                  <c:v>0.42043000000000003</c:v>
                </c:pt>
                <c:pt idx="75">
                  <c:v>0.42364000000000002</c:v>
                </c:pt>
                <c:pt idx="76">
                  <c:v>0.42686000000000002</c:v>
                </c:pt>
                <c:pt idx="77">
                  <c:v>0.43008000000000002</c:v>
                </c:pt>
                <c:pt idx="78">
                  <c:v>0.43331999999999998</c:v>
                </c:pt>
                <c:pt idx="79">
                  <c:v>0.43654999999999999</c:v>
                </c:pt>
                <c:pt idx="80">
                  <c:v>0.43979000000000001</c:v>
                </c:pt>
                <c:pt idx="81">
                  <c:v>0.44303999999999999</c:v>
                </c:pt>
                <c:pt idx="82">
                  <c:v>0.44629000000000002</c:v>
                </c:pt>
                <c:pt idx="83">
                  <c:v>0.44955000000000001</c:v>
                </c:pt>
                <c:pt idx="84">
                  <c:v>0.45280999999999999</c:v>
                </c:pt>
                <c:pt idx="85">
                  <c:v>0.45280999999999999</c:v>
                </c:pt>
                <c:pt idx="86">
                  <c:v>0.45280999999999999</c:v>
                </c:pt>
                <c:pt idx="87">
                  <c:v>0.45280999999999999</c:v>
                </c:pt>
                <c:pt idx="88">
                  <c:v>0.45280999999999999</c:v>
                </c:pt>
                <c:pt idx="89">
                  <c:v>0.45280999999999999</c:v>
                </c:pt>
                <c:pt idx="90">
                  <c:v>0.45280999999999999</c:v>
                </c:pt>
                <c:pt idx="91">
                  <c:v>0.45280999999999999</c:v>
                </c:pt>
                <c:pt idx="92">
                  <c:v>0.45280999999999999</c:v>
                </c:pt>
                <c:pt idx="93">
                  <c:v>0.45280999999999999</c:v>
                </c:pt>
                <c:pt idx="94">
                  <c:v>0.45280999999999999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1-3FE4-445B-8EEB-D88489EA6296}"/>
            </c:ext>
          </c:extLst>
        </c:ser>
        <c:ser>
          <c:idx val="19"/>
          <c:order val="1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'99set'!$U$10:$U$104</c:f>
              <c:numCache>
                <c:formatCode>0.0000</c:formatCode>
                <c:ptCount val="95"/>
                <c:pt idx="0">
                  <c:v>0.10927000000000001</c:v>
                </c:pt>
                <c:pt idx="1">
                  <c:v>0.10927000000000001</c:v>
                </c:pt>
                <c:pt idx="2">
                  <c:v>0.10927000000000001</c:v>
                </c:pt>
                <c:pt idx="3">
                  <c:v>0.10927000000000001</c:v>
                </c:pt>
                <c:pt idx="4">
                  <c:v>0.10927000000000001</c:v>
                </c:pt>
                <c:pt idx="5">
                  <c:v>0.1119</c:v>
                </c:pt>
                <c:pt idx="6">
                  <c:v>0.11458</c:v>
                </c:pt>
                <c:pt idx="7">
                  <c:v>0.11733</c:v>
                </c:pt>
                <c:pt idx="8">
                  <c:v>0.1202</c:v>
                </c:pt>
                <c:pt idx="9">
                  <c:v>0.12316000000000001</c:v>
                </c:pt>
                <c:pt idx="10">
                  <c:v>0.12590000000000001</c:v>
                </c:pt>
                <c:pt idx="11">
                  <c:v>0.12589</c:v>
                </c:pt>
                <c:pt idx="12">
                  <c:v>0.1245</c:v>
                </c:pt>
                <c:pt idx="13">
                  <c:v>0.12359000000000001</c:v>
                </c:pt>
                <c:pt idx="14">
                  <c:v>0.1232</c:v>
                </c:pt>
                <c:pt idx="15">
                  <c:v>0.12298000000000001</c:v>
                </c:pt>
                <c:pt idx="16">
                  <c:v>0.123</c:v>
                </c:pt>
                <c:pt idx="17">
                  <c:v>0.12334000000000001</c:v>
                </c:pt>
                <c:pt idx="18">
                  <c:v>0.12379999999999999</c:v>
                </c:pt>
                <c:pt idx="19">
                  <c:v>0.12417</c:v>
                </c:pt>
                <c:pt idx="20">
                  <c:v>0.1245</c:v>
                </c:pt>
                <c:pt idx="21">
                  <c:v>0.12484000000000001</c:v>
                </c:pt>
                <c:pt idx="22">
                  <c:v>0.12509999999999999</c:v>
                </c:pt>
                <c:pt idx="23">
                  <c:v>0.12518000000000001</c:v>
                </c:pt>
                <c:pt idx="24">
                  <c:v>0.12509999999999999</c:v>
                </c:pt>
                <c:pt idx="25">
                  <c:v>0.12501000000000001</c:v>
                </c:pt>
                <c:pt idx="26">
                  <c:v>0.12559999999999999</c:v>
                </c:pt>
                <c:pt idx="27">
                  <c:v>0.12801000000000001</c:v>
                </c:pt>
                <c:pt idx="28">
                  <c:v>0.1348</c:v>
                </c:pt>
                <c:pt idx="29">
                  <c:v>0.14804999999999999</c:v>
                </c:pt>
                <c:pt idx="30">
                  <c:v>0.16639999999999999</c:v>
                </c:pt>
                <c:pt idx="31">
                  <c:v>0.18711</c:v>
                </c:pt>
                <c:pt idx="32">
                  <c:v>0.20519999999999999</c:v>
                </c:pt>
                <c:pt idx="33">
                  <c:v>0.21662000000000001</c:v>
                </c:pt>
                <c:pt idx="34">
                  <c:v>0.2233</c:v>
                </c:pt>
                <c:pt idx="35">
                  <c:v>0.22905</c:v>
                </c:pt>
                <c:pt idx="36">
                  <c:v>0.23930000000000001</c:v>
                </c:pt>
                <c:pt idx="37">
                  <c:v>0.25935999999999998</c:v>
                </c:pt>
                <c:pt idx="38">
                  <c:v>0.29249999999999998</c:v>
                </c:pt>
                <c:pt idx="39">
                  <c:v>0.33928000000000003</c:v>
                </c:pt>
                <c:pt idx="40">
                  <c:v>0.39140000000000003</c:v>
                </c:pt>
                <c:pt idx="41">
                  <c:v>0.43924999999999997</c:v>
                </c:pt>
                <c:pt idx="42">
                  <c:v>0.47689999999999999</c:v>
                </c:pt>
                <c:pt idx="43">
                  <c:v>0.50097000000000003</c:v>
                </c:pt>
                <c:pt idx="44">
                  <c:v>0.51459999999999995</c:v>
                </c:pt>
                <c:pt idx="45">
                  <c:v>0.52210000000000001</c:v>
                </c:pt>
                <c:pt idx="46">
                  <c:v>0.52600000000000002</c:v>
                </c:pt>
                <c:pt idx="47">
                  <c:v>0.52810000000000001</c:v>
                </c:pt>
                <c:pt idx="48">
                  <c:v>0.52900000000000003</c:v>
                </c:pt>
                <c:pt idx="49">
                  <c:v>0.52902000000000005</c:v>
                </c:pt>
                <c:pt idx="50">
                  <c:v>0.52859999999999996</c:v>
                </c:pt>
                <c:pt idx="51">
                  <c:v>0.52810000000000001</c:v>
                </c:pt>
                <c:pt idx="52">
                  <c:v>0.52749999999999997</c:v>
                </c:pt>
                <c:pt idx="53">
                  <c:v>0.52676000000000001</c:v>
                </c:pt>
                <c:pt idx="54">
                  <c:v>0.52600000000000002</c:v>
                </c:pt>
                <c:pt idx="55">
                  <c:v>0.52534000000000003</c:v>
                </c:pt>
                <c:pt idx="56">
                  <c:v>0.52459999999999996</c:v>
                </c:pt>
                <c:pt idx="57">
                  <c:v>0.52361000000000002</c:v>
                </c:pt>
                <c:pt idx="58">
                  <c:v>0.52259999999999995</c:v>
                </c:pt>
                <c:pt idx="59">
                  <c:v>0.52181</c:v>
                </c:pt>
                <c:pt idx="60">
                  <c:v>0.52110000000000001</c:v>
                </c:pt>
                <c:pt idx="61">
                  <c:v>0.52029000000000003</c:v>
                </c:pt>
                <c:pt idx="62">
                  <c:v>0.51949999999999996</c:v>
                </c:pt>
                <c:pt idx="63">
                  <c:v>0.51887000000000005</c:v>
                </c:pt>
                <c:pt idx="64">
                  <c:v>0.51819999999999999</c:v>
                </c:pt>
                <c:pt idx="65">
                  <c:v>0.51729000000000003</c:v>
                </c:pt>
                <c:pt idx="66">
                  <c:v>0.51619999999999999</c:v>
                </c:pt>
                <c:pt idx="67">
                  <c:v>0.51512000000000002</c:v>
                </c:pt>
                <c:pt idx="68">
                  <c:v>0.51439999999999997</c:v>
                </c:pt>
                <c:pt idx="69">
                  <c:v>0.51370000000000005</c:v>
                </c:pt>
                <c:pt idx="70">
                  <c:v>0.51302999999999999</c:v>
                </c:pt>
                <c:pt idx="71">
                  <c:v>0.51234999999999997</c:v>
                </c:pt>
                <c:pt idx="72">
                  <c:v>0.51168000000000002</c:v>
                </c:pt>
                <c:pt idx="73">
                  <c:v>0.51100000000000001</c:v>
                </c:pt>
                <c:pt idx="74">
                  <c:v>0.51032999999999995</c:v>
                </c:pt>
                <c:pt idx="75">
                  <c:v>0.50965000000000005</c:v>
                </c:pt>
                <c:pt idx="76">
                  <c:v>0.50897000000000003</c:v>
                </c:pt>
                <c:pt idx="77">
                  <c:v>0.50829999999999997</c:v>
                </c:pt>
                <c:pt idx="78">
                  <c:v>0.50761999999999996</c:v>
                </c:pt>
                <c:pt idx="79">
                  <c:v>0.50695000000000001</c:v>
                </c:pt>
                <c:pt idx="80">
                  <c:v>0.50627</c:v>
                </c:pt>
                <c:pt idx="81">
                  <c:v>0.50560000000000005</c:v>
                </c:pt>
                <c:pt idx="82">
                  <c:v>0.50492000000000004</c:v>
                </c:pt>
                <c:pt idx="83">
                  <c:v>0.50424999999999998</c:v>
                </c:pt>
                <c:pt idx="84">
                  <c:v>0.50356999999999996</c:v>
                </c:pt>
                <c:pt idx="85">
                  <c:v>0.50356999999999996</c:v>
                </c:pt>
                <c:pt idx="86">
                  <c:v>0.50356999999999996</c:v>
                </c:pt>
                <c:pt idx="87">
                  <c:v>0.50356999999999996</c:v>
                </c:pt>
                <c:pt idx="88">
                  <c:v>0.50356999999999996</c:v>
                </c:pt>
                <c:pt idx="89">
                  <c:v>0.50356999999999996</c:v>
                </c:pt>
                <c:pt idx="90">
                  <c:v>0.50356999999999996</c:v>
                </c:pt>
                <c:pt idx="91">
                  <c:v>0.50356999999999996</c:v>
                </c:pt>
                <c:pt idx="92">
                  <c:v>0.50356999999999996</c:v>
                </c:pt>
                <c:pt idx="93">
                  <c:v>0.50356999999999996</c:v>
                </c:pt>
                <c:pt idx="94">
                  <c:v>0.50356999999999996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2-3FE4-445B-8EEB-D88489EA6296}"/>
            </c:ext>
          </c:extLst>
        </c:ser>
        <c:ser>
          <c:idx val="20"/>
          <c:order val="1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'99set'!$V$10:$V$104</c:f>
              <c:numCache>
                <c:formatCode>0.0000</c:formatCode>
                <c:ptCount val="95"/>
                <c:pt idx="0">
                  <c:v>2.5086000000000001E-2</c:v>
                </c:pt>
                <c:pt idx="1">
                  <c:v>2.5086000000000001E-2</c:v>
                </c:pt>
                <c:pt idx="2">
                  <c:v>2.5086000000000001E-2</c:v>
                </c:pt>
                <c:pt idx="3">
                  <c:v>2.5086000000000001E-2</c:v>
                </c:pt>
                <c:pt idx="4">
                  <c:v>2.5086000000000001E-2</c:v>
                </c:pt>
                <c:pt idx="5">
                  <c:v>2.7008999999999998E-2</c:v>
                </c:pt>
                <c:pt idx="6">
                  <c:v>2.9075E-2</c:v>
                </c:pt>
                <c:pt idx="7">
                  <c:v>3.1294000000000002E-2</c:v>
                </c:pt>
                <c:pt idx="8">
                  <c:v>3.1970999999999999E-2</c:v>
                </c:pt>
                <c:pt idx="9">
                  <c:v>3.7141E-2</c:v>
                </c:pt>
                <c:pt idx="10">
                  <c:v>3.9516999999999997E-2</c:v>
                </c:pt>
                <c:pt idx="11">
                  <c:v>3.9163999999999997E-2</c:v>
                </c:pt>
                <c:pt idx="12">
                  <c:v>3.6142000000000001E-2</c:v>
                </c:pt>
                <c:pt idx="13">
                  <c:v>3.0935000000000001E-2</c:v>
                </c:pt>
                <c:pt idx="14">
                  <c:v>2.5715999999999999E-2</c:v>
                </c:pt>
                <c:pt idx="15">
                  <c:v>2.2419999999999999E-2</c:v>
                </c:pt>
                <c:pt idx="16">
                  <c:v>2.0354000000000001E-2</c:v>
                </c:pt>
                <c:pt idx="17">
                  <c:v>1.8589999999999999E-2</c:v>
                </c:pt>
                <c:pt idx="18">
                  <c:v>1.7871999999999999E-2</c:v>
                </c:pt>
                <c:pt idx="19">
                  <c:v>1.9425999999999999E-2</c:v>
                </c:pt>
                <c:pt idx="20">
                  <c:v>2.4722999999999998E-2</c:v>
                </c:pt>
                <c:pt idx="21">
                  <c:v>3.5774E-2</c:v>
                </c:pt>
                <c:pt idx="22">
                  <c:v>5.6495999999999998E-2</c:v>
                </c:pt>
                <c:pt idx="23">
                  <c:v>8.9960999999999999E-2</c:v>
                </c:pt>
                <c:pt idx="24">
                  <c:v>0.13394</c:v>
                </c:pt>
                <c:pt idx="25">
                  <c:v>0.18287999999999999</c:v>
                </c:pt>
                <c:pt idx="26">
                  <c:v>0.22320000000000001</c:v>
                </c:pt>
                <c:pt idx="27">
                  <c:v>0.2432</c:v>
                </c:pt>
                <c:pt idx="28">
                  <c:v>0.24664</c:v>
                </c:pt>
                <c:pt idx="29">
                  <c:v>0.2407</c:v>
                </c:pt>
                <c:pt idx="30">
                  <c:v>0.23085</c:v>
                </c:pt>
                <c:pt idx="31">
                  <c:v>0.22122</c:v>
                </c:pt>
                <c:pt idx="32">
                  <c:v>0.21248</c:v>
                </c:pt>
                <c:pt idx="33">
                  <c:v>0.20455000000000001</c:v>
                </c:pt>
                <c:pt idx="34">
                  <c:v>0.19769</c:v>
                </c:pt>
                <c:pt idx="35">
                  <c:v>0.19234000000000001</c:v>
                </c:pt>
                <c:pt idx="36">
                  <c:v>0.18925</c:v>
                </c:pt>
                <c:pt idx="37">
                  <c:v>0.18912999999999999</c:v>
                </c:pt>
                <c:pt idx="38">
                  <c:v>0.19252</c:v>
                </c:pt>
                <c:pt idx="39">
                  <c:v>0.19974</c:v>
                </c:pt>
                <c:pt idx="40">
                  <c:v>0.21059</c:v>
                </c:pt>
                <c:pt idx="41">
                  <c:v>0.22470000000000001</c:v>
                </c:pt>
                <c:pt idx="42">
                  <c:v>0.24146999999999999</c:v>
                </c:pt>
                <c:pt idx="43">
                  <c:v>0.26062000000000002</c:v>
                </c:pt>
                <c:pt idx="44">
                  <c:v>0.28316999999999998</c:v>
                </c:pt>
                <c:pt idx="45">
                  <c:v>0.31075000000000003</c:v>
                </c:pt>
                <c:pt idx="46">
                  <c:v>0.34583000000000003</c:v>
                </c:pt>
                <c:pt idx="47">
                  <c:v>0.39045000000000002</c:v>
                </c:pt>
                <c:pt idx="48">
                  <c:v>0.44412000000000001</c:v>
                </c:pt>
                <c:pt idx="49">
                  <c:v>0.50458000000000003</c:v>
                </c:pt>
                <c:pt idx="50">
                  <c:v>0.56506000000000001</c:v>
                </c:pt>
                <c:pt idx="51">
                  <c:v>0.61851999999999996</c:v>
                </c:pt>
                <c:pt idx="52">
                  <c:v>0.66127000000000002</c:v>
                </c:pt>
                <c:pt idx="53">
                  <c:v>0.69166000000000005</c:v>
                </c:pt>
                <c:pt idx="54">
                  <c:v>0.7127</c:v>
                </c:pt>
                <c:pt idx="55">
                  <c:v>0.72818000000000005</c:v>
                </c:pt>
                <c:pt idx="56">
                  <c:v>0.74021000000000003</c:v>
                </c:pt>
                <c:pt idx="57">
                  <c:v>0.75034999999999996</c:v>
                </c:pt>
                <c:pt idx="58">
                  <c:v>0.75976999999999995</c:v>
                </c:pt>
                <c:pt idx="59">
                  <c:v>0.76939000000000002</c:v>
                </c:pt>
                <c:pt idx="60">
                  <c:v>0.77971999999999997</c:v>
                </c:pt>
                <c:pt idx="61">
                  <c:v>0.79098000000000002</c:v>
                </c:pt>
                <c:pt idx="62">
                  <c:v>0.80256000000000005</c:v>
                </c:pt>
                <c:pt idx="63">
                  <c:v>0.81379000000000001</c:v>
                </c:pt>
                <c:pt idx="64">
                  <c:v>0.82440000000000002</c:v>
                </c:pt>
                <c:pt idx="65">
                  <c:v>0.83423000000000003</c:v>
                </c:pt>
                <c:pt idx="66">
                  <c:v>0.84297</c:v>
                </c:pt>
                <c:pt idx="67">
                  <c:v>0.85029999999999994</c:v>
                </c:pt>
                <c:pt idx="68">
                  <c:v>0.85587999999999997</c:v>
                </c:pt>
                <c:pt idx="69">
                  <c:v>0.86331000000000002</c:v>
                </c:pt>
                <c:pt idx="70">
                  <c:v>0.86963999999999997</c:v>
                </c:pt>
                <c:pt idx="71">
                  <c:v>0.87572000000000005</c:v>
                </c:pt>
                <c:pt idx="72">
                  <c:v>0.88156000000000001</c:v>
                </c:pt>
                <c:pt idx="73">
                  <c:v>0.88714999999999999</c:v>
                </c:pt>
                <c:pt idx="74">
                  <c:v>0.89251999999999998</c:v>
                </c:pt>
                <c:pt idx="75">
                  <c:v>0.89764999999999995</c:v>
                </c:pt>
                <c:pt idx="76">
                  <c:v>0.90256999999999998</c:v>
                </c:pt>
                <c:pt idx="77">
                  <c:v>0.90727999999999998</c:v>
                </c:pt>
                <c:pt idx="78">
                  <c:v>0.91178000000000003</c:v>
                </c:pt>
                <c:pt idx="79">
                  <c:v>0.91608999999999996</c:v>
                </c:pt>
                <c:pt idx="80">
                  <c:v>0.92020000000000002</c:v>
                </c:pt>
                <c:pt idx="81">
                  <c:v>0.92413000000000001</c:v>
                </c:pt>
                <c:pt idx="82">
                  <c:v>0.92788000000000004</c:v>
                </c:pt>
                <c:pt idx="83">
                  <c:v>0.93145999999999995</c:v>
                </c:pt>
                <c:pt idx="84">
                  <c:v>0.93486999999999998</c:v>
                </c:pt>
                <c:pt idx="85">
                  <c:v>0.93486999999999998</c:v>
                </c:pt>
                <c:pt idx="86">
                  <c:v>0.93486999999999998</c:v>
                </c:pt>
                <c:pt idx="87">
                  <c:v>0.93486999999999998</c:v>
                </c:pt>
                <c:pt idx="88">
                  <c:v>0.93486999999999998</c:v>
                </c:pt>
                <c:pt idx="89">
                  <c:v>0.93486999999999998</c:v>
                </c:pt>
                <c:pt idx="90">
                  <c:v>0.93486999999999998</c:v>
                </c:pt>
                <c:pt idx="91">
                  <c:v>0.93486999999999998</c:v>
                </c:pt>
                <c:pt idx="92">
                  <c:v>0.93486999999999998</c:v>
                </c:pt>
                <c:pt idx="93">
                  <c:v>0.93486999999999998</c:v>
                </c:pt>
                <c:pt idx="94">
                  <c:v>0.93486999999999998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3-3FE4-445B-8EEB-D88489EA6296}"/>
            </c:ext>
          </c:extLst>
        </c:ser>
        <c:ser>
          <c:idx val="21"/>
          <c:order val="2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'99set'!$W$10:$W$104</c:f>
              <c:numCache>
                <c:formatCode>0.0000</c:formatCode>
                <c:ptCount val="95"/>
                <c:pt idx="0">
                  <c:v>0.12356</c:v>
                </c:pt>
                <c:pt idx="1">
                  <c:v>0.12356</c:v>
                </c:pt>
                <c:pt idx="2">
                  <c:v>0.12356</c:v>
                </c:pt>
                <c:pt idx="3">
                  <c:v>0.12356</c:v>
                </c:pt>
                <c:pt idx="4">
                  <c:v>0.12356</c:v>
                </c:pt>
                <c:pt idx="5">
                  <c:v>0.13070999999999999</c:v>
                </c:pt>
                <c:pt idx="6">
                  <c:v>0.13822000000000001</c:v>
                </c:pt>
                <c:pt idx="7">
                  <c:v>0.14607999999999999</c:v>
                </c:pt>
                <c:pt idx="8">
                  <c:v>0.14874000000000001</c:v>
                </c:pt>
                <c:pt idx="9">
                  <c:v>0.16578000000000001</c:v>
                </c:pt>
                <c:pt idx="10">
                  <c:v>0.17316000000000001</c:v>
                </c:pt>
                <c:pt idx="11">
                  <c:v>0.17444000000000001</c:v>
                </c:pt>
                <c:pt idx="12">
                  <c:v>0.17316000000000001</c:v>
                </c:pt>
                <c:pt idx="13">
                  <c:v>0.17219999999999999</c:v>
                </c:pt>
                <c:pt idx="14">
                  <c:v>0.17166999999999999</c:v>
                </c:pt>
                <c:pt idx="15">
                  <c:v>0.17113999999999999</c:v>
                </c:pt>
                <c:pt idx="16">
                  <c:v>0.17068</c:v>
                </c:pt>
                <c:pt idx="17">
                  <c:v>0.17047000000000001</c:v>
                </c:pt>
                <c:pt idx="18">
                  <c:v>0.17068</c:v>
                </c:pt>
                <c:pt idx="19">
                  <c:v>0.17150000000000001</c:v>
                </c:pt>
                <c:pt idx="20">
                  <c:v>0.17316000000000001</c:v>
                </c:pt>
                <c:pt idx="21">
                  <c:v>0.17585999999999999</c:v>
                </c:pt>
                <c:pt idx="22">
                  <c:v>0.17962</c:v>
                </c:pt>
                <c:pt idx="23">
                  <c:v>0.18429999999999999</c:v>
                </c:pt>
                <c:pt idx="24">
                  <c:v>0.18934999999999999</c:v>
                </c:pt>
                <c:pt idx="25">
                  <c:v>0.19425000000000001</c:v>
                </c:pt>
                <c:pt idx="26">
                  <c:v>0.19927</c:v>
                </c:pt>
                <c:pt idx="27">
                  <c:v>0.20499000000000001</c:v>
                </c:pt>
                <c:pt idx="28">
                  <c:v>0.21238000000000001</c:v>
                </c:pt>
                <c:pt idx="29">
                  <c:v>0.22278000000000001</c:v>
                </c:pt>
                <c:pt idx="30">
                  <c:v>0.23849000000000001</c:v>
                </c:pt>
                <c:pt idx="31">
                  <c:v>0.26173999999999997</c:v>
                </c:pt>
                <c:pt idx="32">
                  <c:v>0.29339999999999999</c:v>
                </c:pt>
                <c:pt idx="33">
                  <c:v>0.33352999999999999</c:v>
                </c:pt>
                <c:pt idx="34">
                  <c:v>0.38028000000000001</c:v>
                </c:pt>
                <c:pt idx="35">
                  <c:v>0.43125999999999998</c:v>
                </c:pt>
                <c:pt idx="36">
                  <c:v>0.48393999999999998</c:v>
                </c:pt>
                <c:pt idx="37">
                  <c:v>0.53576999999999997</c:v>
                </c:pt>
                <c:pt idx="38">
                  <c:v>0.58431999999999995</c:v>
                </c:pt>
                <c:pt idx="39">
                  <c:v>0.62790999999999997</c:v>
                </c:pt>
                <c:pt idx="40">
                  <c:v>0.66762999999999995</c:v>
                </c:pt>
                <c:pt idx="41">
                  <c:v>0.70476000000000005</c:v>
                </c:pt>
                <c:pt idx="42">
                  <c:v>0.73851999999999995</c:v>
                </c:pt>
                <c:pt idx="43">
                  <c:v>0.76792000000000005</c:v>
                </c:pt>
                <c:pt idx="44">
                  <c:v>0.79342999999999997</c:v>
                </c:pt>
                <c:pt idx="45">
                  <c:v>0.81552999999999998</c:v>
                </c:pt>
                <c:pt idx="46">
                  <c:v>0.83333999999999997</c:v>
                </c:pt>
                <c:pt idx="47">
                  <c:v>0.84628000000000003</c:v>
                </c:pt>
                <c:pt idx="48">
                  <c:v>0.85638000000000003</c:v>
                </c:pt>
                <c:pt idx="49">
                  <c:v>0.86565000000000003</c:v>
                </c:pt>
                <c:pt idx="50">
                  <c:v>0.87355000000000005</c:v>
                </c:pt>
                <c:pt idx="51">
                  <c:v>0.87931999999999999</c:v>
                </c:pt>
                <c:pt idx="52">
                  <c:v>0.88378000000000001</c:v>
                </c:pt>
                <c:pt idx="53">
                  <c:v>0.88788999999999996</c:v>
                </c:pt>
                <c:pt idx="54">
                  <c:v>0.89151999999999998</c:v>
                </c:pt>
                <c:pt idx="55">
                  <c:v>0.89441999999999999</c:v>
                </c:pt>
                <c:pt idx="56">
                  <c:v>0.89688999999999997</c:v>
                </c:pt>
                <c:pt idx="57">
                  <c:v>0.89927999999999997</c:v>
                </c:pt>
                <c:pt idx="58">
                  <c:v>0.90144999999999997</c:v>
                </c:pt>
                <c:pt idx="59">
                  <c:v>0.90319000000000005</c:v>
                </c:pt>
                <c:pt idx="60">
                  <c:v>0.90442999999999996</c:v>
                </c:pt>
                <c:pt idx="61">
                  <c:v>0.90520999999999996</c:v>
                </c:pt>
                <c:pt idx="62">
                  <c:v>0.90571999999999997</c:v>
                </c:pt>
                <c:pt idx="63">
                  <c:v>0.90617000000000003</c:v>
                </c:pt>
                <c:pt idx="64">
                  <c:v>0.90671999999999997</c:v>
                </c:pt>
                <c:pt idx="65">
                  <c:v>0.90744999999999998</c:v>
                </c:pt>
                <c:pt idx="66">
                  <c:v>0.9083</c:v>
                </c:pt>
                <c:pt idx="67">
                  <c:v>0.90915999999999997</c:v>
                </c:pt>
                <c:pt idx="68">
                  <c:v>0.90988999999999998</c:v>
                </c:pt>
                <c:pt idx="69">
                  <c:v>0.91076000000000001</c:v>
                </c:pt>
                <c:pt idx="70">
                  <c:v>0.91156999999999999</c:v>
                </c:pt>
                <c:pt idx="71">
                  <c:v>0.91237000000000001</c:v>
                </c:pt>
                <c:pt idx="72">
                  <c:v>0.91315999999999997</c:v>
                </c:pt>
                <c:pt idx="73">
                  <c:v>0.91393999999999997</c:v>
                </c:pt>
                <c:pt idx="74">
                  <c:v>0.91471999999999998</c:v>
                </c:pt>
                <c:pt idx="75">
                  <c:v>0.91549999999999998</c:v>
                </c:pt>
                <c:pt idx="76">
                  <c:v>0.91625999999999996</c:v>
                </c:pt>
                <c:pt idx="77">
                  <c:v>0.91703000000000001</c:v>
                </c:pt>
                <c:pt idx="78">
                  <c:v>0.91778000000000004</c:v>
                </c:pt>
                <c:pt idx="79">
                  <c:v>0.91852999999999996</c:v>
                </c:pt>
                <c:pt idx="80">
                  <c:v>0.91927000000000003</c:v>
                </c:pt>
                <c:pt idx="81">
                  <c:v>0.92000999999999999</c:v>
                </c:pt>
                <c:pt idx="82">
                  <c:v>0.92074</c:v>
                </c:pt>
                <c:pt idx="83">
                  <c:v>0.92145999999999995</c:v>
                </c:pt>
                <c:pt idx="84">
                  <c:v>0.92218</c:v>
                </c:pt>
                <c:pt idx="85">
                  <c:v>0.92218</c:v>
                </c:pt>
                <c:pt idx="86">
                  <c:v>0.92218</c:v>
                </c:pt>
                <c:pt idx="87">
                  <c:v>0.92218</c:v>
                </c:pt>
                <c:pt idx="88">
                  <c:v>0.92218</c:v>
                </c:pt>
                <c:pt idx="89">
                  <c:v>0.92218</c:v>
                </c:pt>
                <c:pt idx="90">
                  <c:v>0.92218</c:v>
                </c:pt>
                <c:pt idx="91">
                  <c:v>0.92218</c:v>
                </c:pt>
                <c:pt idx="92">
                  <c:v>0.92218</c:v>
                </c:pt>
                <c:pt idx="93">
                  <c:v>0.92218</c:v>
                </c:pt>
                <c:pt idx="94">
                  <c:v>0.92218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4-3FE4-445B-8EEB-D88489EA6296}"/>
            </c:ext>
          </c:extLst>
        </c:ser>
        <c:ser>
          <c:idx val="22"/>
          <c:order val="2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'99set'!$X$10:$X$104</c:f>
              <c:numCache>
                <c:formatCode>0.0000</c:formatCode>
                <c:ptCount val="95"/>
                <c:pt idx="0">
                  <c:v>1.2300000000000001E-4</c:v>
                </c:pt>
                <c:pt idx="1">
                  <c:v>1.2300000000000001E-4</c:v>
                </c:pt>
                <c:pt idx="2">
                  <c:v>1.2300000000000001E-4</c:v>
                </c:pt>
                <c:pt idx="3">
                  <c:v>1.2300000000000001E-4</c:v>
                </c:pt>
                <c:pt idx="4">
                  <c:v>1.2300000000000001E-4</c:v>
                </c:pt>
                <c:pt idx="5">
                  <c:v>1.0614999999999999E-2</c:v>
                </c:pt>
                <c:pt idx="6">
                  <c:v>2.0844000000000001E-2</c:v>
                </c:pt>
                <c:pt idx="7">
                  <c:v>3.1073E-2</c:v>
                </c:pt>
                <c:pt idx="8">
                  <c:v>4.1564999999999998E-2</c:v>
                </c:pt>
                <c:pt idx="9">
                  <c:v>5.2319999999999998E-2</c:v>
                </c:pt>
                <c:pt idx="10">
                  <c:v>6.2286000000000001E-2</c:v>
                </c:pt>
                <c:pt idx="11">
                  <c:v>7.0334999999999995E-2</c:v>
                </c:pt>
                <c:pt idx="12">
                  <c:v>7.6073000000000002E-2</c:v>
                </c:pt>
                <c:pt idx="13">
                  <c:v>7.9611000000000001E-2</c:v>
                </c:pt>
                <c:pt idx="14">
                  <c:v>8.2333000000000003E-2</c:v>
                </c:pt>
                <c:pt idx="15">
                  <c:v>8.5643999999999998E-2</c:v>
                </c:pt>
                <c:pt idx="16">
                  <c:v>8.9755000000000001E-2</c:v>
                </c:pt>
                <c:pt idx="17">
                  <c:v>9.4558000000000003E-2</c:v>
                </c:pt>
                <c:pt idx="18">
                  <c:v>9.9863999999999994E-2</c:v>
                </c:pt>
                <c:pt idx="19">
                  <c:v>0.10553999999999999</c:v>
                </c:pt>
                <c:pt idx="20">
                  <c:v>0.11176999999999999</c:v>
                </c:pt>
                <c:pt idx="21">
                  <c:v>0.11877</c:v>
                </c:pt>
                <c:pt idx="22">
                  <c:v>0.12662000000000001</c:v>
                </c:pt>
                <c:pt idx="23">
                  <c:v>0.13528999999999999</c:v>
                </c:pt>
                <c:pt idx="24">
                  <c:v>0.1444</c:v>
                </c:pt>
                <c:pt idx="25">
                  <c:v>0.15365000000000001</c:v>
                </c:pt>
                <c:pt idx="26">
                  <c:v>0.16336999999999999</c:v>
                </c:pt>
                <c:pt idx="27">
                  <c:v>0.17397000000000001</c:v>
                </c:pt>
                <c:pt idx="28">
                  <c:v>0.18568999999999999</c:v>
                </c:pt>
                <c:pt idx="29">
                  <c:v>0.19875999999999999</c:v>
                </c:pt>
                <c:pt idx="30">
                  <c:v>0.21356</c:v>
                </c:pt>
                <c:pt idx="31">
                  <c:v>0.23039000000000001</c:v>
                </c:pt>
                <c:pt idx="32">
                  <c:v>0.24906</c:v>
                </c:pt>
                <c:pt idx="33">
                  <c:v>0.26934999999999998</c:v>
                </c:pt>
                <c:pt idx="34">
                  <c:v>0.29154000000000002</c:v>
                </c:pt>
                <c:pt idx="35">
                  <c:v>0.31594</c:v>
                </c:pt>
                <c:pt idx="36">
                  <c:v>0.34258</c:v>
                </c:pt>
                <c:pt idx="37">
                  <c:v>0.37130999999999997</c:v>
                </c:pt>
                <c:pt idx="38">
                  <c:v>0.40142</c:v>
                </c:pt>
                <c:pt idx="39">
                  <c:v>0.43235000000000001</c:v>
                </c:pt>
                <c:pt idx="40">
                  <c:v>0.46450000000000002</c:v>
                </c:pt>
                <c:pt idx="41">
                  <c:v>0.49808000000000002</c:v>
                </c:pt>
                <c:pt idx="42">
                  <c:v>0.53141000000000005</c:v>
                </c:pt>
                <c:pt idx="43">
                  <c:v>0.56281000000000003</c:v>
                </c:pt>
                <c:pt idx="44">
                  <c:v>0.59236</c:v>
                </c:pt>
                <c:pt idx="45">
                  <c:v>0.62034</c:v>
                </c:pt>
                <c:pt idx="46">
                  <c:v>0.6462</c:v>
                </c:pt>
                <c:pt idx="47">
                  <c:v>0.66927999999999999</c:v>
                </c:pt>
                <c:pt idx="48">
                  <c:v>0.68945000000000001</c:v>
                </c:pt>
                <c:pt idx="49">
                  <c:v>0.70682</c:v>
                </c:pt>
                <c:pt idx="50">
                  <c:v>0.72194000000000003</c:v>
                </c:pt>
                <c:pt idx="51">
                  <c:v>0.73531000000000002</c:v>
                </c:pt>
                <c:pt idx="52">
                  <c:v>0.74695</c:v>
                </c:pt>
                <c:pt idx="53">
                  <c:v>0.75688999999999995</c:v>
                </c:pt>
                <c:pt idx="54">
                  <c:v>0.76575000000000004</c:v>
                </c:pt>
                <c:pt idx="55">
                  <c:v>0.77407000000000004</c:v>
                </c:pt>
                <c:pt idx="56">
                  <c:v>0.78137000000000001</c:v>
                </c:pt>
                <c:pt idx="57">
                  <c:v>0.78720000000000001</c:v>
                </c:pt>
                <c:pt idx="58">
                  <c:v>0.79220999999999997</c:v>
                </c:pt>
                <c:pt idx="59">
                  <c:v>0.79722999999999999</c:v>
                </c:pt>
                <c:pt idx="60">
                  <c:v>0.80262</c:v>
                </c:pt>
                <c:pt idx="61">
                  <c:v>0.80842000000000003</c:v>
                </c:pt>
                <c:pt idx="62">
                  <c:v>0.81374999999999997</c:v>
                </c:pt>
                <c:pt idx="63">
                  <c:v>0.81784999999999997</c:v>
                </c:pt>
                <c:pt idx="64">
                  <c:v>0.82133</c:v>
                </c:pt>
                <c:pt idx="65">
                  <c:v>0.82494999999999996</c:v>
                </c:pt>
                <c:pt idx="66">
                  <c:v>0.82862000000000002</c:v>
                </c:pt>
                <c:pt idx="67">
                  <c:v>0.83218000000000003</c:v>
                </c:pt>
                <c:pt idx="68">
                  <c:v>0.83587</c:v>
                </c:pt>
                <c:pt idx="69">
                  <c:v>0.83979000000000004</c:v>
                </c:pt>
                <c:pt idx="70">
                  <c:v>0.84304999999999997</c:v>
                </c:pt>
                <c:pt idx="71">
                  <c:v>0.84486000000000006</c:v>
                </c:pt>
                <c:pt idx="72">
                  <c:v>0.84587999999999997</c:v>
                </c:pt>
                <c:pt idx="73">
                  <c:v>0.84711999999999998</c:v>
                </c:pt>
                <c:pt idx="74">
                  <c:v>0.84960000000000002</c:v>
                </c:pt>
                <c:pt idx="75">
                  <c:v>0.85043000000000002</c:v>
                </c:pt>
                <c:pt idx="76">
                  <c:v>0.85189999999999999</c:v>
                </c:pt>
                <c:pt idx="77">
                  <c:v>0.85335000000000005</c:v>
                </c:pt>
                <c:pt idx="78">
                  <c:v>0.8548</c:v>
                </c:pt>
                <c:pt idx="79">
                  <c:v>0.85624</c:v>
                </c:pt>
                <c:pt idx="80">
                  <c:v>0.85765999999999998</c:v>
                </c:pt>
                <c:pt idx="81">
                  <c:v>0.85907</c:v>
                </c:pt>
                <c:pt idx="82">
                  <c:v>0.86046999999999996</c:v>
                </c:pt>
                <c:pt idx="83">
                  <c:v>0.86185999999999996</c:v>
                </c:pt>
                <c:pt idx="84">
                  <c:v>0.86323000000000005</c:v>
                </c:pt>
                <c:pt idx="85">
                  <c:v>0.86323000000000005</c:v>
                </c:pt>
                <c:pt idx="86">
                  <c:v>0.86323000000000005</c:v>
                </c:pt>
                <c:pt idx="87">
                  <c:v>0.86323000000000005</c:v>
                </c:pt>
                <c:pt idx="88">
                  <c:v>0.86323000000000005</c:v>
                </c:pt>
                <c:pt idx="89">
                  <c:v>0.86323000000000005</c:v>
                </c:pt>
                <c:pt idx="90">
                  <c:v>0.86323000000000005</c:v>
                </c:pt>
                <c:pt idx="91">
                  <c:v>0.86323000000000005</c:v>
                </c:pt>
                <c:pt idx="92">
                  <c:v>0.86323000000000005</c:v>
                </c:pt>
                <c:pt idx="93">
                  <c:v>0.86323000000000005</c:v>
                </c:pt>
                <c:pt idx="94">
                  <c:v>0.86323000000000005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5-3FE4-445B-8EEB-D88489EA6296}"/>
            </c:ext>
          </c:extLst>
        </c:ser>
        <c:ser>
          <c:idx val="23"/>
          <c:order val="2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'99set'!$Y$10:$Y$104</c:f>
              <c:numCache>
                <c:formatCode>0.0000</c:formatCode>
                <c:ptCount val="95"/>
                <c:pt idx="0">
                  <c:v>0.37852999999999998</c:v>
                </c:pt>
                <c:pt idx="1">
                  <c:v>0.37852999999999998</c:v>
                </c:pt>
                <c:pt idx="2">
                  <c:v>0.37852999999999998</c:v>
                </c:pt>
                <c:pt idx="3">
                  <c:v>0.37852999999999998</c:v>
                </c:pt>
                <c:pt idx="4">
                  <c:v>0.37852999999999998</c:v>
                </c:pt>
                <c:pt idx="5">
                  <c:v>0.40061000000000002</c:v>
                </c:pt>
                <c:pt idx="6">
                  <c:v>0.41715999999999998</c:v>
                </c:pt>
                <c:pt idx="7">
                  <c:v>0.43081999999999998</c:v>
                </c:pt>
                <c:pt idx="8">
                  <c:v>0.44274000000000002</c:v>
                </c:pt>
                <c:pt idx="9">
                  <c:v>0.45363999999999999</c:v>
                </c:pt>
                <c:pt idx="10">
                  <c:v>0.46388000000000001</c:v>
                </c:pt>
                <c:pt idx="11">
                  <c:v>0.47366000000000003</c:v>
                </c:pt>
                <c:pt idx="12">
                  <c:v>0.48293999999999998</c:v>
                </c:pt>
                <c:pt idx="13">
                  <c:v>0.49170999999999998</c:v>
                </c:pt>
                <c:pt idx="14">
                  <c:v>0.50041000000000002</c:v>
                </c:pt>
                <c:pt idx="15">
                  <c:v>0.50936999999999999</c:v>
                </c:pt>
                <c:pt idx="16">
                  <c:v>0.51814000000000004</c:v>
                </c:pt>
                <c:pt idx="17">
                  <c:v>0.52629999999999999</c:v>
                </c:pt>
                <c:pt idx="18">
                  <c:v>0.53427000000000002</c:v>
                </c:pt>
                <c:pt idx="19">
                  <c:v>0.54259999999999997</c:v>
                </c:pt>
                <c:pt idx="20">
                  <c:v>0.55150999999999994</c:v>
                </c:pt>
                <c:pt idx="21">
                  <c:v>0.56098999999999999</c:v>
                </c:pt>
                <c:pt idx="22">
                  <c:v>0.57040999999999997</c:v>
                </c:pt>
                <c:pt idx="23">
                  <c:v>0.57915000000000005</c:v>
                </c:pt>
                <c:pt idx="24">
                  <c:v>0.58731999999999995</c:v>
                </c:pt>
                <c:pt idx="25">
                  <c:v>0.59526000000000001</c:v>
                </c:pt>
                <c:pt idx="26">
                  <c:v>0.60357000000000005</c:v>
                </c:pt>
                <c:pt idx="27">
                  <c:v>0.61277999999999999</c:v>
                </c:pt>
                <c:pt idx="28">
                  <c:v>0.62302999999999997</c:v>
                </c:pt>
                <c:pt idx="29">
                  <c:v>0.63424999999999998</c:v>
                </c:pt>
                <c:pt idx="30">
                  <c:v>0.64598999999999995</c:v>
                </c:pt>
                <c:pt idx="31">
                  <c:v>0.65788999999999997</c:v>
                </c:pt>
                <c:pt idx="32">
                  <c:v>0.67035999999999996</c:v>
                </c:pt>
                <c:pt idx="33">
                  <c:v>0.68406</c:v>
                </c:pt>
                <c:pt idx="34">
                  <c:v>0.69996999999999998</c:v>
                </c:pt>
                <c:pt idx="35">
                  <c:v>0.71855999999999998</c:v>
                </c:pt>
                <c:pt idx="36">
                  <c:v>0.73784000000000005</c:v>
                </c:pt>
                <c:pt idx="37">
                  <c:v>0.75548000000000004</c:v>
                </c:pt>
                <c:pt idx="38">
                  <c:v>0.77019000000000004</c:v>
                </c:pt>
                <c:pt idx="39">
                  <c:v>0.78134999999999999</c:v>
                </c:pt>
                <c:pt idx="40">
                  <c:v>0.78986000000000001</c:v>
                </c:pt>
                <c:pt idx="41">
                  <c:v>0.79688999999999999</c:v>
                </c:pt>
                <c:pt idx="42">
                  <c:v>0.80310000000000004</c:v>
                </c:pt>
                <c:pt idx="43">
                  <c:v>0.80879000000000001</c:v>
                </c:pt>
                <c:pt idx="44">
                  <c:v>0.81340999999999997</c:v>
                </c:pt>
                <c:pt idx="45">
                  <c:v>0.81640000000000001</c:v>
                </c:pt>
                <c:pt idx="46">
                  <c:v>0.81801000000000001</c:v>
                </c:pt>
                <c:pt idx="47">
                  <c:v>0.81876000000000004</c:v>
                </c:pt>
                <c:pt idx="48">
                  <c:v>0.81933999999999996</c:v>
                </c:pt>
                <c:pt idx="49">
                  <c:v>0.82030999999999998</c:v>
                </c:pt>
                <c:pt idx="50">
                  <c:v>0.82162999999999997</c:v>
                </c:pt>
                <c:pt idx="51">
                  <c:v>0.82311000000000001</c:v>
                </c:pt>
                <c:pt idx="52">
                  <c:v>0.82467000000000001</c:v>
                </c:pt>
                <c:pt idx="53">
                  <c:v>0.82635999999999998</c:v>
                </c:pt>
                <c:pt idx="54">
                  <c:v>0.82855000000000001</c:v>
                </c:pt>
                <c:pt idx="55">
                  <c:v>0.83152000000000004</c:v>
                </c:pt>
                <c:pt idx="56">
                  <c:v>0.83481000000000005</c:v>
                </c:pt>
                <c:pt idx="57">
                  <c:v>0.83794000000000002</c:v>
                </c:pt>
                <c:pt idx="58">
                  <c:v>0.84114</c:v>
                </c:pt>
                <c:pt idx="59">
                  <c:v>0.84470999999999996</c:v>
                </c:pt>
                <c:pt idx="60">
                  <c:v>0.84843999999999997</c:v>
                </c:pt>
                <c:pt idx="61">
                  <c:v>0.85209000000000001</c:v>
                </c:pt>
                <c:pt idx="62">
                  <c:v>0.85572000000000004</c:v>
                </c:pt>
                <c:pt idx="63">
                  <c:v>0.85943000000000003</c:v>
                </c:pt>
                <c:pt idx="64">
                  <c:v>0.86329</c:v>
                </c:pt>
                <c:pt idx="65">
                  <c:v>0.86722999999999995</c:v>
                </c:pt>
                <c:pt idx="66">
                  <c:v>0.87082000000000004</c:v>
                </c:pt>
                <c:pt idx="67">
                  <c:v>0.87373000000000001</c:v>
                </c:pt>
                <c:pt idx="68">
                  <c:v>0.87656999999999996</c:v>
                </c:pt>
                <c:pt idx="69">
                  <c:v>0.87983999999999996</c:v>
                </c:pt>
                <c:pt idx="70">
                  <c:v>0.88270999999999999</c:v>
                </c:pt>
                <c:pt idx="71">
                  <c:v>0.88441000000000003</c:v>
                </c:pt>
                <c:pt idx="72">
                  <c:v>0.88578999999999997</c:v>
                </c:pt>
                <c:pt idx="73">
                  <c:v>0.88770000000000004</c:v>
                </c:pt>
                <c:pt idx="74">
                  <c:v>0.88946000000000003</c:v>
                </c:pt>
                <c:pt idx="75">
                  <c:v>0.89029999999999998</c:v>
                </c:pt>
                <c:pt idx="76">
                  <c:v>0.89073999999999998</c:v>
                </c:pt>
                <c:pt idx="77">
                  <c:v>0.89141000000000004</c:v>
                </c:pt>
                <c:pt idx="78">
                  <c:v>0.89200000000000002</c:v>
                </c:pt>
                <c:pt idx="79">
                  <c:v>0.89212000000000002</c:v>
                </c:pt>
                <c:pt idx="80">
                  <c:v>0.89200000000000002</c:v>
                </c:pt>
                <c:pt idx="81">
                  <c:v>0.89195999999999998</c:v>
                </c:pt>
                <c:pt idx="82">
                  <c:v>0.89200000000000002</c:v>
                </c:pt>
                <c:pt idx="83">
                  <c:v>0.89204000000000006</c:v>
                </c:pt>
                <c:pt idx="84">
                  <c:v>0.89200000000000002</c:v>
                </c:pt>
                <c:pt idx="85">
                  <c:v>0.89200000000000002</c:v>
                </c:pt>
                <c:pt idx="86">
                  <c:v>0.89200000000000002</c:v>
                </c:pt>
                <c:pt idx="87">
                  <c:v>0.89200000000000002</c:v>
                </c:pt>
                <c:pt idx="88">
                  <c:v>0.89200000000000002</c:v>
                </c:pt>
                <c:pt idx="89">
                  <c:v>0.89200000000000002</c:v>
                </c:pt>
                <c:pt idx="90">
                  <c:v>0.89200000000000002</c:v>
                </c:pt>
                <c:pt idx="91">
                  <c:v>0.89200000000000002</c:v>
                </c:pt>
                <c:pt idx="92">
                  <c:v>0.89200000000000002</c:v>
                </c:pt>
                <c:pt idx="93">
                  <c:v>0.89200000000000002</c:v>
                </c:pt>
                <c:pt idx="94">
                  <c:v>0.89200000000000002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6-3FE4-445B-8EEB-D88489EA6296}"/>
            </c:ext>
          </c:extLst>
        </c:ser>
        <c:ser>
          <c:idx val="24"/>
          <c:order val="2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'99set'!$Z$10:$Z$104</c:f>
              <c:numCache>
                <c:formatCode>0.0000</c:formatCode>
                <c:ptCount val="95"/>
                <c:pt idx="0">
                  <c:v>0.20025999999999999</c:v>
                </c:pt>
                <c:pt idx="1">
                  <c:v>0.20025999999999999</c:v>
                </c:pt>
                <c:pt idx="2">
                  <c:v>0.20025999999999999</c:v>
                </c:pt>
                <c:pt idx="3">
                  <c:v>0.20025999999999999</c:v>
                </c:pt>
                <c:pt idx="4">
                  <c:v>0.20025999999999999</c:v>
                </c:pt>
                <c:pt idx="5">
                  <c:v>0.2122</c:v>
                </c:pt>
                <c:pt idx="6">
                  <c:v>0.22466</c:v>
                </c:pt>
                <c:pt idx="7">
                  <c:v>0.23763000000000001</c:v>
                </c:pt>
                <c:pt idx="8">
                  <c:v>0.2515</c:v>
                </c:pt>
                <c:pt idx="9">
                  <c:v>0.26605000000000001</c:v>
                </c:pt>
                <c:pt idx="10">
                  <c:v>0.28120000000000001</c:v>
                </c:pt>
                <c:pt idx="11">
                  <c:v>0.28563</c:v>
                </c:pt>
                <c:pt idx="12">
                  <c:v>0.2838</c:v>
                </c:pt>
                <c:pt idx="13">
                  <c:v>0.28249000000000002</c:v>
                </c:pt>
                <c:pt idx="14">
                  <c:v>0.28199999999999997</c:v>
                </c:pt>
                <c:pt idx="15">
                  <c:v>0.28134999999999999</c:v>
                </c:pt>
                <c:pt idx="16">
                  <c:v>0.28100000000000003</c:v>
                </c:pt>
                <c:pt idx="17">
                  <c:v>0.28161000000000003</c:v>
                </c:pt>
                <c:pt idx="18">
                  <c:v>0.28320000000000001</c:v>
                </c:pt>
                <c:pt idx="19">
                  <c:v>0.28566999999999998</c:v>
                </c:pt>
                <c:pt idx="20">
                  <c:v>0.28899999999999998</c:v>
                </c:pt>
                <c:pt idx="21">
                  <c:v>0.29330000000000001</c:v>
                </c:pt>
                <c:pt idx="22">
                  <c:v>0.29909999999999998</c:v>
                </c:pt>
                <c:pt idx="23">
                  <c:v>0.30695</c:v>
                </c:pt>
                <c:pt idx="24">
                  <c:v>0.317</c:v>
                </c:pt>
                <c:pt idx="25">
                  <c:v>0.32939000000000002</c:v>
                </c:pt>
                <c:pt idx="26">
                  <c:v>0.34470000000000001</c:v>
                </c:pt>
                <c:pt idx="27">
                  <c:v>0.36342999999999998</c:v>
                </c:pt>
                <c:pt idx="28">
                  <c:v>0.38540000000000002</c:v>
                </c:pt>
                <c:pt idx="29">
                  <c:v>0.41038999999999998</c:v>
                </c:pt>
                <c:pt idx="30">
                  <c:v>0.43859999999999999</c:v>
                </c:pt>
                <c:pt idx="31">
                  <c:v>0.47037000000000001</c:v>
                </c:pt>
                <c:pt idx="32">
                  <c:v>0.50619999999999998</c:v>
                </c:pt>
                <c:pt idx="33">
                  <c:v>0.54625999999999997</c:v>
                </c:pt>
                <c:pt idx="34">
                  <c:v>0.58940000000000003</c:v>
                </c:pt>
                <c:pt idx="35">
                  <c:v>0.6341</c:v>
                </c:pt>
                <c:pt idx="36">
                  <c:v>0.67879999999999996</c:v>
                </c:pt>
                <c:pt idx="37">
                  <c:v>0.72175999999999996</c:v>
                </c:pt>
                <c:pt idx="38">
                  <c:v>0.76060000000000005</c:v>
                </c:pt>
                <c:pt idx="39">
                  <c:v>0.79313999999999996</c:v>
                </c:pt>
                <c:pt idx="40">
                  <c:v>0.81869999999999998</c:v>
                </c:pt>
                <c:pt idx="41">
                  <c:v>0.83726999999999996</c:v>
                </c:pt>
                <c:pt idx="42">
                  <c:v>0.85</c:v>
                </c:pt>
                <c:pt idx="43">
                  <c:v>0.85829999999999995</c:v>
                </c:pt>
                <c:pt idx="44">
                  <c:v>0.86339999999999995</c:v>
                </c:pt>
                <c:pt idx="45">
                  <c:v>0.86636999999999997</c:v>
                </c:pt>
                <c:pt idx="46">
                  <c:v>0.86780000000000002</c:v>
                </c:pt>
                <c:pt idx="47">
                  <c:v>0.86812</c:v>
                </c:pt>
                <c:pt idx="48">
                  <c:v>0.86770000000000003</c:v>
                </c:pt>
                <c:pt idx="49">
                  <c:v>0.86687999999999998</c:v>
                </c:pt>
                <c:pt idx="50">
                  <c:v>0.8659</c:v>
                </c:pt>
                <c:pt idx="51">
                  <c:v>0.86494000000000004</c:v>
                </c:pt>
                <c:pt idx="52">
                  <c:v>0.8639</c:v>
                </c:pt>
                <c:pt idx="53">
                  <c:v>0.86263000000000001</c:v>
                </c:pt>
                <c:pt idx="54">
                  <c:v>0.86099999999999999</c:v>
                </c:pt>
                <c:pt idx="55">
                  <c:v>0.85897999999999997</c:v>
                </c:pt>
                <c:pt idx="56">
                  <c:v>0.85699999999999998</c:v>
                </c:pt>
                <c:pt idx="57">
                  <c:v>0.85543000000000002</c:v>
                </c:pt>
                <c:pt idx="58">
                  <c:v>0.85409999999999997</c:v>
                </c:pt>
                <c:pt idx="59">
                  <c:v>0.85263999999999995</c:v>
                </c:pt>
                <c:pt idx="60">
                  <c:v>0.85040000000000004</c:v>
                </c:pt>
                <c:pt idx="61">
                  <c:v>0.84708000000000006</c:v>
                </c:pt>
                <c:pt idx="62">
                  <c:v>0.84389999999999998</c:v>
                </c:pt>
                <c:pt idx="63">
                  <c:v>0.84211999999999998</c:v>
                </c:pt>
                <c:pt idx="64">
                  <c:v>0.84150000000000003</c:v>
                </c:pt>
                <c:pt idx="65">
                  <c:v>0.84133999999999998</c:v>
                </c:pt>
                <c:pt idx="66">
                  <c:v>0.8407</c:v>
                </c:pt>
                <c:pt idx="67">
                  <c:v>0.83899000000000001</c:v>
                </c:pt>
                <c:pt idx="68">
                  <c:v>0.83740000000000003</c:v>
                </c:pt>
                <c:pt idx="69">
                  <c:v>0.83582000000000001</c:v>
                </c:pt>
                <c:pt idx="70">
                  <c:v>0.83428000000000002</c:v>
                </c:pt>
                <c:pt idx="71">
                  <c:v>0.83272999999999997</c:v>
                </c:pt>
                <c:pt idx="72">
                  <c:v>0.83116000000000001</c:v>
                </c:pt>
                <c:pt idx="73">
                  <c:v>0.82957999999999998</c:v>
                </c:pt>
                <c:pt idx="74">
                  <c:v>0.82799999999999996</c:v>
                </c:pt>
                <c:pt idx="75">
                  <c:v>0.82640000000000002</c:v>
                </c:pt>
                <c:pt idx="76">
                  <c:v>0.82477999999999996</c:v>
                </c:pt>
                <c:pt idx="77">
                  <c:v>0.82316</c:v>
                </c:pt>
                <c:pt idx="78">
                  <c:v>0.82152000000000003</c:v>
                </c:pt>
                <c:pt idx="79">
                  <c:v>0.81988000000000005</c:v>
                </c:pt>
                <c:pt idx="80">
                  <c:v>0.81821999999999995</c:v>
                </c:pt>
                <c:pt idx="81">
                  <c:v>0.81655</c:v>
                </c:pt>
                <c:pt idx="82">
                  <c:v>0.81486000000000003</c:v>
                </c:pt>
                <c:pt idx="83">
                  <c:v>0.81316999999999995</c:v>
                </c:pt>
                <c:pt idx="84">
                  <c:v>0.81145999999999996</c:v>
                </c:pt>
                <c:pt idx="85">
                  <c:v>0.81145999999999996</c:v>
                </c:pt>
                <c:pt idx="86">
                  <c:v>0.81145999999999996</c:v>
                </c:pt>
                <c:pt idx="87">
                  <c:v>0.81145999999999996</c:v>
                </c:pt>
                <c:pt idx="88">
                  <c:v>0.81145999999999996</c:v>
                </c:pt>
                <c:pt idx="89">
                  <c:v>0.81145999999999996</c:v>
                </c:pt>
                <c:pt idx="90">
                  <c:v>0.81145999999999996</c:v>
                </c:pt>
                <c:pt idx="91">
                  <c:v>0.81145999999999996</c:v>
                </c:pt>
                <c:pt idx="92">
                  <c:v>0.81145999999999996</c:v>
                </c:pt>
                <c:pt idx="93">
                  <c:v>0.81145999999999996</c:v>
                </c:pt>
                <c:pt idx="94">
                  <c:v>0.81145999999999996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7-3FE4-445B-8EEB-D88489EA6296}"/>
            </c:ext>
          </c:extLst>
        </c:ser>
        <c:ser>
          <c:idx val="25"/>
          <c:order val="2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'99set'!$AA$10:$AA$104</c:f>
              <c:numCache>
                <c:formatCode>0.0000</c:formatCode>
                <c:ptCount val="95"/>
                <c:pt idx="0">
                  <c:v>0.10281</c:v>
                </c:pt>
                <c:pt idx="1">
                  <c:v>0.10281</c:v>
                </c:pt>
                <c:pt idx="2">
                  <c:v>0.10281</c:v>
                </c:pt>
                <c:pt idx="3">
                  <c:v>0.10281</c:v>
                </c:pt>
                <c:pt idx="4">
                  <c:v>0.10281</c:v>
                </c:pt>
                <c:pt idx="5">
                  <c:v>9.2924000000000007E-2</c:v>
                </c:pt>
                <c:pt idx="6">
                  <c:v>8.4042000000000006E-2</c:v>
                </c:pt>
                <c:pt idx="7">
                  <c:v>7.6213000000000003E-2</c:v>
                </c:pt>
                <c:pt idx="8">
                  <c:v>6.8140999999999993E-2</c:v>
                </c:pt>
                <c:pt idx="9">
                  <c:v>6.2404000000000001E-2</c:v>
                </c:pt>
                <c:pt idx="10">
                  <c:v>6.1578000000000001E-2</c:v>
                </c:pt>
                <c:pt idx="11">
                  <c:v>5.8535999999999998E-2</c:v>
                </c:pt>
                <c:pt idx="12">
                  <c:v>5.4642000000000003E-2</c:v>
                </c:pt>
                <c:pt idx="13">
                  <c:v>5.5016000000000002E-2</c:v>
                </c:pt>
                <c:pt idx="14">
                  <c:v>5.8324000000000001E-2</c:v>
                </c:pt>
                <c:pt idx="15">
                  <c:v>5.8403999999999998E-2</c:v>
                </c:pt>
                <c:pt idx="16">
                  <c:v>5.4615999999999998E-2</c:v>
                </c:pt>
                <c:pt idx="17">
                  <c:v>5.2897E-2</c:v>
                </c:pt>
                <c:pt idx="18">
                  <c:v>5.3036E-2</c:v>
                </c:pt>
                <c:pt idx="19">
                  <c:v>5.2101000000000001E-2</c:v>
                </c:pt>
                <c:pt idx="20">
                  <c:v>5.0747E-2</c:v>
                </c:pt>
                <c:pt idx="21">
                  <c:v>5.1275000000000001E-2</c:v>
                </c:pt>
                <c:pt idx="22">
                  <c:v>5.2996000000000001E-2</c:v>
                </c:pt>
                <c:pt idx="23">
                  <c:v>5.3163000000000002E-2</c:v>
                </c:pt>
                <c:pt idx="24">
                  <c:v>5.1878000000000001E-2</c:v>
                </c:pt>
                <c:pt idx="25">
                  <c:v>5.2395999999999998E-2</c:v>
                </c:pt>
                <c:pt idx="26">
                  <c:v>5.5098000000000001E-2</c:v>
                </c:pt>
                <c:pt idx="27">
                  <c:v>5.8513999999999997E-2</c:v>
                </c:pt>
                <c:pt idx="28">
                  <c:v>6.343E-2</c:v>
                </c:pt>
                <c:pt idx="29">
                  <c:v>7.0616999999999999E-2</c:v>
                </c:pt>
                <c:pt idx="30">
                  <c:v>8.2175999999999999E-2</c:v>
                </c:pt>
                <c:pt idx="31">
                  <c:v>0.10589</c:v>
                </c:pt>
                <c:pt idx="32">
                  <c:v>0.14388000000000001</c:v>
                </c:pt>
                <c:pt idx="33">
                  <c:v>0.19506000000000001</c:v>
                </c:pt>
                <c:pt idx="34">
                  <c:v>0.25331999999999999</c:v>
                </c:pt>
                <c:pt idx="35">
                  <c:v>0.3075</c:v>
                </c:pt>
                <c:pt idx="36">
                  <c:v>0.35271000000000002</c:v>
                </c:pt>
                <c:pt idx="37">
                  <c:v>0.38845000000000002</c:v>
                </c:pt>
                <c:pt idx="38">
                  <c:v>0.41659000000000002</c:v>
                </c:pt>
                <c:pt idx="39">
                  <c:v>0.43752999999999997</c:v>
                </c:pt>
                <c:pt idx="40">
                  <c:v>0.45206000000000002</c:v>
                </c:pt>
                <c:pt idx="41">
                  <c:v>0.46315000000000001</c:v>
                </c:pt>
                <c:pt idx="42">
                  <c:v>0.47193000000000002</c:v>
                </c:pt>
                <c:pt idx="43">
                  <c:v>0.47899999999999998</c:v>
                </c:pt>
                <c:pt idx="44">
                  <c:v>0.48643999999999998</c:v>
                </c:pt>
                <c:pt idx="45">
                  <c:v>0.49281999999999998</c:v>
                </c:pt>
                <c:pt idx="46">
                  <c:v>0.49629000000000001</c:v>
                </c:pt>
                <c:pt idx="47">
                  <c:v>0.50019999999999998</c:v>
                </c:pt>
                <c:pt idx="48">
                  <c:v>0.50456000000000001</c:v>
                </c:pt>
                <c:pt idx="49">
                  <c:v>0.50626000000000004</c:v>
                </c:pt>
                <c:pt idx="50">
                  <c:v>0.50778999999999996</c:v>
                </c:pt>
                <c:pt idx="51">
                  <c:v>0.51041999999999998</c:v>
                </c:pt>
                <c:pt idx="52">
                  <c:v>0.51054999999999995</c:v>
                </c:pt>
                <c:pt idx="53">
                  <c:v>0.50983999999999996</c:v>
                </c:pt>
                <c:pt idx="54">
                  <c:v>0.50953000000000004</c:v>
                </c:pt>
                <c:pt idx="55">
                  <c:v>0.50934999999999997</c:v>
                </c:pt>
                <c:pt idx="56">
                  <c:v>0.51270000000000004</c:v>
                </c:pt>
                <c:pt idx="57">
                  <c:v>0.51495999999999997</c:v>
                </c:pt>
                <c:pt idx="58">
                  <c:v>0.51193999999999995</c:v>
                </c:pt>
                <c:pt idx="59">
                  <c:v>0.51093999999999995</c:v>
                </c:pt>
                <c:pt idx="60">
                  <c:v>0.51107000000000002</c:v>
                </c:pt>
                <c:pt idx="61">
                  <c:v>0.50985000000000003</c:v>
                </c:pt>
                <c:pt idx="62">
                  <c:v>0.50758000000000003</c:v>
                </c:pt>
                <c:pt idx="63">
                  <c:v>0.50200999999999996</c:v>
                </c:pt>
                <c:pt idx="64">
                  <c:v>0.49936999999999998</c:v>
                </c:pt>
                <c:pt idx="65">
                  <c:v>0.50129999999999997</c:v>
                </c:pt>
                <c:pt idx="66">
                  <c:v>0.50444</c:v>
                </c:pt>
                <c:pt idx="67">
                  <c:v>0.51390000000000002</c:v>
                </c:pt>
                <c:pt idx="68">
                  <c:v>0.51820999999999995</c:v>
                </c:pt>
                <c:pt idx="69">
                  <c:v>0.52734999999999999</c:v>
                </c:pt>
                <c:pt idx="70">
                  <c:v>0.53454999999999997</c:v>
                </c:pt>
                <c:pt idx="71">
                  <c:v>0.54174999999999995</c:v>
                </c:pt>
                <c:pt idx="72">
                  <c:v>0.54893000000000003</c:v>
                </c:pt>
                <c:pt idx="73">
                  <c:v>0.55608000000000002</c:v>
                </c:pt>
                <c:pt idx="74">
                  <c:v>0.56322000000000005</c:v>
                </c:pt>
                <c:pt idx="75">
                  <c:v>0.57032000000000005</c:v>
                </c:pt>
                <c:pt idx="76">
                  <c:v>0.57740000000000002</c:v>
                </c:pt>
                <c:pt idx="77">
                  <c:v>0.58445000000000003</c:v>
                </c:pt>
                <c:pt idx="78">
                  <c:v>0.59145999999999999</c:v>
                </c:pt>
                <c:pt idx="79">
                  <c:v>0.59843999999999997</c:v>
                </c:pt>
                <c:pt idx="80">
                  <c:v>0.60536999999999996</c:v>
                </c:pt>
                <c:pt idx="81">
                  <c:v>0.61226999999999998</c:v>
                </c:pt>
                <c:pt idx="82">
                  <c:v>0.61911000000000005</c:v>
                </c:pt>
                <c:pt idx="83">
                  <c:v>0.62592000000000003</c:v>
                </c:pt>
                <c:pt idx="84">
                  <c:v>0.63266999999999995</c:v>
                </c:pt>
                <c:pt idx="85">
                  <c:v>0.63266999999999995</c:v>
                </c:pt>
                <c:pt idx="86">
                  <c:v>0.63266999999999995</c:v>
                </c:pt>
                <c:pt idx="87">
                  <c:v>0.63266999999999995</c:v>
                </c:pt>
                <c:pt idx="88">
                  <c:v>0.63266999999999995</c:v>
                </c:pt>
                <c:pt idx="89">
                  <c:v>0.63266999999999995</c:v>
                </c:pt>
                <c:pt idx="90">
                  <c:v>0.63266999999999995</c:v>
                </c:pt>
                <c:pt idx="91">
                  <c:v>0.63266999999999995</c:v>
                </c:pt>
                <c:pt idx="92">
                  <c:v>0.63266999999999995</c:v>
                </c:pt>
                <c:pt idx="93">
                  <c:v>0.63266999999999995</c:v>
                </c:pt>
                <c:pt idx="94">
                  <c:v>0.63266999999999995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8-3FE4-445B-8EEB-D88489EA6296}"/>
            </c:ext>
          </c:extLst>
        </c:ser>
        <c:ser>
          <c:idx val="26"/>
          <c:order val="2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'99set'!$AB$10:$AB$104</c:f>
              <c:numCache>
                <c:formatCode>0.0000</c:formatCode>
                <c:ptCount val="95"/>
                <c:pt idx="0">
                  <c:v>0.18151</c:v>
                </c:pt>
                <c:pt idx="1">
                  <c:v>0.18151</c:v>
                </c:pt>
                <c:pt idx="2">
                  <c:v>0.18151</c:v>
                </c:pt>
                <c:pt idx="3">
                  <c:v>0.18151</c:v>
                </c:pt>
                <c:pt idx="4">
                  <c:v>0.18151</c:v>
                </c:pt>
                <c:pt idx="5">
                  <c:v>0.17829</c:v>
                </c:pt>
                <c:pt idx="6">
                  <c:v>0.17510999999999999</c:v>
                </c:pt>
                <c:pt idx="7">
                  <c:v>0.17197999999999999</c:v>
                </c:pt>
                <c:pt idx="8">
                  <c:v>0.16880000000000001</c:v>
                </c:pt>
                <c:pt idx="9">
                  <c:v>0.16558</c:v>
                </c:pt>
                <c:pt idx="10">
                  <c:v>0.16159999999999999</c:v>
                </c:pt>
                <c:pt idx="11">
                  <c:v>0.159</c:v>
                </c:pt>
                <c:pt idx="12">
                  <c:v>0.15809999999999999</c:v>
                </c:pt>
                <c:pt idx="13">
                  <c:v>0.15881000000000001</c:v>
                </c:pt>
                <c:pt idx="14">
                  <c:v>0.1613</c:v>
                </c:pt>
                <c:pt idx="15">
                  <c:v>0.16571</c:v>
                </c:pt>
                <c:pt idx="16">
                  <c:v>0.17169999999999999</c:v>
                </c:pt>
                <c:pt idx="17">
                  <c:v>0.17895</c:v>
                </c:pt>
                <c:pt idx="18">
                  <c:v>0.18759999999999999</c:v>
                </c:pt>
                <c:pt idx="19">
                  <c:v>0.19777</c:v>
                </c:pt>
                <c:pt idx="20">
                  <c:v>0.20899999999999999</c:v>
                </c:pt>
                <c:pt idx="21">
                  <c:v>0.22112000000000001</c:v>
                </c:pt>
                <c:pt idx="22">
                  <c:v>0.2356</c:v>
                </c:pt>
                <c:pt idx="23">
                  <c:v>0.25362000000000001</c:v>
                </c:pt>
                <c:pt idx="24">
                  <c:v>0.27339999999999998</c:v>
                </c:pt>
                <c:pt idx="25">
                  <c:v>0.29329</c:v>
                </c:pt>
                <c:pt idx="26">
                  <c:v>0.315</c:v>
                </c:pt>
                <c:pt idx="27">
                  <c:v>0.34048</c:v>
                </c:pt>
                <c:pt idx="28">
                  <c:v>0.36919999999999997</c:v>
                </c:pt>
                <c:pt idx="29">
                  <c:v>0.40017000000000003</c:v>
                </c:pt>
                <c:pt idx="30">
                  <c:v>0.43290000000000001</c:v>
                </c:pt>
                <c:pt idx="31">
                  <c:v>0.46716999999999997</c:v>
                </c:pt>
                <c:pt idx="32">
                  <c:v>0.50319999999999998</c:v>
                </c:pt>
                <c:pt idx="33">
                  <c:v>0.54088000000000003</c:v>
                </c:pt>
                <c:pt idx="34">
                  <c:v>0.57840000000000003</c:v>
                </c:pt>
                <c:pt idx="35">
                  <c:v>0.61399999999999999</c:v>
                </c:pt>
                <c:pt idx="36">
                  <c:v>0.64770000000000005</c:v>
                </c:pt>
                <c:pt idx="37">
                  <c:v>0.67979000000000001</c:v>
                </c:pt>
                <c:pt idx="38">
                  <c:v>0.7097</c:v>
                </c:pt>
                <c:pt idx="39">
                  <c:v>0.73677000000000004</c:v>
                </c:pt>
                <c:pt idx="40">
                  <c:v>0.76070000000000004</c:v>
                </c:pt>
                <c:pt idx="41">
                  <c:v>0.78141000000000005</c:v>
                </c:pt>
                <c:pt idx="42">
                  <c:v>0.7994</c:v>
                </c:pt>
                <c:pt idx="43">
                  <c:v>0.81523000000000001</c:v>
                </c:pt>
                <c:pt idx="44">
                  <c:v>0.82920000000000005</c:v>
                </c:pt>
                <c:pt idx="45">
                  <c:v>0.84155000000000002</c:v>
                </c:pt>
                <c:pt idx="46">
                  <c:v>0.85240000000000005</c:v>
                </c:pt>
                <c:pt idx="47">
                  <c:v>0.86185</c:v>
                </c:pt>
                <c:pt idx="48">
                  <c:v>0.86990000000000001</c:v>
                </c:pt>
                <c:pt idx="49">
                  <c:v>0.87658999999999998</c:v>
                </c:pt>
                <c:pt idx="50">
                  <c:v>0.88229999999999997</c:v>
                </c:pt>
                <c:pt idx="51">
                  <c:v>0.88734999999999997</c:v>
                </c:pt>
                <c:pt idx="52">
                  <c:v>0.89159999999999995</c:v>
                </c:pt>
                <c:pt idx="53">
                  <c:v>0.89487000000000005</c:v>
                </c:pt>
                <c:pt idx="54">
                  <c:v>0.89739999999999998</c:v>
                </c:pt>
                <c:pt idx="55">
                  <c:v>0.89946000000000004</c:v>
                </c:pt>
                <c:pt idx="56">
                  <c:v>0.90110000000000001</c:v>
                </c:pt>
                <c:pt idx="57">
                  <c:v>0.90232000000000001</c:v>
                </c:pt>
                <c:pt idx="58">
                  <c:v>0.90329999999999999</c:v>
                </c:pt>
                <c:pt idx="59">
                  <c:v>0.90419000000000005</c:v>
                </c:pt>
                <c:pt idx="60">
                  <c:v>0.90500000000000003</c:v>
                </c:pt>
                <c:pt idx="61">
                  <c:v>0.90569999999999995</c:v>
                </c:pt>
                <c:pt idx="62">
                  <c:v>0.90629999999999999</c:v>
                </c:pt>
                <c:pt idx="63">
                  <c:v>0.90680000000000005</c:v>
                </c:pt>
                <c:pt idx="64">
                  <c:v>0.90720000000000001</c:v>
                </c:pt>
                <c:pt idx="65">
                  <c:v>0.90751999999999999</c:v>
                </c:pt>
                <c:pt idx="66">
                  <c:v>0.90790000000000004</c:v>
                </c:pt>
                <c:pt idx="67">
                  <c:v>0.90839999999999999</c:v>
                </c:pt>
                <c:pt idx="68">
                  <c:v>0.90880000000000005</c:v>
                </c:pt>
                <c:pt idx="69">
                  <c:v>0.90917999999999999</c:v>
                </c:pt>
                <c:pt idx="70">
                  <c:v>0.90956000000000004</c:v>
                </c:pt>
                <c:pt idx="71">
                  <c:v>0.90993000000000002</c:v>
                </c:pt>
                <c:pt idx="72">
                  <c:v>0.9103</c:v>
                </c:pt>
                <c:pt idx="73">
                  <c:v>0.91066000000000003</c:v>
                </c:pt>
                <c:pt idx="74">
                  <c:v>0.91103000000000001</c:v>
                </c:pt>
                <c:pt idx="75">
                  <c:v>0.91139999999999999</c:v>
                </c:pt>
                <c:pt idx="76">
                  <c:v>0.91176000000000001</c:v>
                </c:pt>
                <c:pt idx="77">
                  <c:v>0.91212000000000004</c:v>
                </c:pt>
                <c:pt idx="78">
                  <c:v>0.91249000000000002</c:v>
                </c:pt>
                <c:pt idx="79">
                  <c:v>0.91285000000000005</c:v>
                </c:pt>
                <c:pt idx="80">
                  <c:v>0.91320000000000001</c:v>
                </c:pt>
                <c:pt idx="81">
                  <c:v>0.91356000000000004</c:v>
                </c:pt>
                <c:pt idx="82">
                  <c:v>0.91391999999999995</c:v>
                </c:pt>
                <c:pt idx="83">
                  <c:v>0.91427000000000003</c:v>
                </c:pt>
                <c:pt idx="84">
                  <c:v>0.91463000000000005</c:v>
                </c:pt>
                <c:pt idx="85">
                  <c:v>0.91463000000000005</c:v>
                </c:pt>
                <c:pt idx="86">
                  <c:v>0.91463000000000005</c:v>
                </c:pt>
                <c:pt idx="87">
                  <c:v>0.91463000000000005</c:v>
                </c:pt>
                <c:pt idx="88">
                  <c:v>0.91463000000000005</c:v>
                </c:pt>
                <c:pt idx="89">
                  <c:v>0.91463000000000005</c:v>
                </c:pt>
                <c:pt idx="90">
                  <c:v>0.91463000000000005</c:v>
                </c:pt>
                <c:pt idx="91">
                  <c:v>0.91463000000000005</c:v>
                </c:pt>
                <c:pt idx="92">
                  <c:v>0.91463000000000005</c:v>
                </c:pt>
                <c:pt idx="93">
                  <c:v>0.91463000000000005</c:v>
                </c:pt>
                <c:pt idx="94">
                  <c:v>0.91463000000000005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9-3FE4-445B-8EEB-D88489EA6296}"/>
            </c:ext>
          </c:extLst>
        </c:ser>
        <c:ser>
          <c:idx val="27"/>
          <c:order val="2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'99set'!$AC$10:$AC$104</c:f>
              <c:numCache>
                <c:formatCode>0.0000</c:formatCode>
                <c:ptCount val="95"/>
                <c:pt idx="0">
                  <c:v>6.4624000000000001E-2</c:v>
                </c:pt>
                <c:pt idx="1">
                  <c:v>6.4624000000000001E-2</c:v>
                </c:pt>
                <c:pt idx="2">
                  <c:v>6.4624000000000001E-2</c:v>
                </c:pt>
                <c:pt idx="3">
                  <c:v>6.4624000000000001E-2</c:v>
                </c:pt>
                <c:pt idx="4">
                  <c:v>6.4624000000000001E-2</c:v>
                </c:pt>
                <c:pt idx="5">
                  <c:v>6.4994999999999997E-2</c:v>
                </c:pt>
                <c:pt idx="6">
                  <c:v>6.6203999999999999E-2</c:v>
                </c:pt>
                <c:pt idx="7">
                  <c:v>6.7574999999999996E-2</c:v>
                </c:pt>
                <c:pt idx="8">
                  <c:v>6.8390000000000006E-2</c:v>
                </c:pt>
                <c:pt idx="9">
                  <c:v>7.1851999999999999E-2</c:v>
                </c:pt>
                <c:pt idx="10">
                  <c:v>8.1167000000000003E-2</c:v>
                </c:pt>
                <c:pt idx="11">
                  <c:v>9.3890000000000001E-2</c:v>
                </c:pt>
                <c:pt idx="12">
                  <c:v>0.11434</c:v>
                </c:pt>
                <c:pt idx="13">
                  <c:v>0.14548</c:v>
                </c:pt>
                <c:pt idx="14">
                  <c:v>0.17979999999999999</c:v>
                </c:pt>
                <c:pt idx="15">
                  <c:v>0.20757999999999999</c:v>
                </c:pt>
                <c:pt idx="16">
                  <c:v>0.22586999999999999</c:v>
                </c:pt>
                <c:pt idx="17">
                  <c:v>0.24071999999999999</c:v>
                </c:pt>
                <c:pt idx="18">
                  <c:v>0.25485999999999998</c:v>
                </c:pt>
                <c:pt idx="19">
                  <c:v>0.26272000000000001</c:v>
                </c:pt>
                <c:pt idx="20">
                  <c:v>0.26805000000000001</c:v>
                </c:pt>
                <c:pt idx="21">
                  <c:v>0.27811999999999998</c:v>
                </c:pt>
                <c:pt idx="22">
                  <c:v>0.28681000000000001</c:v>
                </c:pt>
                <c:pt idx="23">
                  <c:v>0.29048000000000002</c:v>
                </c:pt>
                <c:pt idx="24">
                  <c:v>0.29199999999999998</c:v>
                </c:pt>
                <c:pt idx="25">
                  <c:v>0.29515999999999998</c:v>
                </c:pt>
                <c:pt idx="26">
                  <c:v>0.30287999999999998</c:v>
                </c:pt>
                <c:pt idx="27">
                  <c:v>0.31468000000000002</c:v>
                </c:pt>
                <c:pt idx="28">
                  <c:v>0.32906999999999997</c:v>
                </c:pt>
                <c:pt idx="29">
                  <c:v>0.34462999999999999</c:v>
                </c:pt>
                <c:pt idx="30">
                  <c:v>0.35691000000000001</c:v>
                </c:pt>
                <c:pt idx="31">
                  <c:v>0.36974000000000001</c:v>
                </c:pt>
                <c:pt idx="32">
                  <c:v>0.38422000000000001</c:v>
                </c:pt>
                <c:pt idx="33">
                  <c:v>0.39685999999999999</c:v>
                </c:pt>
                <c:pt idx="34">
                  <c:v>0.40592</c:v>
                </c:pt>
                <c:pt idx="35">
                  <c:v>0.41044999999999998</c:v>
                </c:pt>
                <c:pt idx="36">
                  <c:v>0.41237000000000001</c:v>
                </c:pt>
                <c:pt idx="37">
                  <c:v>0.41646</c:v>
                </c:pt>
                <c:pt idx="38">
                  <c:v>0.42207</c:v>
                </c:pt>
                <c:pt idx="39">
                  <c:v>0.42657</c:v>
                </c:pt>
                <c:pt idx="40">
                  <c:v>0.42941000000000001</c:v>
                </c:pt>
                <c:pt idx="41">
                  <c:v>0.43090000000000001</c:v>
                </c:pt>
                <c:pt idx="42">
                  <c:v>0.43186000000000002</c:v>
                </c:pt>
                <c:pt idx="43">
                  <c:v>0.43417</c:v>
                </c:pt>
                <c:pt idx="44">
                  <c:v>0.43798999999999999</c:v>
                </c:pt>
                <c:pt idx="45">
                  <c:v>0.44134000000000001</c:v>
                </c:pt>
                <c:pt idx="46">
                  <c:v>0.44275999999999999</c:v>
                </c:pt>
                <c:pt idx="47">
                  <c:v>0.44409999999999999</c:v>
                </c:pt>
                <c:pt idx="48">
                  <c:v>0.44574000000000003</c:v>
                </c:pt>
                <c:pt idx="49">
                  <c:v>0.44656000000000001</c:v>
                </c:pt>
                <c:pt idx="50">
                  <c:v>0.44617000000000001</c:v>
                </c:pt>
                <c:pt idx="51">
                  <c:v>0.44794</c:v>
                </c:pt>
                <c:pt idx="52">
                  <c:v>0.44908999999999999</c:v>
                </c:pt>
                <c:pt idx="53">
                  <c:v>0.44918999999999998</c:v>
                </c:pt>
                <c:pt idx="54">
                  <c:v>0.45155000000000001</c:v>
                </c:pt>
                <c:pt idx="55">
                  <c:v>0.45456000000000002</c:v>
                </c:pt>
                <c:pt idx="56">
                  <c:v>0.45680999999999999</c:v>
                </c:pt>
                <c:pt idx="57">
                  <c:v>0.45528000000000002</c:v>
                </c:pt>
                <c:pt idx="58">
                  <c:v>0.45002999999999999</c:v>
                </c:pt>
                <c:pt idx="59">
                  <c:v>0.44666</c:v>
                </c:pt>
                <c:pt idx="60">
                  <c:v>0.44579000000000002</c:v>
                </c:pt>
                <c:pt idx="61">
                  <c:v>0.44445000000000001</c:v>
                </c:pt>
                <c:pt idx="62">
                  <c:v>0.44429999999999997</c:v>
                </c:pt>
                <c:pt idx="63">
                  <c:v>0.44272</c:v>
                </c:pt>
                <c:pt idx="64">
                  <c:v>0.44241999999999998</c:v>
                </c:pt>
                <c:pt idx="65">
                  <c:v>0.44703999999999999</c:v>
                </c:pt>
                <c:pt idx="66">
                  <c:v>0.45357999999999998</c:v>
                </c:pt>
                <c:pt idx="67">
                  <c:v>0.46121000000000001</c:v>
                </c:pt>
                <c:pt idx="68">
                  <c:v>0.46356999999999998</c:v>
                </c:pt>
                <c:pt idx="69">
                  <c:v>0.47205000000000003</c:v>
                </c:pt>
                <c:pt idx="70">
                  <c:v>0.47815999999999997</c:v>
                </c:pt>
                <c:pt idx="71">
                  <c:v>0.48429</c:v>
                </c:pt>
                <c:pt idx="72">
                  <c:v>0.49042000000000002</c:v>
                </c:pt>
                <c:pt idx="73">
                  <c:v>0.49654999999999999</c:v>
                </c:pt>
                <c:pt idx="74">
                  <c:v>0.50268000000000002</c:v>
                </c:pt>
                <c:pt idx="75">
                  <c:v>0.50880999999999998</c:v>
                </c:pt>
                <c:pt idx="76">
                  <c:v>0.51493999999999995</c:v>
                </c:pt>
                <c:pt idx="77">
                  <c:v>0.52105999999999997</c:v>
                </c:pt>
                <c:pt idx="78">
                  <c:v>0.52717999999999998</c:v>
                </c:pt>
                <c:pt idx="79">
                  <c:v>0.53329000000000004</c:v>
                </c:pt>
                <c:pt idx="80">
                  <c:v>0.53939000000000004</c:v>
                </c:pt>
                <c:pt idx="81">
                  <c:v>0.54547999999999996</c:v>
                </c:pt>
                <c:pt idx="82">
                  <c:v>0.55154999999999998</c:v>
                </c:pt>
                <c:pt idx="83">
                  <c:v>0.55761000000000005</c:v>
                </c:pt>
                <c:pt idx="84">
                  <c:v>0.56364999999999998</c:v>
                </c:pt>
                <c:pt idx="85">
                  <c:v>0.56364999999999998</c:v>
                </c:pt>
                <c:pt idx="86">
                  <c:v>0.56364999999999998</c:v>
                </c:pt>
                <c:pt idx="87">
                  <c:v>0.56364999999999998</c:v>
                </c:pt>
                <c:pt idx="88">
                  <c:v>0.56364999999999998</c:v>
                </c:pt>
                <c:pt idx="89">
                  <c:v>0.56364999999999998</c:v>
                </c:pt>
                <c:pt idx="90">
                  <c:v>0.56364999999999998</c:v>
                </c:pt>
                <c:pt idx="91">
                  <c:v>0.56364999999999998</c:v>
                </c:pt>
                <c:pt idx="92">
                  <c:v>0.56364999999999998</c:v>
                </c:pt>
                <c:pt idx="93">
                  <c:v>0.56364999999999998</c:v>
                </c:pt>
                <c:pt idx="94">
                  <c:v>0.56364999999999998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A-3FE4-445B-8EEB-D88489EA6296}"/>
            </c:ext>
          </c:extLst>
        </c:ser>
        <c:ser>
          <c:idx val="28"/>
          <c:order val="2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'99set'!$AD$10:$AD$104</c:f>
              <c:numCache>
                <c:formatCode>0.0000</c:formatCode>
                <c:ptCount val="95"/>
                <c:pt idx="0">
                  <c:v>4.58E-2</c:v>
                </c:pt>
                <c:pt idx="1">
                  <c:v>4.58E-2</c:v>
                </c:pt>
                <c:pt idx="2">
                  <c:v>4.58E-2</c:v>
                </c:pt>
                <c:pt idx="3">
                  <c:v>4.58E-2</c:v>
                </c:pt>
                <c:pt idx="4">
                  <c:v>4.58E-2</c:v>
                </c:pt>
                <c:pt idx="5">
                  <c:v>4.4886000000000002E-2</c:v>
                </c:pt>
                <c:pt idx="6">
                  <c:v>4.3943000000000003E-2</c:v>
                </c:pt>
                <c:pt idx="7">
                  <c:v>4.3171000000000001E-2</c:v>
                </c:pt>
                <c:pt idx="8">
                  <c:v>4.4671000000000002E-2</c:v>
                </c:pt>
                <c:pt idx="9">
                  <c:v>4.65E-2</c:v>
                </c:pt>
                <c:pt idx="10">
                  <c:v>4.7928999999999999E-2</c:v>
                </c:pt>
                <c:pt idx="11">
                  <c:v>4.6986E-2</c:v>
                </c:pt>
                <c:pt idx="12">
                  <c:v>4.6213999999999998E-2</c:v>
                </c:pt>
                <c:pt idx="13">
                  <c:v>4.3999999999999997E-2</c:v>
                </c:pt>
                <c:pt idx="14">
                  <c:v>4.4556999999999999E-2</c:v>
                </c:pt>
                <c:pt idx="15">
                  <c:v>4.6529000000000001E-2</c:v>
                </c:pt>
                <c:pt idx="16">
                  <c:v>4.7114000000000003E-2</c:v>
                </c:pt>
                <c:pt idx="17">
                  <c:v>4.7943E-2</c:v>
                </c:pt>
                <c:pt idx="18">
                  <c:v>4.8014000000000001E-2</c:v>
                </c:pt>
                <c:pt idx="19">
                  <c:v>4.5371000000000002E-2</c:v>
                </c:pt>
                <c:pt idx="20">
                  <c:v>4.5557E-2</c:v>
                </c:pt>
                <c:pt idx="21">
                  <c:v>4.5742999999999999E-2</c:v>
                </c:pt>
                <c:pt idx="22">
                  <c:v>4.7043000000000001E-2</c:v>
                </c:pt>
                <c:pt idx="23">
                  <c:v>4.8885999999999999E-2</c:v>
                </c:pt>
                <c:pt idx="24">
                  <c:v>4.9986000000000003E-2</c:v>
                </c:pt>
                <c:pt idx="25">
                  <c:v>5.1129000000000001E-2</c:v>
                </c:pt>
                <c:pt idx="26">
                  <c:v>5.1843E-2</c:v>
                </c:pt>
                <c:pt idx="27">
                  <c:v>5.2657000000000002E-2</c:v>
                </c:pt>
                <c:pt idx="28">
                  <c:v>5.7799999999999997E-2</c:v>
                </c:pt>
                <c:pt idx="29">
                  <c:v>6.5828999999999999E-2</c:v>
                </c:pt>
                <c:pt idx="30">
                  <c:v>7.9228999999999994E-2</c:v>
                </c:pt>
                <c:pt idx="31">
                  <c:v>9.3157000000000004E-2</c:v>
                </c:pt>
                <c:pt idx="32">
                  <c:v>0.10443</c:v>
                </c:pt>
                <c:pt idx="33">
                  <c:v>0.11237</c:v>
                </c:pt>
                <c:pt idx="34">
                  <c:v>0.11717</c:v>
                </c:pt>
                <c:pt idx="35">
                  <c:v>0.11799</c:v>
                </c:pt>
                <c:pt idx="36">
                  <c:v>0.11842999999999999</c:v>
                </c:pt>
                <c:pt idx="37">
                  <c:v>0.11869</c:v>
                </c:pt>
                <c:pt idx="38">
                  <c:v>0.11877</c:v>
                </c:pt>
                <c:pt idx="39">
                  <c:v>0.1174</c:v>
                </c:pt>
                <c:pt idx="40">
                  <c:v>0.11502999999999999</c:v>
                </c:pt>
                <c:pt idx="41">
                  <c:v>0.12031</c:v>
                </c:pt>
                <c:pt idx="42">
                  <c:v>0.12027</c:v>
                </c:pt>
                <c:pt idx="43">
                  <c:v>0.12087000000000001</c:v>
                </c:pt>
                <c:pt idx="44">
                  <c:v>0.12009</c:v>
                </c:pt>
                <c:pt idx="45">
                  <c:v>0.12214</c:v>
                </c:pt>
                <c:pt idx="46">
                  <c:v>0.12237000000000001</c:v>
                </c:pt>
                <c:pt idx="47">
                  <c:v>0.12116</c:v>
                </c:pt>
                <c:pt idx="48">
                  <c:v>0.11951000000000001</c:v>
                </c:pt>
                <c:pt idx="49">
                  <c:v>0.11896</c:v>
                </c:pt>
                <c:pt idx="50">
                  <c:v>0.11864</c:v>
                </c:pt>
                <c:pt idx="51">
                  <c:v>0.11826</c:v>
                </c:pt>
                <c:pt idx="52">
                  <c:v>0.11813</c:v>
                </c:pt>
                <c:pt idx="53">
                  <c:v>0.11937</c:v>
                </c:pt>
                <c:pt idx="54">
                  <c:v>0.11881</c:v>
                </c:pt>
                <c:pt idx="55">
                  <c:v>0.11634</c:v>
                </c:pt>
                <c:pt idx="56">
                  <c:v>0.11620999999999999</c:v>
                </c:pt>
                <c:pt idx="57">
                  <c:v>0.11637</c:v>
                </c:pt>
                <c:pt idx="58">
                  <c:v>0.11656</c:v>
                </c:pt>
                <c:pt idx="59">
                  <c:v>0.11570999999999999</c:v>
                </c:pt>
                <c:pt idx="60">
                  <c:v>0.11537</c:v>
                </c:pt>
                <c:pt idx="61">
                  <c:v>0.11267000000000001</c:v>
                </c:pt>
                <c:pt idx="62">
                  <c:v>0.1142</c:v>
                </c:pt>
                <c:pt idx="63">
                  <c:v>0.11624</c:v>
                </c:pt>
                <c:pt idx="64">
                  <c:v>0.11636000000000001</c:v>
                </c:pt>
                <c:pt idx="65">
                  <c:v>0.1132</c:v>
                </c:pt>
                <c:pt idx="66">
                  <c:v>0.11456</c:v>
                </c:pt>
                <c:pt idx="67">
                  <c:v>0.11781</c:v>
                </c:pt>
                <c:pt idx="68">
                  <c:v>0.11627</c:v>
                </c:pt>
                <c:pt idx="69">
                  <c:v>0.11443</c:v>
                </c:pt>
                <c:pt idx="70">
                  <c:v>0.11559</c:v>
                </c:pt>
                <c:pt idx="71">
                  <c:v>0.11697</c:v>
                </c:pt>
                <c:pt idx="72">
                  <c:v>0.11711000000000001</c:v>
                </c:pt>
                <c:pt idx="73">
                  <c:v>0.11871</c:v>
                </c:pt>
                <c:pt idx="74">
                  <c:v>0.11978999999999999</c:v>
                </c:pt>
                <c:pt idx="75">
                  <c:v>0.11884</c:v>
                </c:pt>
                <c:pt idx="76">
                  <c:v>0.1178</c:v>
                </c:pt>
                <c:pt idx="77">
                  <c:v>0.11833</c:v>
                </c:pt>
                <c:pt idx="78">
                  <c:v>0.1188</c:v>
                </c:pt>
                <c:pt idx="79">
                  <c:v>0.11906</c:v>
                </c:pt>
                <c:pt idx="80">
                  <c:v>0.1203</c:v>
                </c:pt>
                <c:pt idx="81">
                  <c:v>0.12106</c:v>
                </c:pt>
                <c:pt idx="82">
                  <c:v>0.12099</c:v>
                </c:pt>
                <c:pt idx="83">
                  <c:v>0.1212</c:v>
                </c:pt>
                <c:pt idx="84">
                  <c:v>0.12123</c:v>
                </c:pt>
                <c:pt idx="85">
                  <c:v>0.12123</c:v>
                </c:pt>
                <c:pt idx="86">
                  <c:v>0.12123</c:v>
                </c:pt>
                <c:pt idx="87">
                  <c:v>0.12123</c:v>
                </c:pt>
                <c:pt idx="88">
                  <c:v>0.12123</c:v>
                </c:pt>
                <c:pt idx="89">
                  <c:v>0.12123</c:v>
                </c:pt>
                <c:pt idx="90">
                  <c:v>0.12123</c:v>
                </c:pt>
                <c:pt idx="91">
                  <c:v>0.12123</c:v>
                </c:pt>
                <c:pt idx="92">
                  <c:v>0.12123</c:v>
                </c:pt>
                <c:pt idx="93">
                  <c:v>0.12123</c:v>
                </c:pt>
                <c:pt idx="94">
                  <c:v>0.12123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B-3FE4-445B-8EEB-D88489EA6296}"/>
            </c:ext>
          </c:extLst>
        </c:ser>
        <c:ser>
          <c:idx val="29"/>
          <c:order val="2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'99set'!$AE$10:$AE$104</c:f>
              <c:numCache>
                <c:formatCode>0.0000</c:formatCode>
                <c:ptCount val="95"/>
                <c:pt idx="0">
                  <c:v>3.9813000000000001E-2</c:v>
                </c:pt>
                <c:pt idx="1">
                  <c:v>3.9813000000000001E-2</c:v>
                </c:pt>
                <c:pt idx="2">
                  <c:v>3.9813000000000001E-2</c:v>
                </c:pt>
                <c:pt idx="3">
                  <c:v>3.9813000000000001E-2</c:v>
                </c:pt>
                <c:pt idx="4">
                  <c:v>3.9813000000000001E-2</c:v>
                </c:pt>
                <c:pt idx="5">
                  <c:v>4.1549999999999997E-2</c:v>
                </c:pt>
                <c:pt idx="6">
                  <c:v>4.3360000000000003E-2</c:v>
                </c:pt>
                <c:pt idx="7">
                  <c:v>4.5246000000000001E-2</c:v>
                </c:pt>
                <c:pt idx="8">
                  <c:v>4.7981000000000003E-2</c:v>
                </c:pt>
                <c:pt idx="9">
                  <c:v>4.8864999999999999E-2</c:v>
                </c:pt>
                <c:pt idx="10">
                  <c:v>5.1145000000000003E-2</c:v>
                </c:pt>
                <c:pt idx="11">
                  <c:v>5.4778E-2</c:v>
                </c:pt>
                <c:pt idx="12">
                  <c:v>5.9720000000000002E-2</c:v>
                </c:pt>
                <c:pt idx="13">
                  <c:v>6.6113000000000005E-2</c:v>
                </c:pt>
                <c:pt idx="14">
                  <c:v>7.4829000000000007E-2</c:v>
                </c:pt>
                <c:pt idx="15">
                  <c:v>8.6830000000000004E-2</c:v>
                </c:pt>
                <c:pt idx="16">
                  <c:v>0.1027</c:v>
                </c:pt>
                <c:pt idx="17">
                  <c:v>0.12281</c:v>
                </c:pt>
                <c:pt idx="18">
                  <c:v>0.14710999999999999</c:v>
                </c:pt>
                <c:pt idx="19">
                  <c:v>0.17523</c:v>
                </c:pt>
                <c:pt idx="20">
                  <c:v>0.20610999999999999</c:v>
                </c:pt>
                <c:pt idx="21">
                  <c:v>0.23841999999999999</c:v>
                </c:pt>
                <c:pt idx="22">
                  <c:v>0.27043</c:v>
                </c:pt>
                <c:pt idx="23">
                  <c:v>0.30065999999999998</c:v>
                </c:pt>
                <c:pt idx="24">
                  <c:v>0.32891999999999999</c:v>
                </c:pt>
                <c:pt idx="25">
                  <c:v>0.35532999999999998</c:v>
                </c:pt>
                <c:pt idx="26">
                  <c:v>0.37996999999999997</c:v>
                </c:pt>
                <c:pt idx="27">
                  <c:v>0.40328000000000003</c:v>
                </c:pt>
                <c:pt idx="28">
                  <c:v>0.42723</c:v>
                </c:pt>
                <c:pt idx="29">
                  <c:v>0.45368999999999998</c:v>
                </c:pt>
                <c:pt idx="30">
                  <c:v>0.48276999999999998</c:v>
                </c:pt>
                <c:pt idx="31">
                  <c:v>0.51378000000000001</c:v>
                </c:pt>
                <c:pt idx="32">
                  <c:v>0.54473000000000005</c:v>
                </c:pt>
                <c:pt idx="33">
                  <c:v>0.57367000000000001</c:v>
                </c:pt>
                <c:pt idx="34">
                  <c:v>0.60006000000000004</c:v>
                </c:pt>
                <c:pt idx="35">
                  <c:v>0.62365000000000004</c:v>
                </c:pt>
                <c:pt idx="36">
                  <c:v>0.64365000000000006</c:v>
                </c:pt>
                <c:pt idx="37">
                  <c:v>0.65956000000000004</c:v>
                </c:pt>
                <c:pt idx="38">
                  <c:v>0.67223999999999995</c:v>
                </c:pt>
                <c:pt idx="39">
                  <c:v>0.68279999999999996</c:v>
                </c:pt>
                <c:pt idx="40">
                  <c:v>0.69184000000000001</c:v>
                </c:pt>
                <c:pt idx="41">
                  <c:v>0.69974999999999998</c:v>
                </c:pt>
                <c:pt idx="42">
                  <c:v>0.70674000000000003</c:v>
                </c:pt>
                <c:pt idx="43">
                  <c:v>0.71304999999999996</c:v>
                </c:pt>
                <c:pt idx="44">
                  <c:v>0.71909999999999996</c:v>
                </c:pt>
                <c:pt idx="45">
                  <c:v>0.72521000000000002</c:v>
                </c:pt>
                <c:pt idx="46">
                  <c:v>0.73114000000000001</c:v>
                </c:pt>
                <c:pt idx="47">
                  <c:v>0.73663000000000001</c:v>
                </c:pt>
                <c:pt idx="48">
                  <c:v>0.74195999999999995</c:v>
                </c:pt>
                <c:pt idx="49">
                  <c:v>0.74751000000000001</c:v>
                </c:pt>
                <c:pt idx="50">
                  <c:v>0.75349999999999995</c:v>
                </c:pt>
                <c:pt idx="51">
                  <c:v>0.75999000000000005</c:v>
                </c:pt>
                <c:pt idx="52">
                  <c:v>0.76666999999999996</c:v>
                </c:pt>
                <c:pt idx="53">
                  <c:v>0.77307999999999999</c:v>
                </c:pt>
                <c:pt idx="54">
                  <c:v>0.77881999999999996</c:v>
                </c:pt>
                <c:pt idx="55">
                  <c:v>0.78351000000000004</c:v>
                </c:pt>
                <c:pt idx="56">
                  <c:v>0.78708999999999996</c:v>
                </c:pt>
                <c:pt idx="57">
                  <c:v>0.78961999999999999</c:v>
                </c:pt>
                <c:pt idx="58">
                  <c:v>0.79147999999999996</c:v>
                </c:pt>
                <c:pt idx="59">
                  <c:v>0.79320999999999997</c:v>
                </c:pt>
                <c:pt idx="60">
                  <c:v>0.79596999999999996</c:v>
                </c:pt>
                <c:pt idx="61">
                  <c:v>0.80059999999999998</c:v>
                </c:pt>
                <c:pt idx="62">
                  <c:v>0.80637999999999999</c:v>
                </c:pt>
                <c:pt idx="63">
                  <c:v>0.81235999999999997</c:v>
                </c:pt>
                <c:pt idx="64">
                  <c:v>0.81832000000000005</c:v>
                </c:pt>
                <c:pt idx="65">
                  <c:v>0.82418999999999998</c:v>
                </c:pt>
                <c:pt idx="66">
                  <c:v>0.82976000000000005</c:v>
                </c:pt>
                <c:pt idx="67">
                  <c:v>0.83482000000000001</c:v>
                </c:pt>
                <c:pt idx="68">
                  <c:v>0.83914999999999995</c:v>
                </c:pt>
                <c:pt idx="69">
                  <c:v>0.84423000000000004</c:v>
                </c:pt>
                <c:pt idx="70">
                  <c:v>0.84884999999999999</c:v>
                </c:pt>
                <c:pt idx="71">
                  <c:v>0.85335000000000005</c:v>
                </c:pt>
                <c:pt idx="72">
                  <c:v>0.85775000000000001</c:v>
                </c:pt>
                <c:pt idx="73">
                  <c:v>0.86202999999999996</c:v>
                </c:pt>
                <c:pt idx="74">
                  <c:v>0.86621000000000004</c:v>
                </c:pt>
                <c:pt idx="75">
                  <c:v>0.87028000000000005</c:v>
                </c:pt>
                <c:pt idx="76">
                  <c:v>0.87424000000000002</c:v>
                </c:pt>
                <c:pt idx="77">
                  <c:v>0.87809999999999999</c:v>
                </c:pt>
                <c:pt idx="78">
                  <c:v>0.88185000000000002</c:v>
                </c:pt>
                <c:pt idx="79">
                  <c:v>0.88551000000000002</c:v>
                </c:pt>
                <c:pt idx="80">
                  <c:v>0.88905999999999996</c:v>
                </c:pt>
                <c:pt idx="81">
                  <c:v>0.89251999999999998</c:v>
                </c:pt>
                <c:pt idx="82">
                  <c:v>0.89588999999999996</c:v>
                </c:pt>
                <c:pt idx="83">
                  <c:v>0.89915999999999996</c:v>
                </c:pt>
                <c:pt idx="84">
                  <c:v>0.90232999999999997</c:v>
                </c:pt>
                <c:pt idx="85">
                  <c:v>0.90232999999999997</c:v>
                </c:pt>
                <c:pt idx="86">
                  <c:v>0.90232999999999997</c:v>
                </c:pt>
                <c:pt idx="87">
                  <c:v>0.90232999999999997</c:v>
                </c:pt>
                <c:pt idx="88">
                  <c:v>0.90232999999999997</c:v>
                </c:pt>
                <c:pt idx="89">
                  <c:v>0.90232999999999997</c:v>
                </c:pt>
                <c:pt idx="90">
                  <c:v>0.90232999999999997</c:v>
                </c:pt>
                <c:pt idx="91">
                  <c:v>0.90232999999999997</c:v>
                </c:pt>
                <c:pt idx="92">
                  <c:v>0.90232999999999997</c:v>
                </c:pt>
                <c:pt idx="93">
                  <c:v>0.90232999999999997</c:v>
                </c:pt>
                <c:pt idx="94">
                  <c:v>0.90232999999999997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C-3FE4-445B-8EEB-D88489EA6296}"/>
            </c:ext>
          </c:extLst>
        </c:ser>
        <c:ser>
          <c:idx val="30"/>
          <c:order val="2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'99set'!$AF$10:$AF$104</c:f>
              <c:numCache>
                <c:formatCode>0.0000</c:formatCode>
                <c:ptCount val="95"/>
                <c:pt idx="0">
                  <c:v>3.0429999999999999E-2</c:v>
                </c:pt>
                <c:pt idx="1">
                  <c:v>3.0429999999999999E-2</c:v>
                </c:pt>
                <c:pt idx="2">
                  <c:v>3.0429999999999999E-2</c:v>
                </c:pt>
                <c:pt idx="3">
                  <c:v>3.0429999999999999E-2</c:v>
                </c:pt>
                <c:pt idx="4">
                  <c:v>3.0429999999999999E-2</c:v>
                </c:pt>
                <c:pt idx="5">
                  <c:v>3.1975999999999997E-2</c:v>
                </c:pt>
                <c:pt idx="6">
                  <c:v>3.1345999999999999E-2</c:v>
                </c:pt>
                <c:pt idx="7">
                  <c:v>2.9564E-2</c:v>
                </c:pt>
                <c:pt idx="8">
                  <c:v>2.7990999999999999E-2</c:v>
                </c:pt>
                <c:pt idx="9">
                  <c:v>2.9426999999999998E-2</c:v>
                </c:pt>
                <c:pt idx="10">
                  <c:v>3.1586999999999997E-2</c:v>
                </c:pt>
                <c:pt idx="11">
                  <c:v>3.0540999999999999E-2</c:v>
                </c:pt>
                <c:pt idx="12">
                  <c:v>3.0682000000000001E-2</c:v>
                </c:pt>
                <c:pt idx="13">
                  <c:v>3.5104000000000003E-2</c:v>
                </c:pt>
                <c:pt idx="14">
                  <c:v>4.6177999999999997E-2</c:v>
                </c:pt>
                <c:pt idx="15">
                  <c:v>5.8576999999999997E-2</c:v>
                </c:pt>
                <c:pt idx="16">
                  <c:v>7.3777999999999996E-2</c:v>
                </c:pt>
                <c:pt idx="17">
                  <c:v>9.7105999999999998E-2</c:v>
                </c:pt>
                <c:pt idx="18">
                  <c:v>0.12842999999999999</c:v>
                </c:pt>
                <c:pt idx="19">
                  <c:v>0.16070999999999999</c:v>
                </c:pt>
                <c:pt idx="20">
                  <c:v>0.18945000000000001</c:v>
                </c:pt>
                <c:pt idx="21">
                  <c:v>0.21301</c:v>
                </c:pt>
                <c:pt idx="22">
                  <c:v>0.23025000000000001</c:v>
                </c:pt>
                <c:pt idx="23">
                  <c:v>0.23860000000000001</c:v>
                </c:pt>
                <c:pt idx="24">
                  <c:v>0.24313000000000001</c:v>
                </c:pt>
                <c:pt idx="25">
                  <c:v>0.24970000000000001</c:v>
                </c:pt>
                <c:pt idx="26">
                  <c:v>0.25714999999999999</c:v>
                </c:pt>
                <c:pt idx="27">
                  <c:v>0.26432</c:v>
                </c:pt>
                <c:pt idx="28">
                  <c:v>0.27011000000000002</c:v>
                </c:pt>
                <c:pt idx="29">
                  <c:v>0.27155000000000001</c:v>
                </c:pt>
                <c:pt idx="30">
                  <c:v>0.27200000000000002</c:v>
                </c:pt>
                <c:pt idx="31">
                  <c:v>0.27353</c:v>
                </c:pt>
                <c:pt idx="32">
                  <c:v>0.27629999999999999</c:v>
                </c:pt>
                <c:pt idx="33">
                  <c:v>0.27818999999999999</c:v>
                </c:pt>
                <c:pt idx="34">
                  <c:v>0.27861999999999998</c:v>
                </c:pt>
                <c:pt idx="35">
                  <c:v>0.27889000000000003</c:v>
                </c:pt>
                <c:pt idx="36">
                  <c:v>0.27955000000000002</c:v>
                </c:pt>
                <c:pt idx="37">
                  <c:v>0.28172999999999998</c:v>
                </c:pt>
                <c:pt idx="38">
                  <c:v>0.28523999999999999</c:v>
                </c:pt>
                <c:pt idx="39">
                  <c:v>0.28832999999999998</c:v>
                </c:pt>
                <c:pt idx="40">
                  <c:v>0.29176999999999997</c:v>
                </c:pt>
                <c:pt idx="41">
                  <c:v>0.29664000000000001</c:v>
                </c:pt>
                <c:pt idx="42">
                  <c:v>0.30153999999999997</c:v>
                </c:pt>
                <c:pt idx="43">
                  <c:v>0.30507000000000001</c:v>
                </c:pt>
                <c:pt idx="44">
                  <c:v>0.30870999999999998</c:v>
                </c:pt>
                <c:pt idx="45">
                  <c:v>0.31340000000000001</c:v>
                </c:pt>
                <c:pt idx="46">
                  <c:v>0.31902999999999998</c:v>
                </c:pt>
                <c:pt idx="47">
                  <c:v>0.32508999999999999</c:v>
                </c:pt>
                <c:pt idx="48">
                  <c:v>0.32973999999999998</c:v>
                </c:pt>
                <c:pt idx="49">
                  <c:v>0.33388000000000001</c:v>
                </c:pt>
                <c:pt idx="50">
                  <c:v>0.33894000000000002</c:v>
                </c:pt>
                <c:pt idx="51">
                  <c:v>0.3422</c:v>
                </c:pt>
                <c:pt idx="52">
                  <c:v>0.34450999999999998</c:v>
                </c:pt>
                <c:pt idx="53">
                  <c:v>0.34660999999999997</c:v>
                </c:pt>
                <c:pt idx="54">
                  <c:v>0.34778999999999999</c:v>
                </c:pt>
                <c:pt idx="55">
                  <c:v>0.35039999999999999</c:v>
                </c:pt>
                <c:pt idx="56">
                  <c:v>0.35437999999999997</c:v>
                </c:pt>
                <c:pt idx="57">
                  <c:v>0.35485</c:v>
                </c:pt>
                <c:pt idx="58">
                  <c:v>0.35338000000000003</c:v>
                </c:pt>
                <c:pt idx="59">
                  <c:v>0.35403000000000001</c:v>
                </c:pt>
                <c:pt idx="60">
                  <c:v>0.35560999999999998</c:v>
                </c:pt>
                <c:pt idx="61">
                  <c:v>0.35852000000000001</c:v>
                </c:pt>
                <c:pt idx="62">
                  <c:v>0.35970999999999997</c:v>
                </c:pt>
                <c:pt idx="63">
                  <c:v>0.35738999999999999</c:v>
                </c:pt>
                <c:pt idx="64">
                  <c:v>0.35449000000000003</c:v>
                </c:pt>
                <c:pt idx="65">
                  <c:v>0.35372999999999999</c:v>
                </c:pt>
                <c:pt idx="66">
                  <c:v>0.35539999999999999</c:v>
                </c:pt>
                <c:pt idx="67">
                  <c:v>0.36075000000000002</c:v>
                </c:pt>
                <c:pt idx="68">
                  <c:v>0.36514000000000002</c:v>
                </c:pt>
                <c:pt idx="69">
                  <c:v>0.36958999999999997</c:v>
                </c:pt>
                <c:pt idx="70">
                  <c:v>0.37419000000000002</c:v>
                </c:pt>
                <c:pt idx="71">
                  <c:v>0.37881999999999999</c:v>
                </c:pt>
                <c:pt idx="72">
                  <c:v>0.38347999999999999</c:v>
                </c:pt>
                <c:pt idx="73">
                  <c:v>0.38815</c:v>
                </c:pt>
                <c:pt idx="74">
                  <c:v>0.39284000000000002</c:v>
                </c:pt>
                <c:pt idx="75">
                  <c:v>0.39756000000000002</c:v>
                </c:pt>
                <c:pt idx="76">
                  <c:v>0.40228999999999998</c:v>
                </c:pt>
                <c:pt idx="77">
                  <c:v>0.40704000000000001</c:v>
                </c:pt>
                <c:pt idx="78">
                  <c:v>0.41181000000000001</c:v>
                </c:pt>
                <c:pt idx="79">
                  <c:v>0.41660000000000003</c:v>
                </c:pt>
                <c:pt idx="80">
                  <c:v>0.4214</c:v>
                </c:pt>
                <c:pt idx="81">
                  <c:v>0.42621999999999999</c:v>
                </c:pt>
                <c:pt idx="82">
                  <c:v>0.43104999999999999</c:v>
                </c:pt>
                <c:pt idx="83">
                  <c:v>0.43589</c:v>
                </c:pt>
                <c:pt idx="84">
                  <c:v>0.44074000000000002</c:v>
                </c:pt>
                <c:pt idx="85">
                  <c:v>0.44074000000000002</c:v>
                </c:pt>
                <c:pt idx="86">
                  <c:v>0.44074000000000002</c:v>
                </c:pt>
                <c:pt idx="87">
                  <c:v>0.44074000000000002</c:v>
                </c:pt>
                <c:pt idx="88">
                  <c:v>0.44074000000000002</c:v>
                </c:pt>
                <c:pt idx="89">
                  <c:v>0.44074000000000002</c:v>
                </c:pt>
                <c:pt idx="90">
                  <c:v>0.44074000000000002</c:v>
                </c:pt>
                <c:pt idx="91">
                  <c:v>0.44074000000000002</c:v>
                </c:pt>
                <c:pt idx="92">
                  <c:v>0.44074000000000002</c:v>
                </c:pt>
                <c:pt idx="93">
                  <c:v>0.44074000000000002</c:v>
                </c:pt>
                <c:pt idx="94">
                  <c:v>0.44074000000000002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D-3FE4-445B-8EEB-D88489EA6296}"/>
            </c:ext>
          </c:extLst>
        </c:ser>
        <c:ser>
          <c:idx val="31"/>
          <c:order val="3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'99set'!$AG$10:$AG$104</c:f>
              <c:numCache>
                <c:formatCode>0.0000</c:formatCode>
                <c:ptCount val="95"/>
                <c:pt idx="0">
                  <c:v>4.4010000000000001E-2</c:v>
                </c:pt>
                <c:pt idx="1">
                  <c:v>4.4010000000000001E-2</c:v>
                </c:pt>
                <c:pt idx="2">
                  <c:v>4.4010000000000001E-2</c:v>
                </c:pt>
                <c:pt idx="3">
                  <c:v>4.4010000000000001E-2</c:v>
                </c:pt>
                <c:pt idx="4">
                  <c:v>4.4010000000000001E-2</c:v>
                </c:pt>
                <c:pt idx="5">
                  <c:v>4.3734000000000002E-2</c:v>
                </c:pt>
                <c:pt idx="6">
                  <c:v>4.4990000000000002E-2</c:v>
                </c:pt>
                <c:pt idx="7">
                  <c:v>4.7608999999999999E-2</c:v>
                </c:pt>
                <c:pt idx="8">
                  <c:v>5.142E-2</c:v>
                </c:pt>
                <c:pt idx="9">
                  <c:v>5.6238000000000003E-2</c:v>
                </c:pt>
                <c:pt idx="10">
                  <c:v>6.182E-2</c:v>
                </c:pt>
                <c:pt idx="11">
                  <c:v>6.8087999999999996E-2</c:v>
                </c:pt>
                <c:pt idx="12">
                  <c:v>7.5689999999999993E-2</c:v>
                </c:pt>
                <c:pt idx="13">
                  <c:v>8.5318000000000005E-2</c:v>
                </c:pt>
                <c:pt idx="14">
                  <c:v>9.7119999999999998E-2</c:v>
                </c:pt>
                <c:pt idx="15">
                  <c:v>0.11108</c:v>
                </c:pt>
                <c:pt idx="16">
                  <c:v>0.12709999999999999</c:v>
                </c:pt>
                <c:pt idx="17">
                  <c:v>0.14513000000000001</c:v>
                </c:pt>
                <c:pt idx="18">
                  <c:v>0.16550999999999999</c:v>
                </c:pt>
                <c:pt idx="19">
                  <c:v>0.1885</c:v>
                </c:pt>
                <c:pt idx="20">
                  <c:v>0.21364</c:v>
                </c:pt>
                <c:pt idx="21">
                  <c:v>0.24081</c:v>
                </c:pt>
                <c:pt idx="22">
                  <c:v>0.27189000000000002</c:v>
                </c:pt>
                <c:pt idx="23">
                  <c:v>0.30813000000000001</c:v>
                </c:pt>
                <c:pt idx="24">
                  <c:v>0.34621000000000002</c:v>
                </c:pt>
                <c:pt idx="25">
                  <c:v>0.38299</c:v>
                </c:pt>
                <c:pt idx="26">
                  <c:v>0.42054999999999998</c:v>
                </c:pt>
                <c:pt idx="27">
                  <c:v>0.46096999999999999</c:v>
                </c:pt>
                <c:pt idx="28">
                  <c:v>0.50100999999999996</c:v>
                </c:pt>
                <c:pt idx="29">
                  <c:v>0.53702000000000005</c:v>
                </c:pt>
                <c:pt idx="30">
                  <c:v>0.56908000000000003</c:v>
                </c:pt>
                <c:pt idx="31">
                  <c:v>0.59785999999999995</c:v>
                </c:pt>
                <c:pt idx="32">
                  <c:v>0.62260000000000004</c:v>
                </c:pt>
                <c:pt idx="33">
                  <c:v>0.64263999999999999</c:v>
                </c:pt>
                <c:pt idx="34">
                  <c:v>0.65920999999999996</c:v>
                </c:pt>
                <c:pt idx="35">
                  <c:v>0.67373000000000005</c:v>
                </c:pt>
                <c:pt idx="36">
                  <c:v>0.68657000000000001</c:v>
                </c:pt>
                <c:pt idx="37">
                  <c:v>0.69789999999999996</c:v>
                </c:pt>
                <c:pt idx="38">
                  <c:v>0.70804</c:v>
                </c:pt>
                <c:pt idx="39">
                  <c:v>0.71733999999999998</c:v>
                </c:pt>
                <c:pt idx="40">
                  <c:v>0.72614999999999996</c:v>
                </c:pt>
                <c:pt idx="41">
                  <c:v>0.73467000000000005</c:v>
                </c:pt>
                <c:pt idx="42">
                  <c:v>0.74241000000000001</c:v>
                </c:pt>
                <c:pt idx="43">
                  <c:v>0.74895</c:v>
                </c:pt>
                <c:pt idx="44">
                  <c:v>0.75483999999999996</c:v>
                </c:pt>
                <c:pt idx="45">
                  <c:v>0.76070000000000004</c:v>
                </c:pt>
                <c:pt idx="46">
                  <c:v>0.76648000000000005</c:v>
                </c:pt>
                <c:pt idx="47">
                  <c:v>0.77190000000000003</c:v>
                </c:pt>
                <c:pt idx="48">
                  <c:v>0.77654999999999996</c:v>
                </c:pt>
                <c:pt idx="49">
                  <c:v>0.78017000000000003</c:v>
                </c:pt>
                <c:pt idx="50">
                  <c:v>0.78325999999999996</c:v>
                </c:pt>
                <c:pt idx="51">
                  <c:v>0.78641000000000005</c:v>
                </c:pt>
                <c:pt idx="52">
                  <c:v>0.78978000000000004</c:v>
                </c:pt>
                <c:pt idx="53">
                  <c:v>0.79337999999999997</c:v>
                </c:pt>
                <c:pt idx="54">
                  <c:v>0.79693999999999998</c:v>
                </c:pt>
                <c:pt idx="55">
                  <c:v>0.80012000000000005</c:v>
                </c:pt>
                <c:pt idx="56">
                  <c:v>0.80264000000000002</c:v>
                </c:pt>
                <c:pt idx="57">
                  <c:v>0.80445</c:v>
                </c:pt>
                <c:pt idx="58">
                  <c:v>0.80640000000000001</c:v>
                </c:pt>
                <c:pt idx="59">
                  <c:v>0.80915999999999999</c:v>
                </c:pt>
                <c:pt idx="60">
                  <c:v>0.81169999999999998</c:v>
                </c:pt>
                <c:pt idx="61">
                  <c:v>0.81301999999999996</c:v>
                </c:pt>
                <c:pt idx="62">
                  <c:v>0.81388000000000005</c:v>
                </c:pt>
                <c:pt idx="63">
                  <c:v>0.81523999999999996</c:v>
                </c:pt>
                <c:pt idx="64">
                  <c:v>0.81721999999999995</c:v>
                </c:pt>
                <c:pt idx="65">
                  <c:v>0.81966000000000006</c:v>
                </c:pt>
                <c:pt idx="66">
                  <c:v>0.82215000000000005</c:v>
                </c:pt>
                <c:pt idx="67">
                  <c:v>0.82428999999999997</c:v>
                </c:pt>
                <c:pt idx="68">
                  <c:v>0.82611000000000001</c:v>
                </c:pt>
                <c:pt idx="69">
                  <c:v>0.82769000000000004</c:v>
                </c:pt>
                <c:pt idx="70">
                  <c:v>0.82899</c:v>
                </c:pt>
                <c:pt idx="71">
                  <c:v>0.82992999999999995</c:v>
                </c:pt>
                <c:pt idx="72">
                  <c:v>0.83048</c:v>
                </c:pt>
                <c:pt idx="73">
                  <c:v>0.8306</c:v>
                </c:pt>
                <c:pt idx="74">
                  <c:v>0.83026</c:v>
                </c:pt>
                <c:pt idx="75">
                  <c:v>0.8306</c:v>
                </c:pt>
                <c:pt idx="76">
                  <c:v>0.83067000000000002</c:v>
                </c:pt>
                <c:pt idx="77">
                  <c:v>0.83074000000000003</c:v>
                </c:pt>
                <c:pt idx="78">
                  <c:v>0.83081000000000005</c:v>
                </c:pt>
                <c:pt idx="79">
                  <c:v>0.83087999999999995</c:v>
                </c:pt>
                <c:pt idx="80">
                  <c:v>0.83094999999999997</c:v>
                </c:pt>
                <c:pt idx="81">
                  <c:v>0.83101999999999998</c:v>
                </c:pt>
                <c:pt idx="82">
                  <c:v>0.83109</c:v>
                </c:pt>
                <c:pt idx="83">
                  <c:v>0.83116000000000001</c:v>
                </c:pt>
                <c:pt idx="84">
                  <c:v>0.83123000000000002</c:v>
                </c:pt>
                <c:pt idx="85">
                  <c:v>0.83123000000000002</c:v>
                </c:pt>
                <c:pt idx="86">
                  <c:v>0.83123000000000002</c:v>
                </c:pt>
                <c:pt idx="87">
                  <c:v>0.83123000000000002</c:v>
                </c:pt>
                <c:pt idx="88">
                  <c:v>0.83123000000000002</c:v>
                </c:pt>
                <c:pt idx="89">
                  <c:v>0.83123000000000002</c:v>
                </c:pt>
                <c:pt idx="90">
                  <c:v>0.83123000000000002</c:v>
                </c:pt>
                <c:pt idx="91">
                  <c:v>0.83123000000000002</c:v>
                </c:pt>
                <c:pt idx="92">
                  <c:v>0.83123000000000002</c:v>
                </c:pt>
                <c:pt idx="93">
                  <c:v>0.83123000000000002</c:v>
                </c:pt>
                <c:pt idx="94">
                  <c:v>0.83123000000000002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E-3FE4-445B-8EEB-D88489EA6296}"/>
            </c:ext>
          </c:extLst>
        </c:ser>
        <c:ser>
          <c:idx val="32"/>
          <c:order val="3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'99set'!$AH$10:$AH$104</c:f>
              <c:numCache>
                <c:formatCode>0.0000</c:formatCode>
                <c:ptCount val="95"/>
                <c:pt idx="0">
                  <c:v>4.6276999999999999E-2</c:v>
                </c:pt>
                <c:pt idx="1">
                  <c:v>4.6276999999999999E-2</c:v>
                </c:pt>
                <c:pt idx="2">
                  <c:v>4.6276999999999999E-2</c:v>
                </c:pt>
                <c:pt idx="3">
                  <c:v>4.6276999999999999E-2</c:v>
                </c:pt>
                <c:pt idx="4">
                  <c:v>4.6276999999999999E-2</c:v>
                </c:pt>
                <c:pt idx="5">
                  <c:v>4.5415999999999998E-2</c:v>
                </c:pt>
                <c:pt idx="6">
                  <c:v>4.4571E-2</c:v>
                </c:pt>
                <c:pt idx="7">
                  <c:v>4.3741000000000002E-2</c:v>
                </c:pt>
                <c:pt idx="8">
                  <c:v>4.2900000000000001E-2</c:v>
                </c:pt>
                <c:pt idx="9">
                  <c:v>4.2057999999999998E-2</c:v>
                </c:pt>
                <c:pt idx="10">
                  <c:v>4.1099999999999998E-2</c:v>
                </c:pt>
                <c:pt idx="11">
                  <c:v>4.0689000000000003E-2</c:v>
                </c:pt>
                <c:pt idx="12">
                  <c:v>4.1000000000000002E-2</c:v>
                </c:pt>
                <c:pt idx="13">
                  <c:v>4.2085999999999998E-2</c:v>
                </c:pt>
                <c:pt idx="14">
                  <c:v>4.3999999999999997E-2</c:v>
                </c:pt>
                <c:pt idx="15">
                  <c:v>4.6793000000000001E-2</c:v>
                </c:pt>
                <c:pt idx="16">
                  <c:v>5.0500000000000003E-2</c:v>
                </c:pt>
                <c:pt idx="17">
                  <c:v>5.5216000000000001E-2</c:v>
                </c:pt>
                <c:pt idx="18">
                  <c:v>6.13E-2</c:v>
                </c:pt>
                <c:pt idx="19">
                  <c:v>6.9130999999999998E-2</c:v>
                </c:pt>
                <c:pt idx="20">
                  <c:v>7.8899999999999998E-2</c:v>
                </c:pt>
                <c:pt idx="21">
                  <c:v>9.0773000000000006E-2</c:v>
                </c:pt>
                <c:pt idx="22">
                  <c:v>0.105</c:v>
                </c:pt>
                <c:pt idx="23">
                  <c:v>0.12180000000000001</c:v>
                </c:pt>
                <c:pt idx="24">
                  <c:v>0.14119999999999999</c:v>
                </c:pt>
                <c:pt idx="25">
                  <c:v>0.16306999999999999</c:v>
                </c:pt>
                <c:pt idx="26">
                  <c:v>0.18690000000000001</c:v>
                </c:pt>
                <c:pt idx="27">
                  <c:v>0.21218000000000001</c:v>
                </c:pt>
                <c:pt idx="28">
                  <c:v>0.2387</c:v>
                </c:pt>
                <c:pt idx="29">
                  <c:v>0.26635999999999999</c:v>
                </c:pt>
                <c:pt idx="30">
                  <c:v>0.29520000000000002</c:v>
                </c:pt>
                <c:pt idx="31">
                  <c:v>0.32517000000000001</c:v>
                </c:pt>
                <c:pt idx="32">
                  <c:v>0.35580000000000001</c:v>
                </c:pt>
                <c:pt idx="33">
                  <c:v>0.38644000000000001</c:v>
                </c:pt>
                <c:pt idx="34">
                  <c:v>0.41620000000000001</c:v>
                </c:pt>
                <c:pt idx="35">
                  <c:v>0.44402000000000003</c:v>
                </c:pt>
                <c:pt idx="36">
                  <c:v>0.46829999999999999</c:v>
                </c:pt>
                <c:pt idx="37">
                  <c:v>0.48755999999999999</c:v>
                </c:pt>
                <c:pt idx="38">
                  <c:v>0.50129999999999997</c:v>
                </c:pt>
                <c:pt idx="39">
                  <c:v>0.50941000000000003</c:v>
                </c:pt>
                <c:pt idx="40">
                  <c:v>0.51239999999999997</c:v>
                </c:pt>
                <c:pt idx="41">
                  <c:v>0.51112999999999997</c:v>
                </c:pt>
                <c:pt idx="42">
                  <c:v>0.50719999999999998</c:v>
                </c:pt>
                <c:pt idx="43">
                  <c:v>0.50234999999999996</c:v>
                </c:pt>
                <c:pt idx="44">
                  <c:v>0.498</c:v>
                </c:pt>
                <c:pt idx="45">
                  <c:v>0.49512</c:v>
                </c:pt>
                <c:pt idx="46">
                  <c:v>0.49309999999999998</c:v>
                </c:pt>
                <c:pt idx="47">
                  <c:v>0.49092999999999998</c:v>
                </c:pt>
                <c:pt idx="48">
                  <c:v>0.48759999999999998</c:v>
                </c:pt>
                <c:pt idx="49">
                  <c:v>0.48248000000000002</c:v>
                </c:pt>
                <c:pt idx="50">
                  <c:v>0.4763</c:v>
                </c:pt>
                <c:pt idx="51">
                  <c:v>0.4703</c:v>
                </c:pt>
                <c:pt idx="52">
                  <c:v>0.46629999999999999</c:v>
                </c:pt>
                <c:pt idx="53">
                  <c:v>0.46622999999999998</c:v>
                </c:pt>
                <c:pt idx="54">
                  <c:v>0.47199999999999998</c:v>
                </c:pt>
                <c:pt idx="55">
                  <c:v>0.48518</c:v>
                </c:pt>
                <c:pt idx="56">
                  <c:v>0.50609999999999999</c:v>
                </c:pt>
                <c:pt idx="57">
                  <c:v>0.53447</c:v>
                </c:pt>
                <c:pt idx="58">
                  <c:v>0.56879999999999997</c:v>
                </c:pt>
                <c:pt idx="59">
                  <c:v>0.60699000000000003</c:v>
                </c:pt>
                <c:pt idx="60">
                  <c:v>0.64570000000000005</c:v>
                </c:pt>
                <c:pt idx="61">
                  <c:v>0.68172999999999995</c:v>
                </c:pt>
                <c:pt idx="62">
                  <c:v>0.71379999999999999</c:v>
                </c:pt>
                <c:pt idx="63">
                  <c:v>0.74151</c:v>
                </c:pt>
                <c:pt idx="64">
                  <c:v>0.76619999999999999</c:v>
                </c:pt>
                <c:pt idx="65">
                  <c:v>0.78956000000000004</c:v>
                </c:pt>
                <c:pt idx="66">
                  <c:v>0.81310000000000004</c:v>
                </c:pt>
                <c:pt idx="67">
                  <c:v>0.83652000000000004</c:v>
                </c:pt>
                <c:pt idx="68">
                  <c:v>0.85260000000000002</c:v>
                </c:pt>
                <c:pt idx="69">
                  <c:v>0.86699000000000004</c:v>
                </c:pt>
                <c:pt idx="70">
                  <c:v>0.87978999999999996</c:v>
                </c:pt>
                <c:pt idx="71">
                  <c:v>0.89151000000000002</c:v>
                </c:pt>
                <c:pt idx="72">
                  <c:v>0.90220999999999996</c:v>
                </c:pt>
                <c:pt idx="73">
                  <c:v>0.91195999999999999</c:v>
                </c:pt>
                <c:pt idx="74">
                  <c:v>0.92083000000000004</c:v>
                </c:pt>
                <c:pt idx="75">
                  <c:v>0.92886999999999997</c:v>
                </c:pt>
                <c:pt idx="76">
                  <c:v>0.93615000000000004</c:v>
                </c:pt>
                <c:pt idx="77">
                  <c:v>0.94272999999999996</c:v>
                </c:pt>
                <c:pt idx="78">
                  <c:v>0.94867000000000001</c:v>
                </c:pt>
                <c:pt idx="79">
                  <c:v>0.95403000000000004</c:v>
                </c:pt>
                <c:pt idx="80">
                  <c:v>0.95884999999999998</c:v>
                </c:pt>
                <c:pt idx="81">
                  <c:v>0.96318000000000004</c:v>
                </c:pt>
                <c:pt idx="82">
                  <c:v>0.96706999999999999</c:v>
                </c:pt>
                <c:pt idx="83">
                  <c:v>0.97057000000000004</c:v>
                </c:pt>
                <c:pt idx="84">
                  <c:v>0.97370000000000001</c:v>
                </c:pt>
                <c:pt idx="85">
                  <c:v>0.97370000000000001</c:v>
                </c:pt>
                <c:pt idx="86">
                  <c:v>0.97370000000000001</c:v>
                </c:pt>
                <c:pt idx="87">
                  <c:v>0.97370000000000001</c:v>
                </c:pt>
                <c:pt idx="88">
                  <c:v>0.97370000000000001</c:v>
                </c:pt>
                <c:pt idx="89">
                  <c:v>0.97370000000000001</c:v>
                </c:pt>
                <c:pt idx="90">
                  <c:v>0.97370000000000001</c:v>
                </c:pt>
                <c:pt idx="91">
                  <c:v>0.97370000000000001</c:v>
                </c:pt>
                <c:pt idx="92">
                  <c:v>0.97370000000000001</c:v>
                </c:pt>
                <c:pt idx="93">
                  <c:v>0.97370000000000001</c:v>
                </c:pt>
                <c:pt idx="94">
                  <c:v>0.97370000000000001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F-3FE4-445B-8EEB-D88489EA6296}"/>
            </c:ext>
          </c:extLst>
        </c:ser>
        <c:ser>
          <c:idx val="33"/>
          <c:order val="3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'99set'!$AI$10:$AI$104</c:f>
              <c:numCache>
                <c:formatCode>0.0000</c:formatCode>
                <c:ptCount val="95"/>
                <c:pt idx="0">
                  <c:v>0.17315</c:v>
                </c:pt>
                <c:pt idx="1">
                  <c:v>0.17315</c:v>
                </c:pt>
                <c:pt idx="2">
                  <c:v>0.17315</c:v>
                </c:pt>
                <c:pt idx="3">
                  <c:v>0.17315</c:v>
                </c:pt>
                <c:pt idx="4">
                  <c:v>0.17315</c:v>
                </c:pt>
                <c:pt idx="5">
                  <c:v>0.17954999999999999</c:v>
                </c:pt>
                <c:pt idx="6">
                  <c:v>0.18551000000000001</c:v>
                </c:pt>
                <c:pt idx="7">
                  <c:v>0.19147</c:v>
                </c:pt>
                <c:pt idx="8">
                  <c:v>0.19786999999999999</c:v>
                </c:pt>
                <c:pt idx="9">
                  <c:v>0.20469999999999999</c:v>
                </c:pt>
                <c:pt idx="10">
                  <c:v>0.21023</c:v>
                </c:pt>
                <c:pt idx="11">
                  <c:v>0.21321000000000001</c:v>
                </c:pt>
                <c:pt idx="12">
                  <c:v>0.21595</c:v>
                </c:pt>
                <c:pt idx="13">
                  <c:v>0.22112000000000001</c:v>
                </c:pt>
                <c:pt idx="14">
                  <c:v>0.22921</c:v>
                </c:pt>
                <c:pt idx="15">
                  <c:v>0.24063000000000001</c:v>
                </c:pt>
                <c:pt idx="16">
                  <c:v>0.25763999999999998</c:v>
                </c:pt>
                <c:pt idx="17">
                  <c:v>0.28283000000000003</c:v>
                </c:pt>
                <c:pt idx="18">
                  <c:v>0.31841000000000003</c:v>
                </c:pt>
                <c:pt idx="19">
                  <c:v>0.36487000000000003</c:v>
                </c:pt>
                <c:pt idx="20">
                  <c:v>0.41631000000000001</c:v>
                </c:pt>
                <c:pt idx="21">
                  <c:v>0.46632000000000001</c:v>
                </c:pt>
                <c:pt idx="22">
                  <c:v>0.51290000000000002</c:v>
                </c:pt>
                <c:pt idx="23">
                  <c:v>0.55466000000000004</c:v>
                </c:pt>
                <c:pt idx="24">
                  <c:v>0.58809</c:v>
                </c:pt>
                <c:pt idx="25">
                  <c:v>0.61048000000000002</c:v>
                </c:pt>
                <c:pt idx="26">
                  <c:v>0.62424000000000002</c:v>
                </c:pt>
                <c:pt idx="27">
                  <c:v>0.6331</c:v>
                </c:pt>
                <c:pt idx="28">
                  <c:v>0.64078999999999997</c:v>
                </c:pt>
                <c:pt idx="29">
                  <c:v>0.65017999999999998</c:v>
                </c:pt>
                <c:pt idx="30">
                  <c:v>0.66068000000000005</c:v>
                </c:pt>
                <c:pt idx="31">
                  <c:v>0.67101</c:v>
                </c:pt>
                <c:pt idx="32">
                  <c:v>0.68047999999999997</c:v>
                </c:pt>
                <c:pt idx="33">
                  <c:v>0.68881000000000003</c:v>
                </c:pt>
                <c:pt idx="34">
                  <c:v>0.69672000000000001</c:v>
                </c:pt>
                <c:pt idx="35">
                  <c:v>0.70489000000000002</c:v>
                </c:pt>
                <c:pt idx="36">
                  <c:v>0.71287</c:v>
                </c:pt>
                <c:pt idx="37">
                  <c:v>0.72001000000000004</c:v>
                </c:pt>
                <c:pt idx="38">
                  <c:v>0.72587999999999997</c:v>
                </c:pt>
                <c:pt idx="39">
                  <c:v>0.73048000000000002</c:v>
                </c:pt>
                <c:pt idx="40">
                  <c:v>0.73521999999999998</c:v>
                </c:pt>
                <c:pt idx="41">
                  <c:v>0.74123000000000006</c:v>
                </c:pt>
                <c:pt idx="42">
                  <c:v>0.74699000000000004</c:v>
                </c:pt>
                <c:pt idx="43">
                  <c:v>0.75090999999999997</c:v>
                </c:pt>
                <c:pt idx="44">
                  <c:v>0.75383</c:v>
                </c:pt>
                <c:pt idx="45">
                  <c:v>0.75692000000000004</c:v>
                </c:pt>
                <c:pt idx="46">
                  <c:v>0.76021000000000005</c:v>
                </c:pt>
                <c:pt idx="47">
                  <c:v>0.76361000000000001</c:v>
                </c:pt>
                <c:pt idx="48">
                  <c:v>0.76763000000000003</c:v>
                </c:pt>
                <c:pt idx="49">
                  <c:v>0.77264999999999995</c:v>
                </c:pt>
                <c:pt idx="50">
                  <c:v>0.77797000000000005</c:v>
                </c:pt>
                <c:pt idx="51">
                  <c:v>0.78271000000000002</c:v>
                </c:pt>
                <c:pt idx="52">
                  <c:v>0.78627000000000002</c:v>
                </c:pt>
                <c:pt idx="53">
                  <c:v>0.78844000000000003</c:v>
                </c:pt>
                <c:pt idx="54">
                  <c:v>0.79027999999999998</c:v>
                </c:pt>
                <c:pt idx="55">
                  <c:v>0.79278000000000004</c:v>
                </c:pt>
                <c:pt idx="56">
                  <c:v>0.79527999999999999</c:v>
                </c:pt>
                <c:pt idx="57">
                  <c:v>0.79705999999999999</c:v>
                </c:pt>
                <c:pt idx="58">
                  <c:v>0.79876999999999998</c:v>
                </c:pt>
                <c:pt idx="59">
                  <c:v>0.80118</c:v>
                </c:pt>
                <c:pt idx="60">
                  <c:v>0.80411999999999995</c:v>
                </c:pt>
                <c:pt idx="61">
                  <c:v>0.80718000000000001</c:v>
                </c:pt>
                <c:pt idx="62">
                  <c:v>0.80994999999999995</c:v>
                </c:pt>
                <c:pt idx="63">
                  <c:v>0.81215000000000004</c:v>
                </c:pt>
                <c:pt idx="64">
                  <c:v>0.81403000000000003</c:v>
                </c:pt>
                <c:pt idx="65">
                  <c:v>0.81593000000000004</c:v>
                </c:pt>
                <c:pt idx="66">
                  <c:v>0.81806999999999996</c:v>
                </c:pt>
                <c:pt idx="67">
                  <c:v>0.82055</c:v>
                </c:pt>
                <c:pt idx="68">
                  <c:v>0.82325999999999999</c:v>
                </c:pt>
                <c:pt idx="69">
                  <c:v>0.82593000000000005</c:v>
                </c:pt>
                <c:pt idx="70">
                  <c:v>0.82804</c:v>
                </c:pt>
                <c:pt idx="71">
                  <c:v>0.82923999999999998</c:v>
                </c:pt>
                <c:pt idx="72">
                  <c:v>0.83026999999999995</c:v>
                </c:pt>
                <c:pt idx="73">
                  <c:v>0.83213000000000004</c:v>
                </c:pt>
                <c:pt idx="74">
                  <c:v>0.83581000000000005</c:v>
                </c:pt>
                <c:pt idx="75">
                  <c:v>0.83692999999999995</c:v>
                </c:pt>
                <c:pt idx="76">
                  <c:v>0.83904000000000001</c:v>
                </c:pt>
                <c:pt idx="77">
                  <c:v>0.84114</c:v>
                </c:pt>
                <c:pt idx="78">
                  <c:v>0.84321000000000002</c:v>
                </c:pt>
                <c:pt idx="79">
                  <c:v>0.84524999999999995</c:v>
                </c:pt>
                <c:pt idx="80">
                  <c:v>0.84728000000000003</c:v>
                </c:pt>
                <c:pt idx="81">
                  <c:v>0.84928999999999999</c:v>
                </c:pt>
                <c:pt idx="82">
                  <c:v>0.85126999999999997</c:v>
                </c:pt>
                <c:pt idx="83">
                  <c:v>0.85323000000000004</c:v>
                </c:pt>
                <c:pt idx="84">
                  <c:v>0.85516999999999999</c:v>
                </c:pt>
                <c:pt idx="85">
                  <c:v>0.85516999999999999</c:v>
                </c:pt>
                <c:pt idx="86">
                  <c:v>0.85516999999999999</c:v>
                </c:pt>
                <c:pt idx="87">
                  <c:v>0.85516999999999999</c:v>
                </c:pt>
                <c:pt idx="88">
                  <c:v>0.85516999999999999</c:v>
                </c:pt>
                <c:pt idx="89">
                  <c:v>0.85516999999999999</c:v>
                </c:pt>
                <c:pt idx="90">
                  <c:v>0.85516999999999999</c:v>
                </c:pt>
                <c:pt idx="91">
                  <c:v>0.85516999999999999</c:v>
                </c:pt>
                <c:pt idx="92">
                  <c:v>0.85516999999999999</c:v>
                </c:pt>
                <c:pt idx="93">
                  <c:v>0.85516999999999999</c:v>
                </c:pt>
                <c:pt idx="94">
                  <c:v>0.85516999999999999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0-3FE4-445B-8EEB-D88489EA6296}"/>
            </c:ext>
          </c:extLst>
        </c:ser>
        <c:ser>
          <c:idx val="34"/>
          <c:order val="3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'99set'!$AJ$10:$AJ$104</c:f>
              <c:numCache>
                <c:formatCode>0.0000</c:formatCode>
                <c:ptCount val="95"/>
                <c:pt idx="0">
                  <c:v>4.3541999999999997E-2</c:v>
                </c:pt>
                <c:pt idx="1">
                  <c:v>4.3541999999999997E-2</c:v>
                </c:pt>
                <c:pt idx="2">
                  <c:v>4.3541999999999997E-2</c:v>
                </c:pt>
                <c:pt idx="3">
                  <c:v>4.3541999999999997E-2</c:v>
                </c:pt>
                <c:pt idx="4">
                  <c:v>4.3541999999999997E-2</c:v>
                </c:pt>
                <c:pt idx="5">
                  <c:v>4.3626999999999999E-2</c:v>
                </c:pt>
                <c:pt idx="6">
                  <c:v>4.3712000000000001E-2</c:v>
                </c:pt>
                <c:pt idx="7">
                  <c:v>4.3797000000000003E-2</c:v>
                </c:pt>
                <c:pt idx="8">
                  <c:v>4.3885E-2</c:v>
                </c:pt>
                <c:pt idx="9">
                  <c:v>4.3971999999999997E-2</c:v>
                </c:pt>
                <c:pt idx="10">
                  <c:v>4.4040000000000003E-2</c:v>
                </c:pt>
                <c:pt idx="11">
                  <c:v>4.4012000000000003E-2</c:v>
                </c:pt>
                <c:pt idx="12">
                  <c:v>4.3996E-2</c:v>
                </c:pt>
                <c:pt idx="13">
                  <c:v>4.4108000000000001E-2</c:v>
                </c:pt>
                <c:pt idx="14">
                  <c:v>4.4331000000000002E-2</c:v>
                </c:pt>
                <c:pt idx="15">
                  <c:v>4.4637999999999997E-2</c:v>
                </c:pt>
                <c:pt idx="16">
                  <c:v>4.5111999999999999E-2</c:v>
                </c:pt>
                <c:pt idx="17">
                  <c:v>4.5888999999999999E-2</c:v>
                </c:pt>
                <c:pt idx="18">
                  <c:v>4.7210000000000002E-2</c:v>
                </c:pt>
                <c:pt idx="19">
                  <c:v>4.9230000000000003E-2</c:v>
                </c:pt>
                <c:pt idx="20">
                  <c:v>5.1638999999999997E-2</c:v>
                </c:pt>
                <c:pt idx="21">
                  <c:v>5.4266000000000002E-2</c:v>
                </c:pt>
                <c:pt idx="22">
                  <c:v>5.7963000000000001E-2</c:v>
                </c:pt>
                <c:pt idx="23">
                  <c:v>6.3611000000000001E-2</c:v>
                </c:pt>
                <c:pt idx="24">
                  <c:v>7.1209999999999996E-2</c:v>
                </c:pt>
                <c:pt idx="25">
                  <c:v>8.0625000000000002E-2</c:v>
                </c:pt>
                <c:pt idx="26">
                  <c:v>9.2067999999999997E-2</c:v>
                </c:pt>
                <c:pt idx="27">
                  <c:v>0.10573</c:v>
                </c:pt>
                <c:pt idx="28">
                  <c:v>0.12138</c:v>
                </c:pt>
                <c:pt idx="29">
                  <c:v>0.13905999999999999</c:v>
                </c:pt>
                <c:pt idx="30">
                  <c:v>0.16048000000000001</c:v>
                </c:pt>
                <c:pt idx="31">
                  <c:v>0.18726999999999999</c:v>
                </c:pt>
                <c:pt idx="32">
                  <c:v>0.21931999999999999</c:v>
                </c:pt>
                <c:pt idx="33">
                  <c:v>0.25474000000000002</c:v>
                </c:pt>
                <c:pt idx="34">
                  <c:v>0.28642000000000001</c:v>
                </c:pt>
                <c:pt idx="35">
                  <c:v>0.30780000000000002</c:v>
                </c:pt>
                <c:pt idx="36">
                  <c:v>0.31974999999999998</c:v>
                </c:pt>
                <c:pt idx="37">
                  <c:v>0.32496999999999998</c:v>
                </c:pt>
                <c:pt idx="38">
                  <c:v>0.32621</c:v>
                </c:pt>
                <c:pt idx="39">
                  <c:v>0.32579000000000002</c:v>
                </c:pt>
                <c:pt idx="40">
                  <c:v>0.32446000000000003</c:v>
                </c:pt>
                <c:pt idx="41">
                  <c:v>0.32252999999999998</c:v>
                </c:pt>
                <c:pt idx="42">
                  <c:v>0.32019999999999998</c:v>
                </c:pt>
                <c:pt idx="43">
                  <c:v>0.31762000000000001</c:v>
                </c:pt>
                <c:pt idx="44">
                  <c:v>0.31485999999999997</c:v>
                </c:pt>
                <c:pt idx="45">
                  <c:v>0.31189</c:v>
                </c:pt>
                <c:pt idx="46">
                  <c:v>0.30848999999999999</c:v>
                </c:pt>
                <c:pt idx="47">
                  <c:v>0.30442999999999998</c:v>
                </c:pt>
                <c:pt idx="48">
                  <c:v>0.29970999999999998</c:v>
                </c:pt>
                <c:pt idx="49">
                  <c:v>0.29443000000000003</c:v>
                </c:pt>
                <c:pt idx="50">
                  <c:v>0.28916999999999998</c:v>
                </c:pt>
                <c:pt idx="51">
                  <c:v>0.28445999999999999</c:v>
                </c:pt>
                <c:pt idx="52">
                  <c:v>0.28043000000000001</c:v>
                </c:pt>
                <c:pt idx="53">
                  <c:v>0.27706999999999998</c:v>
                </c:pt>
                <c:pt idx="54">
                  <c:v>0.27413999999999999</c:v>
                </c:pt>
                <c:pt idx="55">
                  <c:v>0.27140999999999998</c:v>
                </c:pt>
                <c:pt idx="56">
                  <c:v>0.26884999999999998</c:v>
                </c:pt>
                <c:pt idx="57">
                  <c:v>0.26649</c:v>
                </c:pt>
                <c:pt idx="58">
                  <c:v>0.26449</c:v>
                </c:pt>
                <c:pt idx="59">
                  <c:v>0.26302999999999999</c:v>
                </c:pt>
                <c:pt idx="60">
                  <c:v>0.26212999999999997</c:v>
                </c:pt>
                <c:pt idx="61">
                  <c:v>0.26185999999999998</c:v>
                </c:pt>
                <c:pt idx="62">
                  <c:v>0.26247999999999999</c:v>
                </c:pt>
                <c:pt idx="63">
                  <c:v>0.2641</c:v>
                </c:pt>
                <c:pt idx="64">
                  <c:v>0.26608999999999999</c:v>
                </c:pt>
                <c:pt idx="65">
                  <c:v>0.26785999999999999</c:v>
                </c:pt>
                <c:pt idx="66">
                  <c:v>0.26980999999999999</c:v>
                </c:pt>
                <c:pt idx="67">
                  <c:v>0.27228000000000002</c:v>
                </c:pt>
                <c:pt idx="68">
                  <c:v>0.27417000000000002</c:v>
                </c:pt>
                <c:pt idx="69">
                  <c:v>0.27601999999999999</c:v>
                </c:pt>
                <c:pt idx="70">
                  <c:v>0.27782000000000001</c:v>
                </c:pt>
                <c:pt idx="71">
                  <c:v>0.27962999999999999</c:v>
                </c:pt>
                <c:pt idx="72">
                  <c:v>0.28144000000000002</c:v>
                </c:pt>
                <c:pt idx="73">
                  <c:v>0.28326000000000001</c:v>
                </c:pt>
                <c:pt idx="74">
                  <c:v>0.28509000000000001</c:v>
                </c:pt>
                <c:pt idx="75">
                  <c:v>0.28692000000000001</c:v>
                </c:pt>
                <c:pt idx="76">
                  <c:v>0.28876000000000002</c:v>
                </c:pt>
                <c:pt idx="77">
                  <c:v>0.29060999999999998</c:v>
                </c:pt>
                <c:pt idx="78">
                  <c:v>0.29247000000000001</c:v>
                </c:pt>
                <c:pt idx="79">
                  <c:v>0.29432999999999998</c:v>
                </c:pt>
                <c:pt idx="80">
                  <c:v>0.29620000000000002</c:v>
                </c:pt>
                <c:pt idx="81">
                  <c:v>0.29808000000000001</c:v>
                </c:pt>
                <c:pt idx="82">
                  <c:v>0.29996</c:v>
                </c:pt>
                <c:pt idx="83">
                  <c:v>0.30185000000000001</c:v>
                </c:pt>
                <c:pt idx="84">
                  <c:v>0.30375000000000002</c:v>
                </c:pt>
                <c:pt idx="85">
                  <c:v>0.30375000000000002</c:v>
                </c:pt>
                <c:pt idx="86">
                  <c:v>0.30375000000000002</c:v>
                </c:pt>
                <c:pt idx="87">
                  <c:v>0.30375000000000002</c:v>
                </c:pt>
                <c:pt idx="88">
                  <c:v>0.30375000000000002</c:v>
                </c:pt>
                <c:pt idx="89">
                  <c:v>0.30375000000000002</c:v>
                </c:pt>
                <c:pt idx="90">
                  <c:v>0.30375000000000002</c:v>
                </c:pt>
                <c:pt idx="91">
                  <c:v>0.30375000000000002</c:v>
                </c:pt>
                <c:pt idx="92">
                  <c:v>0.30375000000000002</c:v>
                </c:pt>
                <c:pt idx="93">
                  <c:v>0.30375000000000002</c:v>
                </c:pt>
                <c:pt idx="94">
                  <c:v>0.30375000000000002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1-3FE4-445B-8EEB-D88489EA6296}"/>
            </c:ext>
          </c:extLst>
        </c:ser>
        <c:ser>
          <c:idx val="35"/>
          <c:order val="3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'99set'!$AK$10:$AK$104</c:f>
              <c:numCache>
                <c:formatCode>0.0000</c:formatCode>
                <c:ptCount val="95"/>
                <c:pt idx="0">
                  <c:v>5.2651000000000003E-2</c:v>
                </c:pt>
                <c:pt idx="1">
                  <c:v>5.2651000000000003E-2</c:v>
                </c:pt>
                <c:pt idx="2">
                  <c:v>5.2651000000000003E-2</c:v>
                </c:pt>
                <c:pt idx="3">
                  <c:v>5.2651000000000003E-2</c:v>
                </c:pt>
                <c:pt idx="4">
                  <c:v>5.2651000000000003E-2</c:v>
                </c:pt>
                <c:pt idx="5">
                  <c:v>5.2601000000000002E-2</c:v>
                </c:pt>
                <c:pt idx="6">
                  <c:v>5.2552000000000001E-2</c:v>
                </c:pt>
                <c:pt idx="7">
                  <c:v>5.2502E-2</c:v>
                </c:pt>
                <c:pt idx="8">
                  <c:v>5.2449000000000003E-2</c:v>
                </c:pt>
                <c:pt idx="9">
                  <c:v>5.2387999999999997E-2</c:v>
                </c:pt>
                <c:pt idx="10">
                  <c:v>5.2165999999999997E-2</c:v>
                </c:pt>
                <c:pt idx="11">
                  <c:v>5.1702999999999999E-2</c:v>
                </c:pt>
                <c:pt idx="12">
                  <c:v>5.108E-2</c:v>
                </c:pt>
                <c:pt idx="13">
                  <c:v>5.0415000000000001E-2</c:v>
                </c:pt>
                <c:pt idx="14">
                  <c:v>4.9801999999999999E-2</c:v>
                </c:pt>
                <c:pt idx="15">
                  <c:v>4.9318000000000001E-2</c:v>
                </c:pt>
                <c:pt idx="16">
                  <c:v>4.8988999999999998E-2</c:v>
                </c:pt>
                <c:pt idx="17">
                  <c:v>4.8828000000000003E-2</c:v>
                </c:pt>
                <c:pt idx="18">
                  <c:v>4.8845E-2</c:v>
                </c:pt>
                <c:pt idx="19">
                  <c:v>4.9030999999999998E-2</c:v>
                </c:pt>
                <c:pt idx="20">
                  <c:v>4.9292000000000002E-2</c:v>
                </c:pt>
                <c:pt idx="21">
                  <c:v>4.9602E-2</c:v>
                </c:pt>
                <c:pt idx="22">
                  <c:v>5.0293999999999998E-2</c:v>
                </c:pt>
                <c:pt idx="23">
                  <c:v>5.1776999999999997E-2</c:v>
                </c:pt>
                <c:pt idx="24">
                  <c:v>5.4399000000000003E-2</c:v>
                </c:pt>
                <c:pt idx="25">
                  <c:v>5.8408000000000002E-2</c:v>
                </c:pt>
                <c:pt idx="26">
                  <c:v>6.3704999999999998E-2</c:v>
                </c:pt>
                <c:pt idx="27">
                  <c:v>6.9985000000000006E-2</c:v>
                </c:pt>
                <c:pt idx="28">
                  <c:v>7.6480999999999993E-2</c:v>
                </c:pt>
                <c:pt idx="29">
                  <c:v>8.2441E-2</c:v>
                </c:pt>
                <c:pt idx="30">
                  <c:v>8.7626999999999997E-2</c:v>
                </c:pt>
                <c:pt idx="31">
                  <c:v>9.2257000000000006E-2</c:v>
                </c:pt>
                <c:pt idx="32">
                  <c:v>9.7852999999999996E-2</c:v>
                </c:pt>
                <c:pt idx="33">
                  <c:v>0.1057</c:v>
                </c:pt>
                <c:pt idx="34">
                  <c:v>0.11484999999999999</c:v>
                </c:pt>
                <c:pt idx="35">
                  <c:v>0.12372</c:v>
                </c:pt>
                <c:pt idx="36">
                  <c:v>0.13045000000000001</c:v>
                </c:pt>
                <c:pt idx="37">
                  <c:v>0.13367999999999999</c:v>
                </c:pt>
                <c:pt idx="38">
                  <c:v>0.13428000000000001</c:v>
                </c:pt>
                <c:pt idx="39">
                  <c:v>0.13355</c:v>
                </c:pt>
                <c:pt idx="40">
                  <c:v>0.13216</c:v>
                </c:pt>
                <c:pt idx="41">
                  <c:v>0.13053999999999999</c:v>
                </c:pt>
                <c:pt idx="42">
                  <c:v>0.12886</c:v>
                </c:pt>
                <c:pt idx="43">
                  <c:v>0.12720000000000001</c:v>
                </c:pt>
                <c:pt idx="44">
                  <c:v>0.12554000000000001</c:v>
                </c:pt>
                <c:pt idx="45">
                  <c:v>0.12381</c:v>
                </c:pt>
                <c:pt idx="46">
                  <c:v>0.12196</c:v>
                </c:pt>
                <c:pt idx="47">
                  <c:v>0.11992</c:v>
                </c:pt>
                <c:pt idx="48">
                  <c:v>0.11767</c:v>
                </c:pt>
                <c:pt idx="49">
                  <c:v>0.11522</c:v>
                </c:pt>
                <c:pt idx="50">
                  <c:v>0.11283</c:v>
                </c:pt>
                <c:pt idx="51">
                  <c:v>0.11074000000000001</c:v>
                </c:pt>
                <c:pt idx="52">
                  <c:v>0.10894</c:v>
                </c:pt>
                <c:pt idx="53">
                  <c:v>0.10738</c:v>
                </c:pt>
                <c:pt idx="54">
                  <c:v>0.10598</c:v>
                </c:pt>
                <c:pt idx="55">
                  <c:v>0.10468</c:v>
                </c:pt>
                <c:pt idx="56">
                  <c:v>0.10349</c:v>
                </c:pt>
                <c:pt idx="57">
                  <c:v>0.10242</c:v>
                </c:pt>
                <c:pt idx="58">
                  <c:v>0.10154000000000001</c:v>
                </c:pt>
                <c:pt idx="59">
                  <c:v>0.10088</c:v>
                </c:pt>
                <c:pt idx="60">
                  <c:v>0.10041</c:v>
                </c:pt>
                <c:pt idx="61">
                  <c:v>0.10012</c:v>
                </c:pt>
                <c:pt idx="62">
                  <c:v>0.10019</c:v>
                </c:pt>
                <c:pt idx="63">
                  <c:v>0.10070999999999999</c:v>
                </c:pt>
                <c:pt idx="64">
                  <c:v>0.10131</c:v>
                </c:pt>
                <c:pt idx="65">
                  <c:v>0.10168000000000001</c:v>
                </c:pt>
                <c:pt idx="66">
                  <c:v>0.10213</c:v>
                </c:pt>
                <c:pt idx="67">
                  <c:v>0.10292999999999999</c:v>
                </c:pt>
                <c:pt idx="68">
                  <c:v>0.10364</c:v>
                </c:pt>
                <c:pt idx="69">
                  <c:v>0.10434</c:v>
                </c:pt>
                <c:pt idx="70">
                  <c:v>0.10502</c:v>
                </c:pt>
                <c:pt idx="71">
                  <c:v>0.10571</c:v>
                </c:pt>
                <c:pt idx="72">
                  <c:v>0.10639999999999999</c:v>
                </c:pt>
                <c:pt idx="73">
                  <c:v>0.10709</c:v>
                </c:pt>
                <c:pt idx="74">
                  <c:v>0.10779</c:v>
                </c:pt>
                <c:pt idx="75">
                  <c:v>0.1085</c:v>
                </c:pt>
                <c:pt idx="76">
                  <c:v>0.10920000000000001</c:v>
                </c:pt>
                <c:pt idx="77">
                  <c:v>0.10990999999999999</c:v>
                </c:pt>
                <c:pt idx="78">
                  <c:v>0.11063000000000001</c:v>
                </c:pt>
                <c:pt idx="79">
                  <c:v>0.11135</c:v>
                </c:pt>
                <c:pt idx="80">
                  <c:v>0.11207</c:v>
                </c:pt>
                <c:pt idx="81">
                  <c:v>0.11279</c:v>
                </c:pt>
                <c:pt idx="82">
                  <c:v>0.11353000000000001</c:v>
                </c:pt>
                <c:pt idx="83">
                  <c:v>0.11426</c:v>
                </c:pt>
                <c:pt idx="84">
                  <c:v>0.115</c:v>
                </c:pt>
                <c:pt idx="85">
                  <c:v>0.115</c:v>
                </c:pt>
                <c:pt idx="86">
                  <c:v>0.115</c:v>
                </c:pt>
                <c:pt idx="87">
                  <c:v>0.115</c:v>
                </c:pt>
                <c:pt idx="88">
                  <c:v>0.115</c:v>
                </c:pt>
                <c:pt idx="89">
                  <c:v>0.115</c:v>
                </c:pt>
                <c:pt idx="90">
                  <c:v>0.115</c:v>
                </c:pt>
                <c:pt idx="91">
                  <c:v>0.115</c:v>
                </c:pt>
                <c:pt idx="92">
                  <c:v>0.115</c:v>
                </c:pt>
                <c:pt idx="93">
                  <c:v>0.115</c:v>
                </c:pt>
                <c:pt idx="94">
                  <c:v>0.115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2-3FE4-445B-8EEB-D88489EA6296}"/>
            </c:ext>
          </c:extLst>
        </c:ser>
        <c:ser>
          <c:idx val="36"/>
          <c:order val="3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'99set'!$AL$10:$AL$104</c:f>
              <c:numCache>
                <c:formatCode>0.0000</c:formatCode>
                <c:ptCount val="95"/>
                <c:pt idx="0">
                  <c:v>3.4313999999999997E-2</c:v>
                </c:pt>
                <c:pt idx="1">
                  <c:v>3.4313999999999997E-2</c:v>
                </c:pt>
                <c:pt idx="2">
                  <c:v>3.4313999999999997E-2</c:v>
                </c:pt>
                <c:pt idx="3">
                  <c:v>3.4313999999999997E-2</c:v>
                </c:pt>
                <c:pt idx="4">
                  <c:v>3.4313999999999997E-2</c:v>
                </c:pt>
                <c:pt idx="5">
                  <c:v>3.7074999999999997E-2</c:v>
                </c:pt>
                <c:pt idx="6">
                  <c:v>4.2834285714285707E-2</c:v>
                </c:pt>
                <c:pt idx="7">
                  <c:v>5.3584032258064504E-2</c:v>
                </c:pt>
                <c:pt idx="8">
                  <c:v>7.506182926829269E-2</c:v>
                </c:pt>
                <c:pt idx="9">
                  <c:v>9.7762804878048781E-2</c:v>
                </c:pt>
                <c:pt idx="10">
                  <c:v>0.12728797560975608</c:v>
                </c:pt>
                <c:pt idx="11">
                  <c:v>0.16370717073170732</c:v>
                </c:pt>
                <c:pt idx="12">
                  <c:v>0.20727009756097564</c:v>
                </c:pt>
                <c:pt idx="13">
                  <c:v>0.25617663414634151</c:v>
                </c:pt>
                <c:pt idx="14">
                  <c:v>0.30712334146341469</c:v>
                </c:pt>
                <c:pt idx="15">
                  <c:v>0.35739463414634154</c:v>
                </c:pt>
                <c:pt idx="16">
                  <c:v>0.40413048780487804</c:v>
                </c:pt>
                <c:pt idx="17">
                  <c:v>0.44396853658536584</c:v>
                </c:pt>
                <c:pt idx="18">
                  <c:v>0.47549365853658532</c:v>
                </c:pt>
                <c:pt idx="19">
                  <c:v>0.49917048780487799</c:v>
                </c:pt>
                <c:pt idx="20">
                  <c:v>0.51518804878048774</c:v>
                </c:pt>
                <c:pt idx="21">
                  <c:v>0.52400243902439014</c:v>
                </c:pt>
                <c:pt idx="22">
                  <c:v>0.52781121951219512</c:v>
                </c:pt>
                <c:pt idx="23">
                  <c:v>0.52870146341463431</c:v>
                </c:pt>
                <c:pt idx="24">
                  <c:v>0.5283156097560977</c:v>
                </c:pt>
                <c:pt idx="25">
                  <c:v>0.52853414634146356</c:v>
                </c:pt>
                <c:pt idx="26">
                  <c:v>0.52959121951219523</c:v>
                </c:pt>
                <c:pt idx="27">
                  <c:v>0.53055170731707335</c:v>
                </c:pt>
                <c:pt idx="28">
                  <c:v>0.53092195121951236</c:v>
                </c:pt>
                <c:pt idx="29">
                  <c:v>0.53193317073170732</c:v>
                </c:pt>
                <c:pt idx="30">
                  <c:v>0.53346804878048781</c:v>
                </c:pt>
                <c:pt idx="31">
                  <c:v>0.53401878048780482</c:v>
                </c:pt>
                <c:pt idx="32">
                  <c:v>0.53283024390243894</c:v>
                </c:pt>
                <c:pt idx="33">
                  <c:v>0.53038707317073164</c:v>
                </c:pt>
                <c:pt idx="34">
                  <c:v>0.52859999999999985</c:v>
                </c:pt>
                <c:pt idx="35">
                  <c:v>0.52848170731707311</c:v>
                </c:pt>
                <c:pt idx="36">
                  <c:v>0.52889658536585371</c:v>
                </c:pt>
                <c:pt idx="37">
                  <c:v>0.52836975609756109</c:v>
                </c:pt>
                <c:pt idx="38">
                  <c:v>0.52699780487804881</c:v>
                </c:pt>
                <c:pt idx="39">
                  <c:v>0.52649463414634146</c:v>
                </c:pt>
                <c:pt idx="40">
                  <c:v>0.52843170731707334</c:v>
                </c:pt>
                <c:pt idx="41">
                  <c:v>0.53210292682926841</c:v>
                </c:pt>
                <c:pt idx="42">
                  <c:v>0.53515585365853668</c:v>
                </c:pt>
                <c:pt idx="43">
                  <c:v>0.53670390243902444</c:v>
                </c:pt>
                <c:pt idx="44">
                  <c:v>0.53797756097560967</c:v>
                </c:pt>
                <c:pt idx="45">
                  <c:v>0.54007097560975625</c:v>
                </c:pt>
                <c:pt idx="46">
                  <c:v>0.54309878048780491</c:v>
                </c:pt>
                <c:pt idx="47">
                  <c:v>0.54623999999999995</c:v>
                </c:pt>
                <c:pt idx="48">
                  <c:v>0.54817048780487798</c:v>
                </c:pt>
                <c:pt idx="49">
                  <c:v>0.54898658536585354</c:v>
                </c:pt>
                <c:pt idx="50">
                  <c:v>0.55034853658536576</c:v>
                </c:pt>
                <c:pt idx="51">
                  <c:v>0.55266268292682941</c:v>
                </c:pt>
                <c:pt idx="52">
                  <c:v>0.55517804878048793</c:v>
                </c:pt>
                <c:pt idx="53">
                  <c:v>0.55746170731707323</c:v>
                </c:pt>
                <c:pt idx="54">
                  <c:v>0.55800756097560966</c:v>
                </c:pt>
                <c:pt idx="55">
                  <c:v>0.55702073170731703</c:v>
                </c:pt>
                <c:pt idx="56">
                  <c:v>0.55717414634146356</c:v>
                </c:pt>
                <c:pt idx="57">
                  <c:v>0.55868756097560979</c:v>
                </c:pt>
                <c:pt idx="58">
                  <c:v>0.55966585365853672</c:v>
                </c:pt>
                <c:pt idx="59">
                  <c:v>0.55989414634146351</c:v>
                </c:pt>
                <c:pt idx="60">
                  <c:v>0.56082097560975608</c:v>
                </c:pt>
                <c:pt idx="61">
                  <c:v>0.56192414634146326</c:v>
                </c:pt>
                <c:pt idx="62">
                  <c:v>0.56165146341463412</c:v>
                </c:pt>
                <c:pt idx="63">
                  <c:v>0.56041219512195128</c:v>
                </c:pt>
                <c:pt idx="64">
                  <c:v>0.559120487804878</c:v>
                </c:pt>
                <c:pt idx="65">
                  <c:v>0.55486243902439003</c:v>
                </c:pt>
                <c:pt idx="66">
                  <c:v>0.549410487804878</c:v>
                </c:pt>
                <c:pt idx="67">
                  <c:v>0.54329560975609759</c:v>
                </c:pt>
                <c:pt idx="68">
                  <c:v>0.53562609756097557</c:v>
                </c:pt>
                <c:pt idx="69">
                  <c:v>0.52630414634146361</c:v>
                </c:pt>
                <c:pt idx="70">
                  <c:v>0.51785756097560975</c:v>
                </c:pt>
                <c:pt idx="71">
                  <c:v>0.51115585365853655</c:v>
                </c:pt>
                <c:pt idx="72">
                  <c:v>0.50353146341463417</c:v>
                </c:pt>
                <c:pt idx="73">
                  <c:v>0.49575000000000008</c:v>
                </c:pt>
                <c:pt idx="74">
                  <c:v>0.4881948780487807</c:v>
                </c:pt>
                <c:pt idx="75">
                  <c:v>0.4806458536585369</c:v>
                </c:pt>
                <c:pt idx="76">
                  <c:v>0.47310536585365864</c:v>
                </c:pt>
                <c:pt idx="77">
                  <c:v>0.46557682926829252</c:v>
                </c:pt>
                <c:pt idx="78">
                  <c:v>0.45806414634146331</c:v>
                </c:pt>
                <c:pt idx="79">
                  <c:v>0.45057024390243899</c:v>
                </c:pt>
                <c:pt idx="80">
                  <c:v>0.44309853658536597</c:v>
                </c:pt>
                <c:pt idx="81">
                  <c:v>0.43561806451612911</c:v>
                </c:pt>
                <c:pt idx="82">
                  <c:v>0.42816857142857129</c:v>
                </c:pt>
                <c:pt idx="83">
                  <c:v>0.42075818181818181</c:v>
                </c:pt>
                <c:pt idx="84">
                  <c:v>0.41338999999999998</c:v>
                </c:pt>
                <c:pt idx="85">
                  <c:v>0.41338999999999998</c:v>
                </c:pt>
                <c:pt idx="86">
                  <c:v>0.41338999999999998</c:v>
                </c:pt>
                <c:pt idx="87">
                  <c:v>0.41338999999999998</c:v>
                </c:pt>
                <c:pt idx="88">
                  <c:v>0.41338999999999998</c:v>
                </c:pt>
                <c:pt idx="89">
                  <c:v>0.41338999999999998</c:v>
                </c:pt>
                <c:pt idx="90">
                  <c:v>0.41338999999999998</c:v>
                </c:pt>
                <c:pt idx="91">
                  <c:v>0.41338999999999998</c:v>
                </c:pt>
                <c:pt idx="92">
                  <c:v>0.41338999999999998</c:v>
                </c:pt>
                <c:pt idx="93">
                  <c:v>0.41338999999999998</c:v>
                </c:pt>
                <c:pt idx="94">
                  <c:v>0.41338999999999998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3-3FE4-445B-8EEB-D88489EA6296}"/>
            </c:ext>
          </c:extLst>
        </c:ser>
        <c:ser>
          <c:idx val="37"/>
          <c:order val="3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'99set'!$AM$10:$AM$104</c:f>
              <c:numCache>
                <c:formatCode>0.0000</c:formatCode>
                <c:ptCount val="95"/>
                <c:pt idx="0">
                  <c:v>5.0279999999999998E-2</c:v>
                </c:pt>
                <c:pt idx="1">
                  <c:v>5.0279999999999998E-2</c:v>
                </c:pt>
                <c:pt idx="2">
                  <c:v>5.0279999999999998E-2</c:v>
                </c:pt>
                <c:pt idx="3">
                  <c:v>5.0279999999999998E-2</c:v>
                </c:pt>
                <c:pt idx="4">
                  <c:v>5.0279999999999998E-2</c:v>
                </c:pt>
                <c:pt idx="5">
                  <c:v>5.0231999999999999E-2</c:v>
                </c:pt>
                <c:pt idx="6">
                  <c:v>5.0185E-2</c:v>
                </c:pt>
                <c:pt idx="7">
                  <c:v>5.0138000000000002E-2</c:v>
                </c:pt>
                <c:pt idx="8">
                  <c:v>0.05</c:v>
                </c:pt>
                <c:pt idx="9">
                  <c:v>5.0089000000000002E-2</c:v>
                </c:pt>
                <c:pt idx="10">
                  <c:v>0.05</c:v>
                </c:pt>
                <c:pt idx="11">
                  <c:v>4.9910999999999997E-2</c:v>
                </c:pt>
                <c:pt idx="12">
                  <c:v>0.05</c:v>
                </c:pt>
                <c:pt idx="13">
                  <c:v>5.0391999999999999E-2</c:v>
                </c:pt>
                <c:pt idx="14">
                  <c:v>5.0999999999999997E-2</c:v>
                </c:pt>
                <c:pt idx="15">
                  <c:v>5.1769999999999997E-2</c:v>
                </c:pt>
                <c:pt idx="16">
                  <c:v>5.2999999999999999E-2</c:v>
                </c:pt>
                <c:pt idx="17">
                  <c:v>5.4900999999999998E-2</c:v>
                </c:pt>
                <c:pt idx="18">
                  <c:v>5.7000000000000002E-2</c:v>
                </c:pt>
                <c:pt idx="19">
                  <c:v>5.8749000000000003E-2</c:v>
                </c:pt>
                <c:pt idx="20">
                  <c:v>0.06</c:v>
                </c:pt>
                <c:pt idx="21">
                  <c:v>6.0727999999999997E-2</c:v>
                </c:pt>
                <c:pt idx="22">
                  <c:v>6.0999999999999999E-2</c:v>
                </c:pt>
                <c:pt idx="23">
                  <c:v>6.1090999999999999E-2</c:v>
                </c:pt>
                <c:pt idx="24">
                  <c:v>6.2E-2</c:v>
                </c:pt>
                <c:pt idx="25">
                  <c:v>6.4534999999999995E-2</c:v>
                </c:pt>
                <c:pt idx="26">
                  <c:v>6.8000000000000005E-2</c:v>
                </c:pt>
                <c:pt idx="27">
                  <c:v>7.1145E-2</c:v>
                </c:pt>
                <c:pt idx="28">
                  <c:v>7.1999999999999995E-2</c:v>
                </c:pt>
                <c:pt idx="29">
                  <c:v>7.0384000000000002E-2</c:v>
                </c:pt>
                <c:pt idx="30">
                  <c:v>7.3999999999999996E-2</c:v>
                </c:pt>
                <c:pt idx="31">
                  <c:v>8.9942999999999995E-2</c:v>
                </c:pt>
                <c:pt idx="32">
                  <c:v>0.115</c:v>
                </c:pt>
                <c:pt idx="33">
                  <c:v>0.14308999999999999</c:v>
                </c:pt>
                <c:pt idx="34">
                  <c:v>0.16700000000000001</c:v>
                </c:pt>
                <c:pt idx="35">
                  <c:v>0.18168000000000001</c:v>
                </c:pt>
                <c:pt idx="36">
                  <c:v>0.192</c:v>
                </c:pt>
                <c:pt idx="37">
                  <c:v>0.20293</c:v>
                </c:pt>
                <c:pt idx="38">
                  <c:v>0.21</c:v>
                </c:pt>
                <c:pt idx="39">
                  <c:v>0.20810999999999999</c:v>
                </c:pt>
                <c:pt idx="40">
                  <c:v>0.19900000000000001</c:v>
                </c:pt>
                <c:pt idx="41">
                  <c:v>0.18615000000000001</c:v>
                </c:pt>
                <c:pt idx="42">
                  <c:v>0.17299999999999999</c:v>
                </c:pt>
                <c:pt idx="43">
                  <c:v>0.16242000000000001</c:v>
                </c:pt>
                <c:pt idx="44">
                  <c:v>0.155</c:v>
                </c:pt>
                <c:pt idx="45">
                  <c:v>0.15106</c:v>
                </c:pt>
                <c:pt idx="46">
                  <c:v>0.152</c:v>
                </c:pt>
                <c:pt idx="47">
                  <c:v>0.15770999999999999</c:v>
                </c:pt>
                <c:pt idx="48">
                  <c:v>0.161</c:v>
                </c:pt>
                <c:pt idx="49">
                  <c:v>0.15559000000000001</c:v>
                </c:pt>
                <c:pt idx="50">
                  <c:v>0.14599999999999999</c:v>
                </c:pt>
                <c:pt idx="51">
                  <c:v>0.13791999999999999</c:v>
                </c:pt>
                <c:pt idx="52">
                  <c:v>0.13100000000000001</c:v>
                </c:pt>
                <c:pt idx="53">
                  <c:v>0.12386</c:v>
                </c:pt>
                <c:pt idx="54">
                  <c:v>0.11700000000000001</c:v>
                </c:pt>
                <c:pt idx="55">
                  <c:v>0.11101</c:v>
                </c:pt>
                <c:pt idx="56">
                  <c:v>0.105</c:v>
                </c:pt>
                <c:pt idx="57">
                  <c:v>9.8479999999999998E-2</c:v>
                </c:pt>
                <c:pt idx="58">
                  <c:v>9.4E-2</c:v>
                </c:pt>
                <c:pt idx="59">
                  <c:v>9.4708000000000001E-2</c:v>
                </c:pt>
                <c:pt idx="60">
                  <c:v>0.1031</c:v>
                </c:pt>
                <c:pt idx="61">
                  <c:v>0.1208</c:v>
                </c:pt>
                <c:pt idx="62">
                  <c:v>0.14660000000000001</c:v>
                </c:pt>
                <c:pt idx="63">
                  <c:v>0.17877000000000001</c:v>
                </c:pt>
                <c:pt idx="64">
                  <c:v>0.21629999999999999</c:v>
                </c:pt>
                <c:pt idx="65">
                  <c:v>0.25833</c:v>
                </c:pt>
                <c:pt idx="66">
                  <c:v>0.30380000000000001</c:v>
                </c:pt>
                <c:pt idx="67">
                  <c:v>0.35161999999999999</c:v>
                </c:pt>
                <c:pt idx="68">
                  <c:v>0.4007</c:v>
                </c:pt>
                <c:pt idx="69">
                  <c:v>0.45484000000000002</c:v>
                </c:pt>
                <c:pt idx="70">
                  <c:v>0.50885999999999998</c:v>
                </c:pt>
                <c:pt idx="71">
                  <c:v>0.56267</c:v>
                </c:pt>
                <c:pt idx="72">
                  <c:v>0.61504999999999999</c:v>
                </c:pt>
                <c:pt idx="73">
                  <c:v>0.66488999999999998</c:v>
                </c:pt>
                <c:pt idx="74">
                  <c:v>0.71130000000000004</c:v>
                </c:pt>
                <c:pt idx="75">
                  <c:v>0.75366999999999995</c:v>
                </c:pt>
                <c:pt idx="76">
                  <c:v>0.79164000000000001</c:v>
                </c:pt>
                <c:pt idx="77">
                  <c:v>0.82511999999999996</c:v>
                </c:pt>
                <c:pt idx="78">
                  <c:v>0.85421000000000002</c:v>
                </c:pt>
                <c:pt idx="79">
                  <c:v>0.87917000000000001</c:v>
                </c:pt>
                <c:pt idx="80">
                  <c:v>0.90034999999999998</c:v>
                </c:pt>
                <c:pt idx="81">
                  <c:v>0.91817000000000004</c:v>
                </c:pt>
                <c:pt idx="82">
                  <c:v>0.93303000000000003</c:v>
                </c:pt>
                <c:pt idx="83">
                  <c:v>0.94535999999999998</c:v>
                </c:pt>
                <c:pt idx="84">
                  <c:v>0.95552999999999999</c:v>
                </c:pt>
                <c:pt idx="85">
                  <c:v>0.95552999999999999</c:v>
                </c:pt>
                <c:pt idx="86">
                  <c:v>0.95552999999999999</c:v>
                </c:pt>
                <c:pt idx="87">
                  <c:v>0.95552999999999999</c:v>
                </c:pt>
                <c:pt idx="88">
                  <c:v>0.95552999999999999</c:v>
                </c:pt>
                <c:pt idx="89">
                  <c:v>0.95552999999999999</c:v>
                </c:pt>
                <c:pt idx="90">
                  <c:v>0.95552999999999999</c:v>
                </c:pt>
                <c:pt idx="91">
                  <c:v>0.95552999999999999</c:v>
                </c:pt>
                <c:pt idx="92">
                  <c:v>0.95552999999999999</c:v>
                </c:pt>
                <c:pt idx="93">
                  <c:v>0.95552999999999999</c:v>
                </c:pt>
                <c:pt idx="94">
                  <c:v>0.95552999999999999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4-3FE4-445B-8EEB-D88489EA6296}"/>
            </c:ext>
          </c:extLst>
        </c:ser>
        <c:ser>
          <c:idx val="38"/>
          <c:order val="3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'99set'!$AN$10:$AN$104</c:f>
              <c:numCache>
                <c:formatCode>0.0000</c:formatCode>
                <c:ptCount val="95"/>
                <c:pt idx="0">
                  <c:v>0.11323</c:v>
                </c:pt>
                <c:pt idx="1">
                  <c:v>0.11323</c:v>
                </c:pt>
                <c:pt idx="2">
                  <c:v>0.11323</c:v>
                </c:pt>
                <c:pt idx="3">
                  <c:v>0.11323</c:v>
                </c:pt>
                <c:pt idx="4">
                  <c:v>0.11323</c:v>
                </c:pt>
                <c:pt idx="5">
                  <c:v>0.11525090909090907</c:v>
                </c:pt>
                <c:pt idx="6">
                  <c:v>0.10979071428571428</c:v>
                </c:pt>
                <c:pt idx="7">
                  <c:v>9.5408096774193554E-2</c:v>
                </c:pt>
                <c:pt idx="8">
                  <c:v>8.6886439024390263E-2</c:v>
                </c:pt>
                <c:pt idx="9">
                  <c:v>8.2241170731707308E-2</c:v>
                </c:pt>
                <c:pt idx="10">
                  <c:v>8.1420975609756113E-2</c:v>
                </c:pt>
                <c:pt idx="11">
                  <c:v>8.6813902439024385E-2</c:v>
                </c:pt>
                <c:pt idx="12">
                  <c:v>0.10151226829268294</c:v>
                </c:pt>
                <c:pt idx="13">
                  <c:v>0.12741402439024391</c:v>
                </c:pt>
                <c:pt idx="14">
                  <c:v>0.16431221951219513</c:v>
                </c:pt>
                <c:pt idx="15">
                  <c:v>0.21014202439024393</c:v>
                </c:pt>
                <c:pt idx="16">
                  <c:v>0.26264841463414634</c:v>
                </c:pt>
                <c:pt idx="17">
                  <c:v>0.31889160975609759</c:v>
                </c:pt>
                <c:pt idx="18">
                  <c:v>0.37622463414634144</c:v>
                </c:pt>
                <c:pt idx="19">
                  <c:v>0.43059780487804883</c:v>
                </c:pt>
                <c:pt idx="20">
                  <c:v>0.47844414634146348</c:v>
                </c:pt>
                <c:pt idx="21">
                  <c:v>0.51829317073170733</c:v>
                </c:pt>
                <c:pt idx="22">
                  <c:v>0.55029121951219517</c:v>
                </c:pt>
                <c:pt idx="23">
                  <c:v>0.57598975609756098</c:v>
                </c:pt>
                <c:pt idx="24">
                  <c:v>0.5956165853658536</c:v>
                </c:pt>
                <c:pt idx="25">
                  <c:v>0.61049365853658533</c:v>
                </c:pt>
                <c:pt idx="26">
                  <c:v>0.62077341463414626</c:v>
                </c:pt>
                <c:pt idx="27">
                  <c:v>0.62698268292682946</c:v>
                </c:pt>
                <c:pt idx="28">
                  <c:v>0.6327036585365855</c:v>
                </c:pt>
                <c:pt idx="29">
                  <c:v>0.64011317073170737</c:v>
                </c:pt>
                <c:pt idx="30">
                  <c:v>0.64719146341463407</c:v>
                </c:pt>
                <c:pt idx="31">
                  <c:v>0.6517087804878049</c:v>
                </c:pt>
                <c:pt idx="32">
                  <c:v>0.65373365853658527</c:v>
                </c:pt>
                <c:pt idx="33">
                  <c:v>0.65447000000000011</c:v>
                </c:pt>
                <c:pt idx="34">
                  <c:v>0.65537634146341472</c:v>
                </c:pt>
                <c:pt idx="35">
                  <c:v>0.65739195121951211</c:v>
                </c:pt>
                <c:pt idx="36">
                  <c:v>0.65954097560975633</c:v>
                </c:pt>
                <c:pt idx="37">
                  <c:v>0.66026829268292686</c:v>
                </c:pt>
                <c:pt idx="38">
                  <c:v>0.6592343902439024</c:v>
                </c:pt>
                <c:pt idx="39">
                  <c:v>0.65778853658536574</c:v>
                </c:pt>
                <c:pt idx="40">
                  <c:v>0.65798780487804864</c:v>
                </c:pt>
                <c:pt idx="41">
                  <c:v>0.65939536585365865</c:v>
                </c:pt>
                <c:pt idx="42">
                  <c:v>0.66049341463414657</c:v>
                </c:pt>
                <c:pt idx="43">
                  <c:v>0.66094170731707325</c:v>
                </c:pt>
                <c:pt idx="44">
                  <c:v>0.66122414634146343</c:v>
                </c:pt>
                <c:pt idx="45">
                  <c:v>0.66190073170731711</c:v>
                </c:pt>
                <c:pt idx="46">
                  <c:v>0.66314829268292697</c:v>
                </c:pt>
                <c:pt idx="47">
                  <c:v>0.6645814634146342</c:v>
                </c:pt>
                <c:pt idx="48">
                  <c:v>0.6654439024390244</c:v>
                </c:pt>
                <c:pt idx="49">
                  <c:v>0.66585341463414638</c:v>
                </c:pt>
                <c:pt idx="50">
                  <c:v>0.6668441463414635</c:v>
                </c:pt>
                <c:pt idx="51">
                  <c:v>0.668810975609756</c:v>
                </c:pt>
                <c:pt idx="52">
                  <c:v>0.6705973170731705</c:v>
                </c:pt>
                <c:pt idx="53">
                  <c:v>0.67138219512195108</c:v>
                </c:pt>
                <c:pt idx="54">
                  <c:v>0.67118682926829265</c:v>
                </c:pt>
                <c:pt idx="55">
                  <c:v>0.67048658536585382</c:v>
                </c:pt>
                <c:pt idx="56">
                  <c:v>0.67040878048780517</c:v>
                </c:pt>
                <c:pt idx="57">
                  <c:v>0.67107609756097553</c:v>
                </c:pt>
                <c:pt idx="58">
                  <c:v>0.67106097560975597</c:v>
                </c:pt>
                <c:pt idx="59">
                  <c:v>0.67024073170731702</c:v>
                </c:pt>
                <c:pt idx="60">
                  <c:v>0.66944341463414625</c:v>
                </c:pt>
                <c:pt idx="61">
                  <c:v>0.66845804878048787</c:v>
                </c:pt>
                <c:pt idx="62">
                  <c:v>0.66850975609756091</c:v>
                </c:pt>
                <c:pt idx="63">
                  <c:v>0.67028292682926849</c:v>
                </c:pt>
                <c:pt idx="64">
                  <c:v>0.67149317073170722</c:v>
                </c:pt>
                <c:pt idx="65">
                  <c:v>0.67258243902439008</c:v>
                </c:pt>
                <c:pt idx="66">
                  <c:v>0.67428292682926816</c:v>
                </c:pt>
                <c:pt idx="67">
                  <c:v>0.67637999999999998</c:v>
                </c:pt>
                <c:pt idx="68">
                  <c:v>0.67857341463414644</c:v>
                </c:pt>
                <c:pt idx="69">
                  <c:v>0.6818995121951219</c:v>
                </c:pt>
                <c:pt idx="70">
                  <c:v>0.68592365853658521</c:v>
                </c:pt>
                <c:pt idx="71">
                  <c:v>0.6895219512195121</c:v>
                </c:pt>
                <c:pt idx="72">
                  <c:v>0.69327829268292673</c:v>
                </c:pt>
                <c:pt idx="73">
                  <c:v>0.69710560975609737</c:v>
                </c:pt>
                <c:pt idx="74">
                  <c:v>0.70082536585365851</c:v>
                </c:pt>
                <c:pt idx="75">
                  <c:v>0.70451926829268297</c:v>
                </c:pt>
                <c:pt idx="76">
                  <c:v>0.70818609756097561</c:v>
                </c:pt>
                <c:pt idx="77">
                  <c:v>0.71182658536585375</c:v>
                </c:pt>
                <c:pt idx="78">
                  <c:v>0.71543951219512203</c:v>
                </c:pt>
                <c:pt idx="79">
                  <c:v>0.71902512195121959</c:v>
                </c:pt>
                <c:pt idx="80">
                  <c:v>0.72258317073170719</c:v>
                </c:pt>
                <c:pt idx="81">
                  <c:v>0.72614709677419353</c:v>
                </c:pt>
                <c:pt idx="82">
                  <c:v>0.72967380952380956</c:v>
                </c:pt>
                <c:pt idx="83">
                  <c:v>0.73316272727272735</c:v>
                </c:pt>
                <c:pt idx="84">
                  <c:v>0.73660999999999999</c:v>
                </c:pt>
                <c:pt idx="85">
                  <c:v>0.73660999999999999</c:v>
                </c:pt>
                <c:pt idx="86">
                  <c:v>0.73660999999999999</c:v>
                </c:pt>
                <c:pt idx="87">
                  <c:v>0.73660999999999999</c:v>
                </c:pt>
                <c:pt idx="88">
                  <c:v>0.73660999999999999</c:v>
                </c:pt>
                <c:pt idx="89">
                  <c:v>0.73660999999999999</c:v>
                </c:pt>
                <c:pt idx="90">
                  <c:v>0.73660999999999999</c:v>
                </c:pt>
                <c:pt idx="91">
                  <c:v>0.73660999999999999</c:v>
                </c:pt>
                <c:pt idx="92">
                  <c:v>0.73660999999999999</c:v>
                </c:pt>
                <c:pt idx="93">
                  <c:v>0.73660999999999999</c:v>
                </c:pt>
                <c:pt idx="94">
                  <c:v>0.73660999999999999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5-3FE4-445B-8EEB-D88489EA6296}"/>
            </c:ext>
          </c:extLst>
        </c:ser>
        <c:ser>
          <c:idx val="39"/>
          <c:order val="3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'99set'!$AO$10:$AO$104</c:f>
              <c:numCache>
                <c:formatCode>0.0000</c:formatCode>
                <c:ptCount val="95"/>
                <c:pt idx="0">
                  <c:v>4.5657999999999997E-2</c:v>
                </c:pt>
                <c:pt idx="1">
                  <c:v>4.5657999999999997E-2</c:v>
                </c:pt>
                <c:pt idx="2">
                  <c:v>4.5657999999999997E-2</c:v>
                </c:pt>
                <c:pt idx="3">
                  <c:v>4.5657999999999997E-2</c:v>
                </c:pt>
                <c:pt idx="4">
                  <c:v>4.5657999999999997E-2</c:v>
                </c:pt>
                <c:pt idx="5">
                  <c:v>4.5731000000000001E-2</c:v>
                </c:pt>
                <c:pt idx="6">
                  <c:v>4.5803999999999997E-2</c:v>
                </c:pt>
                <c:pt idx="7">
                  <c:v>4.5877000000000001E-2</c:v>
                </c:pt>
                <c:pt idx="8">
                  <c:v>4.6061999999999999E-2</c:v>
                </c:pt>
                <c:pt idx="9">
                  <c:v>4.5969000000000003E-2</c:v>
                </c:pt>
                <c:pt idx="10">
                  <c:v>4.6061999999999999E-2</c:v>
                </c:pt>
                <c:pt idx="11">
                  <c:v>4.6335000000000001E-2</c:v>
                </c:pt>
                <c:pt idx="12">
                  <c:v>4.6782999999999998E-2</c:v>
                </c:pt>
                <c:pt idx="13">
                  <c:v>4.7406999999999998E-2</c:v>
                </c:pt>
                <c:pt idx="14">
                  <c:v>4.8225999999999998E-2</c:v>
                </c:pt>
                <c:pt idx="15">
                  <c:v>4.9245999999999998E-2</c:v>
                </c:pt>
                <c:pt idx="16">
                  <c:v>5.0389999999999997E-2</c:v>
                </c:pt>
                <c:pt idx="17">
                  <c:v>5.16E-2</c:v>
                </c:pt>
                <c:pt idx="18">
                  <c:v>5.2965999999999999E-2</c:v>
                </c:pt>
                <c:pt idx="19">
                  <c:v>5.4525999999999998E-2</c:v>
                </c:pt>
                <c:pt idx="20">
                  <c:v>5.5953999999999997E-2</c:v>
                </c:pt>
                <c:pt idx="21">
                  <c:v>5.6980999999999997E-2</c:v>
                </c:pt>
                <c:pt idx="22">
                  <c:v>5.7911999999999998E-2</c:v>
                </c:pt>
                <c:pt idx="23">
                  <c:v>5.9317000000000002E-2</c:v>
                </c:pt>
                <c:pt idx="24">
                  <c:v>6.2239999999999997E-2</c:v>
                </c:pt>
                <c:pt idx="25">
                  <c:v>6.7419000000000007E-2</c:v>
                </c:pt>
                <c:pt idx="26">
                  <c:v>7.3885000000000006E-2</c:v>
                </c:pt>
                <c:pt idx="27">
                  <c:v>8.0307000000000003E-2</c:v>
                </c:pt>
                <c:pt idx="28">
                  <c:v>8.5632E-2</c:v>
                </c:pt>
                <c:pt idx="29">
                  <c:v>8.9154999999999998E-2</c:v>
                </c:pt>
                <c:pt idx="30">
                  <c:v>9.1299000000000005E-2</c:v>
                </c:pt>
                <c:pt idx="31">
                  <c:v>9.2554999999999998E-2</c:v>
                </c:pt>
                <c:pt idx="32">
                  <c:v>9.2535999999999993E-2</c:v>
                </c:pt>
                <c:pt idx="33">
                  <c:v>9.0858999999999995E-2</c:v>
                </c:pt>
                <c:pt idx="34">
                  <c:v>8.8001999999999997E-2</c:v>
                </c:pt>
                <c:pt idx="35">
                  <c:v>8.4608000000000003E-2</c:v>
                </c:pt>
                <c:pt idx="36">
                  <c:v>8.1098000000000003E-2</c:v>
                </c:pt>
                <c:pt idx="37">
                  <c:v>7.7765000000000001E-2</c:v>
                </c:pt>
                <c:pt idx="38">
                  <c:v>7.4606000000000006E-2</c:v>
                </c:pt>
                <c:pt idx="39">
                  <c:v>7.1650000000000005E-2</c:v>
                </c:pt>
                <c:pt idx="40">
                  <c:v>6.9349999999999995E-2</c:v>
                </c:pt>
                <c:pt idx="41">
                  <c:v>6.8110000000000004E-2</c:v>
                </c:pt>
                <c:pt idx="42">
                  <c:v>6.7701999999999998E-2</c:v>
                </c:pt>
                <c:pt idx="43">
                  <c:v>6.7838999999999997E-2</c:v>
                </c:pt>
                <c:pt idx="44">
                  <c:v>6.8628999999999996E-2</c:v>
                </c:pt>
                <c:pt idx="45">
                  <c:v>7.0181999999999994E-2</c:v>
                </c:pt>
                <c:pt idx="46">
                  <c:v>7.2235999999999995E-2</c:v>
                </c:pt>
                <c:pt idx="47">
                  <c:v>7.4440000000000006E-2</c:v>
                </c:pt>
                <c:pt idx="48">
                  <c:v>7.6461000000000001E-2</c:v>
                </c:pt>
                <c:pt idx="49">
                  <c:v>7.8045000000000003E-2</c:v>
                </c:pt>
                <c:pt idx="50">
                  <c:v>7.9242999999999994E-2</c:v>
                </c:pt>
                <c:pt idx="51">
                  <c:v>8.0168000000000003E-2</c:v>
                </c:pt>
                <c:pt idx="52">
                  <c:v>8.0892000000000006E-2</c:v>
                </c:pt>
                <c:pt idx="53">
                  <c:v>8.1466999999999998E-2</c:v>
                </c:pt>
                <c:pt idx="54">
                  <c:v>8.1921999999999995E-2</c:v>
                </c:pt>
                <c:pt idx="55">
                  <c:v>8.2328999999999999E-2</c:v>
                </c:pt>
                <c:pt idx="56">
                  <c:v>8.2952999999999999E-2</c:v>
                </c:pt>
                <c:pt idx="57">
                  <c:v>8.4011000000000002E-2</c:v>
                </c:pt>
                <c:pt idx="58">
                  <c:v>8.5322999999999996E-2</c:v>
                </c:pt>
                <c:pt idx="59">
                  <c:v>8.6610000000000006E-2</c:v>
                </c:pt>
                <c:pt idx="60">
                  <c:v>8.7590000000000001E-2</c:v>
                </c:pt>
                <c:pt idx="61">
                  <c:v>8.8067999999999994E-2</c:v>
                </c:pt>
                <c:pt idx="62">
                  <c:v>8.8207999999999995E-2</c:v>
                </c:pt>
                <c:pt idx="63">
                  <c:v>8.8229000000000002E-2</c:v>
                </c:pt>
                <c:pt idx="64">
                  <c:v>8.8207999999999995E-2</c:v>
                </c:pt>
                <c:pt idx="65">
                  <c:v>8.8175000000000003E-2</c:v>
                </c:pt>
                <c:pt idx="66">
                  <c:v>8.8105000000000003E-2</c:v>
                </c:pt>
                <c:pt idx="67">
                  <c:v>8.7956999999999994E-2</c:v>
                </c:pt>
                <c:pt idx="68">
                  <c:v>8.7692999999999993E-2</c:v>
                </c:pt>
                <c:pt idx="69">
                  <c:v>8.7595999999999993E-2</c:v>
                </c:pt>
                <c:pt idx="70">
                  <c:v>8.7431999999999996E-2</c:v>
                </c:pt>
                <c:pt idx="71">
                  <c:v>8.7267999999999998E-2</c:v>
                </c:pt>
                <c:pt idx="72">
                  <c:v>8.7105000000000002E-2</c:v>
                </c:pt>
                <c:pt idx="73">
                  <c:v>8.6941000000000004E-2</c:v>
                </c:pt>
                <c:pt idx="74">
                  <c:v>8.6778999999999995E-2</c:v>
                </c:pt>
                <c:pt idx="75">
                  <c:v>8.6615999999999999E-2</c:v>
                </c:pt>
                <c:pt idx="76">
                  <c:v>8.6454000000000003E-2</c:v>
                </c:pt>
                <c:pt idx="77">
                  <c:v>8.6291999999999994E-2</c:v>
                </c:pt>
                <c:pt idx="78">
                  <c:v>8.6129999999999998E-2</c:v>
                </c:pt>
                <c:pt idx="79">
                  <c:v>8.5968000000000003E-2</c:v>
                </c:pt>
                <c:pt idx="80">
                  <c:v>8.5806999999999994E-2</c:v>
                </c:pt>
                <c:pt idx="81">
                  <c:v>8.5646E-2</c:v>
                </c:pt>
                <c:pt idx="82">
                  <c:v>8.5485000000000005E-2</c:v>
                </c:pt>
                <c:pt idx="83">
                  <c:v>8.5324999999999998E-2</c:v>
                </c:pt>
                <c:pt idx="84">
                  <c:v>8.5165000000000005E-2</c:v>
                </c:pt>
                <c:pt idx="85">
                  <c:v>8.5165000000000005E-2</c:v>
                </c:pt>
                <c:pt idx="86">
                  <c:v>8.5165000000000005E-2</c:v>
                </c:pt>
                <c:pt idx="87">
                  <c:v>8.5165000000000005E-2</c:v>
                </c:pt>
                <c:pt idx="88">
                  <c:v>8.5165000000000005E-2</c:v>
                </c:pt>
                <c:pt idx="89">
                  <c:v>8.5165000000000005E-2</c:v>
                </c:pt>
                <c:pt idx="90">
                  <c:v>8.5165000000000005E-2</c:v>
                </c:pt>
                <c:pt idx="91">
                  <c:v>8.5165000000000005E-2</c:v>
                </c:pt>
                <c:pt idx="92">
                  <c:v>8.5165000000000005E-2</c:v>
                </c:pt>
                <c:pt idx="93">
                  <c:v>8.5165000000000005E-2</c:v>
                </c:pt>
                <c:pt idx="94">
                  <c:v>8.5165000000000005E-2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6-3FE4-445B-8EEB-D88489EA6296}"/>
            </c:ext>
          </c:extLst>
        </c:ser>
        <c:ser>
          <c:idx val="40"/>
          <c:order val="3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'99set'!$AP$10:$AP$104</c:f>
              <c:numCache>
                <c:formatCode>0.0000</c:formatCode>
                <c:ptCount val="95"/>
                <c:pt idx="0">
                  <c:v>7.5004000000000001E-2</c:v>
                </c:pt>
                <c:pt idx="1">
                  <c:v>7.5004000000000001E-2</c:v>
                </c:pt>
                <c:pt idx="2">
                  <c:v>7.5004000000000001E-2</c:v>
                </c:pt>
                <c:pt idx="3">
                  <c:v>7.5004000000000001E-2</c:v>
                </c:pt>
                <c:pt idx="4">
                  <c:v>7.5004000000000001E-2</c:v>
                </c:pt>
                <c:pt idx="5">
                  <c:v>7.5015999999999999E-2</c:v>
                </c:pt>
                <c:pt idx="6">
                  <c:v>7.5026999999999996E-2</c:v>
                </c:pt>
                <c:pt idx="7">
                  <c:v>7.5038999999999995E-2</c:v>
                </c:pt>
                <c:pt idx="8">
                  <c:v>7.5223999999999999E-2</c:v>
                </c:pt>
                <c:pt idx="9">
                  <c:v>7.4977000000000002E-2</c:v>
                </c:pt>
                <c:pt idx="10">
                  <c:v>7.5018000000000001E-2</c:v>
                </c:pt>
                <c:pt idx="11">
                  <c:v>7.5342000000000006E-2</c:v>
                </c:pt>
                <c:pt idx="12">
                  <c:v>7.5944999999999999E-2</c:v>
                </c:pt>
                <c:pt idx="13">
                  <c:v>7.6827999999999994E-2</c:v>
                </c:pt>
                <c:pt idx="14">
                  <c:v>7.8006000000000006E-2</c:v>
                </c:pt>
                <c:pt idx="15">
                  <c:v>7.9497999999999999E-2</c:v>
                </c:pt>
                <c:pt idx="16">
                  <c:v>8.1304000000000001E-2</c:v>
                </c:pt>
                <c:pt idx="17">
                  <c:v>8.3472000000000005E-2</c:v>
                </c:pt>
                <c:pt idx="18">
                  <c:v>8.6249999999999993E-2</c:v>
                </c:pt>
                <c:pt idx="19">
                  <c:v>8.9636999999999994E-2</c:v>
                </c:pt>
                <c:pt idx="20">
                  <c:v>9.2433000000000001E-2</c:v>
                </c:pt>
                <c:pt idx="21">
                  <c:v>9.3706999999999999E-2</c:v>
                </c:pt>
                <c:pt idx="22">
                  <c:v>9.4802999999999998E-2</c:v>
                </c:pt>
                <c:pt idx="23">
                  <c:v>9.7936999999999996E-2</c:v>
                </c:pt>
                <c:pt idx="24">
                  <c:v>0.10655000000000001</c:v>
                </c:pt>
                <c:pt idx="25">
                  <c:v>0.12302</c:v>
                </c:pt>
                <c:pt idx="26">
                  <c:v>0.14427000000000001</c:v>
                </c:pt>
                <c:pt idx="27">
                  <c:v>0.16617000000000001</c:v>
                </c:pt>
                <c:pt idx="28">
                  <c:v>0.186</c:v>
                </c:pt>
                <c:pt idx="29">
                  <c:v>0.20197999999999999</c:v>
                </c:pt>
                <c:pt idx="30">
                  <c:v>0.21465000000000001</c:v>
                </c:pt>
                <c:pt idx="31">
                  <c:v>0.22434999999999999</c:v>
                </c:pt>
                <c:pt idx="32">
                  <c:v>0.22825000000000001</c:v>
                </c:pt>
                <c:pt idx="33">
                  <c:v>0.22392999999999999</c:v>
                </c:pt>
                <c:pt idx="34">
                  <c:v>0.21393000000000001</c:v>
                </c:pt>
                <c:pt idx="35">
                  <c:v>0.20158000000000001</c:v>
                </c:pt>
                <c:pt idx="36">
                  <c:v>0.18858</c:v>
                </c:pt>
                <c:pt idx="37">
                  <c:v>0.17596000000000001</c:v>
                </c:pt>
                <c:pt idx="38">
                  <c:v>0.16384000000000001</c:v>
                </c:pt>
                <c:pt idx="39">
                  <c:v>0.15243999999999999</c:v>
                </c:pt>
                <c:pt idx="40">
                  <c:v>0.14313000000000001</c:v>
                </c:pt>
                <c:pt idx="41">
                  <c:v>0.13716</c:v>
                </c:pt>
                <c:pt idx="42">
                  <c:v>0.13396</c:v>
                </c:pt>
                <c:pt idx="43">
                  <c:v>0.13286000000000001</c:v>
                </c:pt>
                <c:pt idx="44">
                  <c:v>0.13458000000000001</c:v>
                </c:pt>
                <c:pt idx="45">
                  <c:v>0.13977999999999999</c:v>
                </c:pt>
                <c:pt idx="46">
                  <c:v>0.14735999999999999</c:v>
                </c:pt>
                <c:pt idx="47">
                  <c:v>0.15579000000000001</c:v>
                </c:pt>
                <c:pt idx="48">
                  <c:v>0.16364000000000001</c:v>
                </c:pt>
                <c:pt idx="49">
                  <c:v>0.16980000000000001</c:v>
                </c:pt>
                <c:pt idx="50">
                  <c:v>0.17455999999999999</c:v>
                </c:pt>
                <c:pt idx="51">
                  <c:v>0.17846000000000001</c:v>
                </c:pt>
                <c:pt idx="52">
                  <c:v>0.18157000000000001</c:v>
                </c:pt>
                <c:pt idx="53">
                  <c:v>0.18390999999999999</c:v>
                </c:pt>
                <c:pt idx="54">
                  <c:v>0.18568999999999999</c:v>
                </c:pt>
                <c:pt idx="55">
                  <c:v>0.18725</c:v>
                </c:pt>
                <c:pt idx="56">
                  <c:v>0.1893</c:v>
                </c:pt>
                <c:pt idx="57">
                  <c:v>0.19238</c:v>
                </c:pt>
                <c:pt idx="58">
                  <c:v>0.1961</c:v>
                </c:pt>
                <c:pt idx="59">
                  <c:v>0.19975999999999999</c:v>
                </c:pt>
                <c:pt idx="60">
                  <c:v>0.20258999999999999</c:v>
                </c:pt>
                <c:pt idx="61">
                  <c:v>0.20399999999999999</c:v>
                </c:pt>
                <c:pt idx="62">
                  <c:v>0.20433999999999999</c:v>
                </c:pt>
                <c:pt idx="63">
                  <c:v>0.20413000000000001</c:v>
                </c:pt>
                <c:pt idx="64">
                  <c:v>0.20352000000000001</c:v>
                </c:pt>
                <c:pt idx="65">
                  <c:v>0.20254</c:v>
                </c:pt>
                <c:pt idx="66">
                  <c:v>0.20115</c:v>
                </c:pt>
                <c:pt idx="67">
                  <c:v>0.19927</c:v>
                </c:pt>
                <c:pt idx="68">
                  <c:v>0.19681999999999999</c:v>
                </c:pt>
                <c:pt idx="69">
                  <c:v>0.19524</c:v>
                </c:pt>
                <c:pt idx="70">
                  <c:v>0.19333</c:v>
                </c:pt>
                <c:pt idx="71">
                  <c:v>0.19144</c:v>
                </c:pt>
                <c:pt idx="72">
                  <c:v>0.18956000000000001</c:v>
                </c:pt>
                <c:pt idx="73">
                  <c:v>0.18769</c:v>
                </c:pt>
                <c:pt idx="74">
                  <c:v>0.18584000000000001</c:v>
                </c:pt>
                <c:pt idx="75">
                  <c:v>0.184</c:v>
                </c:pt>
                <c:pt idx="76">
                  <c:v>0.18218000000000001</c:v>
                </c:pt>
                <c:pt idx="77">
                  <c:v>0.18037</c:v>
                </c:pt>
                <c:pt idx="78">
                  <c:v>0.17857000000000001</c:v>
                </c:pt>
                <c:pt idx="79">
                  <c:v>0.17679</c:v>
                </c:pt>
                <c:pt idx="80">
                  <c:v>0.17502000000000001</c:v>
                </c:pt>
                <c:pt idx="81">
                  <c:v>0.17327000000000001</c:v>
                </c:pt>
                <c:pt idx="82">
                  <c:v>0.17152999999999999</c:v>
                </c:pt>
                <c:pt idx="83">
                  <c:v>0.16980999999999999</c:v>
                </c:pt>
                <c:pt idx="84">
                  <c:v>0.16808999999999999</c:v>
                </c:pt>
                <c:pt idx="85">
                  <c:v>0.16808999999999999</c:v>
                </c:pt>
                <c:pt idx="86">
                  <c:v>0.16808999999999999</c:v>
                </c:pt>
                <c:pt idx="87">
                  <c:v>0.16808999999999999</c:v>
                </c:pt>
                <c:pt idx="88">
                  <c:v>0.16808999999999999</c:v>
                </c:pt>
                <c:pt idx="89">
                  <c:v>0.16808999999999999</c:v>
                </c:pt>
                <c:pt idx="90">
                  <c:v>0.16808999999999999</c:v>
                </c:pt>
                <c:pt idx="91">
                  <c:v>0.16808999999999999</c:v>
                </c:pt>
                <c:pt idx="92">
                  <c:v>0.16808999999999999</c:v>
                </c:pt>
                <c:pt idx="93">
                  <c:v>0.16808999999999999</c:v>
                </c:pt>
                <c:pt idx="94">
                  <c:v>0.16808999999999999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7-3FE4-445B-8EEB-D88489EA6296}"/>
            </c:ext>
          </c:extLst>
        </c:ser>
        <c:ser>
          <c:idx val="41"/>
          <c:order val="4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'99set'!$AQ$10:$AQ$104</c:f>
              <c:numCache>
                <c:formatCode>0.0000</c:formatCode>
                <c:ptCount val="95"/>
                <c:pt idx="0">
                  <c:v>0.37973000000000001</c:v>
                </c:pt>
                <c:pt idx="1">
                  <c:v>0.37973000000000001</c:v>
                </c:pt>
                <c:pt idx="2">
                  <c:v>0.37973000000000001</c:v>
                </c:pt>
                <c:pt idx="3">
                  <c:v>0.37973000000000001</c:v>
                </c:pt>
                <c:pt idx="4">
                  <c:v>0.37973000000000001</c:v>
                </c:pt>
                <c:pt idx="5">
                  <c:v>0.38712000000000002</c:v>
                </c:pt>
                <c:pt idx="6">
                  <c:v>0.39455000000000001</c:v>
                </c:pt>
                <c:pt idx="7">
                  <c:v>0.40204000000000001</c:v>
                </c:pt>
                <c:pt idx="8">
                  <c:v>0.4098</c:v>
                </c:pt>
                <c:pt idx="9">
                  <c:v>0.41775000000000001</c:v>
                </c:pt>
                <c:pt idx="10">
                  <c:v>0.4269</c:v>
                </c:pt>
                <c:pt idx="11">
                  <c:v>0.43208999999999997</c:v>
                </c:pt>
                <c:pt idx="12">
                  <c:v>0.43680000000000002</c:v>
                </c:pt>
                <c:pt idx="13">
                  <c:v>0.44546000000000002</c:v>
                </c:pt>
                <c:pt idx="14">
                  <c:v>0.4577</c:v>
                </c:pt>
                <c:pt idx="15">
                  <c:v>0.47231000000000001</c:v>
                </c:pt>
                <c:pt idx="16">
                  <c:v>0.48949999999999999</c:v>
                </c:pt>
                <c:pt idx="17">
                  <c:v>0.50976999999999995</c:v>
                </c:pt>
                <c:pt idx="18">
                  <c:v>0.5333</c:v>
                </c:pt>
                <c:pt idx="19">
                  <c:v>0.55996000000000001</c:v>
                </c:pt>
                <c:pt idx="20">
                  <c:v>0.58879999999999999</c:v>
                </c:pt>
                <c:pt idx="21">
                  <c:v>0.61853999999999998</c:v>
                </c:pt>
                <c:pt idx="22">
                  <c:v>0.64749999999999996</c:v>
                </c:pt>
                <c:pt idx="23">
                  <c:v>0.67396</c:v>
                </c:pt>
                <c:pt idx="24">
                  <c:v>0.69650000000000001</c:v>
                </c:pt>
                <c:pt idx="25">
                  <c:v>0.71397999999999995</c:v>
                </c:pt>
                <c:pt idx="26">
                  <c:v>0.72619999999999996</c:v>
                </c:pt>
                <c:pt idx="27">
                  <c:v>0.73336000000000001</c:v>
                </c:pt>
                <c:pt idx="28">
                  <c:v>0.73640000000000005</c:v>
                </c:pt>
                <c:pt idx="29">
                  <c:v>0.73638000000000003</c:v>
                </c:pt>
                <c:pt idx="30">
                  <c:v>0.73419999999999996</c:v>
                </c:pt>
                <c:pt idx="31">
                  <c:v>0.73060999999999998</c:v>
                </c:pt>
                <c:pt idx="32">
                  <c:v>0.72609999999999997</c:v>
                </c:pt>
                <c:pt idx="33">
                  <c:v>0.72101999999999999</c:v>
                </c:pt>
                <c:pt idx="34">
                  <c:v>0.71550000000000002</c:v>
                </c:pt>
                <c:pt idx="35">
                  <c:v>0.70967000000000002</c:v>
                </c:pt>
                <c:pt idx="36">
                  <c:v>0.70389999999999997</c:v>
                </c:pt>
                <c:pt idx="37">
                  <c:v>0.6986</c:v>
                </c:pt>
                <c:pt idx="38">
                  <c:v>0.69410000000000005</c:v>
                </c:pt>
                <c:pt idx="39">
                  <c:v>0.69062000000000001</c:v>
                </c:pt>
                <c:pt idx="40">
                  <c:v>0.68810000000000004</c:v>
                </c:pt>
                <c:pt idx="41">
                  <c:v>0.68630000000000002</c:v>
                </c:pt>
                <c:pt idx="42">
                  <c:v>0.68459999999999999</c:v>
                </c:pt>
                <c:pt idx="43">
                  <c:v>0.68242999999999998</c:v>
                </c:pt>
                <c:pt idx="44">
                  <c:v>0.67989999999999995</c:v>
                </c:pt>
                <c:pt idx="45">
                  <c:v>0.67728999999999995</c:v>
                </c:pt>
                <c:pt idx="46">
                  <c:v>0.67490000000000006</c:v>
                </c:pt>
                <c:pt idx="47">
                  <c:v>0.67300000000000004</c:v>
                </c:pt>
                <c:pt idx="48">
                  <c:v>0.67179999999999995</c:v>
                </c:pt>
                <c:pt idx="49">
                  <c:v>0.67137000000000002</c:v>
                </c:pt>
                <c:pt idx="50">
                  <c:v>0.6714</c:v>
                </c:pt>
                <c:pt idx="51">
                  <c:v>0.67164000000000001</c:v>
                </c:pt>
                <c:pt idx="52">
                  <c:v>0.67249999999999999</c:v>
                </c:pt>
                <c:pt idx="53">
                  <c:v>0.67464000000000002</c:v>
                </c:pt>
                <c:pt idx="54">
                  <c:v>0.67889999999999995</c:v>
                </c:pt>
                <c:pt idx="55">
                  <c:v>0.68615999999999999</c:v>
                </c:pt>
                <c:pt idx="56">
                  <c:v>0.69710000000000005</c:v>
                </c:pt>
                <c:pt idx="57">
                  <c:v>0.71218000000000004</c:v>
                </c:pt>
                <c:pt idx="58">
                  <c:v>0.73099999999999998</c:v>
                </c:pt>
                <c:pt idx="59">
                  <c:v>0.75283999999999995</c:v>
                </c:pt>
                <c:pt idx="60">
                  <c:v>0.77639999999999998</c:v>
                </c:pt>
                <c:pt idx="61">
                  <c:v>0.80025000000000002</c:v>
                </c:pt>
                <c:pt idx="62">
                  <c:v>0.82299999999999995</c:v>
                </c:pt>
                <c:pt idx="63">
                  <c:v>0.84343000000000001</c:v>
                </c:pt>
                <c:pt idx="64">
                  <c:v>0.8609</c:v>
                </c:pt>
                <c:pt idx="65">
                  <c:v>0.87517999999999996</c:v>
                </c:pt>
                <c:pt idx="66">
                  <c:v>0.88719999999999999</c:v>
                </c:pt>
                <c:pt idx="67">
                  <c:v>0.89754</c:v>
                </c:pt>
                <c:pt idx="68">
                  <c:v>0.90410000000000001</c:v>
                </c:pt>
                <c:pt idx="69">
                  <c:v>0.91008</c:v>
                </c:pt>
                <c:pt idx="70">
                  <c:v>0.91554999999999997</c:v>
                </c:pt>
                <c:pt idx="71">
                  <c:v>0.92071000000000003</c:v>
                </c:pt>
                <c:pt idx="72">
                  <c:v>0.92557999999999996</c:v>
                </c:pt>
                <c:pt idx="73">
                  <c:v>0.93018000000000001</c:v>
                </c:pt>
                <c:pt idx="74">
                  <c:v>0.93450999999999995</c:v>
                </c:pt>
                <c:pt idx="75">
                  <c:v>0.93859000000000004</c:v>
                </c:pt>
                <c:pt idx="76">
                  <c:v>0.94242999999999999</c:v>
                </c:pt>
                <c:pt idx="77">
                  <c:v>0.94603999999999999</c:v>
                </c:pt>
                <c:pt idx="78">
                  <c:v>0.94945000000000002</c:v>
                </c:pt>
                <c:pt idx="79">
                  <c:v>0.95264000000000004</c:v>
                </c:pt>
                <c:pt idx="80">
                  <c:v>0.95565</c:v>
                </c:pt>
                <c:pt idx="81">
                  <c:v>0.95847000000000004</c:v>
                </c:pt>
                <c:pt idx="82">
                  <c:v>0.96111999999999997</c:v>
                </c:pt>
                <c:pt idx="83">
                  <c:v>0.96360000000000001</c:v>
                </c:pt>
                <c:pt idx="84">
                  <c:v>0.96594000000000002</c:v>
                </c:pt>
                <c:pt idx="85">
                  <c:v>0.96594000000000002</c:v>
                </c:pt>
                <c:pt idx="86">
                  <c:v>0.96594000000000002</c:v>
                </c:pt>
                <c:pt idx="87">
                  <c:v>0.96594000000000002</c:v>
                </c:pt>
                <c:pt idx="88">
                  <c:v>0.96594000000000002</c:v>
                </c:pt>
                <c:pt idx="89">
                  <c:v>0.96594000000000002</c:v>
                </c:pt>
                <c:pt idx="90">
                  <c:v>0.96594000000000002</c:v>
                </c:pt>
                <c:pt idx="91">
                  <c:v>0.96594000000000002</c:v>
                </c:pt>
                <c:pt idx="92">
                  <c:v>0.96594000000000002</c:v>
                </c:pt>
                <c:pt idx="93">
                  <c:v>0.96594000000000002</c:v>
                </c:pt>
                <c:pt idx="94">
                  <c:v>0.96594000000000002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8-3FE4-445B-8EEB-D88489EA6296}"/>
            </c:ext>
          </c:extLst>
        </c:ser>
        <c:ser>
          <c:idx val="42"/>
          <c:order val="4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'99set'!$AR$10:$AR$104</c:f>
              <c:numCache>
                <c:formatCode>0.0000</c:formatCode>
                <c:ptCount val="95"/>
                <c:pt idx="0">
                  <c:v>6.5978999999999996E-2</c:v>
                </c:pt>
                <c:pt idx="1">
                  <c:v>6.5978999999999996E-2</c:v>
                </c:pt>
                <c:pt idx="2">
                  <c:v>6.5978999999999996E-2</c:v>
                </c:pt>
                <c:pt idx="3">
                  <c:v>6.5978999999999996E-2</c:v>
                </c:pt>
                <c:pt idx="4">
                  <c:v>6.5978999999999996E-2</c:v>
                </c:pt>
                <c:pt idx="5">
                  <c:v>6.5373000000000001E-2</c:v>
                </c:pt>
                <c:pt idx="6">
                  <c:v>6.4771999999999996E-2</c:v>
                </c:pt>
                <c:pt idx="7">
                  <c:v>6.4175999999999997E-2</c:v>
                </c:pt>
                <c:pt idx="8">
                  <c:v>6.3743999999999995E-2</c:v>
                </c:pt>
                <c:pt idx="9">
                  <c:v>6.2923999999999994E-2</c:v>
                </c:pt>
                <c:pt idx="10">
                  <c:v>6.2354E-2</c:v>
                </c:pt>
                <c:pt idx="11">
                  <c:v>6.2130999999999999E-2</c:v>
                </c:pt>
                <c:pt idx="12">
                  <c:v>6.2354E-2</c:v>
                </c:pt>
                <c:pt idx="13">
                  <c:v>6.3072000000000003E-2</c:v>
                </c:pt>
                <c:pt idx="14">
                  <c:v>6.4141000000000004E-2</c:v>
                </c:pt>
                <c:pt idx="15">
                  <c:v>6.5402000000000002E-2</c:v>
                </c:pt>
                <c:pt idx="16">
                  <c:v>6.6822000000000006E-2</c:v>
                </c:pt>
                <c:pt idx="17">
                  <c:v>6.8445000000000006E-2</c:v>
                </c:pt>
                <c:pt idx="18">
                  <c:v>7.0496000000000003E-2</c:v>
                </c:pt>
                <c:pt idx="19">
                  <c:v>7.3280999999999999E-2</c:v>
                </c:pt>
                <c:pt idx="20">
                  <c:v>7.7247999999999997E-2</c:v>
                </c:pt>
                <c:pt idx="21">
                  <c:v>8.2753999999999994E-2</c:v>
                </c:pt>
                <c:pt idx="22">
                  <c:v>8.9659000000000003E-2</c:v>
                </c:pt>
                <c:pt idx="23">
                  <c:v>9.7861000000000004E-2</c:v>
                </c:pt>
                <c:pt idx="24">
                  <c:v>0.10793</c:v>
                </c:pt>
                <c:pt idx="25">
                  <c:v>0.12099</c:v>
                </c:pt>
                <c:pt idx="26">
                  <c:v>0.13980000000000001</c:v>
                </c:pt>
                <c:pt idx="27">
                  <c:v>0.16761000000000001</c:v>
                </c:pt>
                <c:pt idx="28">
                  <c:v>0.20821000000000001</c:v>
                </c:pt>
                <c:pt idx="29">
                  <c:v>0.26399</c:v>
                </c:pt>
                <c:pt idx="30">
                  <c:v>0.33133000000000001</c:v>
                </c:pt>
                <c:pt idx="31">
                  <c:v>0.40351999999999999</c:v>
                </c:pt>
                <c:pt idx="32">
                  <c:v>0.46745999999999999</c:v>
                </c:pt>
                <c:pt idx="33">
                  <c:v>0.51124000000000003</c:v>
                </c:pt>
                <c:pt idx="34">
                  <c:v>0.53408</c:v>
                </c:pt>
                <c:pt idx="35">
                  <c:v>0.53861000000000003</c:v>
                </c:pt>
                <c:pt idx="36">
                  <c:v>0.52990999999999999</c:v>
                </c:pt>
                <c:pt idx="37">
                  <c:v>0.51304000000000005</c:v>
                </c:pt>
                <c:pt idx="38">
                  <c:v>0.49059000000000003</c:v>
                </c:pt>
                <c:pt idx="39">
                  <c:v>0.46466000000000002</c:v>
                </c:pt>
                <c:pt idx="40">
                  <c:v>0.43776999999999999</c:v>
                </c:pt>
                <c:pt idx="41">
                  <c:v>0.41210999999999998</c:v>
                </c:pt>
                <c:pt idx="42">
                  <c:v>0.38793</c:v>
                </c:pt>
                <c:pt idx="43">
                  <c:v>0.36526999999999998</c:v>
                </c:pt>
                <c:pt idx="44">
                  <c:v>0.34522999999999998</c:v>
                </c:pt>
                <c:pt idx="45">
                  <c:v>0.32877000000000001</c:v>
                </c:pt>
                <c:pt idx="46">
                  <c:v>0.31534000000000001</c:v>
                </c:pt>
                <c:pt idx="47">
                  <c:v>0.30403999999999998</c:v>
                </c:pt>
                <c:pt idx="48">
                  <c:v>0.29409999999999997</c:v>
                </c:pt>
                <c:pt idx="49">
                  <c:v>0.2848</c:v>
                </c:pt>
                <c:pt idx="50">
                  <c:v>0.27562999999999999</c:v>
                </c:pt>
                <c:pt idx="51">
                  <c:v>0.26624999999999999</c:v>
                </c:pt>
                <c:pt idx="52">
                  <c:v>0.25696000000000002</c:v>
                </c:pt>
                <c:pt idx="53">
                  <c:v>0.24839</c:v>
                </c:pt>
                <c:pt idx="54">
                  <c:v>0.24177000000000001</c:v>
                </c:pt>
                <c:pt idx="55">
                  <c:v>0.2384</c:v>
                </c:pt>
                <c:pt idx="56">
                  <c:v>0.23909</c:v>
                </c:pt>
                <c:pt idx="57">
                  <c:v>0.24435999999999999</c:v>
                </c:pt>
                <c:pt idx="58">
                  <c:v>0.25397999999999998</c:v>
                </c:pt>
                <c:pt idx="59">
                  <c:v>0.26708999999999999</c:v>
                </c:pt>
                <c:pt idx="60">
                  <c:v>0.28088999999999997</c:v>
                </c:pt>
                <c:pt idx="61">
                  <c:v>0.29266999999999999</c:v>
                </c:pt>
                <c:pt idx="62">
                  <c:v>0.30193999999999999</c:v>
                </c:pt>
                <c:pt idx="63">
                  <c:v>0.30939</c:v>
                </c:pt>
                <c:pt idx="64">
                  <c:v>0.31802999999999998</c:v>
                </c:pt>
                <c:pt idx="65">
                  <c:v>0.33102999999999999</c:v>
                </c:pt>
                <c:pt idx="66">
                  <c:v>0.3498</c:v>
                </c:pt>
                <c:pt idx="67">
                  <c:v>0.37529000000000001</c:v>
                </c:pt>
                <c:pt idx="68">
                  <c:v>0.40848000000000001</c:v>
                </c:pt>
                <c:pt idx="69">
                  <c:v>0.43191000000000002</c:v>
                </c:pt>
                <c:pt idx="70">
                  <c:v>0.45995999999999998</c:v>
                </c:pt>
                <c:pt idx="71">
                  <c:v>0.48826000000000003</c:v>
                </c:pt>
                <c:pt idx="72">
                  <c:v>0.51663999999999999</c:v>
                </c:pt>
                <c:pt idx="73">
                  <c:v>0.54491000000000001</c:v>
                </c:pt>
                <c:pt idx="74">
                  <c:v>0.57289999999999996</c:v>
                </c:pt>
                <c:pt idx="75">
                  <c:v>0.60041999999999995</c:v>
                </c:pt>
                <c:pt idx="76">
                  <c:v>0.62733000000000005</c:v>
                </c:pt>
                <c:pt idx="77">
                  <c:v>0.65347</c:v>
                </c:pt>
                <c:pt idx="78">
                  <c:v>0.67871999999999999</c:v>
                </c:pt>
                <c:pt idx="79">
                  <c:v>0.70296000000000003</c:v>
                </c:pt>
                <c:pt idx="80">
                  <c:v>0.72611000000000003</c:v>
                </c:pt>
                <c:pt idx="81">
                  <c:v>0.74809999999999999</c:v>
                </c:pt>
                <c:pt idx="82">
                  <c:v>0.76888999999999996</c:v>
                </c:pt>
                <c:pt idx="83">
                  <c:v>0.78844999999999998</c:v>
                </c:pt>
                <c:pt idx="84">
                  <c:v>0.80676999999999999</c:v>
                </c:pt>
                <c:pt idx="85">
                  <c:v>0.80676999999999999</c:v>
                </c:pt>
                <c:pt idx="86">
                  <c:v>0.80676999999999999</c:v>
                </c:pt>
                <c:pt idx="87">
                  <c:v>0.80676999999999999</c:v>
                </c:pt>
                <c:pt idx="88">
                  <c:v>0.80676999999999999</c:v>
                </c:pt>
                <c:pt idx="89">
                  <c:v>0.80676999999999999</c:v>
                </c:pt>
                <c:pt idx="90">
                  <c:v>0.80676999999999999</c:v>
                </c:pt>
                <c:pt idx="91">
                  <c:v>0.80676999999999999</c:v>
                </c:pt>
                <c:pt idx="92">
                  <c:v>0.80676999999999999</c:v>
                </c:pt>
                <c:pt idx="93">
                  <c:v>0.80676999999999999</c:v>
                </c:pt>
                <c:pt idx="94">
                  <c:v>0.80676999999999999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9-3FE4-445B-8EEB-D88489EA6296}"/>
            </c:ext>
          </c:extLst>
        </c:ser>
        <c:ser>
          <c:idx val="43"/>
          <c:order val="4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'99set'!$AS$10:$AS$104</c:f>
              <c:numCache>
                <c:formatCode>0.0000</c:formatCode>
                <c:ptCount val="95"/>
                <c:pt idx="0">
                  <c:v>8.8622999999999993E-2</c:v>
                </c:pt>
                <c:pt idx="1">
                  <c:v>8.8622999999999993E-2</c:v>
                </c:pt>
                <c:pt idx="2">
                  <c:v>8.8622999999999993E-2</c:v>
                </c:pt>
                <c:pt idx="3">
                  <c:v>8.8622999999999993E-2</c:v>
                </c:pt>
                <c:pt idx="4">
                  <c:v>8.8622999999999993E-2</c:v>
                </c:pt>
                <c:pt idx="5">
                  <c:v>8.2768999999999995E-2</c:v>
                </c:pt>
                <c:pt idx="6">
                  <c:v>7.7269000000000004E-2</c:v>
                </c:pt>
                <c:pt idx="7">
                  <c:v>7.2106000000000003E-2</c:v>
                </c:pt>
                <c:pt idx="8">
                  <c:v>6.7100000000000007E-2</c:v>
                </c:pt>
                <c:pt idx="9">
                  <c:v>6.2274999999999997E-2</c:v>
                </c:pt>
                <c:pt idx="10">
                  <c:v>5.62E-2</c:v>
                </c:pt>
                <c:pt idx="11">
                  <c:v>5.1958999999999998E-2</c:v>
                </c:pt>
                <c:pt idx="12">
                  <c:v>4.9700000000000001E-2</c:v>
                </c:pt>
                <c:pt idx="13">
                  <c:v>4.8849999999999998E-2</c:v>
                </c:pt>
                <c:pt idx="14">
                  <c:v>4.8899999999999999E-2</c:v>
                </c:pt>
                <c:pt idx="15">
                  <c:v>4.9501999999999997E-2</c:v>
                </c:pt>
                <c:pt idx="16">
                  <c:v>5.0900000000000001E-2</c:v>
                </c:pt>
                <c:pt idx="17">
                  <c:v>5.3554999999999998E-2</c:v>
                </c:pt>
                <c:pt idx="18">
                  <c:v>5.8200000000000002E-2</c:v>
                </c:pt>
                <c:pt idx="19">
                  <c:v>6.5438999999999997E-2</c:v>
                </c:pt>
                <c:pt idx="20">
                  <c:v>7.51E-2</c:v>
                </c:pt>
                <c:pt idx="21">
                  <c:v>8.7612999999999996E-2</c:v>
                </c:pt>
                <c:pt idx="22">
                  <c:v>0.1066</c:v>
                </c:pt>
                <c:pt idx="23">
                  <c:v>0.13514999999999999</c:v>
                </c:pt>
                <c:pt idx="24">
                  <c:v>0.17100000000000001</c:v>
                </c:pt>
                <c:pt idx="25">
                  <c:v>0.21203</c:v>
                </c:pt>
                <c:pt idx="26">
                  <c:v>0.26190000000000002</c:v>
                </c:pt>
                <c:pt idx="27">
                  <c:v>0.32329999999999998</c:v>
                </c:pt>
                <c:pt idx="28">
                  <c:v>0.3891</c:v>
                </c:pt>
                <c:pt idx="29">
                  <c:v>0.45023999999999997</c:v>
                </c:pt>
                <c:pt idx="30">
                  <c:v>0.49969999999999998</c:v>
                </c:pt>
                <c:pt idx="31">
                  <c:v>0.53263000000000005</c:v>
                </c:pt>
                <c:pt idx="32">
                  <c:v>0.55069999999999997</c:v>
                </c:pt>
                <c:pt idx="33">
                  <c:v>0.55722000000000005</c:v>
                </c:pt>
                <c:pt idx="34">
                  <c:v>0.55549999999999999</c:v>
                </c:pt>
                <c:pt idx="35">
                  <c:v>0.54854000000000003</c:v>
                </c:pt>
                <c:pt idx="36">
                  <c:v>0.53800000000000003</c:v>
                </c:pt>
                <c:pt idx="37">
                  <c:v>0.52505999999999997</c:v>
                </c:pt>
                <c:pt idx="38">
                  <c:v>0.51019999999999999</c:v>
                </c:pt>
                <c:pt idx="39">
                  <c:v>0.49381999999999998</c:v>
                </c:pt>
                <c:pt idx="40">
                  <c:v>0.4768</c:v>
                </c:pt>
                <c:pt idx="41">
                  <c:v>0.46001999999999998</c:v>
                </c:pt>
                <c:pt idx="42">
                  <c:v>0.44390000000000002</c:v>
                </c:pt>
                <c:pt idx="43">
                  <c:v>0.42860999999999999</c:v>
                </c:pt>
                <c:pt idx="44">
                  <c:v>0.41389999999999999</c:v>
                </c:pt>
                <c:pt idx="45">
                  <c:v>0.39905000000000002</c:v>
                </c:pt>
                <c:pt idx="46">
                  <c:v>0.38200000000000001</c:v>
                </c:pt>
                <c:pt idx="47">
                  <c:v>0.36163000000000001</c:v>
                </c:pt>
                <c:pt idx="48">
                  <c:v>0.34189999999999998</c:v>
                </c:pt>
                <c:pt idx="49">
                  <c:v>0.32717000000000002</c:v>
                </c:pt>
                <c:pt idx="50">
                  <c:v>0.31840000000000002</c:v>
                </c:pt>
                <c:pt idx="51">
                  <c:v>0.31512000000000001</c:v>
                </c:pt>
                <c:pt idx="52">
                  <c:v>0.31440000000000001</c:v>
                </c:pt>
                <c:pt idx="53">
                  <c:v>0.31336000000000003</c:v>
                </c:pt>
                <c:pt idx="54">
                  <c:v>0.31169999999999998</c:v>
                </c:pt>
                <c:pt idx="55">
                  <c:v>0.30968000000000001</c:v>
                </c:pt>
                <c:pt idx="56">
                  <c:v>0.30730000000000002</c:v>
                </c:pt>
                <c:pt idx="57">
                  <c:v>0.30348999999999998</c:v>
                </c:pt>
                <c:pt idx="58">
                  <c:v>0.29310000000000003</c:v>
                </c:pt>
                <c:pt idx="59">
                  <c:v>0.27207999999999999</c:v>
                </c:pt>
                <c:pt idx="60">
                  <c:v>0.24479999999999999</c:v>
                </c:pt>
                <c:pt idx="61">
                  <c:v>0.21776999999999999</c:v>
                </c:pt>
                <c:pt idx="62">
                  <c:v>0.1976</c:v>
                </c:pt>
                <c:pt idx="63">
                  <c:v>0.18894</c:v>
                </c:pt>
                <c:pt idx="64">
                  <c:v>0.1885</c:v>
                </c:pt>
                <c:pt idx="65">
                  <c:v>0.19436999999999999</c:v>
                </c:pt>
                <c:pt idx="66">
                  <c:v>0.21809999999999999</c:v>
                </c:pt>
                <c:pt idx="67">
                  <c:v>0.26567000000000002</c:v>
                </c:pt>
                <c:pt idx="68">
                  <c:v>0.30730000000000002</c:v>
                </c:pt>
                <c:pt idx="69">
                  <c:v>0.35106999999999999</c:v>
                </c:pt>
                <c:pt idx="70">
                  <c:v>0.39594000000000001</c:v>
                </c:pt>
                <c:pt idx="71">
                  <c:v>0.44263999999999998</c:v>
                </c:pt>
                <c:pt idx="72">
                  <c:v>0.49036999999999997</c:v>
                </c:pt>
                <c:pt idx="73">
                  <c:v>0.53827999999999998</c:v>
                </c:pt>
                <c:pt idx="74">
                  <c:v>0.58548999999999995</c:v>
                </c:pt>
                <c:pt idx="75">
                  <c:v>0.63117999999999996</c:v>
                </c:pt>
                <c:pt idx="76">
                  <c:v>0.67464000000000002</c:v>
                </c:pt>
                <c:pt idx="77">
                  <c:v>0.71528000000000003</c:v>
                </c:pt>
                <c:pt idx="78">
                  <c:v>0.75270999999999999</c:v>
                </c:pt>
                <c:pt idx="79">
                  <c:v>0.78669</c:v>
                </c:pt>
                <c:pt idx="80">
                  <c:v>0.81713000000000002</c:v>
                </c:pt>
                <c:pt idx="81">
                  <c:v>0.84409000000000001</c:v>
                </c:pt>
                <c:pt idx="82">
                  <c:v>0.86770999999999998</c:v>
                </c:pt>
                <c:pt idx="83">
                  <c:v>0.88822999999999996</c:v>
                </c:pt>
                <c:pt idx="84">
                  <c:v>0.90591999999999995</c:v>
                </c:pt>
                <c:pt idx="85">
                  <c:v>0.90591999999999995</c:v>
                </c:pt>
                <c:pt idx="86">
                  <c:v>0.90591999999999995</c:v>
                </c:pt>
                <c:pt idx="87">
                  <c:v>0.90591999999999995</c:v>
                </c:pt>
                <c:pt idx="88">
                  <c:v>0.90591999999999995</c:v>
                </c:pt>
                <c:pt idx="89">
                  <c:v>0.90591999999999995</c:v>
                </c:pt>
                <c:pt idx="90">
                  <c:v>0.90591999999999995</c:v>
                </c:pt>
                <c:pt idx="91">
                  <c:v>0.90591999999999995</c:v>
                </c:pt>
                <c:pt idx="92">
                  <c:v>0.90591999999999995</c:v>
                </c:pt>
                <c:pt idx="93">
                  <c:v>0.90591999999999995</c:v>
                </c:pt>
                <c:pt idx="94">
                  <c:v>0.90591999999999995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A-3FE4-445B-8EEB-D88489EA6296}"/>
            </c:ext>
          </c:extLst>
        </c:ser>
        <c:ser>
          <c:idx val="44"/>
          <c:order val="4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'99set'!$AT$10:$AT$104</c:f>
              <c:numCache>
                <c:formatCode>0.0000</c:formatCode>
                <c:ptCount val="95"/>
                <c:pt idx="0">
                  <c:v>4.1633999999999997E-2</c:v>
                </c:pt>
                <c:pt idx="1">
                  <c:v>4.1633999999999997E-2</c:v>
                </c:pt>
                <c:pt idx="2">
                  <c:v>4.1633999999999997E-2</c:v>
                </c:pt>
                <c:pt idx="3">
                  <c:v>4.1633999999999997E-2</c:v>
                </c:pt>
                <c:pt idx="4">
                  <c:v>4.1633999999999997E-2</c:v>
                </c:pt>
                <c:pt idx="5">
                  <c:v>4.2185E-2</c:v>
                </c:pt>
                <c:pt idx="6">
                  <c:v>4.2743999999999997E-2</c:v>
                </c:pt>
                <c:pt idx="7">
                  <c:v>4.3310000000000001E-2</c:v>
                </c:pt>
                <c:pt idx="8">
                  <c:v>4.3900000000000002E-2</c:v>
                </c:pt>
                <c:pt idx="9">
                  <c:v>4.4509E-2</c:v>
                </c:pt>
                <c:pt idx="10">
                  <c:v>4.5199999999999997E-2</c:v>
                </c:pt>
                <c:pt idx="11">
                  <c:v>4.5547999999999998E-2</c:v>
                </c:pt>
                <c:pt idx="12">
                  <c:v>4.5699999999999998E-2</c:v>
                </c:pt>
                <c:pt idx="13">
                  <c:v>4.5886999999999997E-2</c:v>
                </c:pt>
                <c:pt idx="14">
                  <c:v>4.6100000000000002E-2</c:v>
                </c:pt>
                <c:pt idx="15">
                  <c:v>4.6290999999999999E-2</c:v>
                </c:pt>
                <c:pt idx="16">
                  <c:v>4.65E-2</c:v>
                </c:pt>
                <c:pt idx="17">
                  <c:v>4.6760999999999997E-2</c:v>
                </c:pt>
                <c:pt idx="18">
                  <c:v>4.7E-2</c:v>
                </c:pt>
                <c:pt idx="19">
                  <c:v>4.7141000000000002E-2</c:v>
                </c:pt>
                <c:pt idx="20">
                  <c:v>4.7199999999999999E-2</c:v>
                </c:pt>
                <c:pt idx="21">
                  <c:v>4.7239000000000003E-2</c:v>
                </c:pt>
                <c:pt idx="22">
                  <c:v>4.7399999999999998E-2</c:v>
                </c:pt>
                <c:pt idx="23">
                  <c:v>4.7792000000000001E-2</c:v>
                </c:pt>
                <c:pt idx="24">
                  <c:v>4.8300000000000003E-2</c:v>
                </c:pt>
                <c:pt idx="25">
                  <c:v>4.8793000000000003E-2</c:v>
                </c:pt>
                <c:pt idx="26">
                  <c:v>4.9299999999999997E-2</c:v>
                </c:pt>
                <c:pt idx="27">
                  <c:v>4.9861999999999997E-2</c:v>
                </c:pt>
                <c:pt idx="28">
                  <c:v>5.04E-2</c:v>
                </c:pt>
                <c:pt idx="29">
                  <c:v>5.0823E-2</c:v>
                </c:pt>
                <c:pt idx="30">
                  <c:v>5.11E-2</c:v>
                </c:pt>
                <c:pt idx="31">
                  <c:v>5.1221000000000003E-2</c:v>
                </c:pt>
                <c:pt idx="32">
                  <c:v>5.1200000000000002E-2</c:v>
                </c:pt>
                <c:pt idx="33">
                  <c:v>5.1067000000000001E-2</c:v>
                </c:pt>
                <c:pt idx="34">
                  <c:v>5.0900000000000001E-2</c:v>
                </c:pt>
                <c:pt idx="35">
                  <c:v>5.0762000000000002E-2</c:v>
                </c:pt>
                <c:pt idx="36">
                  <c:v>5.0599999999999999E-2</c:v>
                </c:pt>
                <c:pt idx="37">
                  <c:v>5.0360000000000002E-2</c:v>
                </c:pt>
                <c:pt idx="38">
                  <c:v>5.0099999999999999E-2</c:v>
                </c:pt>
                <c:pt idx="39">
                  <c:v>4.9873000000000001E-2</c:v>
                </c:pt>
                <c:pt idx="40">
                  <c:v>4.9599999999999998E-2</c:v>
                </c:pt>
                <c:pt idx="41">
                  <c:v>4.9221000000000001E-2</c:v>
                </c:pt>
                <c:pt idx="42">
                  <c:v>4.8899999999999999E-2</c:v>
                </c:pt>
                <c:pt idx="43">
                  <c:v>4.8792000000000002E-2</c:v>
                </c:pt>
                <c:pt idx="44">
                  <c:v>4.8800000000000003E-2</c:v>
                </c:pt>
                <c:pt idx="45">
                  <c:v>4.8799000000000002E-2</c:v>
                </c:pt>
                <c:pt idx="46">
                  <c:v>4.8800000000000003E-2</c:v>
                </c:pt>
                <c:pt idx="47">
                  <c:v>4.8822999999999998E-2</c:v>
                </c:pt>
                <c:pt idx="48">
                  <c:v>4.8800000000000003E-2</c:v>
                </c:pt>
                <c:pt idx="49">
                  <c:v>4.8682999999999997E-2</c:v>
                </c:pt>
                <c:pt idx="50">
                  <c:v>4.8599999999999997E-2</c:v>
                </c:pt>
                <c:pt idx="51">
                  <c:v>4.8683999999999998E-2</c:v>
                </c:pt>
                <c:pt idx="52">
                  <c:v>4.8899999999999999E-2</c:v>
                </c:pt>
                <c:pt idx="53">
                  <c:v>4.9181000000000002E-2</c:v>
                </c:pt>
                <c:pt idx="54">
                  <c:v>4.9500000000000002E-2</c:v>
                </c:pt>
                <c:pt idx="55">
                  <c:v>4.9841999999999997E-2</c:v>
                </c:pt>
                <c:pt idx="56">
                  <c:v>5.0200000000000002E-2</c:v>
                </c:pt>
                <c:pt idx="57">
                  <c:v>5.0574000000000001E-2</c:v>
                </c:pt>
                <c:pt idx="58">
                  <c:v>5.0999999999999997E-2</c:v>
                </c:pt>
                <c:pt idx="59">
                  <c:v>5.1497000000000001E-2</c:v>
                </c:pt>
                <c:pt idx="60">
                  <c:v>5.1999999999999998E-2</c:v>
                </c:pt>
                <c:pt idx="61">
                  <c:v>5.2423999999999998E-2</c:v>
                </c:pt>
                <c:pt idx="62">
                  <c:v>5.2699999999999997E-2</c:v>
                </c:pt>
                <c:pt idx="63">
                  <c:v>5.2780000000000001E-2</c:v>
                </c:pt>
                <c:pt idx="64">
                  <c:v>5.2699999999999997E-2</c:v>
                </c:pt>
                <c:pt idx="65">
                  <c:v>5.2517000000000001E-2</c:v>
                </c:pt>
                <c:pt idx="66">
                  <c:v>5.2299999999999999E-2</c:v>
                </c:pt>
                <c:pt idx="67">
                  <c:v>5.2113E-2</c:v>
                </c:pt>
                <c:pt idx="68">
                  <c:v>5.1999999999999998E-2</c:v>
                </c:pt>
                <c:pt idx="69">
                  <c:v>5.1891E-2</c:v>
                </c:pt>
                <c:pt idx="70">
                  <c:v>5.1787E-2</c:v>
                </c:pt>
                <c:pt idx="71">
                  <c:v>5.1681999999999999E-2</c:v>
                </c:pt>
                <c:pt idx="72">
                  <c:v>5.1577999999999999E-2</c:v>
                </c:pt>
                <c:pt idx="73">
                  <c:v>5.1473999999999999E-2</c:v>
                </c:pt>
                <c:pt idx="74">
                  <c:v>5.1369999999999999E-2</c:v>
                </c:pt>
                <c:pt idx="75">
                  <c:v>5.1265999999999999E-2</c:v>
                </c:pt>
                <c:pt idx="76">
                  <c:v>5.1163E-2</c:v>
                </c:pt>
                <c:pt idx="77">
                  <c:v>5.1060000000000001E-2</c:v>
                </c:pt>
                <c:pt idx="78">
                  <c:v>5.0957000000000002E-2</c:v>
                </c:pt>
                <c:pt idx="79">
                  <c:v>5.0854000000000003E-2</c:v>
                </c:pt>
                <c:pt idx="80">
                  <c:v>5.0750999999999998E-2</c:v>
                </c:pt>
                <c:pt idx="81">
                  <c:v>5.0649E-2</c:v>
                </c:pt>
                <c:pt idx="82">
                  <c:v>5.0547000000000002E-2</c:v>
                </c:pt>
                <c:pt idx="83">
                  <c:v>5.0444999999999997E-2</c:v>
                </c:pt>
                <c:pt idx="84">
                  <c:v>5.0342999999999999E-2</c:v>
                </c:pt>
                <c:pt idx="85">
                  <c:v>5.0342999999999999E-2</c:v>
                </c:pt>
                <c:pt idx="86">
                  <c:v>5.0342999999999999E-2</c:v>
                </c:pt>
                <c:pt idx="87">
                  <c:v>5.0342999999999999E-2</c:v>
                </c:pt>
                <c:pt idx="88">
                  <c:v>5.0342999999999999E-2</c:v>
                </c:pt>
                <c:pt idx="89">
                  <c:v>5.0342999999999999E-2</c:v>
                </c:pt>
                <c:pt idx="90">
                  <c:v>5.0342999999999999E-2</c:v>
                </c:pt>
                <c:pt idx="91">
                  <c:v>5.0342999999999999E-2</c:v>
                </c:pt>
                <c:pt idx="92">
                  <c:v>5.0342999999999999E-2</c:v>
                </c:pt>
                <c:pt idx="93">
                  <c:v>5.0342999999999999E-2</c:v>
                </c:pt>
                <c:pt idx="94">
                  <c:v>5.0342999999999999E-2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B-3FE4-445B-8EEB-D88489EA6296}"/>
            </c:ext>
          </c:extLst>
        </c:ser>
        <c:ser>
          <c:idx val="45"/>
          <c:order val="4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'99set'!$AU$10:$AU$104</c:f>
              <c:numCache>
                <c:formatCode>0.0000</c:formatCode>
                <c:ptCount val="95"/>
                <c:pt idx="0">
                  <c:v>5.5399999999999998E-2</c:v>
                </c:pt>
                <c:pt idx="1">
                  <c:v>5.5399999999999998E-2</c:v>
                </c:pt>
                <c:pt idx="2">
                  <c:v>5.5399999999999998E-2</c:v>
                </c:pt>
                <c:pt idx="3">
                  <c:v>5.5399999999999998E-2</c:v>
                </c:pt>
                <c:pt idx="4">
                  <c:v>5.5399999999999998E-2</c:v>
                </c:pt>
                <c:pt idx="5">
                  <c:v>5.5185999999999999E-2</c:v>
                </c:pt>
                <c:pt idx="6">
                  <c:v>5.6085999999999997E-2</c:v>
                </c:pt>
                <c:pt idx="7">
                  <c:v>5.7229000000000002E-2</c:v>
                </c:pt>
                <c:pt idx="8">
                  <c:v>5.7599999999999998E-2</c:v>
                </c:pt>
                <c:pt idx="9">
                  <c:v>5.7729000000000003E-2</c:v>
                </c:pt>
                <c:pt idx="10">
                  <c:v>5.8414000000000001E-2</c:v>
                </c:pt>
                <c:pt idx="11">
                  <c:v>5.8999999999999997E-2</c:v>
                </c:pt>
                <c:pt idx="12">
                  <c:v>6.0756999999999999E-2</c:v>
                </c:pt>
                <c:pt idx="13">
                  <c:v>6.1814000000000001E-2</c:v>
                </c:pt>
                <c:pt idx="14">
                  <c:v>6.3643000000000005E-2</c:v>
                </c:pt>
                <c:pt idx="15">
                  <c:v>6.5356999999999998E-2</c:v>
                </c:pt>
                <c:pt idx="16">
                  <c:v>6.8414000000000003E-2</c:v>
                </c:pt>
                <c:pt idx="17">
                  <c:v>7.0628999999999997E-2</c:v>
                </c:pt>
                <c:pt idx="18">
                  <c:v>7.3329000000000005E-2</c:v>
                </c:pt>
                <c:pt idx="19">
                  <c:v>7.8313999999999995E-2</c:v>
                </c:pt>
                <c:pt idx="20">
                  <c:v>8.4699999999999998E-2</c:v>
                </c:pt>
                <c:pt idx="21">
                  <c:v>9.3114000000000002E-2</c:v>
                </c:pt>
                <c:pt idx="22">
                  <c:v>0.10313</c:v>
                </c:pt>
                <c:pt idx="23">
                  <c:v>0.11523</c:v>
                </c:pt>
                <c:pt idx="24">
                  <c:v>0.13064000000000001</c:v>
                </c:pt>
                <c:pt idx="25">
                  <c:v>0.14960999999999999</c:v>
                </c:pt>
                <c:pt idx="26">
                  <c:v>0.17358999999999999</c:v>
                </c:pt>
                <c:pt idx="27">
                  <c:v>0.20369000000000001</c:v>
                </c:pt>
                <c:pt idx="28">
                  <c:v>0.23996000000000001</c:v>
                </c:pt>
                <c:pt idx="29">
                  <c:v>0.27413999999999999</c:v>
                </c:pt>
                <c:pt idx="30">
                  <c:v>0.30442999999999998</c:v>
                </c:pt>
                <c:pt idx="31">
                  <c:v>0.32536999999999999</c:v>
                </c:pt>
                <c:pt idx="32">
                  <c:v>0.33756000000000003</c:v>
                </c:pt>
                <c:pt idx="33">
                  <c:v>0.34253</c:v>
                </c:pt>
                <c:pt idx="34">
                  <c:v>0.34239000000000003</c:v>
                </c:pt>
                <c:pt idx="35">
                  <c:v>0.33796999999999999</c:v>
                </c:pt>
                <c:pt idx="36">
                  <c:v>0.33044000000000001</c:v>
                </c:pt>
                <c:pt idx="37">
                  <c:v>0.32146999999999998</c:v>
                </c:pt>
                <c:pt idx="38">
                  <c:v>0.31229000000000001</c:v>
                </c:pt>
                <c:pt idx="39">
                  <c:v>0.29914000000000002</c:v>
                </c:pt>
                <c:pt idx="40">
                  <c:v>0.28478999999999999</c:v>
                </c:pt>
                <c:pt idx="41">
                  <c:v>0.27639000000000002</c:v>
                </c:pt>
                <c:pt idx="42">
                  <c:v>0.26307000000000003</c:v>
                </c:pt>
                <c:pt idx="43">
                  <c:v>0.24861</c:v>
                </c:pt>
                <c:pt idx="44">
                  <c:v>0.23426</c:v>
                </c:pt>
                <c:pt idx="45">
                  <c:v>0.21942999999999999</c:v>
                </c:pt>
                <c:pt idx="46">
                  <c:v>0.20576</c:v>
                </c:pt>
                <c:pt idx="47">
                  <c:v>0.19114</c:v>
                </c:pt>
                <c:pt idx="48">
                  <c:v>0.1799</c:v>
                </c:pt>
                <c:pt idx="49">
                  <c:v>0.17158999999999999</c:v>
                </c:pt>
                <c:pt idx="50">
                  <c:v>0.16571</c:v>
                </c:pt>
                <c:pt idx="51">
                  <c:v>0.16047</c:v>
                </c:pt>
                <c:pt idx="52">
                  <c:v>0.15739</c:v>
                </c:pt>
                <c:pt idx="53">
                  <c:v>0.15454000000000001</c:v>
                </c:pt>
                <c:pt idx="54">
                  <c:v>0.15364</c:v>
                </c:pt>
                <c:pt idx="55">
                  <c:v>0.15204000000000001</c:v>
                </c:pt>
                <c:pt idx="56">
                  <c:v>0.15024000000000001</c:v>
                </c:pt>
                <c:pt idx="57">
                  <c:v>0.15039</c:v>
                </c:pt>
                <c:pt idx="58">
                  <c:v>0.15037</c:v>
                </c:pt>
                <c:pt idx="59">
                  <c:v>0.15040999999999999</c:v>
                </c:pt>
                <c:pt idx="60">
                  <c:v>0.15234</c:v>
                </c:pt>
                <c:pt idx="61">
                  <c:v>0.15367</c:v>
                </c:pt>
                <c:pt idx="62">
                  <c:v>0.15923999999999999</c:v>
                </c:pt>
                <c:pt idx="63">
                  <c:v>0.16394</c:v>
                </c:pt>
                <c:pt idx="64">
                  <c:v>0.16736999999999999</c:v>
                </c:pt>
                <c:pt idx="65">
                  <c:v>0.16914000000000001</c:v>
                </c:pt>
                <c:pt idx="66">
                  <c:v>0.17330000000000001</c:v>
                </c:pt>
                <c:pt idx="67">
                  <c:v>0.17773</c:v>
                </c:pt>
                <c:pt idx="68">
                  <c:v>0.17987</c:v>
                </c:pt>
                <c:pt idx="69">
                  <c:v>0.1802</c:v>
                </c:pt>
                <c:pt idx="70">
                  <c:v>0.18</c:v>
                </c:pt>
                <c:pt idx="71">
                  <c:v>0.17773</c:v>
                </c:pt>
                <c:pt idx="72">
                  <c:v>0.17585999999999999</c:v>
                </c:pt>
                <c:pt idx="73">
                  <c:v>0.17644000000000001</c:v>
                </c:pt>
                <c:pt idx="74">
                  <c:v>0.17846999999999999</c:v>
                </c:pt>
                <c:pt idx="75">
                  <c:v>0.18115999999999999</c:v>
                </c:pt>
                <c:pt idx="76">
                  <c:v>0.18747</c:v>
                </c:pt>
                <c:pt idx="77">
                  <c:v>0.19525999999999999</c:v>
                </c:pt>
                <c:pt idx="78">
                  <c:v>0.20319000000000001</c:v>
                </c:pt>
                <c:pt idx="79">
                  <c:v>0.20930000000000001</c:v>
                </c:pt>
                <c:pt idx="80">
                  <c:v>0.21407000000000001</c:v>
                </c:pt>
                <c:pt idx="81">
                  <c:v>0.21864</c:v>
                </c:pt>
                <c:pt idx="82">
                  <c:v>0.21997</c:v>
                </c:pt>
                <c:pt idx="83">
                  <c:v>0.21784000000000001</c:v>
                </c:pt>
                <c:pt idx="84">
                  <c:v>0.21926000000000001</c:v>
                </c:pt>
                <c:pt idx="85">
                  <c:v>0.21926000000000001</c:v>
                </c:pt>
                <c:pt idx="86">
                  <c:v>0.21926000000000001</c:v>
                </c:pt>
                <c:pt idx="87">
                  <c:v>0.21926000000000001</c:v>
                </c:pt>
                <c:pt idx="88">
                  <c:v>0.21926000000000001</c:v>
                </c:pt>
                <c:pt idx="89">
                  <c:v>0.21926000000000001</c:v>
                </c:pt>
                <c:pt idx="90">
                  <c:v>0.21926000000000001</c:v>
                </c:pt>
                <c:pt idx="91">
                  <c:v>0.21926000000000001</c:v>
                </c:pt>
                <c:pt idx="92">
                  <c:v>0.21926000000000001</c:v>
                </c:pt>
                <c:pt idx="93">
                  <c:v>0.21926000000000001</c:v>
                </c:pt>
                <c:pt idx="94">
                  <c:v>0.21926000000000001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C-3FE4-445B-8EEB-D88489EA6296}"/>
            </c:ext>
          </c:extLst>
        </c:ser>
        <c:ser>
          <c:idx val="46"/>
          <c:order val="4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'99set'!$AV$10:$AV$104</c:f>
              <c:numCache>
                <c:formatCode>0.0000</c:formatCode>
                <c:ptCount val="95"/>
                <c:pt idx="0">
                  <c:v>9.9821999999999994E-2</c:v>
                </c:pt>
                <c:pt idx="1">
                  <c:v>9.9821999999999994E-2</c:v>
                </c:pt>
                <c:pt idx="2">
                  <c:v>9.9821999999999994E-2</c:v>
                </c:pt>
                <c:pt idx="3">
                  <c:v>9.9821999999999994E-2</c:v>
                </c:pt>
                <c:pt idx="4">
                  <c:v>9.9821999999999994E-2</c:v>
                </c:pt>
                <c:pt idx="5">
                  <c:v>0.10287</c:v>
                </c:pt>
                <c:pt idx="6">
                  <c:v>0.10599</c:v>
                </c:pt>
                <c:pt idx="7">
                  <c:v>0.10920000000000001</c:v>
                </c:pt>
                <c:pt idx="8">
                  <c:v>0.11260000000000001</c:v>
                </c:pt>
                <c:pt idx="9">
                  <c:v>0.11615</c:v>
                </c:pt>
                <c:pt idx="10">
                  <c:v>0.1202</c:v>
                </c:pt>
                <c:pt idx="11">
                  <c:v>0.12231</c:v>
                </c:pt>
                <c:pt idx="12">
                  <c:v>0.1235</c:v>
                </c:pt>
                <c:pt idx="13">
                  <c:v>0.12531999999999999</c:v>
                </c:pt>
                <c:pt idx="14">
                  <c:v>0.128</c:v>
                </c:pt>
                <c:pt idx="15">
                  <c:v>0.13152</c:v>
                </c:pt>
                <c:pt idx="16">
                  <c:v>0.13619999999999999</c:v>
                </c:pt>
                <c:pt idx="17">
                  <c:v>0.14244999999999999</c:v>
                </c:pt>
                <c:pt idx="18">
                  <c:v>0.1507</c:v>
                </c:pt>
                <c:pt idx="19">
                  <c:v>0.16141</c:v>
                </c:pt>
                <c:pt idx="20">
                  <c:v>0.17519999999999999</c:v>
                </c:pt>
                <c:pt idx="21">
                  <c:v>0.19261</c:v>
                </c:pt>
                <c:pt idx="22">
                  <c:v>0.2137</c:v>
                </c:pt>
                <c:pt idx="23">
                  <c:v>0.23821999999999999</c:v>
                </c:pt>
                <c:pt idx="24">
                  <c:v>0.2651</c:v>
                </c:pt>
                <c:pt idx="25">
                  <c:v>0.29288999999999998</c:v>
                </c:pt>
                <c:pt idx="26">
                  <c:v>0.31950000000000001</c:v>
                </c:pt>
                <c:pt idx="27">
                  <c:v>0.34297</c:v>
                </c:pt>
                <c:pt idx="28">
                  <c:v>0.3624</c:v>
                </c:pt>
                <c:pt idx="29">
                  <c:v>0.37735000000000002</c:v>
                </c:pt>
                <c:pt idx="30">
                  <c:v>0.38800000000000001</c:v>
                </c:pt>
                <c:pt idx="31">
                  <c:v>0.39477000000000001</c:v>
                </c:pt>
                <c:pt idx="32">
                  <c:v>0.39829999999999999</c:v>
                </c:pt>
                <c:pt idx="33">
                  <c:v>0.39931</c:v>
                </c:pt>
                <c:pt idx="34">
                  <c:v>0.39860000000000001</c:v>
                </c:pt>
                <c:pt idx="35">
                  <c:v>0.39682000000000001</c:v>
                </c:pt>
                <c:pt idx="36">
                  <c:v>0.39400000000000002</c:v>
                </c:pt>
                <c:pt idx="37">
                  <c:v>0.39002999999999999</c:v>
                </c:pt>
                <c:pt idx="38">
                  <c:v>0.38490000000000002</c:v>
                </c:pt>
                <c:pt idx="39">
                  <c:v>0.37869999999999998</c:v>
                </c:pt>
                <c:pt idx="40">
                  <c:v>0.37190000000000001</c:v>
                </c:pt>
                <c:pt idx="41">
                  <c:v>0.3649</c:v>
                </c:pt>
                <c:pt idx="42">
                  <c:v>0.35749999999999998</c:v>
                </c:pt>
                <c:pt idx="43">
                  <c:v>0.34938000000000002</c:v>
                </c:pt>
                <c:pt idx="44">
                  <c:v>0.34029999999999999</c:v>
                </c:pt>
                <c:pt idx="45">
                  <c:v>0.33</c:v>
                </c:pt>
                <c:pt idx="46">
                  <c:v>0.31809999999999999</c:v>
                </c:pt>
                <c:pt idx="47">
                  <c:v>0.30447000000000002</c:v>
                </c:pt>
                <c:pt idx="48">
                  <c:v>0.29020000000000001</c:v>
                </c:pt>
                <c:pt idx="49">
                  <c:v>0.27655999999999997</c:v>
                </c:pt>
                <c:pt idx="50">
                  <c:v>0.26440000000000002</c:v>
                </c:pt>
                <c:pt idx="51">
                  <c:v>0.25433</c:v>
                </c:pt>
                <c:pt idx="52">
                  <c:v>0.24629999999999999</c:v>
                </c:pt>
                <c:pt idx="53">
                  <c:v>0.24004</c:v>
                </c:pt>
                <c:pt idx="54">
                  <c:v>0.2349</c:v>
                </c:pt>
                <c:pt idx="55">
                  <c:v>0.23025000000000001</c:v>
                </c:pt>
                <c:pt idx="56">
                  <c:v>0.22600000000000001</c:v>
                </c:pt>
                <c:pt idx="57">
                  <c:v>0.22217999999999999</c:v>
                </c:pt>
                <c:pt idx="58">
                  <c:v>0.21890000000000001</c:v>
                </c:pt>
                <c:pt idx="59">
                  <c:v>0.21632999999999999</c:v>
                </c:pt>
                <c:pt idx="60">
                  <c:v>0.2147</c:v>
                </c:pt>
                <c:pt idx="61">
                  <c:v>0.21421999999999999</c:v>
                </c:pt>
                <c:pt idx="62">
                  <c:v>0.21479999999999999</c:v>
                </c:pt>
                <c:pt idx="63">
                  <c:v>0.21628</c:v>
                </c:pt>
                <c:pt idx="64">
                  <c:v>0.21840000000000001</c:v>
                </c:pt>
                <c:pt idx="65">
                  <c:v>0.22098000000000001</c:v>
                </c:pt>
                <c:pt idx="66">
                  <c:v>0.22420000000000001</c:v>
                </c:pt>
                <c:pt idx="67">
                  <c:v>0.22799</c:v>
                </c:pt>
                <c:pt idx="68">
                  <c:v>0.23080000000000001</c:v>
                </c:pt>
                <c:pt idx="69">
                  <c:v>0.23355999999999999</c:v>
                </c:pt>
                <c:pt idx="70">
                  <c:v>0.23624000000000001</c:v>
                </c:pt>
                <c:pt idx="71">
                  <c:v>0.23895</c:v>
                </c:pt>
                <c:pt idx="72">
                  <c:v>0.24168000000000001</c:v>
                </c:pt>
                <c:pt idx="73">
                  <c:v>0.24443000000000001</c:v>
                </c:pt>
                <c:pt idx="74">
                  <c:v>0.2472</c:v>
                </c:pt>
                <c:pt idx="75">
                  <c:v>0.24998999999999999</c:v>
                </c:pt>
                <c:pt idx="76">
                  <c:v>0.25280000000000002</c:v>
                </c:pt>
                <c:pt idx="77">
                  <c:v>0.25563999999999998</c:v>
                </c:pt>
                <c:pt idx="78">
                  <c:v>0.25849</c:v>
                </c:pt>
                <c:pt idx="79">
                  <c:v>0.26136999999999999</c:v>
                </c:pt>
                <c:pt idx="80">
                  <c:v>0.26425999999999999</c:v>
                </c:pt>
                <c:pt idx="81">
                  <c:v>0.26717999999999997</c:v>
                </c:pt>
                <c:pt idx="82">
                  <c:v>0.27011000000000002</c:v>
                </c:pt>
                <c:pt idx="83">
                  <c:v>0.27306999999999998</c:v>
                </c:pt>
                <c:pt idx="84">
                  <c:v>0.27605000000000002</c:v>
                </c:pt>
                <c:pt idx="85">
                  <c:v>0.27605000000000002</c:v>
                </c:pt>
                <c:pt idx="86">
                  <c:v>0.27605000000000002</c:v>
                </c:pt>
                <c:pt idx="87">
                  <c:v>0.27605000000000002</c:v>
                </c:pt>
                <c:pt idx="88">
                  <c:v>0.27605000000000002</c:v>
                </c:pt>
                <c:pt idx="89">
                  <c:v>0.27605000000000002</c:v>
                </c:pt>
                <c:pt idx="90">
                  <c:v>0.27605000000000002</c:v>
                </c:pt>
                <c:pt idx="91">
                  <c:v>0.27605000000000002</c:v>
                </c:pt>
                <c:pt idx="92">
                  <c:v>0.27605000000000002</c:v>
                </c:pt>
                <c:pt idx="93">
                  <c:v>0.27605000000000002</c:v>
                </c:pt>
                <c:pt idx="94">
                  <c:v>0.27605000000000002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D-3FE4-445B-8EEB-D88489EA6296}"/>
            </c:ext>
          </c:extLst>
        </c:ser>
        <c:ser>
          <c:idx val="47"/>
          <c:order val="4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'99set'!$AW$10:$AW$104</c:f>
              <c:numCache>
                <c:formatCode>0.0000</c:formatCode>
                <c:ptCount val="95"/>
                <c:pt idx="0">
                  <c:v>0.14254</c:v>
                </c:pt>
                <c:pt idx="1">
                  <c:v>0.14254</c:v>
                </c:pt>
                <c:pt idx="2">
                  <c:v>0.14254</c:v>
                </c:pt>
                <c:pt idx="3">
                  <c:v>0.14254</c:v>
                </c:pt>
                <c:pt idx="4">
                  <c:v>0.14254</c:v>
                </c:pt>
                <c:pt idx="5">
                  <c:v>0.14305000000000001</c:v>
                </c:pt>
                <c:pt idx="6">
                  <c:v>0.14355999999999999</c:v>
                </c:pt>
                <c:pt idx="7">
                  <c:v>0.14407</c:v>
                </c:pt>
                <c:pt idx="8">
                  <c:v>0.14460000000000001</c:v>
                </c:pt>
                <c:pt idx="9">
                  <c:v>0.14513999999999999</c:v>
                </c:pt>
                <c:pt idx="10">
                  <c:v>0.14580000000000001</c:v>
                </c:pt>
                <c:pt idx="11">
                  <c:v>0.14646000000000001</c:v>
                </c:pt>
                <c:pt idx="12">
                  <c:v>0.1484</c:v>
                </c:pt>
                <c:pt idx="13">
                  <c:v>0.15293999999999999</c:v>
                </c:pt>
                <c:pt idx="14">
                  <c:v>0.16009999999999999</c:v>
                </c:pt>
                <c:pt idx="15">
                  <c:v>0.16969999999999999</c:v>
                </c:pt>
                <c:pt idx="16">
                  <c:v>0.182</c:v>
                </c:pt>
                <c:pt idx="17">
                  <c:v>0.19736999999999999</c:v>
                </c:pt>
                <c:pt idx="18">
                  <c:v>0.2162</c:v>
                </c:pt>
                <c:pt idx="19">
                  <c:v>0.23885999999999999</c:v>
                </c:pt>
                <c:pt idx="20">
                  <c:v>0.2656</c:v>
                </c:pt>
                <c:pt idx="21">
                  <c:v>0.29649999999999999</c:v>
                </c:pt>
                <c:pt idx="22">
                  <c:v>0.33100000000000002</c:v>
                </c:pt>
                <c:pt idx="23">
                  <c:v>0.36799999999999999</c:v>
                </c:pt>
                <c:pt idx="24">
                  <c:v>0.40479999999999999</c:v>
                </c:pt>
                <c:pt idx="25">
                  <c:v>0.43811</c:v>
                </c:pt>
                <c:pt idx="26">
                  <c:v>0.46400000000000002</c:v>
                </c:pt>
                <c:pt idx="27">
                  <c:v>0.47932999999999998</c:v>
                </c:pt>
                <c:pt idx="28">
                  <c:v>0.48480000000000001</c:v>
                </c:pt>
                <c:pt idx="29">
                  <c:v>0.48229</c:v>
                </c:pt>
                <c:pt idx="30">
                  <c:v>0.47449999999999998</c:v>
                </c:pt>
                <c:pt idx="31">
                  <c:v>0.46401999999999999</c:v>
                </c:pt>
                <c:pt idx="32">
                  <c:v>0.45219999999999999</c:v>
                </c:pt>
                <c:pt idx="33">
                  <c:v>0.43995000000000001</c:v>
                </c:pt>
                <c:pt idx="34">
                  <c:v>0.42770000000000002</c:v>
                </c:pt>
                <c:pt idx="35">
                  <c:v>0.41576999999999997</c:v>
                </c:pt>
                <c:pt idx="36">
                  <c:v>0.40450000000000003</c:v>
                </c:pt>
                <c:pt idx="37">
                  <c:v>0.39412000000000003</c:v>
                </c:pt>
                <c:pt idx="38">
                  <c:v>0.38450000000000001</c:v>
                </c:pt>
                <c:pt idx="39">
                  <c:v>0.37542999999999999</c:v>
                </c:pt>
                <c:pt idx="40">
                  <c:v>0.3669</c:v>
                </c:pt>
                <c:pt idx="41">
                  <c:v>0.35894999999999999</c:v>
                </c:pt>
                <c:pt idx="42">
                  <c:v>0.3518</c:v>
                </c:pt>
                <c:pt idx="43">
                  <c:v>0.34575</c:v>
                </c:pt>
                <c:pt idx="44">
                  <c:v>0.34129999999999999</c:v>
                </c:pt>
                <c:pt idx="45">
                  <c:v>0.3387</c:v>
                </c:pt>
                <c:pt idx="46">
                  <c:v>0.33700000000000002</c:v>
                </c:pt>
                <c:pt idx="47">
                  <c:v>0.33506000000000002</c:v>
                </c:pt>
                <c:pt idx="48">
                  <c:v>0.3322</c:v>
                </c:pt>
                <c:pt idx="49">
                  <c:v>0.32807999999999998</c:v>
                </c:pt>
                <c:pt idx="50">
                  <c:v>0.32319999999999999</c:v>
                </c:pt>
                <c:pt idx="51">
                  <c:v>0.31847999999999999</c:v>
                </c:pt>
                <c:pt idx="52">
                  <c:v>0.31559999999999999</c:v>
                </c:pt>
                <c:pt idx="53">
                  <c:v>0.31635999999999997</c:v>
                </c:pt>
                <c:pt idx="54">
                  <c:v>0.3221</c:v>
                </c:pt>
                <c:pt idx="55">
                  <c:v>0.33395000000000002</c:v>
                </c:pt>
                <c:pt idx="56">
                  <c:v>0.35249999999999998</c:v>
                </c:pt>
                <c:pt idx="57">
                  <c:v>0.37808999999999998</c:v>
                </c:pt>
                <c:pt idx="58">
                  <c:v>0.41039999999999999</c:v>
                </c:pt>
                <c:pt idx="59">
                  <c:v>0.44884000000000002</c:v>
                </c:pt>
                <c:pt idx="60">
                  <c:v>0.49220000000000003</c:v>
                </c:pt>
                <c:pt idx="61">
                  <c:v>0.53896999999999995</c:v>
                </c:pt>
                <c:pt idx="62">
                  <c:v>0.58689999999999998</c:v>
                </c:pt>
                <c:pt idx="63">
                  <c:v>0.63375000000000004</c:v>
                </c:pt>
                <c:pt idx="64">
                  <c:v>0.67789999999999995</c:v>
                </c:pt>
                <c:pt idx="65">
                  <c:v>0.71833999999999998</c:v>
                </c:pt>
                <c:pt idx="66">
                  <c:v>0.75580000000000003</c:v>
                </c:pt>
                <c:pt idx="67">
                  <c:v>0.78957999999999995</c:v>
                </c:pt>
                <c:pt idx="68">
                  <c:v>0.8115</c:v>
                </c:pt>
                <c:pt idx="69">
                  <c:v>0.83106999999999998</c:v>
                </c:pt>
                <c:pt idx="70">
                  <c:v>0.84843999999999997</c:v>
                </c:pt>
                <c:pt idx="71">
                  <c:v>0.86431000000000002</c:v>
                </c:pt>
                <c:pt idx="72">
                  <c:v>0.87875999999999999</c:v>
                </c:pt>
                <c:pt idx="73">
                  <c:v>0.89187000000000005</c:v>
                </c:pt>
                <c:pt idx="74">
                  <c:v>0.90371000000000001</c:v>
                </c:pt>
                <c:pt idx="75">
                  <c:v>0.91437999999999997</c:v>
                </c:pt>
                <c:pt idx="76">
                  <c:v>0.92396</c:v>
                </c:pt>
                <c:pt idx="77">
                  <c:v>0.93255999999999994</c:v>
                </c:pt>
                <c:pt idx="78">
                  <c:v>0.94023999999999996</c:v>
                </c:pt>
                <c:pt idx="79">
                  <c:v>0.94710000000000005</c:v>
                </c:pt>
                <c:pt idx="80">
                  <c:v>0.95321</c:v>
                </c:pt>
                <c:pt idx="81">
                  <c:v>0.95864000000000005</c:v>
                </c:pt>
                <c:pt idx="82">
                  <c:v>0.96347000000000005</c:v>
                </c:pt>
                <c:pt idx="83">
                  <c:v>0.96775999999999995</c:v>
                </c:pt>
                <c:pt idx="84">
                  <c:v>0.97155000000000002</c:v>
                </c:pt>
                <c:pt idx="85">
                  <c:v>0.97155000000000002</c:v>
                </c:pt>
                <c:pt idx="86">
                  <c:v>0.97155000000000002</c:v>
                </c:pt>
                <c:pt idx="87">
                  <c:v>0.97155000000000002</c:v>
                </c:pt>
                <c:pt idx="88">
                  <c:v>0.97155000000000002</c:v>
                </c:pt>
                <c:pt idx="89">
                  <c:v>0.97155000000000002</c:v>
                </c:pt>
                <c:pt idx="90">
                  <c:v>0.97155000000000002</c:v>
                </c:pt>
                <c:pt idx="91">
                  <c:v>0.97155000000000002</c:v>
                </c:pt>
                <c:pt idx="92">
                  <c:v>0.97155000000000002</c:v>
                </c:pt>
                <c:pt idx="93">
                  <c:v>0.97155000000000002</c:v>
                </c:pt>
                <c:pt idx="94">
                  <c:v>0.97155000000000002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E-3FE4-445B-8EEB-D88489EA6296}"/>
            </c:ext>
          </c:extLst>
        </c:ser>
        <c:ser>
          <c:idx val="48"/>
          <c:order val="4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'99set'!$AX$10:$AX$104</c:f>
              <c:numCache>
                <c:formatCode>0.0000</c:formatCode>
                <c:ptCount val="95"/>
                <c:pt idx="0">
                  <c:v>8.7762000000000007E-2</c:v>
                </c:pt>
                <c:pt idx="1">
                  <c:v>8.7762000000000007E-2</c:v>
                </c:pt>
                <c:pt idx="2">
                  <c:v>8.7762000000000007E-2</c:v>
                </c:pt>
                <c:pt idx="3">
                  <c:v>8.7762000000000007E-2</c:v>
                </c:pt>
                <c:pt idx="4">
                  <c:v>8.7762000000000007E-2</c:v>
                </c:pt>
                <c:pt idx="5">
                  <c:v>8.8431999999999997E-2</c:v>
                </c:pt>
                <c:pt idx="6">
                  <c:v>8.9325000000000002E-2</c:v>
                </c:pt>
                <c:pt idx="7">
                  <c:v>9.0218000000000007E-2</c:v>
                </c:pt>
                <c:pt idx="8">
                  <c:v>9.0887999999999997E-2</c:v>
                </c:pt>
                <c:pt idx="9">
                  <c:v>9.1335E-2</c:v>
                </c:pt>
                <c:pt idx="10">
                  <c:v>9.2451000000000005E-2</c:v>
                </c:pt>
                <c:pt idx="11">
                  <c:v>9.5782999999999993E-2</c:v>
                </c:pt>
                <c:pt idx="12">
                  <c:v>0.10460999999999999</c:v>
                </c:pt>
                <c:pt idx="13">
                  <c:v>0.12154</c:v>
                </c:pt>
                <c:pt idx="14">
                  <c:v>0.14474000000000001</c:v>
                </c:pt>
                <c:pt idx="15">
                  <c:v>0.17179</c:v>
                </c:pt>
                <c:pt idx="16">
                  <c:v>0.20227000000000001</c:v>
                </c:pt>
                <c:pt idx="17">
                  <c:v>0.23616000000000001</c:v>
                </c:pt>
                <c:pt idx="18">
                  <c:v>0.27292</c:v>
                </c:pt>
                <c:pt idx="19">
                  <c:v>0.31152999999999997</c:v>
                </c:pt>
                <c:pt idx="20">
                  <c:v>0.34939999999999999</c:v>
                </c:pt>
                <c:pt idx="21">
                  <c:v>0.38407999999999998</c:v>
                </c:pt>
                <c:pt idx="22">
                  <c:v>0.41515999999999997</c:v>
                </c:pt>
                <c:pt idx="23">
                  <c:v>0.44281999999999999</c:v>
                </c:pt>
                <c:pt idx="24">
                  <c:v>0.46753</c:v>
                </c:pt>
                <c:pt idx="25">
                  <c:v>0.48970999999999998</c:v>
                </c:pt>
                <c:pt idx="26">
                  <c:v>0.50917999999999997</c:v>
                </c:pt>
                <c:pt idx="27">
                  <c:v>0.52583000000000002</c:v>
                </c:pt>
                <c:pt idx="28">
                  <c:v>0.54042000000000001</c:v>
                </c:pt>
                <c:pt idx="29">
                  <c:v>0.55383000000000004</c:v>
                </c:pt>
                <c:pt idx="30">
                  <c:v>0.56645999999999996</c:v>
                </c:pt>
                <c:pt idx="31">
                  <c:v>0.57838000000000001</c:v>
                </c:pt>
                <c:pt idx="32">
                  <c:v>0.58865999999999996</c:v>
                </c:pt>
                <c:pt idx="33">
                  <c:v>0.59648000000000001</c:v>
                </c:pt>
                <c:pt idx="34">
                  <c:v>0.60236000000000001</c:v>
                </c:pt>
                <c:pt idx="35">
                  <c:v>0.60682999999999998</c:v>
                </c:pt>
                <c:pt idx="36">
                  <c:v>0.60921000000000003</c:v>
                </c:pt>
                <c:pt idx="37">
                  <c:v>0.60857000000000006</c:v>
                </c:pt>
                <c:pt idx="38">
                  <c:v>0.60426999999999997</c:v>
                </c:pt>
                <c:pt idx="39">
                  <c:v>0.59606999999999999</c:v>
                </c:pt>
                <c:pt idx="40">
                  <c:v>0.58489999999999998</c:v>
                </c:pt>
                <c:pt idx="41">
                  <c:v>0.57159000000000004</c:v>
                </c:pt>
                <c:pt idx="42">
                  <c:v>0.55520999999999998</c:v>
                </c:pt>
                <c:pt idx="43">
                  <c:v>0.53495000000000004</c:v>
                </c:pt>
                <c:pt idx="44">
                  <c:v>0.51210999999999995</c:v>
                </c:pt>
                <c:pt idx="45">
                  <c:v>0.48820999999999998</c:v>
                </c:pt>
                <c:pt idx="46">
                  <c:v>0.46354000000000001</c:v>
                </c:pt>
                <c:pt idx="47">
                  <c:v>0.43824000000000002</c:v>
                </c:pt>
                <c:pt idx="48">
                  <c:v>0.41298000000000001</c:v>
                </c:pt>
                <c:pt idx="49">
                  <c:v>0.38846000000000003</c:v>
                </c:pt>
                <c:pt idx="50">
                  <c:v>0.36486000000000002</c:v>
                </c:pt>
                <c:pt idx="51">
                  <c:v>0.34231</c:v>
                </c:pt>
                <c:pt idx="52">
                  <c:v>0.32117000000000001</c:v>
                </c:pt>
                <c:pt idx="53">
                  <c:v>0.30176999999999998</c:v>
                </c:pt>
                <c:pt idx="54">
                  <c:v>0.28420000000000001</c:v>
                </c:pt>
                <c:pt idx="55">
                  <c:v>0.26844000000000001</c:v>
                </c:pt>
                <c:pt idx="56">
                  <c:v>0.25429000000000002</c:v>
                </c:pt>
                <c:pt idx="57">
                  <c:v>0.24157999999999999</c:v>
                </c:pt>
                <c:pt idx="58">
                  <c:v>0.23039999999999999</c:v>
                </c:pt>
                <c:pt idx="59">
                  <c:v>0.2208</c:v>
                </c:pt>
                <c:pt idx="60">
                  <c:v>0.21248</c:v>
                </c:pt>
                <c:pt idx="61">
                  <c:v>0.20510999999999999</c:v>
                </c:pt>
                <c:pt idx="62">
                  <c:v>0.19861999999999999</c:v>
                </c:pt>
                <c:pt idx="63">
                  <c:v>0.193</c:v>
                </c:pt>
                <c:pt idx="64">
                  <c:v>0.18826999999999999</c:v>
                </c:pt>
                <c:pt idx="65">
                  <c:v>0.18443999999999999</c:v>
                </c:pt>
                <c:pt idx="66">
                  <c:v>0.18137</c:v>
                </c:pt>
                <c:pt idx="67">
                  <c:v>0.17893000000000001</c:v>
                </c:pt>
                <c:pt idx="68">
                  <c:v>0.17713000000000001</c:v>
                </c:pt>
                <c:pt idx="69">
                  <c:v>0.17599000000000001</c:v>
                </c:pt>
                <c:pt idx="70">
                  <c:v>0.17549999999999999</c:v>
                </c:pt>
                <c:pt idx="71">
                  <c:v>0.17563999999999999</c:v>
                </c:pt>
                <c:pt idx="72">
                  <c:v>0.17652000000000001</c:v>
                </c:pt>
                <c:pt idx="73">
                  <c:v>0.17829999999999999</c:v>
                </c:pt>
                <c:pt idx="74">
                  <c:v>0.18110999999999999</c:v>
                </c:pt>
                <c:pt idx="75">
                  <c:v>0.18243000000000001</c:v>
                </c:pt>
                <c:pt idx="76">
                  <c:v>0.18437000000000001</c:v>
                </c:pt>
                <c:pt idx="77">
                  <c:v>0.18633</c:v>
                </c:pt>
                <c:pt idx="78">
                  <c:v>0.18831000000000001</c:v>
                </c:pt>
                <c:pt idx="79">
                  <c:v>0.1903</c:v>
                </c:pt>
                <c:pt idx="80">
                  <c:v>0.1923</c:v>
                </c:pt>
                <c:pt idx="81">
                  <c:v>0.19433</c:v>
                </c:pt>
                <c:pt idx="82">
                  <c:v>0.19636999999999999</c:v>
                </c:pt>
                <c:pt idx="83">
                  <c:v>0.19842000000000001</c:v>
                </c:pt>
                <c:pt idx="84">
                  <c:v>0.20049</c:v>
                </c:pt>
                <c:pt idx="85">
                  <c:v>0.20049</c:v>
                </c:pt>
                <c:pt idx="86">
                  <c:v>0.20049</c:v>
                </c:pt>
                <c:pt idx="87">
                  <c:v>0.20049</c:v>
                </c:pt>
                <c:pt idx="88">
                  <c:v>0.20049</c:v>
                </c:pt>
                <c:pt idx="89">
                  <c:v>0.20049</c:v>
                </c:pt>
                <c:pt idx="90">
                  <c:v>0.20049</c:v>
                </c:pt>
                <c:pt idx="91">
                  <c:v>0.20049</c:v>
                </c:pt>
                <c:pt idx="92">
                  <c:v>0.20049</c:v>
                </c:pt>
                <c:pt idx="93">
                  <c:v>0.20049</c:v>
                </c:pt>
                <c:pt idx="94">
                  <c:v>0.20049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F-3FE4-445B-8EEB-D88489EA6296}"/>
            </c:ext>
          </c:extLst>
        </c:ser>
        <c:ser>
          <c:idx val="49"/>
          <c:order val="4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'99set'!$AY$10:$AY$104</c:f>
              <c:numCache>
                <c:formatCode>0.0000</c:formatCode>
                <c:ptCount val="95"/>
                <c:pt idx="0">
                  <c:v>5.7200000000000003E-4</c:v>
                </c:pt>
                <c:pt idx="1">
                  <c:v>5.7200000000000003E-4</c:v>
                </c:pt>
                <c:pt idx="2">
                  <c:v>5.7200000000000003E-4</c:v>
                </c:pt>
                <c:pt idx="3">
                  <c:v>5.7200000000000003E-4</c:v>
                </c:pt>
                <c:pt idx="4">
                  <c:v>5.7200000000000003E-4</c:v>
                </c:pt>
                <c:pt idx="5">
                  <c:v>7.3905000000000004E-3</c:v>
                </c:pt>
                <c:pt idx="6">
                  <c:v>1.3886000000000001E-2</c:v>
                </c:pt>
                <c:pt idx="7">
                  <c:v>2.0382000000000001E-2</c:v>
                </c:pt>
                <c:pt idx="8">
                  <c:v>2.7199999999999998E-2</c:v>
                </c:pt>
                <c:pt idx="9">
                  <c:v>3.4341000000000003E-2</c:v>
                </c:pt>
                <c:pt idx="10">
                  <c:v>4.0514000000000001E-2</c:v>
                </c:pt>
                <c:pt idx="11">
                  <c:v>4.4457000000000003E-2</c:v>
                </c:pt>
                <c:pt idx="12">
                  <c:v>4.6328000000000001E-2</c:v>
                </c:pt>
                <c:pt idx="13">
                  <c:v>4.6751000000000001E-2</c:v>
                </c:pt>
                <c:pt idx="14">
                  <c:v>4.6809000000000003E-2</c:v>
                </c:pt>
                <c:pt idx="15">
                  <c:v>4.7482000000000003E-2</c:v>
                </c:pt>
                <c:pt idx="16">
                  <c:v>4.8894E-2</c:v>
                </c:pt>
                <c:pt idx="17">
                  <c:v>5.1028999999999998E-2</c:v>
                </c:pt>
                <c:pt idx="18">
                  <c:v>5.4181E-2</c:v>
                </c:pt>
                <c:pt idx="19">
                  <c:v>5.8791000000000003E-2</c:v>
                </c:pt>
                <c:pt idx="20">
                  <c:v>6.5586000000000005E-2</c:v>
                </c:pt>
                <c:pt idx="21">
                  <c:v>7.5241000000000002E-2</c:v>
                </c:pt>
                <c:pt idx="22">
                  <c:v>8.7947999999999998E-2</c:v>
                </c:pt>
                <c:pt idx="23">
                  <c:v>0.10363</c:v>
                </c:pt>
                <c:pt idx="24">
                  <c:v>0.12163</c:v>
                </c:pt>
                <c:pt idx="25">
                  <c:v>0.14087</c:v>
                </c:pt>
                <c:pt idx="26">
                  <c:v>0.15920999999999999</c:v>
                </c:pt>
                <c:pt idx="27">
                  <c:v>0.17469000000000001</c:v>
                </c:pt>
                <c:pt idx="28">
                  <c:v>0.18701000000000001</c:v>
                </c:pt>
                <c:pt idx="29">
                  <c:v>0.19627</c:v>
                </c:pt>
                <c:pt idx="30">
                  <c:v>0.20241000000000001</c:v>
                </c:pt>
                <c:pt idx="31">
                  <c:v>0.20541999999999999</c:v>
                </c:pt>
                <c:pt idx="32">
                  <c:v>0.20552999999999999</c:v>
                </c:pt>
                <c:pt idx="33">
                  <c:v>0.20313000000000001</c:v>
                </c:pt>
                <c:pt idx="34">
                  <c:v>0.19894999999999999</c:v>
                </c:pt>
                <c:pt idx="35">
                  <c:v>0.19369</c:v>
                </c:pt>
                <c:pt idx="36">
                  <c:v>0.18754000000000001</c:v>
                </c:pt>
                <c:pt idx="37">
                  <c:v>0.18056</c:v>
                </c:pt>
                <c:pt idx="38">
                  <c:v>0.17279</c:v>
                </c:pt>
                <c:pt idx="39">
                  <c:v>0.16436000000000001</c:v>
                </c:pt>
                <c:pt idx="40">
                  <c:v>0.15573999999999999</c:v>
                </c:pt>
                <c:pt idx="41">
                  <c:v>0.14741000000000001</c:v>
                </c:pt>
                <c:pt idx="42">
                  <c:v>0.13947000000000001</c:v>
                </c:pt>
                <c:pt idx="43">
                  <c:v>0.13197</c:v>
                </c:pt>
                <c:pt idx="44">
                  <c:v>0.12523000000000001</c:v>
                </c:pt>
                <c:pt idx="45">
                  <c:v>0.11951000000000001</c:v>
                </c:pt>
                <c:pt idx="46">
                  <c:v>0.11448999999999999</c:v>
                </c:pt>
                <c:pt idx="47">
                  <c:v>0.10977000000000001</c:v>
                </c:pt>
                <c:pt idx="48">
                  <c:v>0.10532</c:v>
                </c:pt>
                <c:pt idx="49">
                  <c:v>0.1012</c:v>
                </c:pt>
                <c:pt idx="50">
                  <c:v>9.7503999999999993E-2</c:v>
                </c:pt>
                <c:pt idx="51">
                  <c:v>9.4354999999999994E-2</c:v>
                </c:pt>
                <c:pt idx="52">
                  <c:v>9.1901999999999998E-2</c:v>
                </c:pt>
                <c:pt idx="53">
                  <c:v>9.0274999999999994E-2</c:v>
                </c:pt>
                <c:pt idx="54">
                  <c:v>8.9496999999999993E-2</c:v>
                </c:pt>
                <c:pt idx="55">
                  <c:v>8.9510000000000006E-2</c:v>
                </c:pt>
                <c:pt idx="56">
                  <c:v>9.0043999999999999E-2</c:v>
                </c:pt>
                <c:pt idx="57">
                  <c:v>9.0838000000000002E-2</c:v>
                </c:pt>
                <c:pt idx="58">
                  <c:v>9.1879000000000002E-2</c:v>
                </c:pt>
                <c:pt idx="59">
                  <c:v>9.3185000000000004E-2</c:v>
                </c:pt>
                <c:pt idx="60">
                  <c:v>9.4648999999999997E-2</c:v>
                </c:pt>
                <c:pt idx="61">
                  <c:v>9.6143000000000006E-2</c:v>
                </c:pt>
                <c:pt idx="62">
                  <c:v>9.7581000000000001E-2</c:v>
                </c:pt>
                <c:pt idx="63">
                  <c:v>9.8917000000000005E-2</c:v>
                </c:pt>
                <c:pt idx="64">
                  <c:v>0.10023</c:v>
                </c:pt>
                <c:pt idx="65">
                  <c:v>0.10163999999999999</c:v>
                </c:pt>
                <c:pt idx="66">
                  <c:v>0.10335999999999999</c:v>
                </c:pt>
                <c:pt idx="67">
                  <c:v>0.10553</c:v>
                </c:pt>
                <c:pt idx="68">
                  <c:v>0.10789</c:v>
                </c:pt>
                <c:pt idx="69">
                  <c:v>0.11019</c:v>
                </c:pt>
                <c:pt idx="70">
                  <c:v>0.11246</c:v>
                </c:pt>
                <c:pt idx="71">
                  <c:v>0.11484</c:v>
                </c:pt>
                <c:pt idx="72">
                  <c:v>0.11756999999999999</c:v>
                </c:pt>
                <c:pt idx="73">
                  <c:v>0.12089999999999999</c:v>
                </c:pt>
                <c:pt idx="74">
                  <c:v>0.12509000000000001</c:v>
                </c:pt>
                <c:pt idx="75">
                  <c:v>0.12825</c:v>
                </c:pt>
                <c:pt idx="76">
                  <c:v>0.13195000000000001</c:v>
                </c:pt>
                <c:pt idx="77">
                  <c:v>0.13574</c:v>
                </c:pt>
                <c:pt idx="78">
                  <c:v>0.13961999999999999</c:v>
                </c:pt>
                <c:pt idx="79">
                  <c:v>0.14359</c:v>
                </c:pt>
                <c:pt idx="80">
                  <c:v>0.14766000000000001</c:v>
                </c:pt>
                <c:pt idx="81">
                  <c:v>0.15182000000000001</c:v>
                </c:pt>
                <c:pt idx="82">
                  <c:v>0.15608</c:v>
                </c:pt>
                <c:pt idx="83">
                  <c:v>0.16044</c:v>
                </c:pt>
                <c:pt idx="84">
                  <c:v>0.16489000000000001</c:v>
                </c:pt>
                <c:pt idx="85">
                  <c:v>0.16489000000000001</c:v>
                </c:pt>
                <c:pt idx="86">
                  <c:v>0.16489000000000001</c:v>
                </c:pt>
                <c:pt idx="87">
                  <c:v>0.16489000000000001</c:v>
                </c:pt>
                <c:pt idx="88">
                  <c:v>0.16489000000000001</c:v>
                </c:pt>
                <c:pt idx="89">
                  <c:v>0.16489000000000001</c:v>
                </c:pt>
                <c:pt idx="90">
                  <c:v>0.16489000000000001</c:v>
                </c:pt>
                <c:pt idx="91">
                  <c:v>0.16489000000000001</c:v>
                </c:pt>
                <c:pt idx="92">
                  <c:v>0.16489000000000001</c:v>
                </c:pt>
                <c:pt idx="93">
                  <c:v>0.16489000000000001</c:v>
                </c:pt>
                <c:pt idx="94">
                  <c:v>0.16489000000000001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0-3FE4-445B-8EEB-D88489EA6296}"/>
            </c:ext>
          </c:extLst>
        </c:ser>
        <c:ser>
          <c:idx val="50"/>
          <c:order val="4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'99set'!$AZ$10:$AZ$104</c:f>
              <c:numCache>
                <c:formatCode>0.0000</c:formatCode>
                <c:ptCount val="95"/>
                <c:pt idx="0">
                  <c:v>7.8829999999999997E-2</c:v>
                </c:pt>
                <c:pt idx="1">
                  <c:v>7.8829999999999997E-2</c:v>
                </c:pt>
                <c:pt idx="2">
                  <c:v>7.8829999999999997E-2</c:v>
                </c:pt>
                <c:pt idx="3">
                  <c:v>7.8829999999999997E-2</c:v>
                </c:pt>
                <c:pt idx="4">
                  <c:v>7.8829999999999997E-2</c:v>
                </c:pt>
                <c:pt idx="5">
                  <c:v>8.2247000000000001E-2</c:v>
                </c:pt>
                <c:pt idx="6">
                  <c:v>8.5799E-2</c:v>
                </c:pt>
                <c:pt idx="7">
                  <c:v>8.9487999999999998E-2</c:v>
                </c:pt>
                <c:pt idx="8">
                  <c:v>9.3384999999999996E-2</c:v>
                </c:pt>
                <c:pt idx="9">
                  <c:v>9.7266000000000005E-2</c:v>
                </c:pt>
                <c:pt idx="10">
                  <c:v>0.10142</c:v>
                </c:pt>
                <c:pt idx="11">
                  <c:v>0.10575</c:v>
                </c:pt>
                <c:pt idx="12">
                  <c:v>0.11015999999999999</c:v>
                </c:pt>
                <c:pt idx="13">
                  <c:v>0.11458</c:v>
                </c:pt>
                <c:pt idx="14">
                  <c:v>0.11919</c:v>
                </c:pt>
                <c:pt idx="15">
                  <c:v>0.12413</c:v>
                </c:pt>
                <c:pt idx="16">
                  <c:v>0.12931000000000001</c:v>
                </c:pt>
                <c:pt idx="17">
                  <c:v>0.13467000000000001</c:v>
                </c:pt>
                <c:pt idx="18">
                  <c:v>0.14052000000000001</c:v>
                </c:pt>
                <c:pt idx="19">
                  <c:v>0.14713999999999999</c:v>
                </c:pt>
                <c:pt idx="20">
                  <c:v>0.15412000000000001</c:v>
                </c:pt>
                <c:pt idx="21">
                  <c:v>0.16117999999999999</c:v>
                </c:pt>
                <c:pt idx="22">
                  <c:v>0.16930000000000001</c:v>
                </c:pt>
                <c:pt idx="23">
                  <c:v>0.18</c:v>
                </c:pt>
                <c:pt idx="24">
                  <c:v>0.1958</c:v>
                </c:pt>
                <c:pt idx="25">
                  <c:v>0.21831999999999999</c:v>
                </c:pt>
                <c:pt idx="26">
                  <c:v>0.24453</c:v>
                </c:pt>
                <c:pt idx="27">
                  <c:v>0.27018999999999999</c:v>
                </c:pt>
                <c:pt idx="28">
                  <c:v>0.29107</c:v>
                </c:pt>
                <c:pt idx="29">
                  <c:v>0.30412</c:v>
                </c:pt>
                <c:pt idx="30">
                  <c:v>0.31122</c:v>
                </c:pt>
                <c:pt idx="31">
                  <c:v>0.31476999999999999</c:v>
                </c:pt>
                <c:pt idx="32">
                  <c:v>0.31448999999999999</c:v>
                </c:pt>
                <c:pt idx="33">
                  <c:v>0.30979000000000001</c:v>
                </c:pt>
                <c:pt idx="34">
                  <c:v>0.30148999999999998</c:v>
                </c:pt>
                <c:pt idx="35">
                  <c:v>0.29047000000000001</c:v>
                </c:pt>
                <c:pt idx="36">
                  <c:v>0.27638000000000001</c:v>
                </c:pt>
                <c:pt idx="37">
                  <c:v>0.25896000000000002</c:v>
                </c:pt>
                <c:pt idx="38">
                  <c:v>0.23937</c:v>
                </c:pt>
                <c:pt idx="39">
                  <c:v>0.21933</c:v>
                </c:pt>
                <c:pt idx="40">
                  <c:v>0.20136000000000001</c:v>
                </c:pt>
                <c:pt idx="41">
                  <c:v>0.18742</c:v>
                </c:pt>
                <c:pt idx="42">
                  <c:v>0.17665</c:v>
                </c:pt>
                <c:pt idx="43">
                  <c:v>0.1678</c:v>
                </c:pt>
                <c:pt idx="44">
                  <c:v>0.16106999999999999</c:v>
                </c:pt>
                <c:pt idx="45">
                  <c:v>0.15676000000000001</c:v>
                </c:pt>
                <c:pt idx="46">
                  <c:v>0.15442</c:v>
                </c:pt>
                <c:pt idx="47">
                  <c:v>0.15328</c:v>
                </c:pt>
                <c:pt idx="48">
                  <c:v>0.15223</c:v>
                </c:pt>
                <c:pt idx="49">
                  <c:v>0.15040000000000001</c:v>
                </c:pt>
                <c:pt idx="50">
                  <c:v>0.14826</c:v>
                </c:pt>
                <c:pt idx="51">
                  <c:v>0.14662</c:v>
                </c:pt>
                <c:pt idx="52">
                  <c:v>0.14618</c:v>
                </c:pt>
                <c:pt idx="53">
                  <c:v>0.14745</c:v>
                </c:pt>
                <c:pt idx="54">
                  <c:v>0.15004999999999999</c:v>
                </c:pt>
                <c:pt idx="55">
                  <c:v>0.15357999999999999</c:v>
                </c:pt>
                <c:pt idx="56">
                  <c:v>0.15828999999999999</c:v>
                </c:pt>
                <c:pt idx="57">
                  <c:v>0.16436000000000001</c:v>
                </c:pt>
                <c:pt idx="58">
                  <c:v>0.17108999999999999</c:v>
                </c:pt>
                <c:pt idx="59">
                  <c:v>0.17743</c:v>
                </c:pt>
                <c:pt idx="60">
                  <c:v>0.18201000000000001</c:v>
                </c:pt>
                <c:pt idx="61">
                  <c:v>0.18381</c:v>
                </c:pt>
                <c:pt idx="62">
                  <c:v>0.18359</c:v>
                </c:pt>
                <c:pt idx="63">
                  <c:v>0.18240000000000001</c:v>
                </c:pt>
                <c:pt idx="64">
                  <c:v>0.18052000000000001</c:v>
                </c:pt>
                <c:pt idx="65">
                  <c:v>0.17802999999999999</c:v>
                </c:pt>
                <c:pt idx="66">
                  <c:v>0.17485999999999999</c:v>
                </c:pt>
                <c:pt idx="67">
                  <c:v>0.17093</c:v>
                </c:pt>
                <c:pt idx="68">
                  <c:v>0.16613</c:v>
                </c:pt>
                <c:pt idx="69">
                  <c:v>0.16278999999999999</c:v>
                </c:pt>
                <c:pt idx="70">
                  <c:v>0.15895999999999999</c:v>
                </c:pt>
                <c:pt idx="71">
                  <c:v>0.15520999999999999</c:v>
                </c:pt>
                <c:pt idx="72">
                  <c:v>0.15154000000000001</c:v>
                </c:pt>
                <c:pt idx="73">
                  <c:v>0.14793000000000001</c:v>
                </c:pt>
                <c:pt idx="74">
                  <c:v>0.1444</c:v>
                </c:pt>
                <c:pt idx="75">
                  <c:v>0.14093</c:v>
                </c:pt>
                <c:pt idx="76">
                  <c:v>0.13754</c:v>
                </c:pt>
                <c:pt idx="77">
                  <c:v>0.13421</c:v>
                </c:pt>
                <c:pt idx="78">
                  <c:v>0.13095999999999999</c:v>
                </c:pt>
                <c:pt idx="79">
                  <c:v>0.12776999999999999</c:v>
                </c:pt>
                <c:pt idx="80">
                  <c:v>0.12464</c:v>
                </c:pt>
                <c:pt idx="81">
                  <c:v>0.12159</c:v>
                </c:pt>
                <c:pt idx="82">
                  <c:v>0.11859</c:v>
                </c:pt>
                <c:pt idx="83">
                  <c:v>0.11566</c:v>
                </c:pt>
                <c:pt idx="84">
                  <c:v>0.1128</c:v>
                </c:pt>
                <c:pt idx="85">
                  <c:v>0.1128</c:v>
                </c:pt>
                <c:pt idx="86">
                  <c:v>0.1128</c:v>
                </c:pt>
                <c:pt idx="87">
                  <c:v>0.1128</c:v>
                </c:pt>
                <c:pt idx="88">
                  <c:v>0.1128</c:v>
                </c:pt>
                <c:pt idx="89">
                  <c:v>0.1128</c:v>
                </c:pt>
                <c:pt idx="90">
                  <c:v>0.1128</c:v>
                </c:pt>
                <c:pt idx="91">
                  <c:v>0.1128</c:v>
                </c:pt>
                <c:pt idx="92">
                  <c:v>0.1128</c:v>
                </c:pt>
                <c:pt idx="93">
                  <c:v>0.1128</c:v>
                </c:pt>
                <c:pt idx="94">
                  <c:v>0.1128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1-3FE4-445B-8EEB-D88489EA6296}"/>
            </c:ext>
          </c:extLst>
        </c:ser>
        <c:ser>
          <c:idx val="51"/>
          <c:order val="5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'99set'!$BA$10:$BA$104</c:f>
              <c:numCache>
                <c:formatCode>0.0000</c:formatCode>
                <c:ptCount val="95"/>
                <c:pt idx="0">
                  <c:v>9.9501000000000006E-2</c:v>
                </c:pt>
                <c:pt idx="1">
                  <c:v>9.9501000000000006E-2</c:v>
                </c:pt>
                <c:pt idx="2">
                  <c:v>9.9501000000000006E-2</c:v>
                </c:pt>
                <c:pt idx="3">
                  <c:v>9.9501000000000006E-2</c:v>
                </c:pt>
                <c:pt idx="4">
                  <c:v>9.9501000000000006E-2</c:v>
                </c:pt>
                <c:pt idx="5">
                  <c:v>0.10406</c:v>
                </c:pt>
                <c:pt idx="6">
                  <c:v>0.10879999999999999</c:v>
                </c:pt>
                <c:pt idx="7">
                  <c:v>0.11373</c:v>
                </c:pt>
                <c:pt idx="8">
                  <c:v>0.11889</c:v>
                </c:pt>
                <c:pt idx="9">
                  <c:v>0.12416000000000001</c:v>
                </c:pt>
                <c:pt idx="10">
                  <c:v>0.12970999999999999</c:v>
                </c:pt>
                <c:pt idx="11">
                  <c:v>0.13542999999999999</c:v>
                </c:pt>
                <c:pt idx="12">
                  <c:v>0.14122000000000001</c:v>
                </c:pt>
                <c:pt idx="13">
                  <c:v>0.14702999999999999</c:v>
                </c:pt>
                <c:pt idx="14">
                  <c:v>0.15303</c:v>
                </c:pt>
                <c:pt idx="15">
                  <c:v>0.15937000000000001</c:v>
                </c:pt>
                <c:pt idx="16">
                  <c:v>0.16583000000000001</c:v>
                </c:pt>
                <c:pt idx="17">
                  <c:v>0.17226</c:v>
                </c:pt>
                <c:pt idx="18">
                  <c:v>0.17913000000000001</c:v>
                </c:pt>
                <c:pt idx="19">
                  <c:v>0.18679999999999999</c:v>
                </c:pt>
                <c:pt idx="20">
                  <c:v>0.19470999999999999</c:v>
                </c:pt>
                <c:pt idx="21">
                  <c:v>0.20244000000000001</c:v>
                </c:pt>
                <c:pt idx="22">
                  <c:v>0.21118000000000001</c:v>
                </c:pt>
                <c:pt idx="23">
                  <c:v>0.22283</c:v>
                </c:pt>
                <c:pt idx="24">
                  <c:v>0.24056</c:v>
                </c:pt>
                <c:pt idx="25">
                  <c:v>0.26640000000000003</c:v>
                </c:pt>
                <c:pt idx="26">
                  <c:v>0.29663</c:v>
                </c:pt>
                <c:pt idx="27">
                  <c:v>0.32596999999999998</c:v>
                </c:pt>
                <c:pt idx="28">
                  <c:v>0.34882999999999997</c:v>
                </c:pt>
                <c:pt idx="29">
                  <c:v>0.36119000000000001</c:v>
                </c:pt>
                <c:pt idx="30">
                  <c:v>0.36570000000000003</c:v>
                </c:pt>
                <c:pt idx="31">
                  <c:v>0.36586000000000002</c:v>
                </c:pt>
                <c:pt idx="32">
                  <c:v>0.36203000000000002</c:v>
                </c:pt>
                <c:pt idx="33">
                  <c:v>0.35400999999999999</c:v>
                </c:pt>
                <c:pt idx="34">
                  <c:v>0.34248000000000001</c:v>
                </c:pt>
                <c:pt idx="35">
                  <c:v>0.32800000000000001</c:v>
                </c:pt>
                <c:pt idx="36">
                  <c:v>0.30982999999999999</c:v>
                </c:pt>
                <c:pt idx="37">
                  <c:v>0.28742000000000001</c:v>
                </c:pt>
                <c:pt idx="38">
                  <c:v>0.26249</c:v>
                </c:pt>
                <c:pt idx="39">
                  <c:v>0.23757</c:v>
                </c:pt>
                <c:pt idx="40">
                  <c:v>0.21634</c:v>
                </c:pt>
                <c:pt idx="41">
                  <c:v>0.20166999999999999</c:v>
                </c:pt>
                <c:pt idx="42">
                  <c:v>0.19213</c:v>
                </c:pt>
                <c:pt idx="43">
                  <c:v>0.18575</c:v>
                </c:pt>
                <c:pt idx="44">
                  <c:v>0.18279999999999999</c:v>
                </c:pt>
                <c:pt idx="45">
                  <c:v>0.18373</c:v>
                </c:pt>
                <c:pt idx="46">
                  <c:v>0.18765999999999999</c:v>
                </c:pt>
                <c:pt idx="47">
                  <c:v>0.19303999999999999</c:v>
                </c:pt>
                <c:pt idx="48">
                  <c:v>0.19699</c:v>
                </c:pt>
                <c:pt idx="49">
                  <c:v>0.19725000000000001</c:v>
                </c:pt>
                <c:pt idx="50">
                  <c:v>0.19520999999999999</c:v>
                </c:pt>
                <c:pt idx="51">
                  <c:v>0.19302</c:v>
                </c:pt>
                <c:pt idx="52">
                  <c:v>0.19233</c:v>
                </c:pt>
                <c:pt idx="53">
                  <c:v>0.19417999999999999</c:v>
                </c:pt>
                <c:pt idx="54">
                  <c:v>0.19788</c:v>
                </c:pt>
                <c:pt idx="55">
                  <c:v>0.20263999999999999</c:v>
                </c:pt>
                <c:pt idx="56">
                  <c:v>0.2089</c:v>
                </c:pt>
                <c:pt idx="57">
                  <c:v>0.21709000000000001</c:v>
                </c:pt>
                <c:pt idx="58">
                  <c:v>0.22617000000000001</c:v>
                </c:pt>
                <c:pt idx="59">
                  <c:v>0.23465</c:v>
                </c:pt>
                <c:pt idx="60">
                  <c:v>0.24066000000000001</c:v>
                </c:pt>
                <c:pt idx="61">
                  <c:v>0.24281</c:v>
                </c:pt>
                <c:pt idx="62">
                  <c:v>0.24224000000000001</c:v>
                </c:pt>
                <c:pt idx="63">
                  <c:v>0.24043999999999999</c:v>
                </c:pt>
                <c:pt idx="64">
                  <c:v>0.23777999999999999</c:v>
                </c:pt>
                <c:pt idx="65">
                  <c:v>0.23432</c:v>
                </c:pt>
                <c:pt idx="66">
                  <c:v>0.22994000000000001</c:v>
                </c:pt>
                <c:pt idx="67">
                  <c:v>0.22450000000000001</c:v>
                </c:pt>
                <c:pt idx="68">
                  <c:v>0.21783</c:v>
                </c:pt>
                <c:pt idx="69">
                  <c:v>0.2132</c:v>
                </c:pt>
                <c:pt idx="70">
                  <c:v>0.20788999999999999</c:v>
                </c:pt>
                <c:pt idx="71">
                  <c:v>0.20268</c:v>
                </c:pt>
                <c:pt idx="72">
                  <c:v>0.19757</c:v>
                </c:pt>
                <c:pt idx="73">
                  <c:v>0.19256000000000001</c:v>
                </c:pt>
                <c:pt idx="74">
                  <c:v>0.18764</c:v>
                </c:pt>
                <c:pt idx="75">
                  <c:v>0.18282000000000001</c:v>
                </c:pt>
                <c:pt idx="76">
                  <c:v>0.17810000000000001</c:v>
                </c:pt>
                <c:pt idx="77">
                  <c:v>0.17347000000000001</c:v>
                </c:pt>
                <c:pt idx="78">
                  <c:v>0.16894000000000001</c:v>
                </c:pt>
                <c:pt idx="79">
                  <c:v>0.16450000000000001</c:v>
                </c:pt>
                <c:pt idx="80">
                  <c:v>0.16016</c:v>
                </c:pt>
                <c:pt idx="81">
                  <c:v>0.15590999999999999</c:v>
                </c:pt>
                <c:pt idx="82">
                  <c:v>0.15175</c:v>
                </c:pt>
                <c:pt idx="83">
                  <c:v>0.14768999999999999</c:v>
                </c:pt>
                <c:pt idx="84">
                  <c:v>0.14371</c:v>
                </c:pt>
                <c:pt idx="85">
                  <c:v>0.14371</c:v>
                </c:pt>
                <c:pt idx="86">
                  <c:v>0.14371</c:v>
                </c:pt>
                <c:pt idx="87">
                  <c:v>0.14371</c:v>
                </c:pt>
                <c:pt idx="88">
                  <c:v>0.14371</c:v>
                </c:pt>
                <c:pt idx="89">
                  <c:v>0.14371</c:v>
                </c:pt>
                <c:pt idx="90">
                  <c:v>0.14371</c:v>
                </c:pt>
                <c:pt idx="91">
                  <c:v>0.14371</c:v>
                </c:pt>
                <c:pt idx="92">
                  <c:v>0.14371</c:v>
                </c:pt>
                <c:pt idx="93">
                  <c:v>0.14371</c:v>
                </c:pt>
                <c:pt idx="94">
                  <c:v>0.14371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2-3FE4-445B-8EEB-D88489EA6296}"/>
            </c:ext>
          </c:extLst>
        </c:ser>
        <c:ser>
          <c:idx val="52"/>
          <c:order val="5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'99set'!$BB$10:$BB$104</c:f>
              <c:numCache>
                <c:formatCode>0.0000</c:formatCode>
                <c:ptCount val="95"/>
                <c:pt idx="0">
                  <c:v>5.8595000000000001E-2</c:v>
                </c:pt>
                <c:pt idx="1">
                  <c:v>5.8595000000000001E-2</c:v>
                </c:pt>
                <c:pt idx="2">
                  <c:v>5.8595000000000001E-2</c:v>
                </c:pt>
                <c:pt idx="3">
                  <c:v>5.8595000000000001E-2</c:v>
                </c:pt>
                <c:pt idx="4">
                  <c:v>5.8595000000000001E-2</c:v>
                </c:pt>
                <c:pt idx="5">
                  <c:v>5.8416999999999997E-2</c:v>
                </c:pt>
                <c:pt idx="6">
                  <c:v>5.824E-2</c:v>
                </c:pt>
                <c:pt idx="7">
                  <c:v>5.8062999999999997E-2</c:v>
                </c:pt>
                <c:pt idx="8">
                  <c:v>5.8014999999999997E-2</c:v>
                </c:pt>
                <c:pt idx="9">
                  <c:v>5.7648999999999999E-2</c:v>
                </c:pt>
                <c:pt idx="10">
                  <c:v>5.7500000000000002E-2</c:v>
                </c:pt>
                <c:pt idx="11">
                  <c:v>5.7532E-2</c:v>
                </c:pt>
                <c:pt idx="12">
                  <c:v>5.7706E-2</c:v>
                </c:pt>
                <c:pt idx="13">
                  <c:v>5.8009999999999999E-2</c:v>
                </c:pt>
                <c:pt idx="14">
                  <c:v>5.8531E-2</c:v>
                </c:pt>
                <c:pt idx="15">
                  <c:v>5.9368999999999998E-2</c:v>
                </c:pt>
                <c:pt idx="16">
                  <c:v>6.0592E-2</c:v>
                </c:pt>
                <c:pt idx="17">
                  <c:v>6.2293000000000001E-2</c:v>
                </c:pt>
                <c:pt idx="18">
                  <c:v>6.4713000000000007E-2</c:v>
                </c:pt>
                <c:pt idx="19">
                  <c:v>6.7838999999999997E-2</c:v>
                </c:pt>
                <c:pt idx="20">
                  <c:v>7.0484000000000005E-2</c:v>
                </c:pt>
                <c:pt idx="21">
                  <c:v>7.1750999999999995E-2</c:v>
                </c:pt>
                <c:pt idx="22">
                  <c:v>7.306E-2</c:v>
                </c:pt>
                <c:pt idx="23">
                  <c:v>7.6793E-2</c:v>
                </c:pt>
                <c:pt idx="24">
                  <c:v>8.6868000000000001E-2</c:v>
                </c:pt>
                <c:pt idx="25">
                  <c:v>0.106</c:v>
                </c:pt>
                <c:pt idx="26">
                  <c:v>0.13056000000000001</c:v>
                </c:pt>
                <c:pt idx="27">
                  <c:v>0.15570999999999999</c:v>
                </c:pt>
                <c:pt idx="28">
                  <c:v>0.17817</c:v>
                </c:pt>
                <c:pt idx="29">
                  <c:v>0.19575000000000001</c:v>
                </c:pt>
                <c:pt idx="30">
                  <c:v>0.20907999999999999</c:v>
                </c:pt>
                <c:pt idx="31">
                  <c:v>0.21853</c:v>
                </c:pt>
                <c:pt idx="32">
                  <c:v>0.22051999999999999</c:v>
                </c:pt>
                <c:pt idx="33">
                  <c:v>0.21204000000000001</c:v>
                </c:pt>
                <c:pt idx="34">
                  <c:v>0.1963</c:v>
                </c:pt>
                <c:pt idx="35">
                  <c:v>0.1777</c:v>
                </c:pt>
                <c:pt idx="36">
                  <c:v>0.159</c:v>
                </c:pt>
                <c:pt idx="37">
                  <c:v>0.14199999999999999</c:v>
                </c:pt>
                <c:pt idx="38">
                  <c:v>0.12623000000000001</c:v>
                </c:pt>
                <c:pt idx="39">
                  <c:v>0.11115</c:v>
                </c:pt>
                <c:pt idx="40">
                  <c:v>9.8100999999999994E-2</c:v>
                </c:pt>
                <c:pt idx="41">
                  <c:v>8.8406999999999999E-2</c:v>
                </c:pt>
                <c:pt idx="42">
                  <c:v>8.1509999999999999E-2</c:v>
                </c:pt>
                <c:pt idx="43">
                  <c:v>7.6496999999999996E-2</c:v>
                </c:pt>
                <c:pt idx="44">
                  <c:v>7.2956999999999994E-2</c:v>
                </c:pt>
                <c:pt idx="45">
                  <c:v>7.0630999999999999E-2</c:v>
                </c:pt>
                <c:pt idx="46">
                  <c:v>6.9349999999999995E-2</c:v>
                </c:pt>
                <c:pt idx="47">
                  <c:v>6.8908999999999998E-2</c:v>
                </c:pt>
                <c:pt idx="48">
                  <c:v>6.8834999999999993E-2</c:v>
                </c:pt>
                <c:pt idx="49">
                  <c:v>6.8717E-2</c:v>
                </c:pt>
                <c:pt idx="50">
                  <c:v>6.8628999999999996E-2</c:v>
                </c:pt>
                <c:pt idx="51">
                  <c:v>6.8719000000000002E-2</c:v>
                </c:pt>
                <c:pt idx="52">
                  <c:v>6.8937999999999999E-2</c:v>
                </c:pt>
                <c:pt idx="53">
                  <c:v>6.9225999999999996E-2</c:v>
                </c:pt>
                <c:pt idx="54">
                  <c:v>6.966E-2</c:v>
                </c:pt>
                <c:pt idx="55">
                  <c:v>7.0402999999999993E-2</c:v>
                </c:pt>
                <c:pt idx="56">
                  <c:v>7.1823999999999999E-2</c:v>
                </c:pt>
                <c:pt idx="57">
                  <c:v>7.4177999999999994E-2</c:v>
                </c:pt>
                <c:pt idx="58">
                  <c:v>7.7078999999999995E-2</c:v>
                </c:pt>
                <c:pt idx="59">
                  <c:v>7.9966999999999996E-2</c:v>
                </c:pt>
                <c:pt idx="60">
                  <c:v>8.2230999999999999E-2</c:v>
                </c:pt>
                <c:pt idx="61">
                  <c:v>8.3420999999999995E-2</c:v>
                </c:pt>
                <c:pt idx="62">
                  <c:v>8.3777000000000004E-2</c:v>
                </c:pt>
                <c:pt idx="63">
                  <c:v>8.3640000000000006E-2</c:v>
                </c:pt>
                <c:pt idx="64">
                  <c:v>8.3056000000000005E-2</c:v>
                </c:pt>
                <c:pt idx="65">
                  <c:v>8.2002000000000005E-2</c:v>
                </c:pt>
                <c:pt idx="66">
                  <c:v>8.0479999999999996E-2</c:v>
                </c:pt>
                <c:pt idx="67">
                  <c:v>7.8492999999999993E-2</c:v>
                </c:pt>
                <c:pt idx="68">
                  <c:v>7.6049000000000005E-2</c:v>
                </c:pt>
                <c:pt idx="69">
                  <c:v>7.4404999999999999E-2</c:v>
                </c:pt>
                <c:pt idx="70">
                  <c:v>7.2505E-2</c:v>
                </c:pt>
                <c:pt idx="71">
                  <c:v>7.0650000000000004E-2</c:v>
                </c:pt>
                <c:pt idx="72">
                  <c:v>6.8838999999999997E-2</c:v>
                </c:pt>
                <c:pt idx="73">
                  <c:v>6.7071000000000006E-2</c:v>
                </c:pt>
                <c:pt idx="74">
                  <c:v>6.5345E-2</c:v>
                </c:pt>
                <c:pt idx="75">
                  <c:v>6.3660999999999995E-2</c:v>
                </c:pt>
                <c:pt idx="76">
                  <c:v>6.2017000000000003E-2</c:v>
                </c:pt>
                <c:pt idx="77">
                  <c:v>6.0413000000000001E-2</c:v>
                </c:pt>
                <c:pt idx="78">
                  <c:v>5.8846999999999997E-2</c:v>
                </c:pt>
                <c:pt idx="79">
                  <c:v>5.7320000000000003E-2</c:v>
                </c:pt>
                <c:pt idx="80">
                  <c:v>5.5829999999999998E-2</c:v>
                </c:pt>
                <c:pt idx="81">
                  <c:v>5.4377000000000002E-2</c:v>
                </c:pt>
                <c:pt idx="82">
                  <c:v>5.2958999999999999E-2</c:v>
                </c:pt>
                <c:pt idx="83">
                  <c:v>5.1575999999999997E-2</c:v>
                </c:pt>
                <c:pt idx="84">
                  <c:v>5.0227000000000001E-2</c:v>
                </c:pt>
                <c:pt idx="85">
                  <c:v>5.0227000000000001E-2</c:v>
                </c:pt>
                <c:pt idx="86">
                  <c:v>5.0227000000000001E-2</c:v>
                </c:pt>
                <c:pt idx="87">
                  <c:v>5.0227000000000001E-2</c:v>
                </c:pt>
                <c:pt idx="88">
                  <c:v>5.0227000000000001E-2</c:v>
                </c:pt>
                <c:pt idx="89">
                  <c:v>5.0227000000000001E-2</c:v>
                </c:pt>
                <c:pt idx="90">
                  <c:v>5.0227000000000001E-2</c:v>
                </c:pt>
                <c:pt idx="91">
                  <c:v>5.0227000000000001E-2</c:v>
                </c:pt>
                <c:pt idx="92">
                  <c:v>5.0227000000000001E-2</c:v>
                </c:pt>
                <c:pt idx="93">
                  <c:v>5.0227000000000001E-2</c:v>
                </c:pt>
                <c:pt idx="94">
                  <c:v>5.0227000000000001E-2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3-3FE4-445B-8EEB-D88489EA6296}"/>
            </c:ext>
          </c:extLst>
        </c:ser>
        <c:ser>
          <c:idx val="53"/>
          <c:order val="5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'99set'!$BC$10:$BC$104</c:f>
              <c:numCache>
                <c:formatCode>0.0000</c:formatCode>
                <c:ptCount val="95"/>
                <c:pt idx="0">
                  <c:v>7.2778999999999996E-2</c:v>
                </c:pt>
                <c:pt idx="1">
                  <c:v>7.2778999999999996E-2</c:v>
                </c:pt>
                <c:pt idx="2">
                  <c:v>7.2778999999999996E-2</c:v>
                </c:pt>
                <c:pt idx="3">
                  <c:v>7.2778999999999996E-2</c:v>
                </c:pt>
                <c:pt idx="4">
                  <c:v>7.2778999999999996E-2</c:v>
                </c:pt>
                <c:pt idx="5">
                  <c:v>7.4019000000000001E-2</c:v>
                </c:pt>
                <c:pt idx="6">
                  <c:v>7.5278999999999999E-2</c:v>
                </c:pt>
                <c:pt idx="7">
                  <c:v>7.6558000000000001E-2</c:v>
                </c:pt>
                <c:pt idx="8">
                  <c:v>7.7899999999999997E-2</c:v>
                </c:pt>
                <c:pt idx="9">
                  <c:v>7.9301999999999997E-2</c:v>
                </c:pt>
                <c:pt idx="10">
                  <c:v>8.1199999999999994E-2</c:v>
                </c:pt>
                <c:pt idx="11">
                  <c:v>8.2908999999999997E-2</c:v>
                </c:pt>
                <c:pt idx="12">
                  <c:v>8.48E-2</c:v>
                </c:pt>
                <c:pt idx="13">
                  <c:v>8.7361999999999995E-2</c:v>
                </c:pt>
                <c:pt idx="14">
                  <c:v>9.0499999999999997E-2</c:v>
                </c:pt>
                <c:pt idx="15">
                  <c:v>9.4031000000000003E-2</c:v>
                </c:pt>
                <c:pt idx="16">
                  <c:v>9.8000000000000004E-2</c:v>
                </c:pt>
                <c:pt idx="17">
                  <c:v>0.10263</c:v>
                </c:pt>
                <c:pt idx="18">
                  <c:v>0.1086</c:v>
                </c:pt>
                <c:pt idx="19">
                  <c:v>0.11658</c:v>
                </c:pt>
                <c:pt idx="20">
                  <c:v>0.12670000000000001</c:v>
                </c:pt>
                <c:pt idx="21">
                  <c:v>0.13900000000000001</c:v>
                </c:pt>
                <c:pt idx="22">
                  <c:v>0.15379999999999999</c:v>
                </c:pt>
                <c:pt idx="23">
                  <c:v>0.17152000000000001</c:v>
                </c:pt>
                <c:pt idx="24">
                  <c:v>0.1928</c:v>
                </c:pt>
                <c:pt idx="25">
                  <c:v>0.21822</c:v>
                </c:pt>
                <c:pt idx="26">
                  <c:v>0.24790000000000001</c:v>
                </c:pt>
                <c:pt idx="27">
                  <c:v>0.28105000000000002</c:v>
                </c:pt>
                <c:pt idx="28">
                  <c:v>0.31369999999999998</c:v>
                </c:pt>
                <c:pt idx="29">
                  <c:v>0.34111000000000002</c:v>
                </c:pt>
                <c:pt idx="30">
                  <c:v>0.35849999999999999</c:v>
                </c:pt>
                <c:pt idx="31">
                  <c:v>0.36251</c:v>
                </c:pt>
                <c:pt idx="32">
                  <c:v>0.35539999999999999</c:v>
                </c:pt>
                <c:pt idx="33">
                  <c:v>0.34057999999999999</c:v>
                </c:pt>
                <c:pt idx="34">
                  <c:v>0.32029999999999997</c:v>
                </c:pt>
                <c:pt idx="35">
                  <c:v>0.29646</c:v>
                </c:pt>
                <c:pt idx="36">
                  <c:v>0.27060000000000001</c:v>
                </c:pt>
                <c:pt idx="37">
                  <c:v>0.24412</c:v>
                </c:pt>
                <c:pt idx="38">
                  <c:v>0.21820000000000001</c:v>
                </c:pt>
                <c:pt idx="39">
                  <c:v>0.19386999999999999</c:v>
                </c:pt>
                <c:pt idx="40">
                  <c:v>0.17169999999999999</c:v>
                </c:pt>
                <c:pt idx="41">
                  <c:v>0.15204000000000001</c:v>
                </c:pt>
                <c:pt idx="42">
                  <c:v>0.13469999999999999</c:v>
                </c:pt>
                <c:pt idx="43">
                  <c:v>0.11940000000000001</c:v>
                </c:pt>
                <c:pt idx="44">
                  <c:v>0.10589999999999999</c:v>
                </c:pt>
                <c:pt idx="45">
                  <c:v>9.4028E-2</c:v>
                </c:pt>
                <c:pt idx="46">
                  <c:v>8.3900000000000002E-2</c:v>
                </c:pt>
                <c:pt idx="47">
                  <c:v>7.5671000000000002E-2</c:v>
                </c:pt>
                <c:pt idx="48">
                  <c:v>6.9400000000000003E-2</c:v>
                </c:pt>
                <c:pt idx="49">
                  <c:v>6.5037999999999999E-2</c:v>
                </c:pt>
                <c:pt idx="50">
                  <c:v>6.2199999999999998E-2</c:v>
                </c:pt>
                <c:pt idx="51">
                  <c:v>6.0439E-2</c:v>
                </c:pt>
                <c:pt idx="52">
                  <c:v>5.9400000000000001E-2</c:v>
                </c:pt>
                <c:pt idx="53">
                  <c:v>5.8781E-2</c:v>
                </c:pt>
                <c:pt idx="54">
                  <c:v>5.8400000000000001E-2</c:v>
                </c:pt>
                <c:pt idx="55">
                  <c:v>5.8123000000000001E-2</c:v>
                </c:pt>
                <c:pt idx="56">
                  <c:v>5.79E-2</c:v>
                </c:pt>
                <c:pt idx="57">
                  <c:v>5.7751999999999998E-2</c:v>
                </c:pt>
                <c:pt idx="58">
                  <c:v>5.79E-2</c:v>
                </c:pt>
                <c:pt idx="59">
                  <c:v>5.8546000000000001E-2</c:v>
                </c:pt>
                <c:pt idx="60">
                  <c:v>5.96E-2</c:v>
                </c:pt>
                <c:pt idx="61">
                  <c:v>6.0927000000000002E-2</c:v>
                </c:pt>
                <c:pt idx="62">
                  <c:v>6.25E-2</c:v>
                </c:pt>
                <c:pt idx="63">
                  <c:v>6.4283000000000007E-2</c:v>
                </c:pt>
                <c:pt idx="64">
                  <c:v>6.6100000000000006E-2</c:v>
                </c:pt>
                <c:pt idx="65">
                  <c:v>6.7804000000000003E-2</c:v>
                </c:pt>
                <c:pt idx="66">
                  <c:v>6.9500000000000006E-2</c:v>
                </c:pt>
                <c:pt idx="67">
                  <c:v>7.1211999999999998E-2</c:v>
                </c:pt>
                <c:pt idx="68">
                  <c:v>7.2400000000000006E-2</c:v>
                </c:pt>
                <c:pt idx="69">
                  <c:v>7.3564000000000004E-2</c:v>
                </c:pt>
                <c:pt idx="70">
                  <c:v>7.4704999999999994E-2</c:v>
                </c:pt>
                <c:pt idx="71">
                  <c:v>7.5861999999999999E-2</c:v>
                </c:pt>
                <c:pt idx="72">
                  <c:v>7.7035000000000006E-2</c:v>
                </c:pt>
                <c:pt idx="73">
                  <c:v>7.8225000000000003E-2</c:v>
                </c:pt>
                <c:pt idx="74">
                  <c:v>7.9432000000000003E-2</c:v>
                </c:pt>
                <c:pt idx="75">
                  <c:v>8.0656000000000005E-2</c:v>
                </c:pt>
                <c:pt idx="76">
                  <c:v>8.1896999999999998E-2</c:v>
                </c:pt>
                <c:pt idx="77">
                  <c:v>8.3155000000000007E-2</c:v>
                </c:pt>
                <c:pt idx="78">
                  <c:v>8.4431000000000006E-2</c:v>
                </c:pt>
                <c:pt idx="79">
                  <c:v>8.5723999999999995E-2</c:v>
                </c:pt>
                <c:pt idx="80">
                  <c:v>8.7036000000000002E-2</c:v>
                </c:pt>
                <c:pt idx="81">
                  <c:v>8.8366E-2</c:v>
                </c:pt>
                <c:pt idx="82">
                  <c:v>8.9714000000000002E-2</c:v>
                </c:pt>
                <c:pt idx="83">
                  <c:v>9.1079999999999994E-2</c:v>
                </c:pt>
                <c:pt idx="84">
                  <c:v>9.2466000000000007E-2</c:v>
                </c:pt>
                <c:pt idx="85">
                  <c:v>9.2466000000000007E-2</c:v>
                </c:pt>
                <c:pt idx="86">
                  <c:v>9.2466000000000007E-2</c:v>
                </c:pt>
                <c:pt idx="87">
                  <c:v>9.2466000000000007E-2</c:v>
                </c:pt>
                <c:pt idx="88">
                  <c:v>9.2466000000000007E-2</c:v>
                </c:pt>
                <c:pt idx="89">
                  <c:v>9.2466000000000007E-2</c:v>
                </c:pt>
                <c:pt idx="90">
                  <c:v>9.2466000000000007E-2</c:v>
                </c:pt>
                <c:pt idx="91">
                  <c:v>9.2466000000000007E-2</c:v>
                </c:pt>
                <c:pt idx="92">
                  <c:v>9.2466000000000007E-2</c:v>
                </c:pt>
                <c:pt idx="93">
                  <c:v>9.2466000000000007E-2</c:v>
                </c:pt>
                <c:pt idx="94">
                  <c:v>9.2466000000000007E-2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4-3FE4-445B-8EEB-D88489EA6296}"/>
            </c:ext>
          </c:extLst>
        </c:ser>
        <c:ser>
          <c:idx val="54"/>
          <c:order val="5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'99set'!$BD$10:$BD$104</c:f>
              <c:numCache>
                <c:formatCode>0.0000</c:formatCode>
                <c:ptCount val="95"/>
                <c:pt idx="0">
                  <c:v>0.40856999999999999</c:v>
                </c:pt>
                <c:pt idx="1">
                  <c:v>0.40856999999999999</c:v>
                </c:pt>
                <c:pt idx="2">
                  <c:v>0.40856999999999999</c:v>
                </c:pt>
                <c:pt idx="3">
                  <c:v>0.40856999999999999</c:v>
                </c:pt>
                <c:pt idx="4">
                  <c:v>0.40856999999999999</c:v>
                </c:pt>
                <c:pt idx="5">
                  <c:v>0.42408000000000001</c:v>
                </c:pt>
                <c:pt idx="6">
                  <c:v>0.43973000000000001</c:v>
                </c:pt>
                <c:pt idx="7">
                  <c:v>0.45551000000000003</c:v>
                </c:pt>
                <c:pt idx="8">
                  <c:v>0.47189999999999999</c:v>
                </c:pt>
                <c:pt idx="9">
                  <c:v>0.48882999999999999</c:v>
                </c:pt>
                <c:pt idx="10">
                  <c:v>0.51160000000000005</c:v>
                </c:pt>
                <c:pt idx="11">
                  <c:v>0.53113999999999995</c:v>
                </c:pt>
                <c:pt idx="12">
                  <c:v>0.54879999999999995</c:v>
                </c:pt>
                <c:pt idx="13">
                  <c:v>0.56754000000000004</c:v>
                </c:pt>
                <c:pt idx="14">
                  <c:v>0.58620000000000005</c:v>
                </c:pt>
                <c:pt idx="15">
                  <c:v>0.60333000000000003</c:v>
                </c:pt>
                <c:pt idx="16">
                  <c:v>0.62039999999999995</c:v>
                </c:pt>
                <c:pt idx="17">
                  <c:v>0.63907000000000003</c:v>
                </c:pt>
                <c:pt idx="18">
                  <c:v>0.65890000000000004</c:v>
                </c:pt>
                <c:pt idx="19">
                  <c:v>0.67891000000000001</c:v>
                </c:pt>
                <c:pt idx="20">
                  <c:v>0.69799999999999995</c:v>
                </c:pt>
                <c:pt idx="21">
                  <c:v>0.71523000000000003</c:v>
                </c:pt>
                <c:pt idx="22">
                  <c:v>0.73050000000000004</c:v>
                </c:pt>
                <c:pt idx="23">
                  <c:v>0.74378999999999995</c:v>
                </c:pt>
                <c:pt idx="24">
                  <c:v>0.75470000000000004</c:v>
                </c:pt>
                <c:pt idx="25">
                  <c:v>0.76285000000000003</c:v>
                </c:pt>
                <c:pt idx="26">
                  <c:v>0.76839999999999997</c:v>
                </c:pt>
                <c:pt idx="27">
                  <c:v>0.77166000000000001</c:v>
                </c:pt>
                <c:pt idx="28">
                  <c:v>0.77300000000000002</c:v>
                </c:pt>
                <c:pt idx="29">
                  <c:v>0.77288999999999997</c:v>
                </c:pt>
                <c:pt idx="30">
                  <c:v>0.7722</c:v>
                </c:pt>
                <c:pt idx="31">
                  <c:v>0.77163999999999999</c:v>
                </c:pt>
                <c:pt idx="32">
                  <c:v>0.77090000000000003</c:v>
                </c:pt>
                <c:pt idx="33">
                  <c:v>0.76949999999999996</c:v>
                </c:pt>
                <c:pt idx="34">
                  <c:v>0.76729999999999998</c:v>
                </c:pt>
                <c:pt idx="35">
                  <c:v>0.76420999999999994</c:v>
                </c:pt>
                <c:pt idx="36">
                  <c:v>0.76</c:v>
                </c:pt>
                <c:pt idx="37">
                  <c:v>0.75436999999999999</c:v>
                </c:pt>
                <c:pt idx="38">
                  <c:v>0.74680000000000002</c:v>
                </c:pt>
                <c:pt idx="39">
                  <c:v>0.73690999999999995</c:v>
                </c:pt>
                <c:pt idx="40">
                  <c:v>0.72519999999999996</c:v>
                </c:pt>
                <c:pt idx="41">
                  <c:v>0.71226</c:v>
                </c:pt>
                <c:pt idx="42">
                  <c:v>0.69820000000000004</c:v>
                </c:pt>
                <c:pt idx="43">
                  <c:v>0.68279999999999996</c:v>
                </c:pt>
                <c:pt idx="44">
                  <c:v>0.66490000000000005</c:v>
                </c:pt>
                <c:pt idx="45">
                  <c:v>0.64336000000000004</c:v>
                </c:pt>
                <c:pt idx="46">
                  <c:v>0.61799999999999999</c:v>
                </c:pt>
                <c:pt idx="47">
                  <c:v>0.58958999999999995</c:v>
                </c:pt>
                <c:pt idx="48">
                  <c:v>0.56169999999999998</c:v>
                </c:pt>
                <c:pt idx="49">
                  <c:v>0.53802000000000005</c:v>
                </c:pt>
                <c:pt idx="50">
                  <c:v>0.51990000000000003</c:v>
                </c:pt>
                <c:pt idx="51">
                  <c:v>0.50780000000000003</c:v>
                </c:pt>
                <c:pt idx="52">
                  <c:v>0.50090000000000001</c:v>
                </c:pt>
                <c:pt idx="53">
                  <c:v>0.49797999999999998</c:v>
                </c:pt>
                <c:pt idx="54">
                  <c:v>0.49759999999999999</c:v>
                </c:pt>
                <c:pt idx="55">
                  <c:v>0.49839</c:v>
                </c:pt>
                <c:pt idx="56">
                  <c:v>0.4995</c:v>
                </c:pt>
                <c:pt idx="57">
                  <c:v>0.50065000000000004</c:v>
                </c:pt>
                <c:pt idx="58">
                  <c:v>0.50319999999999998</c:v>
                </c:pt>
                <c:pt idx="59">
                  <c:v>0.50873999999999997</c:v>
                </c:pt>
                <c:pt idx="60">
                  <c:v>0.51800000000000002</c:v>
                </c:pt>
                <c:pt idx="61">
                  <c:v>0.53103999999999996</c:v>
                </c:pt>
                <c:pt idx="62">
                  <c:v>0.54610000000000003</c:v>
                </c:pt>
                <c:pt idx="63">
                  <c:v>0.56122000000000005</c:v>
                </c:pt>
                <c:pt idx="64">
                  <c:v>0.57550000000000001</c:v>
                </c:pt>
                <c:pt idx="65">
                  <c:v>0.58862000000000003</c:v>
                </c:pt>
                <c:pt idx="66">
                  <c:v>0.60150000000000003</c:v>
                </c:pt>
                <c:pt idx="67">
                  <c:v>0.61434999999999995</c:v>
                </c:pt>
                <c:pt idx="68">
                  <c:v>0.62319999999999998</c:v>
                </c:pt>
                <c:pt idx="69">
                  <c:v>0.63168999999999997</c:v>
                </c:pt>
                <c:pt idx="70">
                  <c:v>0.63982000000000006</c:v>
                </c:pt>
                <c:pt idx="71">
                  <c:v>0.64786999999999995</c:v>
                </c:pt>
                <c:pt idx="72">
                  <c:v>0.65583000000000002</c:v>
                </c:pt>
                <c:pt idx="73">
                  <c:v>0.66371000000000002</c:v>
                </c:pt>
                <c:pt idx="74">
                  <c:v>0.67149999999999999</c:v>
                </c:pt>
                <c:pt idx="75">
                  <c:v>0.67920000000000003</c:v>
                </c:pt>
                <c:pt idx="76">
                  <c:v>0.68679999999999997</c:v>
                </c:pt>
                <c:pt idx="77">
                  <c:v>0.69430000000000003</c:v>
                </c:pt>
                <c:pt idx="78">
                  <c:v>0.70169999999999999</c:v>
                </c:pt>
                <c:pt idx="79">
                  <c:v>0.70899000000000001</c:v>
                </c:pt>
                <c:pt idx="80">
                  <c:v>0.71618000000000004</c:v>
                </c:pt>
                <c:pt idx="81">
                  <c:v>0.72326000000000001</c:v>
                </c:pt>
                <c:pt idx="82">
                  <c:v>0.73023000000000005</c:v>
                </c:pt>
                <c:pt idx="83">
                  <c:v>0.73709000000000002</c:v>
                </c:pt>
                <c:pt idx="84">
                  <c:v>0.74382999999999999</c:v>
                </c:pt>
                <c:pt idx="85">
                  <c:v>0.74382999999999999</c:v>
                </c:pt>
                <c:pt idx="86">
                  <c:v>0.74382999999999999</c:v>
                </c:pt>
                <c:pt idx="87">
                  <c:v>0.74382999999999999</c:v>
                </c:pt>
                <c:pt idx="88">
                  <c:v>0.74382999999999999</c:v>
                </c:pt>
                <c:pt idx="89">
                  <c:v>0.74382999999999999</c:v>
                </c:pt>
                <c:pt idx="90">
                  <c:v>0.74382999999999999</c:v>
                </c:pt>
                <c:pt idx="91">
                  <c:v>0.74382999999999999</c:v>
                </c:pt>
                <c:pt idx="92">
                  <c:v>0.74382999999999999</c:v>
                </c:pt>
                <c:pt idx="93">
                  <c:v>0.74382999999999999</c:v>
                </c:pt>
                <c:pt idx="94">
                  <c:v>0.74382999999999999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5-3FE4-445B-8EEB-D88489EA6296}"/>
            </c:ext>
          </c:extLst>
        </c:ser>
        <c:ser>
          <c:idx val="55"/>
          <c:order val="5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'99set'!$BE$10:$BE$104</c:f>
              <c:numCache>
                <c:formatCode>0.0000</c:formatCode>
                <c:ptCount val="95"/>
                <c:pt idx="0">
                  <c:v>0.30073</c:v>
                </c:pt>
                <c:pt idx="1">
                  <c:v>0.30073</c:v>
                </c:pt>
                <c:pt idx="2">
                  <c:v>0.30073</c:v>
                </c:pt>
                <c:pt idx="3">
                  <c:v>0.30073</c:v>
                </c:pt>
                <c:pt idx="4">
                  <c:v>0.30073</c:v>
                </c:pt>
                <c:pt idx="5">
                  <c:v>0.32661000000000001</c:v>
                </c:pt>
                <c:pt idx="6">
                  <c:v>0.34992000000000001</c:v>
                </c:pt>
                <c:pt idx="7">
                  <c:v>0.37230000000000002</c:v>
                </c:pt>
                <c:pt idx="8">
                  <c:v>0.39416000000000001</c:v>
                </c:pt>
                <c:pt idx="9">
                  <c:v>0.41553000000000001</c:v>
                </c:pt>
                <c:pt idx="10">
                  <c:v>0.43631999999999999</c:v>
                </c:pt>
                <c:pt idx="11">
                  <c:v>0.45651999999999998</c:v>
                </c:pt>
                <c:pt idx="12">
                  <c:v>0.47667999999999999</c:v>
                </c:pt>
                <c:pt idx="13">
                  <c:v>0.49725000000000003</c:v>
                </c:pt>
                <c:pt idx="14">
                  <c:v>0.51775000000000004</c:v>
                </c:pt>
                <c:pt idx="15">
                  <c:v>0.53774</c:v>
                </c:pt>
                <c:pt idx="16">
                  <c:v>0.55789</c:v>
                </c:pt>
                <c:pt idx="17">
                  <c:v>0.57898000000000005</c:v>
                </c:pt>
                <c:pt idx="18">
                  <c:v>0.60124999999999995</c:v>
                </c:pt>
                <c:pt idx="19">
                  <c:v>0.62458000000000002</c:v>
                </c:pt>
                <c:pt idx="20">
                  <c:v>0.64803999999999995</c:v>
                </c:pt>
                <c:pt idx="21">
                  <c:v>0.67049000000000003</c:v>
                </c:pt>
                <c:pt idx="22">
                  <c:v>0.69066000000000005</c:v>
                </c:pt>
                <c:pt idx="23">
                  <c:v>0.70753999999999995</c:v>
                </c:pt>
                <c:pt idx="24">
                  <c:v>0.72131999999999996</c:v>
                </c:pt>
                <c:pt idx="25">
                  <c:v>0.73246</c:v>
                </c:pt>
                <c:pt idx="26">
                  <c:v>0.74114999999999998</c:v>
                </c:pt>
                <c:pt idx="27">
                  <c:v>0.74751999999999996</c:v>
                </c:pt>
                <c:pt idx="28">
                  <c:v>0.75151000000000001</c:v>
                </c:pt>
                <c:pt idx="29">
                  <c:v>0.75312000000000001</c:v>
                </c:pt>
                <c:pt idx="30">
                  <c:v>0.75258999999999998</c:v>
                </c:pt>
                <c:pt idx="31">
                  <c:v>0.75009999999999999</c:v>
                </c:pt>
                <c:pt idx="32">
                  <c:v>0.74536999999999998</c:v>
                </c:pt>
                <c:pt idx="33">
                  <c:v>0.73809999999999998</c:v>
                </c:pt>
                <c:pt idx="34">
                  <c:v>0.72853000000000001</c:v>
                </c:pt>
                <c:pt idx="35">
                  <c:v>0.71689000000000003</c:v>
                </c:pt>
                <c:pt idx="36">
                  <c:v>0.70284000000000002</c:v>
                </c:pt>
                <c:pt idx="37">
                  <c:v>0.68608000000000002</c:v>
                </c:pt>
                <c:pt idx="38">
                  <c:v>0.66693999999999998</c:v>
                </c:pt>
                <c:pt idx="39">
                  <c:v>0.64607000000000003</c:v>
                </c:pt>
                <c:pt idx="40">
                  <c:v>0.62480000000000002</c:v>
                </c:pt>
                <c:pt idx="41">
                  <c:v>0.60443999999999998</c:v>
                </c:pt>
                <c:pt idx="42">
                  <c:v>0.58562000000000003</c:v>
                </c:pt>
                <c:pt idx="43">
                  <c:v>0.56855999999999995</c:v>
                </c:pt>
                <c:pt idx="44">
                  <c:v>0.55242000000000002</c:v>
                </c:pt>
                <c:pt idx="45">
                  <c:v>0.53610999999999998</c:v>
                </c:pt>
                <c:pt idx="46">
                  <c:v>0.51865000000000006</c:v>
                </c:pt>
                <c:pt idx="47">
                  <c:v>0.49975000000000003</c:v>
                </c:pt>
                <c:pt idx="48">
                  <c:v>0.48196</c:v>
                </c:pt>
                <c:pt idx="49">
                  <c:v>0.46790999999999999</c:v>
                </c:pt>
                <c:pt idx="50">
                  <c:v>0.45788000000000001</c:v>
                </c:pt>
                <c:pt idx="51">
                  <c:v>0.45145999999999997</c:v>
                </c:pt>
                <c:pt idx="52">
                  <c:v>0.44791999999999998</c:v>
                </c:pt>
                <c:pt idx="53">
                  <c:v>0.44644</c:v>
                </c:pt>
                <c:pt idx="54">
                  <c:v>0.44630999999999998</c:v>
                </c:pt>
                <c:pt idx="55">
                  <c:v>0.44699</c:v>
                </c:pt>
                <c:pt idx="56">
                  <c:v>0.44862000000000002</c:v>
                </c:pt>
                <c:pt idx="57">
                  <c:v>0.4516</c:v>
                </c:pt>
                <c:pt idx="58">
                  <c:v>0.45656000000000002</c:v>
                </c:pt>
                <c:pt idx="59">
                  <c:v>0.46395999999999998</c:v>
                </c:pt>
                <c:pt idx="60">
                  <c:v>0.47319</c:v>
                </c:pt>
                <c:pt idx="61">
                  <c:v>0.48341000000000001</c:v>
                </c:pt>
                <c:pt idx="62">
                  <c:v>0.49375999999999998</c:v>
                </c:pt>
                <c:pt idx="63">
                  <c:v>0.50346999999999997</c:v>
                </c:pt>
                <c:pt idx="64">
                  <c:v>0.51212000000000002</c:v>
                </c:pt>
                <c:pt idx="65">
                  <c:v>0.51931000000000005</c:v>
                </c:pt>
                <c:pt idx="66">
                  <c:v>0.52449999999999997</c:v>
                </c:pt>
                <c:pt idx="67">
                  <c:v>0.52734999999999999</c:v>
                </c:pt>
                <c:pt idx="68">
                  <c:v>0.52854000000000001</c:v>
                </c:pt>
                <c:pt idx="69">
                  <c:v>0.52898999999999996</c:v>
                </c:pt>
                <c:pt idx="70">
                  <c:v>0.52954000000000001</c:v>
                </c:pt>
                <c:pt idx="71">
                  <c:v>0.53108999999999995</c:v>
                </c:pt>
                <c:pt idx="72">
                  <c:v>0.53478000000000003</c:v>
                </c:pt>
                <c:pt idx="73">
                  <c:v>0.54157999999999995</c:v>
                </c:pt>
                <c:pt idx="74">
                  <c:v>0.55167999999999995</c:v>
                </c:pt>
                <c:pt idx="75">
                  <c:v>0.56547999999999998</c:v>
                </c:pt>
                <c:pt idx="76">
                  <c:v>0.58513999999999999</c:v>
                </c:pt>
                <c:pt idx="77">
                  <c:v>0.61045000000000005</c:v>
                </c:pt>
                <c:pt idx="78">
                  <c:v>0.62990999999999997</c:v>
                </c:pt>
                <c:pt idx="79">
                  <c:v>0.63368999999999998</c:v>
                </c:pt>
                <c:pt idx="80">
                  <c:v>0.62990999999999997</c:v>
                </c:pt>
                <c:pt idx="81">
                  <c:v>0.62865000000000004</c:v>
                </c:pt>
                <c:pt idx="82">
                  <c:v>0.62990999999999997</c:v>
                </c:pt>
                <c:pt idx="83">
                  <c:v>0.63117000000000001</c:v>
                </c:pt>
                <c:pt idx="84">
                  <c:v>0.62990999999999997</c:v>
                </c:pt>
                <c:pt idx="85">
                  <c:v>0.62990999999999997</c:v>
                </c:pt>
                <c:pt idx="86">
                  <c:v>0.62990999999999997</c:v>
                </c:pt>
                <c:pt idx="87">
                  <c:v>0.62990999999999997</c:v>
                </c:pt>
                <c:pt idx="88">
                  <c:v>0.62990999999999997</c:v>
                </c:pt>
                <c:pt idx="89">
                  <c:v>0.62990999999999997</c:v>
                </c:pt>
                <c:pt idx="90">
                  <c:v>0.62990999999999997</c:v>
                </c:pt>
                <c:pt idx="91">
                  <c:v>0.62990999999999997</c:v>
                </c:pt>
                <c:pt idx="92">
                  <c:v>0.62990999999999997</c:v>
                </c:pt>
                <c:pt idx="93">
                  <c:v>0.62990999999999997</c:v>
                </c:pt>
                <c:pt idx="94">
                  <c:v>0.62990999999999997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6-3FE4-445B-8EEB-D88489EA6296}"/>
            </c:ext>
          </c:extLst>
        </c:ser>
        <c:ser>
          <c:idx val="56"/>
          <c:order val="5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'99set'!$BF$10:$BF$104</c:f>
              <c:numCache>
                <c:formatCode>0.0000</c:formatCode>
                <c:ptCount val="95"/>
                <c:pt idx="0">
                  <c:v>0.15520999999999999</c:v>
                </c:pt>
                <c:pt idx="1">
                  <c:v>0.15520999999999999</c:v>
                </c:pt>
                <c:pt idx="2">
                  <c:v>0.15520999999999999</c:v>
                </c:pt>
                <c:pt idx="3">
                  <c:v>0.15520999999999999</c:v>
                </c:pt>
                <c:pt idx="4">
                  <c:v>0.15520999999999999</c:v>
                </c:pt>
                <c:pt idx="5">
                  <c:v>0.17199</c:v>
                </c:pt>
                <c:pt idx="6">
                  <c:v>0.19017999999999999</c:v>
                </c:pt>
                <c:pt idx="7">
                  <c:v>0.20979999999999999</c:v>
                </c:pt>
                <c:pt idx="8">
                  <c:v>0.23150000000000001</c:v>
                </c:pt>
                <c:pt idx="9">
                  <c:v>0.25502999999999998</c:v>
                </c:pt>
                <c:pt idx="10">
                  <c:v>0.28200999999999998</c:v>
                </c:pt>
                <c:pt idx="11">
                  <c:v>0.29615999999999998</c:v>
                </c:pt>
                <c:pt idx="12">
                  <c:v>0.30297000000000002</c:v>
                </c:pt>
                <c:pt idx="13">
                  <c:v>0.31130000000000002</c:v>
                </c:pt>
                <c:pt idx="14">
                  <c:v>0.32157999999999998</c:v>
                </c:pt>
                <c:pt idx="15">
                  <c:v>0.33252999999999999</c:v>
                </c:pt>
                <c:pt idx="16">
                  <c:v>0.34437000000000001</c:v>
                </c:pt>
                <c:pt idx="17">
                  <c:v>0.35808000000000001</c:v>
                </c:pt>
                <c:pt idx="18">
                  <c:v>0.37612000000000001</c:v>
                </c:pt>
                <c:pt idx="19">
                  <c:v>0.40032000000000001</c:v>
                </c:pt>
                <c:pt idx="20">
                  <c:v>0.42836000000000002</c:v>
                </c:pt>
                <c:pt idx="21">
                  <c:v>0.45815</c:v>
                </c:pt>
                <c:pt idx="22">
                  <c:v>0.49262</c:v>
                </c:pt>
                <c:pt idx="23">
                  <c:v>0.53398999999999996</c:v>
                </c:pt>
                <c:pt idx="24">
                  <c:v>0.57657999999999998</c:v>
                </c:pt>
                <c:pt idx="25">
                  <c:v>0.61368</c:v>
                </c:pt>
                <c:pt idx="26">
                  <c:v>0.64244000000000001</c:v>
                </c:pt>
                <c:pt idx="27">
                  <c:v>0.66137000000000001</c:v>
                </c:pt>
                <c:pt idx="28">
                  <c:v>0.67062999999999995</c:v>
                </c:pt>
                <c:pt idx="29">
                  <c:v>0.67105999999999999</c:v>
                </c:pt>
                <c:pt idx="30">
                  <c:v>0.66461000000000003</c:v>
                </c:pt>
                <c:pt idx="31">
                  <c:v>0.65332000000000001</c:v>
                </c:pt>
                <c:pt idx="32">
                  <c:v>0.63836000000000004</c:v>
                </c:pt>
                <c:pt idx="33">
                  <c:v>0.62051999999999996</c:v>
                </c:pt>
                <c:pt idx="34">
                  <c:v>0.59994000000000003</c:v>
                </c:pt>
                <c:pt idx="35">
                  <c:v>0.57664000000000004</c:v>
                </c:pt>
                <c:pt idx="36">
                  <c:v>0.55071000000000003</c:v>
                </c:pt>
                <c:pt idx="37">
                  <c:v>0.52241000000000004</c:v>
                </c:pt>
                <c:pt idx="38">
                  <c:v>0.49258999999999997</c:v>
                </c:pt>
                <c:pt idx="39">
                  <c:v>0.46217999999999998</c:v>
                </c:pt>
                <c:pt idx="40">
                  <c:v>0.43191000000000002</c:v>
                </c:pt>
                <c:pt idx="41">
                  <c:v>0.40231</c:v>
                </c:pt>
                <c:pt idx="42">
                  <c:v>0.37328</c:v>
                </c:pt>
                <c:pt idx="43">
                  <c:v>0.34465000000000001</c:v>
                </c:pt>
                <c:pt idx="44">
                  <c:v>0.31651000000000001</c:v>
                </c:pt>
                <c:pt idx="45">
                  <c:v>0.28904000000000002</c:v>
                </c:pt>
                <c:pt idx="46">
                  <c:v>0.26262999999999997</c:v>
                </c:pt>
                <c:pt idx="47">
                  <c:v>0.23787</c:v>
                </c:pt>
                <c:pt idx="48">
                  <c:v>0.21609</c:v>
                </c:pt>
                <c:pt idx="49">
                  <c:v>0.19855999999999999</c:v>
                </c:pt>
                <c:pt idx="50">
                  <c:v>0.18547</c:v>
                </c:pt>
                <c:pt idx="51">
                  <c:v>0.17652999999999999</c:v>
                </c:pt>
                <c:pt idx="52">
                  <c:v>0.17054</c:v>
                </c:pt>
                <c:pt idx="53">
                  <c:v>0.16621</c:v>
                </c:pt>
                <c:pt idx="54">
                  <c:v>0.16281000000000001</c:v>
                </c:pt>
                <c:pt idx="55">
                  <c:v>0.15981000000000001</c:v>
                </c:pt>
                <c:pt idx="56">
                  <c:v>0.15704000000000001</c:v>
                </c:pt>
                <c:pt idx="57">
                  <c:v>0.15454999999999999</c:v>
                </c:pt>
                <c:pt idx="58">
                  <c:v>0.15295</c:v>
                </c:pt>
                <c:pt idx="59">
                  <c:v>0.15286</c:v>
                </c:pt>
                <c:pt idx="60">
                  <c:v>0.15443000000000001</c:v>
                </c:pt>
                <c:pt idx="61">
                  <c:v>0.15772</c:v>
                </c:pt>
                <c:pt idx="62">
                  <c:v>0.16295000000000001</c:v>
                </c:pt>
                <c:pt idx="63">
                  <c:v>0.16994000000000001</c:v>
                </c:pt>
                <c:pt idx="64">
                  <c:v>0.17687</c:v>
                </c:pt>
                <c:pt idx="65">
                  <c:v>0.18215999999999999</c:v>
                </c:pt>
                <c:pt idx="66">
                  <c:v>0.18698999999999999</c:v>
                </c:pt>
                <c:pt idx="67">
                  <c:v>0.19242999999999999</c:v>
                </c:pt>
                <c:pt idx="68">
                  <c:v>0.19647000000000001</c:v>
                </c:pt>
                <c:pt idx="69">
                  <c:v>0.20044999999999999</c:v>
                </c:pt>
                <c:pt idx="70">
                  <c:v>0.20436000000000001</c:v>
                </c:pt>
                <c:pt idx="71">
                  <c:v>0.20832999999999999</c:v>
                </c:pt>
                <c:pt idx="72">
                  <c:v>0.21235000000000001</c:v>
                </c:pt>
                <c:pt idx="73">
                  <c:v>0.21642</c:v>
                </c:pt>
                <c:pt idx="74">
                  <c:v>0.22056000000000001</c:v>
                </c:pt>
                <c:pt idx="75">
                  <c:v>0.22475000000000001</c:v>
                </c:pt>
                <c:pt idx="76">
                  <c:v>0.22899</c:v>
                </c:pt>
                <c:pt idx="77">
                  <c:v>0.23330000000000001</c:v>
                </c:pt>
                <c:pt idx="78">
                  <c:v>0.23765</c:v>
                </c:pt>
                <c:pt idx="79">
                  <c:v>0.24207000000000001</c:v>
                </c:pt>
                <c:pt idx="80">
                  <c:v>0.24654000000000001</c:v>
                </c:pt>
                <c:pt idx="81">
                  <c:v>0.25106000000000001</c:v>
                </c:pt>
                <c:pt idx="82">
                  <c:v>0.25563999999999998</c:v>
                </c:pt>
                <c:pt idx="83">
                  <c:v>0.26027</c:v>
                </c:pt>
                <c:pt idx="84">
                  <c:v>0.26495999999999997</c:v>
                </c:pt>
                <c:pt idx="85">
                  <c:v>0.26495999999999997</c:v>
                </c:pt>
                <c:pt idx="86">
                  <c:v>0.26495999999999997</c:v>
                </c:pt>
                <c:pt idx="87">
                  <c:v>0.26495999999999997</c:v>
                </c:pt>
                <c:pt idx="88">
                  <c:v>0.26495999999999997</c:v>
                </c:pt>
                <c:pt idx="89">
                  <c:v>0.26495999999999997</c:v>
                </c:pt>
                <c:pt idx="90">
                  <c:v>0.26495999999999997</c:v>
                </c:pt>
                <c:pt idx="91">
                  <c:v>0.26495999999999997</c:v>
                </c:pt>
                <c:pt idx="92">
                  <c:v>0.26495999999999997</c:v>
                </c:pt>
                <c:pt idx="93">
                  <c:v>0.26495999999999997</c:v>
                </c:pt>
                <c:pt idx="94">
                  <c:v>0.26495999999999997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7-3FE4-445B-8EEB-D88489EA6296}"/>
            </c:ext>
          </c:extLst>
        </c:ser>
        <c:ser>
          <c:idx val="57"/>
          <c:order val="5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'99set'!$BG$10:$BG$104</c:f>
              <c:numCache>
                <c:formatCode>0.0000</c:formatCode>
                <c:ptCount val="95"/>
                <c:pt idx="0">
                  <c:v>0.13469999999999999</c:v>
                </c:pt>
                <c:pt idx="1">
                  <c:v>0.13469999999999999</c:v>
                </c:pt>
                <c:pt idx="2">
                  <c:v>0.13469999999999999</c:v>
                </c:pt>
                <c:pt idx="3">
                  <c:v>0.13469999999999999</c:v>
                </c:pt>
                <c:pt idx="4">
                  <c:v>0.13469999999999999</c:v>
                </c:pt>
                <c:pt idx="5">
                  <c:v>0.13497000000000001</c:v>
                </c:pt>
                <c:pt idx="6">
                  <c:v>0.13469999999999999</c:v>
                </c:pt>
                <c:pt idx="7">
                  <c:v>0.13370000000000001</c:v>
                </c:pt>
                <c:pt idx="8">
                  <c:v>0.13469999999999999</c:v>
                </c:pt>
                <c:pt idx="9">
                  <c:v>0.13983999999999999</c:v>
                </c:pt>
                <c:pt idx="10">
                  <c:v>0.14599999999999999</c:v>
                </c:pt>
                <c:pt idx="11">
                  <c:v>0.14999000000000001</c:v>
                </c:pt>
                <c:pt idx="12">
                  <c:v>0.15359999999999999</c:v>
                </c:pt>
                <c:pt idx="13">
                  <c:v>0.15934000000000001</c:v>
                </c:pt>
                <c:pt idx="14">
                  <c:v>0.16769999999999999</c:v>
                </c:pt>
                <c:pt idx="15">
                  <c:v>0.17857000000000001</c:v>
                </c:pt>
                <c:pt idx="16">
                  <c:v>0.19159999999999999</c:v>
                </c:pt>
                <c:pt idx="17">
                  <c:v>0.20654</c:v>
                </c:pt>
                <c:pt idx="18">
                  <c:v>0.2238</c:v>
                </c:pt>
                <c:pt idx="19">
                  <c:v>0.24393999999999999</c:v>
                </c:pt>
                <c:pt idx="20">
                  <c:v>0.26740000000000003</c:v>
                </c:pt>
                <c:pt idx="21">
                  <c:v>0.29426999999999998</c:v>
                </c:pt>
                <c:pt idx="22">
                  <c:v>0.32340000000000002</c:v>
                </c:pt>
                <c:pt idx="23">
                  <c:v>0.35336000000000001</c:v>
                </c:pt>
                <c:pt idx="24">
                  <c:v>0.38269999999999998</c:v>
                </c:pt>
                <c:pt idx="25">
                  <c:v>0.40983000000000003</c:v>
                </c:pt>
                <c:pt idx="26">
                  <c:v>0.4325</c:v>
                </c:pt>
                <c:pt idx="27">
                  <c:v>0.44869999999999999</c:v>
                </c:pt>
                <c:pt idx="28">
                  <c:v>0.45800000000000002</c:v>
                </c:pt>
                <c:pt idx="29">
                  <c:v>0.46055000000000001</c:v>
                </c:pt>
                <c:pt idx="30">
                  <c:v>0.45710000000000001</c:v>
                </c:pt>
                <c:pt idx="31">
                  <c:v>0.44861000000000001</c:v>
                </c:pt>
                <c:pt idx="32">
                  <c:v>0.43619999999999998</c:v>
                </c:pt>
                <c:pt idx="33">
                  <c:v>0.42087999999999998</c:v>
                </c:pt>
                <c:pt idx="34">
                  <c:v>0.40300000000000002</c:v>
                </c:pt>
                <c:pt idx="35">
                  <c:v>0.38263999999999998</c:v>
                </c:pt>
                <c:pt idx="36">
                  <c:v>0.3594</c:v>
                </c:pt>
                <c:pt idx="37">
                  <c:v>0.33312999999999998</c:v>
                </c:pt>
                <c:pt idx="38">
                  <c:v>0.30509999999999998</c:v>
                </c:pt>
                <c:pt idx="39">
                  <c:v>0.27694000000000002</c:v>
                </c:pt>
                <c:pt idx="40">
                  <c:v>0.25030000000000002</c:v>
                </c:pt>
                <c:pt idx="41">
                  <c:v>0.22650999999999999</c:v>
                </c:pt>
                <c:pt idx="42">
                  <c:v>0.20549999999999999</c:v>
                </c:pt>
                <c:pt idx="43">
                  <c:v>0.18673999999999999</c:v>
                </c:pt>
                <c:pt idx="44">
                  <c:v>0.1694</c:v>
                </c:pt>
                <c:pt idx="45">
                  <c:v>0.15246999999999999</c:v>
                </c:pt>
                <c:pt idx="46">
                  <c:v>0.13469999999999999</c:v>
                </c:pt>
                <c:pt idx="47">
                  <c:v>0.11572</c:v>
                </c:pt>
                <c:pt idx="48">
                  <c:v>9.9000000000000005E-2</c:v>
                </c:pt>
                <c:pt idx="49">
                  <c:v>8.7902999999999995E-2</c:v>
                </c:pt>
                <c:pt idx="50">
                  <c:v>8.1600000000000006E-2</c:v>
                </c:pt>
                <c:pt idx="51">
                  <c:v>7.8267000000000003E-2</c:v>
                </c:pt>
                <c:pt idx="52">
                  <c:v>7.6300000000000007E-2</c:v>
                </c:pt>
                <c:pt idx="53">
                  <c:v>7.4478000000000003E-2</c:v>
                </c:pt>
                <c:pt idx="54">
                  <c:v>7.2900000000000006E-2</c:v>
                </c:pt>
                <c:pt idx="55">
                  <c:v>7.1733000000000005E-2</c:v>
                </c:pt>
                <c:pt idx="56">
                  <c:v>7.0099999999999996E-2</c:v>
                </c:pt>
                <c:pt idx="57">
                  <c:v>6.6916000000000003E-2</c:v>
                </c:pt>
                <c:pt idx="58">
                  <c:v>6.13E-2</c:v>
                </c:pt>
                <c:pt idx="59">
                  <c:v>5.3039999999999997E-2</c:v>
                </c:pt>
                <c:pt idx="60">
                  <c:v>4.4400000000000002E-2</c:v>
                </c:pt>
                <c:pt idx="61">
                  <c:v>3.7812999999999999E-2</c:v>
                </c:pt>
                <c:pt idx="62">
                  <c:v>3.39E-2</c:v>
                </c:pt>
                <c:pt idx="63">
                  <c:v>3.2634000000000003E-2</c:v>
                </c:pt>
                <c:pt idx="64">
                  <c:v>3.32E-2</c:v>
                </c:pt>
                <c:pt idx="65">
                  <c:v>3.5927000000000001E-2</c:v>
                </c:pt>
                <c:pt idx="66">
                  <c:v>4.65E-2</c:v>
                </c:pt>
                <c:pt idx="67">
                  <c:v>6.7858000000000002E-2</c:v>
                </c:pt>
                <c:pt idx="68">
                  <c:v>8.6599999999999996E-2</c:v>
                </c:pt>
                <c:pt idx="69">
                  <c:v>9.0278999999999998E-2</c:v>
                </c:pt>
                <c:pt idx="70">
                  <c:v>8.6599999999999996E-2</c:v>
                </c:pt>
                <c:pt idx="71">
                  <c:v>8.5613999999999996E-2</c:v>
                </c:pt>
                <c:pt idx="72">
                  <c:v>8.6599999999999996E-2</c:v>
                </c:pt>
                <c:pt idx="73">
                  <c:v>8.6863999999999997E-2</c:v>
                </c:pt>
                <c:pt idx="74">
                  <c:v>8.6599999999999996E-2</c:v>
                </c:pt>
                <c:pt idx="75">
                  <c:v>8.6528999999999995E-2</c:v>
                </c:pt>
                <c:pt idx="76">
                  <c:v>8.6599999999999996E-2</c:v>
                </c:pt>
                <c:pt idx="77">
                  <c:v>8.6619000000000002E-2</c:v>
                </c:pt>
                <c:pt idx="78">
                  <c:v>8.6599999999999996E-2</c:v>
                </c:pt>
                <c:pt idx="79">
                  <c:v>8.6595000000000005E-2</c:v>
                </c:pt>
                <c:pt idx="80">
                  <c:v>8.6599999999999996E-2</c:v>
                </c:pt>
                <c:pt idx="81">
                  <c:v>8.6601999999999998E-2</c:v>
                </c:pt>
                <c:pt idx="82">
                  <c:v>8.6599999999999996E-2</c:v>
                </c:pt>
                <c:pt idx="83">
                  <c:v>8.6597999999999994E-2</c:v>
                </c:pt>
                <c:pt idx="84">
                  <c:v>8.6599999999999996E-2</c:v>
                </c:pt>
                <c:pt idx="85">
                  <c:v>8.6599999999999996E-2</c:v>
                </c:pt>
                <c:pt idx="86">
                  <c:v>8.6599999999999996E-2</c:v>
                </c:pt>
                <c:pt idx="87">
                  <c:v>8.6599999999999996E-2</c:v>
                </c:pt>
                <c:pt idx="88">
                  <c:v>8.6599999999999996E-2</c:v>
                </c:pt>
                <c:pt idx="89">
                  <c:v>8.6599999999999996E-2</c:v>
                </c:pt>
                <c:pt idx="90">
                  <c:v>8.6599999999999996E-2</c:v>
                </c:pt>
                <c:pt idx="91">
                  <c:v>8.6599999999999996E-2</c:v>
                </c:pt>
                <c:pt idx="92">
                  <c:v>8.6599999999999996E-2</c:v>
                </c:pt>
                <c:pt idx="93">
                  <c:v>8.6599999999999996E-2</c:v>
                </c:pt>
                <c:pt idx="94">
                  <c:v>8.6599999999999996E-2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8-3FE4-445B-8EEB-D88489EA6296}"/>
            </c:ext>
          </c:extLst>
        </c:ser>
        <c:ser>
          <c:idx val="58"/>
          <c:order val="5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'99set'!$BH$10:$BH$104</c:f>
              <c:numCache>
                <c:formatCode>0.0000</c:formatCode>
                <c:ptCount val="95"/>
                <c:pt idx="0">
                  <c:v>0.10606</c:v>
                </c:pt>
                <c:pt idx="1">
                  <c:v>0.10606</c:v>
                </c:pt>
                <c:pt idx="2">
                  <c:v>0.10606</c:v>
                </c:pt>
                <c:pt idx="3">
                  <c:v>0.10606</c:v>
                </c:pt>
                <c:pt idx="4">
                  <c:v>0.10606</c:v>
                </c:pt>
                <c:pt idx="5">
                  <c:v>0.11035</c:v>
                </c:pt>
                <c:pt idx="6">
                  <c:v>0.11514000000000001</c:v>
                </c:pt>
                <c:pt idx="7">
                  <c:v>0.1202</c:v>
                </c:pt>
                <c:pt idx="8">
                  <c:v>0.12531</c:v>
                </c:pt>
                <c:pt idx="9">
                  <c:v>0.13033</c:v>
                </c:pt>
                <c:pt idx="10">
                  <c:v>0.13550000000000001</c:v>
                </c:pt>
                <c:pt idx="11">
                  <c:v>0.14113999999999999</c:v>
                </c:pt>
                <c:pt idx="12">
                  <c:v>0.14746999999999999</c:v>
                </c:pt>
                <c:pt idx="13">
                  <c:v>0.15464</c:v>
                </c:pt>
                <c:pt idx="14">
                  <c:v>0.16259000000000001</c:v>
                </c:pt>
                <c:pt idx="15">
                  <c:v>0.17127999999999999</c:v>
                </c:pt>
                <c:pt idx="16">
                  <c:v>0.18103</c:v>
                </c:pt>
                <c:pt idx="17">
                  <c:v>0.19242000000000001</c:v>
                </c:pt>
                <c:pt idx="18">
                  <c:v>0.20673</c:v>
                </c:pt>
                <c:pt idx="19">
                  <c:v>0.22517999999999999</c:v>
                </c:pt>
                <c:pt idx="20">
                  <c:v>0.24804000000000001</c:v>
                </c:pt>
                <c:pt idx="21">
                  <c:v>0.27485999999999999</c:v>
                </c:pt>
                <c:pt idx="22">
                  <c:v>0.30338999999999999</c:v>
                </c:pt>
                <c:pt idx="23">
                  <c:v>0.33116000000000001</c:v>
                </c:pt>
                <c:pt idx="24">
                  <c:v>0.35681000000000002</c:v>
                </c:pt>
                <c:pt idx="25">
                  <c:v>0.37901000000000001</c:v>
                </c:pt>
                <c:pt idx="26">
                  <c:v>0.39556999999999998</c:v>
                </c:pt>
                <c:pt idx="27">
                  <c:v>0.40467999999999998</c:v>
                </c:pt>
                <c:pt idx="28">
                  <c:v>0.40689999999999998</c:v>
                </c:pt>
                <c:pt idx="29">
                  <c:v>0.40340999999999999</c:v>
                </c:pt>
                <c:pt idx="30">
                  <c:v>0.39562000000000003</c:v>
                </c:pt>
                <c:pt idx="31">
                  <c:v>0.38483000000000001</c:v>
                </c:pt>
                <c:pt idx="32">
                  <c:v>0.37179000000000001</c:v>
                </c:pt>
                <c:pt idx="33">
                  <c:v>0.35707</c:v>
                </c:pt>
                <c:pt idx="34">
                  <c:v>0.34094000000000002</c:v>
                </c:pt>
                <c:pt idx="35">
                  <c:v>0.32357000000000002</c:v>
                </c:pt>
                <c:pt idx="36">
                  <c:v>0.3049</c:v>
                </c:pt>
                <c:pt idx="37">
                  <c:v>0.28488000000000002</c:v>
                </c:pt>
                <c:pt idx="38">
                  <c:v>0.26379999999999998</c:v>
                </c:pt>
                <c:pt idx="39">
                  <c:v>0.24215</c:v>
                </c:pt>
                <c:pt idx="40">
                  <c:v>0.22076999999999999</c:v>
                </c:pt>
                <c:pt idx="41">
                  <c:v>0.20033000000000001</c:v>
                </c:pt>
                <c:pt idx="42">
                  <c:v>0.18040999999999999</c:v>
                </c:pt>
                <c:pt idx="43">
                  <c:v>0.16051000000000001</c:v>
                </c:pt>
                <c:pt idx="44">
                  <c:v>0.14091000000000001</c:v>
                </c:pt>
                <c:pt idx="45">
                  <c:v>0.12209</c:v>
                </c:pt>
                <c:pt idx="46">
                  <c:v>0.10463</c:v>
                </c:pt>
                <c:pt idx="47">
                  <c:v>8.9136999999999994E-2</c:v>
                </c:pt>
                <c:pt idx="48">
                  <c:v>7.639E-2</c:v>
                </c:pt>
                <c:pt idx="49">
                  <c:v>6.6962999999999995E-2</c:v>
                </c:pt>
                <c:pt idx="50">
                  <c:v>6.0479999999999999E-2</c:v>
                </c:pt>
                <c:pt idx="51">
                  <c:v>5.6321999999999997E-2</c:v>
                </c:pt>
                <c:pt idx="52">
                  <c:v>5.3850000000000002E-2</c:v>
                </c:pt>
                <c:pt idx="53">
                  <c:v>5.2458999999999999E-2</c:v>
                </c:pt>
                <c:pt idx="54">
                  <c:v>5.1700000000000003E-2</c:v>
                </c:pt>
                <c:pt idx="55">
                  <c:v>5.1223999999999999E-2</c:v>
                </c:pt>
                <c:pt idx="56">
                  <c:v>5.0939999999999999E-2</c:v>
                </c:pt>
                <c:pt idx="57">
                  <c:v>5.0888999999999997E-2</c:v>
                </c:pt>
                <c:pt idx="58">
                  <c:v>5.1389999999999998E-2</c:v>
                </c:pt>
                <c:pt idx="59">
                  <c:v>5.2755000000000003E-2</c:v>
                </c:pt>
                <c:pt idx="60">
                  <c:v>5.4989999999999997E-2</c:v>
                </c:pt>
                <c:pt idx="61">
                  <c:v>5.8015999999999998E-2</c:v>
                </c:pt>
                <c:pt idx="62">
                  <c:v>6.1710000000000001E-2</c:v>
                </c:pt>
                <c:pt idx="63">
                  <c:v>6.5892000000000006E-2</c:v>
                </c:pt>
                <c:pt idx="64">
                  <c:v>7.0199999999999999E-2</c:v>
                </c:pt>
                <c:pt idx="65">
                  <c:v>7.4288000000000007E-2</c:v>
                </c:pt>
                <c:pt idx="66">
                  <c:v>7.8060000000000004E-2</c:v>
                </c:pt>
                <c:pt idx="67">
                  <c:v>8.1411999999999998E-2</c:v>
                </c:pt>
                <c:pt idx="68">
                  <c:v>8.3960000000000007E-2</c:v>
                </c:pt>
                <c:pt idx="69">
                  <c:v>8.5336999999999996E-2</c:v>
                </c:pt>
                <c:pt idx="70">
                  <c:v>8.5540000000000005E-2</c:v>
                </c:pt>
                <c:pt idx="71">
                  <c:v>8.4760000000000002E-2</c:v>
                </c:pt>
                <c:pt idx="72">
                  <c:v>8.362E-2</c:v>
                </c:pt>
                <c:pt idx="73">
                  <c:v>8.2847000000000004E-2</c:v>
                </c:pt>
                <c:pt idx="74">
                  <c:v>8.3169999999999994E-2</c:v>
                </c:pt>
                <c:pt idx="75">
                  <c:v>8.2022999999999999E-2</c:v>
                </c:pt>
                <c:pt idx="76">
                  <c:v>8.1470000000000001E-2</c:v>
                </c:pt>
                <c:pt idx="77">
                  <c:v>8.0920000000000006E-2</c:v>
                </c:pt>
                <c:pt idx="78">
                  <c:v>8.0374000000000001E-2</c:v>
                </c:pt>
                <c:pt idx="79">
                  <c:v>7.9830999999999999E-2</c:v>
                </c:pt>
                <c:pt idx="80">
                  <c:v>7.9291E-2</c:v>
                </c:pt>
                <c:pt idx="81">
                  <c:v>7.8755000000000006E-2</c:v>
                </c:pt>
                <c:pt idx="82">
                  <c:v>7.8222E-2</c:v>
                </c:pt>
                <c:pt idx="83">
                  <c:v>7.7692999999999998E-2</c:v>
                </c:pt>
                <c:pt idx="84">
                  <c:v>7.7165999999999998E-2</c:v>
                </c:pt>
                <c:pt idx="85">
                  <c:v>7.7165999999999998E-2</c:v>
                </c:pt>
                <c:pt idx="86">
                  <c:v>7.7165999999999998E-2</c:v>
                </c:pt>
                <c:pt idx="87">
                  <c:v>7.7165999999999998E-2</c:v>
                </c:pt>
                <c:pt idx="88">
                  <c:v>7.7165999999999998E-2</c:v>
                </c:pt>
                <c:pt idx="89">
                  <c:v>7.7165999999999998E-2</c:v>
                </c:pt>
                <c:pt idx="90">
                  <c:v>7.7165999999999998E-2</c:v>
                </c:pt>
                <c:pt idx="91">
                  <c:v>7.7165999999999998E-2</c:v>
                </c:pt>
                <c:pt idx="92">
                  <c:v>7.7165999999999998E-2</c:v>
                </c:pt>
                <c:pt idx="93">
                  <c:v>7.7165999999999998E-2</c:v>
                </c:pt>
                <c:pt idx="94">
                  <c:v>7.7165999999999998E-2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9-3FE4-445B-8EEB-D88489EA6296}"/>
            </c:ext>
          </c:extLst>
        </c:ser>
        <c:ser>
          <c:idx val="59"/>
          <c:order val="5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'99set'!$BI$10:$BI$104</c:f>
              <c:numCache>
                <c:formatCode>0.0000</c:formatCode>
                <c:ptCount val="95"/>
                <c:pt idx="0">
                  <c:v>0.18471000000000001</c:v>
                </c:pt>
                <c:pt idx="1">
                  <c:v>0.18471000000000001</c:v>
                </c:pt>
                <c:pt idx="2">
                  <c:v>0.18471000000000001</c:v>
                </c:pt>
                <c:pt idx="3">
                  <c:v>0.18471000000000001</c:v>
                </c:pt>
                <c:pt idx="4">
                  <c:v>0.18471000000000001</c:v>
                </c:pt>
                <c:pt idx="5">
                  <c:v>0.23474</c:v>
                </c:pt>
                <c:pt idx="6">
                  <c:v>0.29344999999999999</c:v>
                </c:pt>
                <c:pt idx="7">
                  <c:v>0.35993000000000003</c:v>
                </c:pt>
                <c:pt idx="8">
                  <c:v>0.4345</c:v>
                </c:pt>
                <c:pt idx="9">
                  <c:v>0.51356999999999997</c:v>
                </c:pt>
                <c:pt idx="10">
                  <c:v>0.60419999999999996</c:v>
                </c:pt>
                <c:pt idx="11">
                  <c:v>0.65037999999999996</c:v>
                </c:pt>
                <c:pt idx="12">
                  <c:v>0.66449999999999998</c:v>
                </c:pt>
                <c:pt idx="13">
                  <c:v>0.67117000000000004</c:v>
                </c:pt>
                <c:pt idx="14">
                  <c:v>0.67559999999999998</c:v>
                </c:pt>
                <c:pt idx="15">
                  <c:v>0.67830000000000001</c:v>
                </c:pt>
                <c:pt idx="16">
                  <c:v>0.68049999999999999</c:v>
                </c:pt>
                <c:pt idx="17">
                  <c:v>0.68332000000000004</c:v>
                </c:pt>
                <c:pt idx="18">
                  <c:v>0.68689999999999996</c:v>
                </c:pt>
                <c:pt idx="19">
                  <c:v>0.69118999999999997</c:v>
                </c:pt>
                <c:pt idx="20">
                  <c:v>0.69650000000000001</c:v>
                </c:pt>
                <c:pt idx="21">
                  <c:v>0.70331999999999995</c:v>
                </c:pt>
                <c:pt idx="22">
                  <c:v>0.71260000000000001</c:v>
                </c:pt>
                <c:pt idx="23">
                  <c:v>0.72513000000000005</c:v>
                </c:pt>
                <c:pt idx="24">
                  <c:v>0.74050000000000005</c:v>
                </c:pt>
                <c:pt idx="25">
                  <c:v>0.75795999999999997</c:v>
                </c:pt>
                <c:pt idx="26">
                  <c:v>0.77649999999999997</c:v>
                </c:pt>
                <c:pt idx="27">
                  <c:v>0.79473000000000005</c:v>
                </c:pt>
                <c:pt idx="28">
                  <c:v>0.81</c:v>
                </c:pt>
                <c:pt idx="29">
                  <c:v>0.81989999999999996</c:v>
                </c:pt>
                <c:pt idx="30">
                  <c:v>0.82440000000000002</c:v>
                </c:pt>
                <c:pt idx="31">
                  <c:v>0.82406999999999997</c:v>
                </c:pt>
                <c:pt idx="32">
                  <c:v>0.8196</c:v>
                </c:pt>
                <c:pt idx="33">
                  <c:v>0.81159999999999999</c:v>
                </c:pt>
                <c:pt idx="34">
                  <c:v>0.80030000000000001</c:v>
                </c:pt>
                <c:pt idx="35">
                  <c:v>0.78591</c:v>
                </c:pt>
                <c:pt idx="36">
                  <c:v>0.76890000000000003</c:v>
                </c:pt>
                <c:pt idx="37">
                  <c:v>0.74963000000000002</c:v>
                </c:pt>
                <c:pt idx="38">
                  <c:v>0.72789999999999999</c:v>
                </c:pt>
                <c:pt idx="39">
                  <c:v>0.70379999999999998</c:v>
                </c:pt>
                <c:pt idx="40">
                  <c:v>0.67930000000000001</c:v>
                </c:pt>
                <c:pt idx="41">
                  <c:v>0.65656999999999999</c:v>
                </c:pt>
                <c:pt idx="42">
                  <c:v>0.63660000000000005</c:v>
                </c:pt>
                <c:pt idx="43">
                  <c:v>0.61990000000000001</c:v>
                </c:pt>
                <c:pt idx="44">
                  <c:v>0.60609999999999997</c:v>
                </c:pt>
                <c:pt idx="45">
                  <c:v>0.59450999999999998</c:v>
                </c:pt>
                <c:pt idx="46">
                  <c:v>0.58409999999999995</c:v>
                </c:pt>
                <c:pt idx="47">
                  <c:v>0.57394000000000001</c:v>
                </c:pt>
                <c:pt idx="48">
                  <c:v>0.56399999999999995</c:v>
                </c:pt>
                <c:pt idx="49">
                  <c:v>0.55461000000000005</c:v>
                </c:pt>
                <c:pt idx="50">
                  <c:v>0.54679999999999995</c:v>
                </c:pt>
                <c:pt idx="51">
                  <c:v>0.54139999999999999</c:v>
                </c:pt>
                <c:pt idx="52">
                  <c:v>0.53769999999999996</c:v>
                </c:pt>
                <c:pt idx="53">
                  <c:v>0.53473000000000004</c:v>
                </c:pt>
                <c:pt idx="54">
                  <c:v>0.53190000000000004</c:v>
                </c:pt>
                <c:pt idx="55">
                  <c:v>0.52907999999999999</c:v>
                </c:pt>
                <c:pt idx="56">
                  <c:v>0.52749999999999997</c:v>
                </c:pt>
                <c:pt idx="57">
                  <c:v>0.52839999999999998</c:v>
                </c:pt>
                <c:pt idx="58">
                  <c:v>0.53159999999999996</c:v>
                </c:pt>
                <c:pt idx="59">
                  <c:v>0.53598999999999997</c:v>
                </c:pt>
                <c:pt idx="60">
                  <c:v>0.53820000000000001</c:v>
                </c:pt>
                <c:pt idx="61">
                  <c:v>0.53583000000000003</c:v>
                </c:pt>
                <c:pt idx="62">
                  <c:v>0.53259999999999996</c:v>
                </c:pt>
                <c:pt idx="63">
                  <c:v>0.53259999999999996</c:v>
                </c:pt>
                <c:pt idx="64">
                  <c:v>0.5353</c:v>
                </c:pt>
                <c:pt idx="65">
                  <c:v>0.53839000000000004</c:v>
                </c:pt>
                <c:pt idx="66">
                  <c:v>0.53720000000000001</c:v>
                </c:pt>
                <c:pt idx="67">
                  <c:v>0.52891999999999995</c:v>
                </c:pt>
                <c:pt idx="68">
                  <c:v>0.52049999999999996</c:v>
                </c:pt>
                <c:pt idx="69">
                  <c:v>0.51215999999999995</c:v>
                </c:pt>
                <c:pt idx="70">
                  <c:v>0.50405999999999995</c:v>
                </c:pt>
                <c:pt idx="71">
                  <c:v>0.49595</c:v>
                </c:pt>
                <c:pt idx="72">
                  <c:v>0.48784</c:v>
                </c:pt>
                <c:pt idx="73">
                  <c:v>0.47974</c:v>
                </c:pt>
                <c:pt idx="74">
                  <c:v>0.47166000000000002</c:v>
                </c:pt>
                <c:pt idx="75">
                  <c:v>0.46357999999999999</c:v>
                </c:pt>
                <c:pt idx="76">
                  <c:v>0.45552999999999999</c:v>
                </c:pt>
                <c:pt idx="77">
                  <c:v>0.44749</c:v>
                </c:pt>
                <c:pt idx="78">
                  <c:v>0.43948999999999999</c:v>
                </c:pt>
                <c:pt idx="79">
                  <c:v>0.43152000000000001</c:v>
                </c:pt>
                <c:pt idx="80">
                  <c:v>0.42358000000000001</c:v>
                </c:pt>
                <c:pt idx="81">
                  <c:v>0.41567999999999999</c:v>
                </c:pt>
                <c:pt idx="82">
                  <c:v>0.40783000000000003</c:v>
                </c:pt>
                <c:pt idx="83">
                  <c:v>0.40001999999999999</c:v>
                </c:pt>
                <c:pt idx="84">
                  <c:v>0.39226</c:v>
                </c:pt>
                <c:pt idx="85">
                  <c:v>0.39226</c:v>
                </c:pt>
                <c:pt idx="86">
                  <c:v>0.39226</c:v>
                </c:pt>
                <c:pt idx="87">
                  <c:v>0.39226</c:v>
                </c:pt>
                <c:pt idx="88">
                  <c:v>0.39226</c:v>
                </c:pt>
                <c:pt idx="89">
                  <c:v>0.39226</c:v>
                </c:pt>
                <c:pt idx="90">
                  <c:v>0.39226</c:v>
                </c:pt>
                <c:pt idx="91">
                  <c:v>0.39226</c:v>
                </c:pt>
                <c:pt idx="92">
                  <c:v>0.39226</c:v>
                </c:pt>
                <c:pt idx="93">
                  <c:v>0.39226</c:v>
                </c:pt>
                <c:pt idx="94">
                  <c:v>0.39226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A-3FE4-445B-8EEB-D88489EA6296}"/>
            </c:ext>
          </c:extLst>
        </c:ser>
        <c:ser>
          <c:idx val="60"/>
          <c:order val="5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'99set'!$BJ$10:$BJ$104</c:f>
              <c:numCache>
                <c:formatCode>0.0000</c:formatCode>
                <c:ptCount val="95"/>
                <c:pt idx="0">
                  <c:v>0.43709999999999999</c:v>
                </c:pt>
                <c:pt idx="1">
                  <c:v>0.43709999999999999</c:v>
                </c:pt>
                <c:pt idx="2">
                  <c:v>0.43709999999999999</c:v>
                </c:pt>
                <c:pt idx="3">
                  <c:v>0.43709999999999999</c:v>
                </c:pt>
                <c:pt idx="4">
                  <c:v>0.43709999999999999</c:v>
                </c:pt>
                <c:pt idx="5">
                  <c:v>0.47271999999999997</c:v>
                </c:pt>
                <c:pt idx="6">
                  <c:v>0.50312000000000001</c:v>
                </c:pt>
                <c:pt idx="7">
                  <c:v>0.53129000000000004</c:v>
                </c:pt>
                <c:pt idx="8">
                  <c:v>0.55735000000000001</c:v>
                </c:pt>
                <c:pt idx="9">
                  <c:v>0.58082999999999996</c:v>
                </c:pt>
                <c:pt idx="10">
                  <c:v>0.60182999999999998</c:v>
                </c:pt>
                <c:pt idx="11">
                  <c:v>0.62063000000000001</c:v>
                </c:pt>
                <c:pt idx="12">
                  <c:v>0.63776999999999995</c:v>
                </c:pt>
                <c:pt idx="13">
                  <c:v>0.65381</c:v>
                </c:pt>
                <c:pt idx="14">
                  <c:v>0.66908000000000001</c:v>
                </c:pt>
                <c:pt idx="15">
                  <c:v>0.68369999999999997</c:v>
                </c:pt>
                <c:pt idx="16">
                  <c:v>0.69721</c:v>
                </c:pt>
                <c:pt idx="17">
                  <c:v>0.70918000000000003</c:v>
                </c:pt>
                <c:pt idx="18">
                  <c:v>0.71972999999999998</c:v>
                </c:pt>
                <c:pt idx="19">
                  <c:v>0.72911999999999999</c:v>
                </c:pt>
                <c:pt idx="20">
                  <c:v>0.73751</c:v>
                </c:pt>
                <c:pt idx="21">
                  <c:v>0.745</c:v>
                </c:pt>
                <c:pt idx="22">
                  <c:v>0.75158999999999998</c:v>
                </c:pt>
                <c:pt idx="23">
                  <c:v>0.75729000000000002</c:v>
                </c:pt>
                <c:pt idx="24">
                  <c:v>0.76219999999999999</c:v>
                </c:pt>
                <c:pt idx="25">
                  <c:v>0.76636000000000004</c:v>
                </c:pt>
                <c:pt idx="26">
                  <c:v>0.76953000000000005</c:v>
                </c:pt>
                <c:pt idx="27">
                  <c:v>0.77144999999999997</c:v>
                </c:pt>
                <c:pt idx="28">
                  <c:v>0.77193000000000001</c:v>
                </c:pt>
                <c:pt idx="29">
                  <c:v>0.77081999999999995</c:v>
                </c:pt>
                <c:pt idx="30">
                  <c:v>0.76795999999999998</c:v>
                </c:pt>
                <c:pt idx="31">
                  <c:v>0.76324000000000003</c:v>
                </c:pt>
                <c:pt idx="32">
                  <c:v>0.75680000000000003</c:v>
                </c:pt>
                <c:pt idx="33">
                  <c:v>0.74895</c:v>
                </c:pt>
                <c:pt idx="34">
                  <c:v>0.74036000000000002</c:v>
                </c:pt>
                <c:pt idx="35">
                  <c:v>0.73158999999999996</c:v>
                </c:pt>
                <c:pt idx="36">
                  <c:v>0.72236999999999996</c:v>
                </c:pt>
                <c:pt idx="37">
                  <c:v>0.71240999999999999</c:v>
                </c:pt>
                <c:pt idx="38">
                  <c:v>0.70206000000000002</c:v>
                </c:pt>
                <c:pt idx="39">
                  <c:v>0.69189000000000001</c:v>
                </c:pt>
                <c:pt idx="40">
                  <c:v>0.68267999999999995</c:v>
                </c:pt>
                <c:pt idx="41">
                  <c:v>0.67515000000000003</c:v>
                </c:pt>
                <c:pt idx="42">
                  <c:v>0.66956000000000004</c:v>
                </c:pt>
                <c:pt idx="43">
                  <c:v>0.66588999999999998</c:v>
                </c:pt>
                <c:pt idx="44">
                  <c:v>0.66335999999999995</c:v>
                </c:pt>
                <c:pt idx="45">
                  <c:v>0.66107000000000005</c:v>
                </c:pt>
                <c:pt idx="46">
                  <c:v>0.65854000000000001</c:v>
                </c:pt>
                <c:pt idx="47">
                  <c:v>0.65552999999999995</c:v>
                </c:pt>
                <c:pt idx="48">
                  <c:v>0.65249000000000001</c:v>
                </c:pt>
                <c:pt idx="49">
                  <c:v>0.65002000000000004</c:v>
                </c:pt>
                <c:pt idx="50">
                  <c:v>0.64873999999999998</c:v>
                </c:pt>
                <c:pt idx="51">
                  <c:v>0.64903</c:v>
                </c:pt>
                <c:pt idx="52">
                  <c:v>0.65032000000000001</c:v>
                </c:pt>
                <c:pt idx="53">
                  <c:v>0.65198999999999996</c:v>
                </c:pt>
                <c:pt idx="54">
                  <c:v>0.65429999999999999</c:v>
                </c:pt>
                <c:pt idx="55">
                  <c:v>0.65764</c:v>
                </c:pt>
                <c:pt idx="56">
                  <c:v>0.66202000000000005</c:v>
                </c:pt>
                <c:pt idx="57">
                  <c:v>0.66737999999999997</c:v>
                </c:pt>
                <c:pt idx="58">
                  <c:v>0.67371999999999999</c:v>
                </c:pt>
                <c:pt idx="59">
                  <c:v>0.68089999999999995</c:v>
                </c:pt>
                <c:pt idx="60">
                  <c:v>0.68803000000000003</c:v>
                </c:pt>
                <c:pt idx="61">
                  <c:v>0.69418999999999997</c:v>
                </c:pt>
                <c:pt idx="62">
                  <c:v>0.69911000000000001</c:v>
                </c:pt>
                <c:pt idx="63">
                  <c:v>0.70279999999999998</c:v>
                </c:pt>
                <c:pt idx="64">
                  <c:v>0.70579000000000003</c:v>
                </c:pt>
                <c:pt idx="65">
                  <c:v>0.70842000000000005</c:v>
                </c:pt>
                <c:pt idx="66">
                  <c:v>0.70991000000000004</c:v>
                </c:pt>
                <c:pt idx="67">
                  <c:v>0.70960000000000001</c:v>
                </c:pt>
                <c:pt idx="68">
                  <c:v>0.70852999999999999</c:v>
                </c:pt>
                <c:pt idx="69">
                  <c:v>0.70806999999999998</c:v>
                </c:pt>
                <c:pt idx="70">
                  <c:v>0.70918000000000003</c:v>
                </c:pt>
                <c:pt idx="71">
                  <c:v>0.71260999999999997</c:v>
                </c:pt>
                <c:pt idx="72">
                  <c:v>0.71858999999999995</c:v>
                </c:pt>
                <c:pt idx="73">
                  <c:v>0.72709999999999997</c:v>
                </c:pt>
                <c:pt idx="74">
                  <c:v>0.73765999999999998</c:v>
                </c:pt>
                <c:pt idx="75">
                  <c:v>0.75043000000000004</c:v>
                </c:pt>
                <c:pt idx="76">
                  <c:v>0.76849999999999996</c:v>
                </c:pt>
                <c:pt idx="77">
                  <c:v>0.79264999999999997</c:v>
                </c:pt>
                <c:pt idx="78">
                  <c:v>0.81152999999999997</c:v>
                </c:pt>
                <c:pt idx="79">
                  <c:v>0.81520999999999999</c:v>
                </c:pt>
                <c:pt idx="80">
                  <c:v>0.81152999999999997</c:v>
                </c:pt>
                <c:pt idx="81">
                  <c:v>0.81030000000000002</c:v>
                </c:pt>
                <c:pt idx="82">
                  <c:v>0.81152999999999997</c:v>
                </c:pt>
                <c:pt idx="83">
                  <c:v>0.81276000000000004</c:v>
                </c:pt>
                <c:pt idx="84">
                  <c:v>0.81152999999999997</c:v>
                </c:pt>
                <c:pt idx="85">
                  <c:v>0.81152999999999997</c:v>
                </c:pt>
                <c:pt idx="86">
                  <c:v>0.81152999999999997</c:v>
                </c:pt>
                <c:pt idx="87">
                  <c:v>0.81152999999999997</c:v>
                </c:pt>
                <c:pt idx="88">
                  <c:v>0.81152999999999997</c:v>
                </c:pt>
                <c:pt idx="89">
                  <c:v>0.81152999999999997</c:v>
                </c:pt>
                <c:pt idx="90">
                  <c:v>0.81152999999999997</c:v>
                </c:pt>
                <c:pt idx="91">
                  <c:v>0.81152999999999997</c:v>
                </c:pt>
                <c:pt idx="92">
                  <c:v>0.81152999999999997</c:v>
                </c:pt>
                <c:pt idx="93">
                  <c:v>0.81152999999999997</c:v>
                </c:pt>
                <c:pt idx="94">
                  <c:v>0.81152999999999997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B-3FE4-445B-8EEB-D88489EA6296}"/>
            </c:ext>
          </c:extLst>
        </c:ser>
        <c:ser>
          <c:idx val="61"/>
          <c:order val="6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'99set'!$BK$10:$BK$104</c:f>
              <c:numCache>
                <c:formatCode>0.0000</c:formatCode>
                <c:ptCount val="95"/>
                <c:pt idx="0">
                  <c:v>0.28872999999999999</c:v>
                </c:pt>
                <c:pt idx="1">
                  <c:v>0.28872999999999999</c:v>
                </c:pt>
                <c:pt idx="2">
                  <c:v>0.28872999999999999</c:v>
                </c:pt>
                <c:pt idx="3">
                  <c:v>0.28872999999999999</c:v>
                </c:pt>
                <c:pt idx="4">
                  <c:v>0.28872999999999999</c:v>
                </c:pt>
                <c:pt idx="5">
                  <c:v>0.30830999999999997</c:v>
                </c:pt>
                <c:pt idx="6">
                  <c:v>0.3286</c:v>
                </c:pt>
                <c:pt idx="7">
                  <c:v>0.34955000000000003</c:v>
                </c:pt>
                <c:pt idx="8">
                  <c:v>0.36976999999999999</c:v>
                </c:pt>
                <c:pt idx="9">
                  <c:v>0.39383000000000001</c:v>
                </c:pt>
                <c:pt idx="10">
                  <c:v>0.41610999999999998</c:v>
                </c:pt>
                <c:pt idx="11">
                  <c:v>0.43653999999999998</c:v>
                </c:pt>
                <c:pt idx="12">
                  <c:v>0.45501999999999998</c:v>
                </c:pt>
                <c:pt idx="13">
                  <c:v>0.47150999999999998</c:v>
                </c:pt>
                <c:pt idx="14">
                  <c:v>0.48618</c:v>
                </c:pt>
                <c:pt idx="15">
                  <c:v>0.49914999999999998</c:v>
                </c:pt>
                <c:pt idx="16">
                  <c:v>0.51039000000000001</c:v>
                </c:pt>
                <c:pt idx="17">
                  <c:v>0.51992000000000005</c:v>
                </c:pt>
                <c:pt idx="18">
                  <c:v>0.52805999999999997</c:v>
                </c:pt>
                <c:pt idx="19">
                  <c:v>0.53496999999999995</c:v>
                </c:pt>
                <c:pt idx="20">
                  <c:v>0.53986999999999996</c:v>
                </c:pt>
                <c:pt idx="21">
                  <c:v>0.54220000000000002</c:v>
                </c:pt>
                <c:pt idx="22">
                  <c:v>0.54344000000000003</c:v>
                </c:pt>
                <c:pt idx="23">
                  <c:v>0.54562999999999995</c:v>
                </c:pt>
                <c:pt idx="24">
                  <c:v>0.55127999999999999</c:v>
                </c:pt>
                <c:pt idx="25">
                  <c:v>0.56200000000000006</c:v>
                </c:pt>
                <c:pt idx="26">
                  <c:v>0.57548999999999995</c:v>
                </c:pt>
                <c:pt idx="27">
                  <c:v>0.58884000000000003</c:v>
                </c:pt>
                <c:pt idx="28">
                  <c:v>0.60070000000000001</c:v>
                </c:pt>
                <c:pt idx="29">
                  <c:v>0.61031000000000002</c:v>
                </c:pt>
                <c:pt idx="30">
                  <c:v>0.61756999999999995</c:v>
                </c:pt>
                <c:pt idx="31">
                  <c:v>0.62183999999999995</c:v>
                </c:pt>
                <c:pt idx="32">
                  <c:v>0.61965000000000003</c:v>
                </c:pt>
                <c:pt idx="33">
                  <c:v>0.60824</c:v>
                </c:pt>
                <c:pt idx="34">
                  <c:v>0.59038000000000002</c:v>
                </c:pt>
                <c:pt idx="35">
                  <c:v>0.56964999999999999</c:v>
                </c:pt>
                <c:pt idx="36">
                  <c:v>0.54730999999999996</c:v>
                </c:pt>
                <c:pt idx="37">
                  <c:v>0.52398999999999996</c:v>
                </c:pt>
                <c:pt idx="38">
                  <c:v>0.50026999999999999</c:v>
                </c:pt>
                <c:pt idx="39">
                  <c:v>0.47704000000000002</c:v>
                </c:pt>
                <c:pt idx="40">
                  <c:v>0.45660000000000001</c:v>
                </c:pt>
                <c:pt idx="41">
                  <c:v>0.44087999999999999</c:v>
                </c:pt>
                <c:pt idx="42">
                  <c:v>0.42892000000000002</c:v>
                </c:pt>
                <c:pt idx="43">
                  <c:v>0.41930000000000001</c:v>
                </c:pt>
                <c:pt idx="44">
                  <c:v>0.41175</c:v>
                </c:pt>
                <c:pt idx="45">
                  <c:v>0.40621000000000002</c:v>
                </c:pt>
                <c:pt idx="46">
                  <c:v>0.40242</c:v>
                </c:pt>
                <c:pt idx="47">
                  <c:v>0.39998</c:v>
                </c:pt>
                <c:pt idx="48">
                  <c:v>0.39815</c:v>
                </c:pt>
                <c:pt idx="49">
                  <c:v>0.39634000000000003</c:v>
                </c:pt>
                <c:pt idx="50">
                  <c:v>0.39478000000000002</c:v>
                </c:pt>
                <c:pt idx="51">
                  <c:v>0.39387</c:v>
                </c:pt>
                <c:pt idx="52">
                  <c:v>0.39388000000000001</c:v>
                </c:pt>
                <c:pt idx="53">
                  <c:v>0.39495000000000002</c:v>
                </c:pt>
                <c:pt idx="54">
                  <c:v>0.39685999999999999</c:v>
                </c:pt>
                <c:pt idx="55">
                  <c:v>0.39943000000000001</c:v>
                </c:pt>
                <c:pt idx="56">
                  <c:v>0.40282000000000001</c:v>
                </c:pt>
                <c:pt idx="57">
                  <c:v>0.40710000000000002</c:v>
                </c:pt>
                <c:pt idx="58">
                  <c:v>0.41175</c:v>
                </c:pt>
                <c:pt idx="59">
                  <c:v>0.41604000000000002</c:v>
                </c:pt>
                <c:pt idx="60">
                  <c:v>0.41909000000000002</c:v>
                </c:pt>
                <c:pt idx="61">
                  <c:v>0.42027999999999999</c:v>
                </c:pt>
                <c:pt idx="62">
                  <c:v>0.42008000000000001</c:v>
                </c:pt>
                <c:pt idx="63">
                  <c:v>0.41916999999999999</c:v>
                </c:pt>
                <c:pt idx="64">
                  <c:v>0.4178</c:v>
                </c:pt>
                <c:pt idx="65">
                  <c:v>0.41607</c:v>
                </c:pt>
                <c:pt idx="66">
                  <c:v>0.41393000000000002</c:v>
                </c:pt>
                <c:pt idx="67">
                  <c:v>0.41127000000000002</c:v>
                </c:pt>
                <c:pt idx="68">
                  <c:v>0.40798000000000001</c:v>
                </c:pt>
                <c:pt idx="69">
                  <c:v>0.40561999999999998</c:v>
                </c:pt>
                <c:pt idx="70">
                  <c:v>0.40289000000000003</c:v>
                </c:pt>
                <c:pt idx="71">
                  <c:v>0.40017000000000003</c:v>
                </c:pt>
                <c:pt idx="72">
                  <c:v>0.39745999999999998</c:v>
                </c:pt>
                <c:pt idx="73">
                  <c:v>0.39474999999999999</c:v>
                </c:pt>
                <c:pt idx="74">
                  <c:v>0.39205000000000001</c:v>
                </c:pt>
                <c:pt idx="75">
                  <c:v>0.38935999999999998</c:v>
                </c:pt>
                <c:pt idx="76">
                  <c:v>0.38667000000000001</c:v>
                </c:pt>
                <c:pt idx="77">
                  <c:v>0.38399</c:v>
                </c:pt>
                <c:pt idx="78">
                  <c:v>0.38131999999999999</c:v>
                </c:pt>
                <c:pt idx="79">
                  <c:v>0.37864999999999999</c:v>
                </c:pt>
                <c:pt idx="80">
                  <c:v>0.37598999999999999</c:v>
                </c:pt>
                <c:pt idx="81">
                  <c:v>0.37334000000000001</c:v>
                </c:pt>
                <c:pt idx="82">
                  <c:v>0.37069999999999997</c:v>
                </c:pt>
                <c:pt idx="83">
                  <c:v>0.36806</c:v>
                </c:pt>
                <c:pt idx="84">
                  <c:v>0.36543999999999999</c:v>
                </c:pt>
                <c:pt idx="85">
                  <c:v>0.36543999999999999</c:v>
                </c:pt>
                <c:pt idx="86">
                  <c:v>0.36543999999999999</c:v>
                </c:pt>
                <c:pt idx="87">
                  <c:v>0.36543999999999999</c:v>
                </c:pt>
                <c:pt idx="88">
                  <c:v>0.36543999999999999</c:v>
                </c:pt>
                <c:pt idx="89">
                  <c:v>0.36543999999999999</c:v>
                </c:pt>
                <c:pt idx="90">
                  <c:v>0.36543999999999999</c:v>
                </c:pt>
                <c:pt idx="91">
                  <c:v>0.36543999999999999</c:v>
                </c:pt>
                <c:pt idx="92">
                  <c:v>0.36543999999999999</c:v>
                </c:pt>
                <c:pt idx="93">
                  <c:v>0.36543999999999999</c:v>
                </c:pt>
                <c:pt idx="94">
                  <c:v>0.36543999999999999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C-3FE4-445B-8EEB-D88489EA6296}"/>
            </c:ext>
          </c:extLst>
        </c:ser>
        <c:ser>
          <c:idx val="62"/>
          <c:order val="6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'99set'!$BL$10:$BL$104</c:f>
              <c:numCache>
                <c:formatCode>0.0000</c:formatCode>
                <c:ptCount val="95"/>
                <c:pt idx="0">
                  <c:v>0.17008999999999999</c:v>
                </c:pt>
                <c:pt idx="1">
                  <c:v>0.17008999999999999</c:v>
                </c:pt>
                <c:pt idx="2">
                  <c:v>0.17008999999999999</c:v>
                </c:pt>
                <c:pt idx="3">
                  <c:v>0.17008999999999999</c:v>
                </c:pt>
                <c:pt idx="4">
                  <c:v>0.17008999999999999</c:v>
                </c:pt>
                <c:pt idx="5">
                  <c:v>0.17929999999999999</c:v>
                </c:pt>
                <c:pt idx="6">
                  <c:v>0.18890000000000001</c:v>
                </c:pt>
                <c:pt idx="7">
                  <c:v>0.19888</c:v>
                </c:pt>
                <c:pt idx="8">
                  <c:v>0.20849000000000001</c:v>
                </c:pt>
                <c:pt idx="9">
                  <c:v>0.22042999999999999</c:v>
                </c:pt>
                <c:pt idx="10">
                  <c:v>0.23133000000000001</c:v>
                </c:pt>
                <c:pt idx="11">
                  <c:v>0.24199000000000001</c:v>
                </c:pt>
                <c:pt idx="12">
                  <c:v>0.25317000000000001</c:v>
                </c:pt>
                <c:pt idx="13">
                  <c:v>0.26551000000000002</c:v>
                </c:pt>
                <c:pt idx="14">
                  <c:v>0.27899000000000002</c:v>
                </c:pt>
                <c:pt idx="15">
                  <c:v>0.29357</c:v>
                </c:pt>
                <c:pt idx="16">
                  <c:v>0.30975999999999998</c:v>
                </c:pt>
                <c:pt idx="17">
                  <c:v>0.32795999999999997</c:v>
                </c:pt>
                <c:pt idx="18">
                  <c:v>0.34749000000000002</c:v>
                </c:pt>
                <c:pt idx="19">
                  <c:v>0.36732999999999999</c:v>
                </c:pt>
                <c:pt idx="20">
                  <c:v>0.38621</c:v>
                </c:pt>
                <c:pt idx="21">
                  <c:v>0.40281</c:v>
                </c:pt>
                <c:pt idx="22">
                  <c:v>0.41599999999999998</c:v>
                </c:pt>
                <c:pt idx="23">
                  <c:v>0.42492999999999997</c:v>
                </c:pt>
                <c:pt idx="24">
                  <c:v>0.4299</c:v>
                </c:pt>
                <c:pt idx="25">
                  <c:v>0.43128</c:v>
                </c:pt>
                <c:pt idx="26">
                  <c:v>0.4289</c:v>
                </c:pt>
                <c:pt idx="27">
                  <c:v>0.42262</c:v>
                </c:pt>
                <c:pt idx="28">
                  <c:v>0.41302</c:v>
                </c:pt>
                <c:pt idx="29">
                  <c:v>0.40100999999999998</c:v>
                </c:pt>
                <c:pt idx="30">
                  <c:v>0.38819999999999999</c:v>
                </c:pt>
                <c:pt idx="31">
                  <c:v>0.37623000000000001</c:v>
                </c:pt>
                <c:pt idx="32">
                  <c:v>0.36636000000000002</c:v>
                </c:pt>
                <c:pt idx="33">
                  <c:v>0.35908000000000001</c:v>
                </c:pt>
                <c:pt idx="34">
                  <c:v>0.35246</c:v>
                </c:pt>
                <c:pt idx="35">
                  <c:v>0.34450999999999998</c:v>
                </c:pt>
                <c:pt idx="36">
                  <c:v>0.33557999999999999</c:v>
                </c:pt>
                <c:pt idx="37">
                  <c:v>0.3266</c:v>
                </c:pt>
                <c:pt idx="38">
                  <c:v>0.31869999999999998</c:v>
                </c:pt>
                <c:pt idx="39">
                  <c:v>0.31302999999999997</c:v>
                </c:pt>
                <c:pt idx="40">
                  <c:v>0.31075999999999998</c:v>
                </c:pt>
                <c:pt idx="41">
                  <c:v>0.31237999999999999</c:v>
                </c:pt>
                <c:pt idx="42">
                  <c:v>0.31572</c:v>
                </c:pt>
                <c:pt idx="43">
                  <c:v>0.31824999999999998</c:v>
                </c:pt>
                <c:pt idx="44">
                  <c:v>0.31869999999999998</c:v>
                </c:pt>
                <c:pt idx="45">
                  <c:v>0.31651000000000001</c:v>
                </c:pt>
                <c:pt idx="46">
                  <c:v>0.31274000000000002</c:v>
                </c:pt>
                <c:pt idx="47">
                  <c:v>0.30880999999999997</c:v>
                </c:pt>
                <c:pt idx="48">
                  <c:v>0.30579000000000001</c:v>
                </c:pt>
                <c:pt idx="49">
                  <c:v>0.30448999999999998</c:v>
                </c:pt>
                <c:pt idx="50">
                  <c:v>0.30480000000000002</c:v>
                </c:pt>
                <c:pt idx="51">
                  <c:v>0.30626999999999999</c:v>
                </c:pt>
                <c:pt idx="52">
                  <c:v>0.30778</c:v>
                </c:pt>
                <c:pt idx="53">
                  <c:v>0.30842999999999998</c:v>
                </c:pt>
                <c:pt idx="54">
                  <c:v>0.30876999999999999</c:v>
                </c:pt>
                <c:pt idx="55">
                  <c:v>0.30964000000000003</c:v>
                </c:pt>
                <c:pt idx="56">
                  <c:v>0.31175000000000003</c:v>
                </c:pt>
                <c:pt idx="57">
                  <c:v>0.31579000000000002</c:v>
                </c:pt>
                <c:pt idx="58">
                  <c:v>0.32267000000000001</c:v>
                </c:pt>
                <c:pt idx="59">
                  <c:v>0.33329999999999999</c:v>
                </c:pt>
                <c:pt idx="60">
                  <c:v>0.34848000000000001</c:v>
                </c:pt>
                <c:pt idx="61">
                  <c:v>0.36892999999999998</c:v>
                </c:pt>
                <c:pt idx="62">
                  <c:v>0.39515</c:v>
                </c:pt>
                <c:pt idx="63">
                  <c:v>0.42758000000000002</c:v>
                </c:pt>
                <c:pt idx="64">
                  <c:v>0.46662999999999999</c:v>
                </c:pt>
                <c:pt idx="65">
                  <c:v>0.51215999999999995</c:v>
                </c:pt>
                <c:pt idx="66">
                  <c:v>0.56194</c:v>
                </c:pt>
                <c:pt idx="67">
                  <c:v>0.61321000000000003</c:v>
                </c:pt>
                <c:pt idx="68">
                  <c:v>0.66320999999999997</c:v>
                </c:pt>
                <c:pt idx="69">
                  <c:v>0.70794000000000001</c:v>
                </c:pt>
                <c:pt idx="70">
                  <c:v>0.74966999999999995</c:v>
                </c:pt>
                <c:pt idx="71">
                  <c:v>0.78722999999999999</c:v>
                </c:pt>
                <c:pt idx="72">
                  <c:v>0.82050000000000001</c:v>
                </c:pt>
                <c:pt idx="73">
                  <c:v>0.84955999999999998</c:v>
                </c:pt>
                <c:pt idx="74">
                  <c:v>0.87463000000000002</c:v>
                </c:pt>
                <c:pt idx="75">
                  <c:v>0.89603999999999995</c:v>
                </c:pt>
                <c:pt idx="76">
                  <c:v>0.91415000000000002</c:v>
                </c:pt>
                <c:pt idx="77">
                  <c:v>0.92935999999999996</c:v>
                </c:pt>
                <c:pt idx="78">
                  <c:v>0.94203999999999999</c:v>
                </c:pt>
                <c:pt idx="79">
                  <c:v>0.95255999999999996</c:v>
                </c:pt>
                <c:pt idx="80">
                  <c:v>0.96125000000000005</c:v>
                </c:pt>
                <c:pt idx="81">
                  <c:v>0.96840000000000004</c:v>
                </c:pt>
                <c:pt idx="82">
                  <c:v>0.97426999999999997</c:v>
                </c:pt>
                <c:pt idx="83">
                  <c:v>0.97907</c:v>
                </c:pt>
                <c:pt idx="84">
                  <c:v>0.98299000000000003</c:v>
                </c:pt>
                <c:pt idx="85">
                  <c:v>0.98299000000000003</c:v>
                </c:pt>
                <c:pt idx="86">
                  <c:v>0.98299000000000003</c:v>
                </c:pt>
                <c:pt idx="87">
                  <c:v>0.98299000000000003</c:v>
                </c:pt>
                <c:pt idx="88">
                  <c:v>0.98299000000000003</c:v>
                </c:pt>
                <c:pt idx="89">
                  <c:v>0.98299000000000003</c:v>
                </c:pt>
                <c:pt idx="90">
                  <c:v>0.98299000000000003</c:v>
                </c:pt>
                <c:pt idx="91">
                  <c:v>0.98299000000000003</c:v>
                </c:pt>
                <c:pt idx="92">
                  <c:v>0.98299000000000003</c:v>
                </c:pt>
                <c:pt idx="93">
                  <c:v>0.98299000000000003</c:v>
                </c:pt>
                <c:pt idx="94">
                  <c:v>0.98299000000000003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D-3FE4-445B-8EEB-D88489EA6296}"/>
            </c:ext>
          </c:extLst>
        </c:ser>
        <c:ser>
          <c:idx val="63"/>
          <c:order val="6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'99set'!$BM$10:$BM$104</c:f>
              <c:numCache>
                <c:formatCode>0.0000</c:formatCode>
                <c:ptCount val="95"/>
                <c:pt idx="0">
                  <c:v>2.3525000000000001E-2</c:v>
                </c:pt>
                <c:pt idx="1">
                  <c:v>2.3525000000000001E-2</c:v>
                </c:pt>
                <c:pt idx="2">
                  <c:v>2.3525000000000001E-2</c:v>
                </c:pt>
                <c:pt idx="3">
                  <c:v>2.3525000000000001E-2</c:v>
                </c:pt>
                <c:pt idx="4">
                  <c:v>2.3525000000000001E-2</c:v>
                </c:pt>
                <c:pt idx="5">
                  <c:v>2.7134999999999999E-2</c:v>
                </c:pt>
                <c:pt idx="6">
                  <c:v>3.1280000000000002E-2</c:v>
                </c:pt>
                <c:pt idx="7">
                  <c:v>3.6035999999999999E-2</c:v>
                </c:pt>
                <c:pt idx="8">
                  <c:v>3.9557000000000002E-2</c:v>
                </c:pt>
                <c:pt idx="9">
                  <c:v>4.8800999999999997E-2</c:v>
                </c:pt>
                <c:pt idx="10">
                  <c:v>5.5378999999999998E-2</c:v>
                </c:pt>
                <c:pt idx="11">
                  <c:v>5.9728999999999997E-2</c:v>
                </c:pt>
                <c:pt idx="12">
                  <c:v>6.2288999999999997E-2</c:v>
                </c:pt>
                <c:pt idx="13">
                  <c:v>6.3560000000000005E-2</c:v>
                </c:pt>
                <c:pt idx="14">
                  <c:v>6.4292000000000002E-2</c:v>
                </c:pt>
                <c:pt idx="15">
                  <c:v>6.5185000000000007E-2</c:v>
                </c:pt>
                <c:pt idx="16">
                  <c:v>6.6494999999999999E-2</c:v>
                </c:pt>
                <c:pt idx="17">
                  <c:v>6.8349999999999994E-2</c:v>
                </c:pt>
                <c:pt idx="18">
                  <c:v>7.0801000000000003E-2</c:v>
                </c:pt>
                <c:pt idx="19">
                  <c:v>7.3931999999999998E-2</c:v>
                </c:pt>
                <c:pt idx="20">
                  <c:v>7.8011999999999998E-2</c:v>
                </c:pt>
                <c:pt idx="21">
                  <c:v>8.3176E-2</c:v>
                </c:pt>
                <c:pt idx="22">
                  <c:v>8.8827000000000003E-2</c:v>
                </c:pt>
                <c:pt idx="23">
                  <c:v>9.4270999999999994E-2</c:v>
                </c:pt>
                <c:pt idx="24">
                  <c:v>9.9141999999999994E-2</c:v>
                </c:pt>
                <c:pt idx="25">
                  <c:v>0.10306</c:v>
                </c:pt>
                <c:pt idx="26">
                  <c:v>0.10525</c:v>
                </c:pt>
                <c:pt idx="27">
                  <c:v>0.10508000000000001</c:v>
                </c:pt>
                <c:pt idx="28">
                  <c:v>0.10285</c:v>
                </c:pt>
                <c:pt idx="29">
                  <c:v>9.9080000000000001E-2</c:v>
                </c:pt>
                <c:pt idx="30">
                  <c:v>9.4134999999999996E-2</c:v>
                </c:pt>
                <c:pt idx="31">
                  <c:v>8.8375999999999996E-2</c:v>
                </c:pt>
                <c:pt idx="32">
                  <c:v>8.2318000000000002E-2</c:v>
                </c:pt>
                <c:pt idx="33">
                  <c:v>7.6437000000000005E-2</c:v>
                </c:pt>
                <c:pt idx="34">
                  <c:v>7.0902000000000007E-2</c:v>
                </c:pt>
                <c:pt idx="35">
                  <c:v>6.5859000000000001E-2</c:v>
                </c:pt>
                <c:pt idx="36">
                  <c:v>6.1688E-2</c:v>
                </c:pt>
                <c:pt idx="37">
                  <c:v>5.8775000000000001E-2</c:v>
                </c:pt>
                <c:pt idx="38">
                  <c:v>5.7282E-2</c:v>
                </c:pt>
                <c:pt idx="39">
                  <c:v>5.7319000000000002E-2</c:v>
                </c:pt>
                <c:pt idx="40">
                  <c:v>5.8985000000000003E-2</c:v>
                </c:pt>
                <c:pt idx="41">
                  <c:v>6.2265000000000001E-2</c:v>
                </c:pt>
                <c:pt idx="42">
                  <c:v>6.6696000000000005E-2</c:v>
                </c:pt>
                <c:pt idx="43">
                  <c:v>7.1677000000000005E-2</c:v>
                </c:pt>
                <c:pt idx="44">
                  <c:v>7.6509999999999995E-2</c:v>
                </c:pt>
                <c:pt idx="45">
                  <c:v>8.0491999999999994E-2</c:v>
                </c:pt>
                <c:pt idx="46">
                  <c:v>8.3018999999999996E-2</c:v>
                </c:pt>
                <c:pt idx="47">
                  <c:v>8.3664000000000002E-2</c:v>
                </c:pt>
                <c:pt idx="48">
                  <c:v>8.2617999999999997E-2</c:v>
                </c:pt>
                <c:pt idx="49">
                  <c:v>8.0276E-2</c:v>
                </c:pt>
                <c:pt idx="50">
                  <c:v>7.7211000000000002E-2</c:v>
                </c:pt>
                <c:pt idx="51">
                  <c:v>7.3969999999999994E-2</c:v>
                </c:pt>
                <c:pt idx="52">
                  <c:v>7.0801000000000003E-2</c:v>
                </c:pt>
                <c:pt idx="53">
                  <c:v>6.7879999999999996E-2</c:v>
                </c:pt>
                <c:pt idx="54">
                  <c:v>6.5393999999999994E-2</c:v>
                </c:pt>
                <c:pt idx="55">
                  <c:v>6.3457E-2</c:v>
                </c:pt>
                <c:pt idx="56">
                  <c:v>6.1889E-2</c:v>
                </c:pt>
                <c:pt idx="57">
                  <c:v>6.0553000000000003E-2</c:v>
                </c:pt>
                <c:pt idx="58">
                  <c:v>5.9785999999999999E-2</c:v>
                </c:pt>
                <c:pt idx="59">
                  <c:v>5.9954E-2</c:v>
                </c:pt>
                <c:pt idx="60">
                  <c:v>6.1088000000000003E-2</c:v>
                </c:pt>
                <c:pt idx="61">
                  <c:v>6.3115000000000004E-2</c:v>
                </c:pt>
                <c:pt idx="62">
                  <c:v>6.5893999999999994E-2</c:v>
                </c:pt>
                <c:pt idx="63">
                  <c:v>6.9360000000000005E-2</c:v>
                </c:pt>
                <c:pt idx="64">
                  <c:v>7.3805999999999997E-2</c:v>
                </c:pt>
                <c:pt idx="65">
                  <c:v>7.9460000000000003E-2</c:v>
                </c:pt>
                <c:pt idx="66">
                  <c:v>8.5922999999999999E-2</c:v>
                </c:pt>
                <c:pt idx="67">
                  <c:v>9.2635999999999996E-2</c:v>
                </c:pt>
                <c:pt idx="68">
                  <c:v>9.9042000000000005E-2</c:v>
                </c:pt>
                <c:pt idx="69">
                  <c:v>0.10693999999999999</c:v>
                </c:pt>
                <c:pt idx="70">
                  <c:v>0.11491999999999999</c:v>
                </c:pt>
                <c:pt idx="71">
                  <c:v>0.12341000000000001</c:v>
                </c:pt>
                <c:pt idx="72">
                  <c:v>0.13244</c:v>
                </c:pt>
                <c:pt idx="73">
                  <c:v>0.14202000000000001</c:v>
                </c:pt>
                <c:pt idx="74">
                  <c:v>0.15215999999999999</c:v>
                </c:pt>
                <c:pt idx="75">
                  <c:v>0.16289999999999999</c:v>
                </c:pt>
                <c:pt idx="76">
                  <c:v>0.17424000000000001</c:v>
                </c:pt>
                <c:pt idx="77">
                  <c:v>0.18618999999999999</c:v>
                </c:pt>
                <c:pt idx="78">
                  <c:v>0.19875999999999999</c:v>
                </c:pt>
                <c:pt idx="79">
                  <c:v>0.21196999999999999</c:v>
                </c:pt>
                <c:pt idx="80">
                  <c:v>0.2258</c:v>
                </c:pt>
                <c:pt idx="81">
                  <c:v>0.24026</c:v>
                </c:pt>
                <c:pt idx="82">
                  <c:v>0.25534000000000001</c:v>
                </c:pt>
                <c:pt idx="83">
                  <c:v>0.27101999999999998</c:v>
                </c:pt>
                <c:pt idx="84">
                  <c:v>0.2873</c:v>
                </c:pt>
                <c:pt idx="85">
                  <c:v>0.2873</c:v>
                </c:pt>
                <c:pt idx="86">
                  <c:v>0.2873</c:v>
                </c:pt>
                <c:pt idx="87">
                  <c:v>0.2873</c:v>
                </c:pt>
                <c:pt idx="88">
                  <c:v>0.2873</c:v>
                </c:pt>
                <c:pt idx="89">
                  <c:v>0.2873</c:v>
                </c:pt>
                <c:pt idx="90">
                  <c:v>0.2873</c:v>
                </c:pt>
                <c:pt idx="91">
                  <c:v>0.2873</c:v>
                </c:pt>
                <c:pt idx="92">
                  <c:v>0.2873</c:v>
                </c:pt>
                <c:pt idx="93">
                  <c:v>0.2873</c:v>
                </c:pt>
                <c:pt idx="94">
                  <c:v>0.2873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E-3FE4-445B-8EEB-D88489EA6296}"/>
            </c:ext>
          </c:extLst>
        </c:ser>
        <c:ser>
          <c:idx val="64"/>
          <c:order val="6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'99set'!$BN$10:$BN$104</c:f>
              <c:numCache>
                <c:formatCode>0.0000</c:formatCode>
                <c:ptCount val="95"/>
                <c:pt idx="0">
                  <c:v>0.16989000000000001</c:v>
                </c:pt>
                <c:pt idx="1">
                  <c:v>0.16989000000000001</c:v>
                </c:pt>
                <c:pt idx="2">
                  <c:v>0.16989000000000001</c:v>
                </c:pt>
                <c:pt idx="3">
                  <c:v>0.16989000000000001</c:v>
                </c:pt>
                <c:pt idx="4">
                  <c:v>0.16989000000000001</c:v>
                </c:pt>
                <c:pt idx="5">
                  <c:v>0.18210999999999999</c:v>
                </c:pt>
                <c:pt idx="6">
                  <c:v>0.19500000000000001</c:v>
                </c:pt>
                <c:pt idx="7">
                  <c:v>0.20857000000000001</c:v>
                </c:pt>
                <c:pt idx="8">
                  <c:v>0.22325999999999999</c:v>
                </c:pt>
                <c:pt idx="9">
                  <c:v>0.23893</c:v>
                </c:pt>
                <c:pt idx="10">
                  <c:v>0.25742999999999999</c:v>
                </c:pt>
                <c:pt idx="11">
                  <c:v>0.26841999999999999</c:v>
                </c:pt>
                <c:pt idx="12">
                  <c:v>0.27548</c:v>
                </c:pt>
                <c:pt idx="13">
                  <c:v>0.28427000000000002</c:v>
                </c:pt>
                <c:pt idx="14">
                  <c:v>0.29487999999999998</c:v>
                </c:pt>
                <c:pt idx="15">
                  <c:v>0.30635000000000001</c:v>
                </c:pt>
                <c:pt idx="16">
                  <c:v>0.31906000000000001</c:v>
                </c:pt>
                <c:pt idx="17">
                  <c:v>0.33377000000000001</c:v>
                </c:pt>
                <c:pt idx="18">
                  <c:v>0.35149999999999998</c:v>
                </c:pt>
                <c:pt idx="19">
                  <c:v>0.37309999999999999</c:v>
                </c:pt>
                <c:pt idx="20">
                  <c:v>0.39842</c:v>
                </c:pt>
                <c:pt idx="21">
                  <c:v>0.42668</c:v>
                </c:pt>
                <c:pt idx="22">
                  <c:v>0.45565</c:v>
                </c:pt>
                <c:pt idx="23">
                  <c:v>0.48270999999999997</c:v>
                </c:pt>
                <c:pt idx="24">
                  <c:v>0.50514000000000003</c:v>
                </c:pt>
                <c:pt idx="25">
                  <c:v>0.52063999999999999</c:v>
                </c:pt>
                <c:pt idx="26">
                  <c:v>0.52858000000000005</c:v>
                </c:pt>
                <c:pt idx="27">
                  <c:v>0.52895000000000003</c:v>
                </c:pt>
                <c:pt idx="28">
                  <c:v>0.52249999999999996</c:v>
                </c:pt>
                <c:pt idx="29">
                  <c:v>0.51015999999999995</c:v>
                </c:pt>
                <c:pt idx="30">
                  <c:v>0.49295</c:v>
                </c:pt>
                <c:pt idx="31">
                  <c:v>0.47184999999999999</c:v>
                </c:pt>
                <c:pt idx="32">
                  <c:v>0.44761000000000001</c:v>
                </c:pt>
                <c:pt idx="33">
                  <c:v>0.42094999999999999</c:v>
                </c:pt>
                <c:pt idx="34">
                  <c:v>0.39280999999999999</c:v>
                </c:pt>
                <c:pt idx="35">
                  <c:v>0.36403000000000002</c:v>
                </c:pt>
                <c:pt idx="36">
                  <c:v>0.33487</c:v>
                </c:pt>
                <c:pt idx="37">
                  <c:v>0.30556</c:v>
                </c:pt>
                <c:pt idx="38">
                  <c:v>0.27667000000000003</c:v>
                </c:pt>
                <c:pt idx="39">
                  <c:v>0.24893000000000001</c:v>
                </c:pt>
                <c:pt idx="40">
                  <c:v>0.22344</c:v>
                </c:pt>
                <c:pt idx="41">
                  <c:v>0.20115</c:v>
                </c:pt>
                <c:pt idx="42">
                  <c:v>0.18221000000000001</c:v>
                </c:pt>
                <c:pt idx="43">
                  <c:v>0.16642999999999999</c:v>
                </c:pt>
                <c:pt idx="44">
                  <c:v>0.15310000000000001</c:v>
                </c:pt>
                <c:pt idx="45">
                  <c:v>0.14144999999999999</c:v>
                </c:pt>
                <c:pt idx="46">
                  <c:v>0.13099</c:v>
                </c:pt>
                <c:pt idx="47">
                  <c:v>0.12146999999999999</c:v>
                </c:pt>
                <c:pt idx="48">
                  <c:v>0.1132</c:v>
                </c:pt>
                <c:pt idx="49">
                  <c:v>0.10657</c:v>
                </c:pt>
                <c:pt idx="50">
                  <c:v>0.10170999999999999</c:v>
                </c:pt>
                <c:pt idx="51">
                  <c:v>9.8590999999999998E-2</c:v>
                </c:pt>
                <c:pt idx="52">
                  <c:v>9.6750000000000003E-2</c:v>
                </c:pt>
                <c:pt idx="53">
                  <c:v>9.5665E-2</c:v>
                </c:pt>
                <c:pt idx="54">
                  <c:v>9.5000000000000001E-2</c:v>
                </c:pt>
                <c:pt idx="55">
                  <c:v>9.4543000000000002E-2</c:v>
                </c:pt>
                <c:pt idx="56">
                  <c:v>9.4399999999999998E-2</c:v>
                </c:pt>
                <c:pt idx="57">
                  <c:v>9.4753000000000004E-2</c:v>
                </c:pt>
                <c:pt idx="58">
                  <c:v>9.5769999999999994E-2</c:v>
                </c:pt>
                <c:pt idx="59">
                  <c:v>9.7534999999999997E-2</c:v>
                </c:pt>
                <c:pt idx="60">
                  <c:v>9.9809999999999996E-2</c:v>
                </c:pt>
                <c:pt idx="61">
                  <c:v>0.10231</c:v>
                </c:pt>
                <c:pt idx="62">
                  <c:v>0.10484</c:v>
                </c:pt>
                <c:pt idx="63">
                  <c:v>0.10725</c:v>
                </c:pt>
                <c:pt idx="64">
                  <c:v>0.10932</c:v>
                </c:pt>
                <c:pt idx="65">
                  <c:v>0.11083999999999999</c:v>
                </c:pt>
                <c:pt idx="66">
                  <c:v>0.11158999999999999</c:v>
                </c:pt>
                <c:pt idx="67">
                  <c:v>0.11151</c:v>
                </c:pt>
                <c:pt idx="68">
                  <c:v>0.11115</c:v>
                </c:pt>
                <c:pt idx="69">
                  <c:v>0.11079</c:v>
                </c:pt>
                <c:pt idx="70">
                  <c:v>0.11044</c:v>
                </c:pt>
                <c:pt idx="71">
                  <c:v>0.11008</c:v>
                </c:pt>
                <c:pt idx="72">
                  <c:v>0.10972999999999999</c:v>
                </c:pt>
                <c:pt idx="73">
                  <c:v>0.10938000000000001</c:v>
                </c:pt>
                <c:pt idx="74">
                  <c:v>0.10903</c:v>
                </c:pt>
                <c:pt idx="75">
                  <c:v>0.10868999999999999</c:v>
                </c:pt>
                <c:pt idx="76">
                  <c:v>0.10834000000000001</c:v>
                </c:pt>
                <c:pt idx="77">
                  <c:v>0.10799</c:v>
                </c:pt>
                <c:pt idx="78">
                  <c:v>0.10765</c:v>
                </c:pt>
                <c:pt idx="79">
                  <c:v>0.10730000000000001</c:v>
                </c:pt>
                <c:pt idx="80">
                  <c:v>0.10696</c:v>
                </c:pt>
                <c:pt idx="81">
                  <c:v>0.10662000000000001</c:v>
                </c:pt>
                <c:pt idx="82">
                  <c:v>0.10628</c:v>
                </c:pt>
                <c:pt idx="83">
                  <c:v>0.10594000000000001</c:v>
                </c:pt>
                <c:pt idx="84">
                  <c:v>0.1056</c:v>
                </c:pt>
                <c:pt idx="85">
                  <c:v>0.1056</c:v>
                </c:pt>
                <c:pt idx="86">
                  <c:v>0.1056</c:v>
                </c:pt>
                <c:pt idx="87">
                  <c:v>0.1056</c:v>
                </c:pt>
                <c:pt idx="88">
                  <c:v>0.1056</c:v>
                </c:pt>
                <c:pt idx="89">
                  <c:v>0.1056</c:v>
                </c:pt>
                <c:pt idx="90">
                  <c:v>0.1056</c:v>
                </c:pt>
                <c:pt idx="91">
                  <c:v>0.1056</c:v>
                </c:pt>
                <c:pt idx="92">
                  <c:v>0.1056</c:v>
                </c:pt>
                <c:pt idx="93">
                  <c:v>0.1056</c:v>
                </c:pt>
                <c:pt idx="94">
                  <c:v>0.1056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F-3FE4-445B-8EEB-D88489EA6296}"/>
            </c:ext>
          </c:extLst>
        </c:ser>
        <c:ser>
          <c:idx val="65"/>
          <c:order val="6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'99set'!$BO$10:$BO$104</c:f>
              <c:numCache>
                <c:formatCode>0.0000</c:formatCode>
                <c:ptCount val="95"/>
                <c:pt idx="0">
                  <c:v>6.0162000000000002E-3</c:v>
                </c:pt>
                <c:pt idx="1">
                  <c:v>6.0162000000000002E-3</c:v>
                </c:pt>
                <c:pt idx="2">
                  <c:v>6.0162000000000002E-3</c:v>
                </c:pt>
                <c:pt idx="3">
                  <c:v>6.0162000000000002E-3</c:v>
                </c:pt>
                <c:pt idx="4">
                  <c:v>6.0162000000000002E-3</c:v>
                </c:pt>
                <c:pt idx="5">
                  <c:v>9.0530999999999997E-3</c:v>
                </c:pt>
                <c:pt idx="6">
                  <c:v>1.3602E-2</c:v>
                </c:pt>
                <c:pt idx="7">
                  <c:v>2.0389999999999998E-2</c:v>
                </c:pt>
                <c:pt idx="8">
                  <c:v>2.9489000000000001E-2</c:v>
                </c:pt>
                <c:pt idx="9">
                  <c:v>4.6087999999999997E-2</c:v>
                </c:pt>
                <c:pt idx="10">
                  <c:v>6.8113000000000007E-2</c:v>
                </c:pt>
                <c:pt idx="11">
                  <c:v>9.0236999999999998E-2</c:v>
                </c:pt>
                <c:pt idx="12">
                  <c:v>0.10713</c:v>
                </c:pt>
                <c:pt idx="13">
                  <c:v>0.11533</c:v>
                </c:pt>
                <c:pt idx="14">
                  <c:v>0.11874999999999999</c:v>
                </c:pt>
                <c:pt idx="15">
                  <c:v>0.12207</c:v>
                </c:pt>
                <c:pt idx="16">
                  <c:v>0.1255</c:v>
                </c:pt>
                <c:pt idx="17">
                  <c:v>0.1285</c:v>
                </c:pt>
                <c:pt idx="18">
                  <c:v>0.13206000000000001</c:v>
                </c:pt>
                <c:pt idx="19">
                  <c:v>0.13733000000000001</c:v>
                </c:pt>
                <c:pt idx="20">
                  <c:v>0.14466999999999999</c:v>
                </c:pt>
                <c:pt idx="21">
                  <c:v>0.15417</c:v>
                </c:pt>
                <c:pt idx="22">
                  <c:v>0.16581000000000001</c:v>
                </c:pt>
                <c:pt idx="23">
                  <c:v>0.17902000000000001</c:v>
                </c:pt>
                <c:pt idx="24">
                  <c:v>0.19103000000000001</c:v>
                </c:pt>
                <c:pt idx="25">
                  <c:v>0.1988</c:v>
                </c:pt>
                <c:pt idx="26">
                  <c:v>0.20027</c:v>
                </c:pt>
                <c:pt idx="27">
                  <c:v>0.19442999999999999</c:v>
                </c:pt>
                <c:pt idx="28">
                  <c:v>0.18339</c:v>
                </c:pt>
                <c:pt idx="29">
                  <c:v>0.16986999999999999</c:v>
                </c:pt>
                <c:pt idx="30">
                  <c:v>0.15589</c:v>
                </c:pt>
                <c:pt idx="31">
                  <c:v>0.14313000000000001</c:v>
                </c:pt>
                <c:pt idx="32">
                  <c:v>0.13275000000000001</c:v>
                </c:pt>
                <c:pt idx="33">
                  <c:v>0.12537000000000001</c:v>
                </c:pt>
                <c:pt idx="34">
                  <c:v>0.12003999999999999</c:v>
                </c:pt>
                <c:pt idx="35">
                  <c:v>0.11552</c:v>
                </c:pt>
                <c:pt idx="36">
                  <c:v>0.11101</c:v>
                </c:pt>
                <c:pt idx="37">
                  <c:v>0.10609</c:v>
                </c:pt>
                <c:pt idx="38">
                  <c:v>0.10156999999999999</c:v>
                </c:pt>
                <c:pt idx="39">
                  <c:v>9.8566000000000001E-2</c:v>
                </c:pt>
                <c:pt idx="40">
                  <c:v>9.8098000000000005E-2</c:v>
                </c:pt>
                <c:pt idx="41">
                  <c:v>0.10068000000000001</c:v>
                </c:pt>
                <c:pt idx="42">
                  <c:v>0.10475</c:v>
                </c:pt>
                <c:pt idx="43">
                  <c:v>0.10827000000000001</c:v>
                </c:pt>
                <c:pt idx="44">
                  <c:v>0.10922</c:v>
                </c:pt>
                <c:pt idx="45">
                  <c:v>0.10612000000000001</c:v>
                </c:pt>
                <c:pt idx="46">
                  <c:v>9.9488999999999994E-2</c:v>
                </c:pt>
                <c:pt idx="47">
                  <c:v>9.0473999999999999E-2</c:v>
                </c:pt>
                <c:pt idx="48">
                  <c:v>8.0723000000000003E-2</c:v>
                </c:pt>
                <c:pt idx="49">
                  <c:v>7.1686E-2</c:v>
                </c:pt>
                <c:pt idx="50">
                  <c:v>6.3546000000000005E-2</c:v>
                </c:pt>
                <c:pt idx="51">
                  <c:v>5.6159000000000001E-2</c:v>
                </c:pt>
                <c:pt idx="52">
                  <c:v>4.9347000000000002E-2</c:v>
                </c:pt>
                <c:pt idx="53">
                  <c:v>4.2951000000000003E-2</c:v>
                </c:pt>
                <c:pt idx="54">
                  <c:v>3.6935999999999997E-2</c:v>
                </c:pt>
                <c:pt idx="55">
                  <c:v>3.1330999999999998E-2</c:v>
                </c:pt>
                <c:pt idx="56">
                  <c:v>2.6311999999999999E-2</c:v>
                </c:pt>
                <c:pt idx="57">
                  <c:v>2.2065000000000001E-2</c:v>
                </c:pt>
                <c:pt idx="58">
                  <c:v>1.8665999999999999E-2</c:v>
                </c:pt>
                <c:pt idx="59">
                  <c:v>1.6126000000000001E-2</c:v>
                </c:pt>
                <c:pt idx="60">
                  <c:v>1.4298E-2</c:v>
                </c:pt>
                <c:pt idx="61">
                  <c:v>1.3006999999999999E-2</c:v>
                </c:pt>
                <c:pt idx="62">
                  <c:v>1.2113000000000001E-2</c:v>
                </c:pt>
                <c:pt idx="63">
                  <c:v>1.1502E-2</c:v>
                </c:pt>
                <c:pt idx="64">
                  <c:v>1.112E-2</c:v>
                </c:pt>
                <c:pt idx="65">
                  <c:v>1.0935E-2</c:v>
                </c:pt>
                <c:pt idx="66">
                  <c:v>1.0921999999999999E-2</c:v>
                </c:pt>
                <c:pt idx="67">
                  <c:v>1.1057000000000001E-2</c:v>
                </c:pt>
                <c:pt idx="68">
                  <c:v>1.1318999999999999E-2</c:v>
                </c:pt>
                <c:pt idx="69">
                  <c:v>1.1389E-2</c:v>
                </c:pt>
                <c:pt idx="70">
                  <c:v>1.1539000000000001E-2</c:v>
                </c:pt>
                <c:pt idx="71">
                  <c:v>1.1691E-2</c:v>
                </c:pt>
                <c:pt idx="72">
                  <c:v>1.1844E-2</c:v>
                </c:pt>
                <c:pt idx="73">
                  <c:v>1.2E-2</c:v>
                </c:pt>
                <c:pt idx="74">
                  <c:v>1.2158E-2</c:v>
                </c:pt>
                <c:pt idx="75">
                  <c:v>1.2318000000000001E-2</c:v>
                </c:pt>
                <c:pt idx="76">
                  <c:v>1.248E-2</c:v>
                </c:pt>
                <c:pt idx="77">
                  <c:v>1.2645E-2</c:v>
                </c:pt>
                <c:pt idx="78">
                  <c:v>1.2810999999999999E-2</c:v>
                </c:pt>
                <c:pt idx="79">
                  <c:v>1.2978999999999999E-2</c:v>
                </c:pt>
                <c:pt idx="80">
                  <c:v>1.315E-2</c:v>
                </c:pt>
                <c:pt idx="81">
                  <c:v>1.3323E-2</c:v>
                </c:pt>
                <c:pt idx="82">
                  <c:v>1.3498E-2</c:v>
                </c:pt>
                <c:pt idx="83">
                  <c:v>1.3675E-2</c:v>
                </c:pt>
                <c:pt idx="84">
                  <c:v>1.3854999999999999E-2</c:v>
                </c:pt>
                <c:pt idx="85">
                  <c:v>1.3854999999999999E-2</c:v>
                </c:pt>
                <c:pt idx="86">
                  <c:v>1.3854999999999999E-2</c:v>
                </c:pt>
                <c:pt idx="87">
                  <c:v>1.3854999999999999E-2</c:v>
                </c:pt>
                <c:pt idx="88">
                  <c:v>1.3854999999999999E-2</c:v>
                </c:pt>
                <c:pt idx="89">
                  <c:v>1.3854999999999999E-2</c:v>
                </c:pt>
                <c:pt idx="90">
                  <c:v>1.3854999999999999E-2</c:v>
                </c:pt>
                <c:pt idx="91">
                  <c:v>1.3854999999999999E-2</c:v>
                </c:pt>
                <c:pt idx="92">
                  <c:v>1.3854999999999999E-2</c:v>
                </c:pt>
                <c:pt idx="93">
                  <c:v>1.3854999999999999E-2</c:v>
                </c:pt>
                <c:pt idx="94">
                  <c:v>1.3854999999999999E-2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0-3FE4-445B-8EEB-D88489EA6296}"/>
            </c:ext>
          </c:extLst>
        </c:ser>
        <c:ser>
          <c:idx val="66"/>
          <c:order val="6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'99set'!$BP$10:$BP$104</c:f>
              <c:numCache>
                <c:formatCode>0.0000</c:formatCode>
                <c:ptCount val="95"/>
                <c:pt idx="0">
                  <c:v>9.9630999999999997E-2</c:v>
                </c:pt>
                <c:pt idx="1">
                  <c:v>9.9630999999999997E-2</c:v>
                </c:pt>
                <c:pt idx="2">
                  <c:v>9.9630999999999997E-2</c:v>
                </c:pt>
                <c:pt idx="3">
                  <c:v>9.9630999999999997E-2</c:v>
                </c:pt>
                <c:pt idx="4">
                  <c:v>9.9630999999999997E-2</c:v>
                </c:pt>
                <c:pt idx="5">
                  <c:v>0.10544000000000001</c:v>
                </c:pt>
                <c:pt idx="6">
                  <c:v>0.11155</c:v>
                </c:pt>
                <c:pt idx="7">
                  <c:v>0.11796</c:v>
                </c:pt>
                <c:pt idx="8">
                  <c:v>0.1249</c:v>
                </c:pt>
                <c:pt idx="9">
                  <c:v>0.13231000000000001</c:v>
                </c:pt>
                <c:pt idx="10">
                  <c:v>0.14130000000000001</c:v>
                </c:pt>
                <c:pt idx="11">
                  <c:v>0.14721000000000001</c:v>
                </c:pt>
                <c:pt idx="12">
                  <c:v>0.15179999999999999</c:v>
                </c:pt>
                <c:pt idx="13">
                  <c:v>0.1578</c:v>
                </c:pt>
                <c:pt idx="14">
                  <c:v>0.16550000000000001</c:v>
                </c:pt>
                <c:pt idx="15">
                  <c:v>0.17466999999999999</c:v>
                </c:pt>
                <c:pt idx="16">
                  <c:v>0.18540000000000001</c:v>
                </c:pt>
                <c:pt idx="17">
                  <c:v>0.19797999999999999</c:v>
                </c:pt>
                <c:pt idx="18">
                  <c:v>0.21299999999999999</c:v>
                </c:pt>
                <c:pt idx="19">
                  <c:v>0.23107</c:v>
                </c:pt>
                <c:pt idx="20">
                  <c:v>0.25240000000000001</c:v>
                </c:pt>
                <c:pt idx="21">
                  <c:v>0.27660000000000001</c:v>
                </c:pt>
                <c:pt idx="22">
                  <c:v>0.30109999999999998</c:v>
                </c:pt>
                <c:pt idx="23">
                  <c:v>0.32295000000000001</c:v>
                </c:pt>
                <c:pt idx="24">
                  <c:v>0.3397</c:v>
                </c:pt>
                <c:pt idx="25">
                  <c:v>0.34943000000000002</c:v>
                </c:pt>
                <c:pt idx="26">
                  <c:v>0.35189999999999999</c:v>
                </c:pt>
                <c:pt idx="27">
                  <c:v>0.34737000000000001</c:v>
                </c:pt>
                <c:pt idx="28">
                  <c:v>0.33650000000000002</c:v>
                </c:pt>
                <c:pt idx="29">
                  <c:v>0.32016</c:v>
                </c:pt>
                <c:pt idx="30">
                  <c:v>0.29980000000000001</c:v>
                </c:pt>
                <c:pt idx="31">
                  <c:v>0.27692</c:v>
                </c:pt>
                <c:pt idx="32">
                  <c:v>0.25269999999999998</c:v>
                </c:pt>
                <c:pt idx="33">
                  <c:v>0.22819999999999999</c:v>
                </c:pt>
                <c:pt idx="34">
                  <c:v>0.20430000000000001</c:v>
                </c:pt>
                <c:pt idx="35">
                  <c:v>0.18174000000000001</c:v>
                </c:pt>
                <c:pt idx="36">
                  <c:v>0.16089999999999999</c:v>
                </c:pt>
                <c:pt idx="37">
                  <c:v>0.14202000000000001</c:v>
                </c:pt>
                <c:pt idx="38">
                  <c:v>0.12520000000000001</c:v>
                </c:pt>
                <c:pt idx="39">
                  <c:v>0.11054</c:v>
                </c:pt>
                <c:pt idx="40">
                  <c:v>9.8299999999999998E-2</c:v>
                </c:pt>
                <c:pt idx="41">
                  <c:v>8.8664000000000007E-2</c:v>
                </c:pt>
                <c:pt idx="42">
                  <c:v>8.1299999999999997E-2</c:v>
                </c:pt>
                <c:pt idx="43">
                  <c:v>7.5745000000000007E-2</c:v>
                </c:pt>
                <c:pt idx="44">
                  <c:v>7.1499999999999994E-2</c:v>
                </c:pt>
                <c:pt idx="45">
                  <c:v>6.8107000000000001E-2</c:v>
                </c:pt>
                <c:pt idx="46">
                  <c:v>6.5299999999999997E-2</c:v>
                </c:pt>
                <c:pt idx="47">
                  <c:v>6.2900999999999999E-2</c:v>
                </c:pt>
                <c:pt idx="48">
                  <c:v>6.0900000000000003E-2</c:v>
                </c:pt>
                <c:pt idx="49">
                  <c:v>5.9325000000000003E-2</c:v>
                </c:pt>
                <c:pt idx="50">
                  <c:v>5.8200000000000002E-2</c:v>
                </c:pt>
                <c:pt idx="51">
                  <c:v>5.7512000000000001E-2</c:v>
                </c:pt>
                <c:pt idx="52">
                  <c:v>5.7099999999999998E-2</c:v>
                </c:pt>
                <c:pt idx="53">
                  <c:v>5.6801999999999998E-2</c:v>
                </c:pt>
                <c:pt idx="54">
                  <c:v>5.6599999999999998E-2</c:v>
                </c:pt>
                <c:pt idx="55">
                  <c:v>5.6503999999999999E-2</c:v>
                </c:pt>
                <c:pt idx="56">
                  <c:v>5.6500000000000002E-2</c:v>
                </c:pt>
                <c:pt idx="57">
                  <c:v>5.6580999999999999E-2</c:v>
                </c:pt>
                <c:pt idx="58">
                  <c:v>5.6800000000000003E-2</c:v>
                </c:pt>
                <c:pt idx="59">
                  <c:v>5.7195999999999997E-2</c:v>
                </c:pt>
                <c:pt idx="60">
                  <c:v>5.7700000000000001E-2</c:v>
                </c:pt>
                <c:pt idx="61">
                  <c:v>5.8221000000000002E-2</c:v>
                </c:pt>
                <c:pt idx="62">
                  <c:v>5.8700000000000002E-2</c:v>
                </c:pt>
                <c:pt idx="63">
                  <c:v>5.9096000000000003E-2</c:v>
                </c:pt>
                <c:pt idx="64">
                  <c:v>5.9400000000000001E-2</c:v>
                </c:pt>
                <c:pt idx="65">
                  <c:v>5.9609000000000002E-2</c:v>
                </c:pt>
                <c:pt idx="66">
                  <c:v>5.9700000000000003E-2</c:v>
                </c:pt>
                <c:pt idx="67">
                  <c:v>5.9666999999999998E-2</c:v>
                </c:pt>
                <c:pt idx="68">
                  <c:v>5.96E-2</c:v>
                </c:pt>
                <c:pt idx="69">
                  <c:v>5.9532000000000002E-2</c:v>
                </c:pt>
                <c:pt idx="70">
                  <c:v>5.9465999999999998E-2</c:v>
                </c:pt>
                <c:pt idx="71">
                  <c:v>5.9400000000000001E-2</c:v>
                </c:pt>
                <c:pt idx="72">
                  <c:v>5.9332999999999997E-2</c:v>
                </c:pt>
                <c:pt idx="73">
                  <c:v>5.9267E-2</c:v>
                </c:pt>
                <c:pt idx="74">
                  <c:v>5.9200999999999997E-2</c:v>
                </c:pt>
                <c:pt idx="75">
                  <c:v>5.9135E-2</c:v>
                </c:pt>
                <c:pt idx="76">
                  <c:v>5.9069000000000003E-2</c:v>
                </c:pt>
                <c:pt idx="77">
                  <c:v>5.9003E-2</c:v>
                </c:pt>
                <c:pt idx="78">
                  <c:v>5.8937000000000003E-2</c:v>
                </c:pt>
                <c:pt idx="79">
                  <c:v>5.8872000000000001E-2</c:v>
                </c:pt>
                <c:pt idx="80">
                  <c:v>5.8805999999999997E-2</c:v>
                </c:pt>
                <c:pt idx="81">
                  <c:v>5.8740000000000001E-2</c:v>
                </c:pt>
                <c:pt idx="82">
                  <c:v>5.8674999999999998E-2</c:v>
                </c:pt>
                <c:pt idx="83">
                  <c:v>5.8609000000000001E-2</c:v>
                </c:pt>
                <c:pt idx="84">
                  <c:v>5.8543999999999999E-2</c:v>
                </c:pt>
                <c:pt idx="85">
                  <c:v>5.8543999999999999E-2</c:v>
                </c:pt>
                <c:pt idx="86">
                  <c:v>5.8543999999999999E-2</c:v>
                </c:pt>
                <c:pt idx="87">
                  <c:v>5.8543999999999999E-2</c:v>
                </c:pt>
                <c:pt idx="88">
                  <c:v>5.8543999999999999E-2</c:v>
                </c:pt>
                <c:pt idx="89">
                  <c:v>5.8543999999999999E-2</c:v>
                </c:pt>
                <c:pt idx="90">
                  <c:v>5.8543999999999999E-2</c:v>
                </c:pt>
                <c:pt idx="91">
                  <c:v>5.8543999999999999E-2</c:v>
                </c:pt>
                <c:pt idx="92">
                  <c:v>5.8543999999999999E-2</c:v>
                </c:pt>
                <c:pt idx="93">
                  <c:v>5.8543999999999999E-2</c:v>
                </c:pt>
                <c:pt idx="94">
                  <c:v>5.8543999999999999E-2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1-3FE4-445B-8EEB-D88489EA6296}"/>
            </c:ext>
          </c:extLst>
        </c:ser>
        <c:ser>
          <c:idx val="67"/>
          <c:order val="6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'99set'!$BQ$10:$BQ$104</c:f>
              <c:numCache>
                <c:formatCode>0.0000</c:formatCode>
                <c:ptCount val="95"/>
                <c:pt idx="0">
                  <c:v>0.10927000000000001</c:v>
                </c:pt>
                <c:pt idx="1">
                  <c:v>0.10927000000000001</c:v>
                </c:pt>
                <c:pt idx="2">
                  <c:v>0.10927000000000001</c:v>
                </c:pt>
                <c:pt idx="3">
                  <c:v>0.10927000000000001</c:v>
                </c:pt>
                <c:pt idx="4">
                  <c:v>0.10927000000000001</c:v>
                </c:pt>
                <c:pt idx="5">
                  <c:v>0.11774999999999999</c:v>
                </c:pt>
                <c:pt idx="6">
                  <c:v>0.1268</c:v>
                </c:pt>
                <c:pt idx="7">
                  <c:v>0.13644000000000001</c:v>
                </c:pt>
                <c:pt idx="8">
                  <c:v>0.14699999999999999</c:v>
                </c:pt>
                <c:pt idx="9">
                  <c:v>0.15842000000000001</c:v>
                </c:pt>
                <c:pt idx="10">
                  <c:v>0.17219999999999999</c:v>
                </c:pt>
                <c:pt idx="11">
                  <c:v>0.18101999999999999</c:v>
                </c:pt>
                <c:pt idx="12">
                  <c:v>0.18720000000000001</c:v>
                </c:pt>
                <c:pt idx="13">
                  <c:v>0.19467000000000001</c:v>
                </c:pt>
                <c:pt idx="14">
                  <c:v>0.20419999999999999</c:v>
                </c:pt>
                <c:pt idx="15">
                  <c:v>0.21573000000000001</c:v>
                </c:pt>
                <c:pt idx="16">
                  <c:v>0.2291</c:v>
                </c:pt>
                <c:pt idx="17">
                  <c:v>0.24431</c:v>
                </c:pt>
                <c:pt idx="18">
                  <c:v>0.26200000000000001</c:v>
                </c:pt>
                <c:pt idx="19">
                  <c:v>0.28281000000000001</c:v>
                </c:pt>
                <c:pt idx="20">
                  <c:v>0.30680000000000002</c:v>
                </c:pt>
                <c:pt idx="21">
                  <c:v>0.33329999999999999</c:v>
                </c:pt>
                <c:pt idx="22">
                  <c:v>0.3594</c:v>
                </c:pt>
                <c:pt idx="23">
                  <c:v>0.38191999999999998</c:v>
                </c:pt>
                <c:pt idx="24">
                  <c:v>0.39889999999999998</c:v>
                </c:pt>
                <c:pt idx="25">
                  <c:v>0.40877999999999998</c:v>
                </c:pt>
                <c:pt idx="26">
                  <c:v>0.4103</c:v>
                </c:pt>
                <c:pt idx="27">
                  <c:v>0.40282000000000001</c:v>
                </c:pt>
                <c:pt idx="28">
                  <c:v>0.38790000000000002</c:v>
                </c:pt>
                <c:pt idx="29">
                  <c:v>0.36753999999999998</c:v>
                </c:pt>
                <c:pt idx="30">
                  <c:v>0.34329999999999999</c:v>
                </c:pt>
                <c:pt idx="31">
                  <c:v>0.31661</c:v>
                </c:pt>
                <c:pt idx="32">
                  <c:v>0.28889999999999999</c:v>
                </c:pt>
                <c:pt idx="33">
                  <c:v>0.26145000000000002</c:v>
                </c:pt>
                <c:pt idx="34">
                  <c:v>0.2351</c:v>
                </c:pt>
                <c:pt idx="35">
                  <c:v>0.21043000000000001</c:v>
                </c:pt>
                <c:pt idx="36">
                  <c:v>0.18759999999999999</c:v>
                </c:pt>
                <c:pt idx="37">
                  <c:v>0.16666</c:v>
                </c:pt>
                <c:pt idx="38">
                  <c:v>0.1477</c:v>
                </c:pt>
                <c:pt idx="39">
                  <c:v>0.13089999999999999</c:v>
                </c:pt>
                <c:pt idx="40">
                  <c:v>0.1167</c:v>
                </c:pt>
                <c:pt idx="41">
                  <c:v>0.10545</c:v>
                </c:pt>
                <c:pt idx="42">
                  <c:v>9.6799999999999997E-2</c:v>
                </c:pt>
                <c:pt idx="43">
                  <c:v>9.0205999999999995E-2</c:v>
                </c:pt>
                <c:pt idx="44">
                  <c:v>8.5099999999999995E-2</c:v>
                </c:pt>
                <c:pt idx="45">
                  <c:v>8.0948999999999993E-2</c:v>
                </c:pt>
                <c:pt idx="46">
                  <c:v>7.7399999999999997E-2</c:v>
                </c:pt>
                <c:pt idx="47">
                  <c:v>7.4210999999999999E-2</c:v>
                </c:pt>
                <c:pt idx="48">
                  <c:v>7.1400000000000005E-2</c:v>
                </c:pt>
                <c:pt idx="49">
                  <c:v>6.9070000000000006E-2</c:v>
                </c:pt>
                <c:pt idx="50">
                  <c:v>6.7400000000000002E-2</c:v>
                </c:pt>
                <c:pt idx="51">
                  <c:v>6.6498000000000002E-2</c:v>
                </c:pt>
                <c:pt idx="52">
                  <c:v>6.6100000000000006E-2</c:v>
                </c:pt>
                <c:pt idx="53">
                  <c:v>6.5889000000000003E-2</c:v>
                </c:pt>
                <c:pt idx="54">
                  <c:v>6.5699999999999995E-2</c:v>
                </c:pt>
                <c:pt idx="55">
                  <c:v>6.5472000000000002E-2</c:v>
                </c:pt>
                <c:pt idx="56">
                  <c:v>6.54E-2</c:v>
                </c:pt>
                <c:pt idx="57">
                  <c:v>6.5684999999999993E-2</c:v>
                </c:pt>
                <c:pt idx="58">
                  <c:v>6.6299999999999998E-2</c:v>
                </c:pt>
                <c:pt idx="59">
                  <c:v>6.7138000000000003E-2</c:v>
                </c:pt>
                <c:pt idx="60">
                  <c:v>6.8000000000000005E-2</c:v>
                </c:pt>
                <c:pt idx="61">
                  <c:v>6.8686999999999998E-2</c:v>
                </c:pt>
                <c:pt idx="62">
                  <c:v>6.9099999999999995E-2</c:v>
                </c:pt>
                <c:pt idx="63">
                  <c:v>6.9199999999999998E-2</c:v>
                </c:pt>
                <c:pt idx="64">
                  <c:v>6.9099999999999995E-2</c:v>
                </c:pt>
                <c:pt idx="65">
                  <c:v>6.8911E-2</c:v>
                </c:pt>
                <c:pt idx="66">
                  <c:v>6.8599999999999994E-2</c:v>
                </c:pt>
                <c:pt idx="67">
                  <c:v>6.8154999999999993E-2</c:v>
                </c:pt>
                <c:pt idx="68">
                  <c:v>6.7799999999999999E-2</c:v>
                </c:pt>
                <c:pt idx="69">
                  <c:v>6.7454E-2</c:v>
                </c:pt>
                <c:pt idx="70">
                  <c:v>6.7121E-2</c:v>
                </c:pt>
                <c:pt idx="71">
                  <c:v>6.6790000000000002E-2</c:v>
                </c:pt>
                <c:pt idx="72">
                  <c:v>6.6460000000000005E-2</c:v>
                </c:pt>
                <c:pt idx="73">
                  <c:v>6.6130999999999995E-2</c:v>
                </c:pt>
                <c:pt idx="74">
                  <c:v>6.5804000000000001E-2</c:v>
                </c:pt>
                <c:pt idx="75">
                  <c:v>6.5478999999999996E-2</c:v>
                </c:pt>
                <c:pt idx="76">
                  <c:v>6.5155000000000005E-2</c:v>
                </c:pt>
                <c:pt idx="77">
                  <c:v>6.4833000000000002E-2</c:v>
                </c:pt>
                <c:pt idx="78">
                  <c:v>6.4512E-2</c:v>
                </c:pt>
                <c:pt idx="79">
                  <c:v>6.4191999999999999E-2</c:v>
                </c:pt>
                <c:pt idx="80">
                  <c:v>6.3874E-2</c:v>
                </c:pt>
                <c:pt idx="81">
                  <c:v>6.3557000000000002E-2</c:v>
                </c:pt>
                <c:pt idx="82">
                  <c:v>6.3242000000000007E-2</c:v>
                </c:pt>
                <c:pt idx="83">
                  <c:v>6.2928999999999999E-2</c:v>
                </c:pt>
                <c:pt idx="84">
                  <c:v>6.2616000000000005E-2</c:v>
                </c:pt>
                <c:pt idx="85">
                  <c:v>6.2616000000000005E-2</c:v>
                </c:pt>
                <c:pt idx="86">
                  <c:v>6.2616000000000005E-2</c:v>
                </c:pt>
                <c:pt idx="87">
                  <c:v>6.2616000000000005E-2</c:v>
                </c:pt>
                <c:pt idx="88">
                  <c:v>6.2616000000000005E-2</c:v>
                </c:pt>
                <c:pt idx="89">
                  <c:v>6.2616000000000005E-2</c:v>
                </c:pt>
                <c:pt idx="90">
                  <c:v>6.2616000000000005E-2</c:v>
                </c:pt>
                <c:pt idx="91">
                  <c:v>6.2616000000000005E-2</c:v>
                </c:pt>
                <c:pt idx="92">
                  <c:v>6.2616000000000005E-2</c:v>
                </c:pt>
                <c:pt idx="93">
                  <c:v>6.2616000000000005E-2</c:v>
                </c:pt>
                <c:pt idx="94">
                  <c:v>6.2616000000000005E-2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2-3FE4-445B-8EEB-D88489EA6296}"/>
            </c:ext>
          </c:extLst>
        </c:ser>
        <c:ser>
          <c:idx val="68"/>
          <c:order val="6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'99set'!$BR$10:$BR$104</c:f>
              <c:numCache>
                <c:formatCode>0.0000</c:formatCode>
                <c:ptCount val="95"/>
                <c:pt idx="0">
                  <c:v>0.22148999999999999</c:v>
                </c:pt>
                <c:pt idx="1">
                  <c:v>0.22148999999999999</c:v>
                </c:pt>
                <c:pt idx="2">
                  <c:v>0.22148999999999999</c:v>
                </c:pt>
                <c:pt idx="3">
                  <c:v>0.22148999999999999</c:v>
                </c:pt>
                <c:pt idx="4">
                  <c:v>0.22148999999999999</c:v>
                </c:pt>
                <c:pt idx="5">
                  <c:v>0.23594000000000001</c:v>
                </c:pt>
                <c:pt idx="6">
                  <c:v>0.25103999999999999</c:v>
                </c:pt>
                <c:pt idx="7">
                  <c:v>0.26676</c:v>
                </c:pt>
                <c:pt idx="8">
                  <c:v>0.28244999999999998</c:v>
                </c:pt>
                <c:pt idx="9">
                  <c:v>0.30036000000000002</c:v>
                </c:pt>
                <c:pt idx="10">
                  <c:v>0.31768999999999997</c:v>
                </c:pt>
                <c:pt idx="11">
                  <c:v>0.33467000000000002</c:v>
                </c:pt>
                <c:pt idx="12">
                  <c:v>0.35149000000000002</c:v>
                </c:pt>
                <c:pt idx="13">
                  <c:v>0.36825999999999998</c:v>
                </c:pt>
                <c:pt idx="14">
                  <c:v>0.38457000000000002</c:v>
                </c:pt>
                <c:pt idx="15">
                  <c:v>0.39996999999999999</c:v>
                </c:pt>
                <c:pt idx="16">
                  <c:v>0.41415000000000002</c:v>
                </c:pt>
                <c:pt idx="17">
                  <c:v>0.4269</c:v>
                </c:pt>
                <c:pt idx="18">
                  <c:v>0.43836000000000003</c:v>
                </c:pt>
                <c:pt idx="19">
                  <c:v>0.44836999999999999</c:v>
                </c:pt>
                <c:pt idx="20">
                  <c:v>0.45535999999999999</c:v>
                </c:pt>
                <c:pt idx="21">
                  <c:v>0.45810000000000001</c:v>
                </c:pt>
                <c:pt idx="22">
                  <c:v>0.45804</c:v>
                </c:pt>
                <c:pt idx="23">
                  <c:v>0.45745000000000002</c:v>
                </c:pt>
                <c:pt idx="24">
                  <c:v>0.45896999999999999</c:v>
                </c:pt>
                <c:pt idx="25">
                  <c:v>0.46434999999999998</c:v>
                </c:pt>
                <c:pt idx="26">
                  <c:v>0.47144000000000003</c:v>
                </c:pt>
                <c:pt idx="27">
                  <c:v>0.47732000000000002</c:v>
                </c:pt>
                <c:pt idx="28">
                  <c:v>0.47999000000000003</c:v>
                </c:pt>
                <c:pt idx="29">
                  <c:v>0.47815999999999997</c:v>
                </c:pt>
                <c:pt idx="30">
                  <c:v>0.47256999999999999</c:v>
                </c:pt>
                <c:pt idx="31">
                  <c:v>0.46378000000000003</c:v>
                </c:pt>
                <c:pt idx="32">
                  <c:v>0.44969999999999999</c:v>
                </c:pt>
                <c:pt idx="33">
                  <c:v>0.42856</c:v>
                </c:pt>
                <c:pt idx="34">
                  <c:v>0.40271000000000001</c:v>
                </c:pt>
                <c:pt idx="35">
                  <c:v>0.37519999999999998</c:v>
                </c:pt>
                <c:pt idx="36">
                  <c:v>0.34809000000000001</c:v>
                </c:pt>
                <c:pt idx="37">
                  <c:v>0.32279000000000002</c:v>
                </c:pt>
                <c:pt idx="38">
                  <c:v>0.29914000000000002</c:v>
                </c:pt>
                <c:pt idx="39">
                  <c:v>0.27704000000000001</c:v>
                </c:pt>
                <c:pt idx="40">
                  <c:v>0.25792999999999999</c:v>
                </c:pt>
                <c:pt idx="41">
                  <c:v>0.24313000000000001</c:v>
                </c:pt>
                <c:pt idx="42">
                  <c:v>0.23196</c:v>
                </c:pt>
                <c:pt idx="43">
                  <c:v>0.22348999999999999</c:v>
                </c:pt>
                <c:pt idx="44">
                  <c:v>0.21784000000000001</c:v>
                </c:pt>
                <c:pt idx="45">
                  <c:v>0.21518999999999999</c:v>
                </c:pt>
                <c:pt idx="46">
                  <c:v>0.21485000000000001</c:v>
                </c:pt>
                <c:pt idx="47">
                  <c:v>0.21593000000000001</c:v>
                </c:pt>
                <c:pt idx="48">
                  <c:v>0.21762999999999999</c:v>
                </c:pt>
                <c:pt idx="49">
                  <c:v>0.21934000000000001</c:v>
                </c:pt>
                <c:pt idx="50">
                  <c:v>0.22103999999999999</c:v>
                </c:pt>
                <c:pt idx="51">
                  <c:v>0.22281000000000001</c:v>
                </c:pt>
                <c:pt idx="52">
                  <c:v>0.22444</c:v>
                </c:pt>
                <c:pt idx="53">
                  <c:v>0.22570999999999999</c:v>
                </c:pt>
                <c:pt idx="54">
                  <c:v>0.22681000000000001</c:v>
                </c:pt>
                <c:pt idx="55">
                  <c:v>0.22806999999999999</c:v>
                </c:pt>
                <c:pt idx="56">
                  <c:v>0.23021</c:v>
                </c:pt>
                <c:pt idx="57">
                  <c:v>0.23372999999999999</c:v>
                </c:pt>
                <c:pt idx="58">
                  <c:v>0.23804</c:v>
                </c:pt>
                <c:pt idx="59">
                  <c:v>0.24224000000000001</c:v>
                </c:pt>
                <c:pt idx="60">
                  <c:v>0.24535000000000001</c:v>
                </c:pt>
                <c:pt idx="61">
                  <c:v>0.24668999999999999</c:v>
                </c:pt>
                <c:pt idx="62">
                  <c:v>0.24668999999999999</c:v>
                </c:pt>
                <c:pt idx="63">
                  <c:v>0.24598999999999999</c:v>
                </c:pt>
                <c:pt idx="64">
                  <c:v>0.24484</c:v>
                </c:pt>
                <c:pt idx="65">
                  <c:v>0.24338000000000001</c:v>
                </c:pt>
                <c:pt idx="66">
                  <c:v>0.24154</c:v>
                </c:pt>
                <c:pt idx="67">
                  <c:v>0.23921000000000001</c:v>
                </c:pt>
                <c:pt idx="68">
                  <c:v>0.23629</c:v>
                </c:pt>
                <c:pt idx="69">
                  <c:v>0.23427999999999999</c:v>
                </c:pt>
                <c:pt idx="70">
                  <c:v>0.23191999999999999</c:v>
                </c:pt>
                <c:pt idx="71">
                  <c:v>0.22958000000000001</c:v>
                </c:pt>
                <c:pt idx="72">
                  <c:v>0.22725999999999999</c:v>
                </c:pt>
                <c:pt idx="73">
                  <c:v>0.22495000000000001</c:v>
                </c:pt>
                <c:pt idx="74">
                  <c:v>0.22267000000000001</c:v>
                </c:pt>
                <c:pt idx="75">
                  <c:v>0.22039</c:v>
                </c:pt>
                <c:pt idx="76">
                  <c:v>0.21814</c:v>
                </c:pt>
                <c:pt idx="77">
                  <c:v>0.21590000000000001</c:v>
                </c:pt>
                <c:pt idx="78">
                  <c:v>0.21368000000000001</c:v>
                </c:pt>
                <c:pt idx="79">
                  <c:v>0.21146999999999999</c:v>
                </c:pt>
                <c:pt idx="80">
                  <c:v>0.20927999999999999</c:v>
                </c:pt>
                <c:pt idx="81">
                  <c:v>0.20710999999999999</c:v>
                </c:pt>
                <c:pt idx="82">
                  <c:v>0.20494999999999999</c:v>
                </c:pt>
                <c:pt idx="83">
                  <c:v>0.20282</c:v>
                </c:pt>
                <c:pt idx="84">
                  <c:v>0.20069000000000001</c:v>
                </c:pt>
                <c:pt idx="85">
                  <c:v>0.20069000000000001</c:v>
                </c:pt>
                <c:pt idx="86">
                  <c:v>0.20069000000000001</c:v>
                </c:pt>
                <c:pt idx="87">
                  <c:v>0.20069000000000001</c:v>
                </c:pt>
                <c:pt idx="88">
                  <c:v>0.20069000000000001</c:v>
                </c:pt>
                <c:pt idx="89">
                  <c:v>0.20069000000000001</c:v>
                </c:pt>
                <c:pt idx="90">
                  <c:v>0.20069000000000001</c:v>
                </c:pt>
                <c:pt idx="91">
                  <c:v>0.20069000000000001</c:v>
                </c:pt>
                <c:pt idx="92">
                  <c:v>0.20069000000000001</c:v>
                </c:pt>
                <c:pt idx="93">
                  <c:v>0.20069000000000001</c:v>
                </c:pt>
                <c:pt idx="94">
                  <c:v>0.20069000000000001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3-3FE4-445B-8EEB-D88489EA6296}"/>
            </c:ext>
          </c:extLst>
        </c:ser>
        <c:ser>
          <c:idx val="69"/>
          <c:order val="6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'99set'!$BS$10:$BS$104</c:f>
              <c:numCache>
                <c:formatCode>0.0000</c:formatCode>
                <c:ptCount val="95"/>
                <c:pt idx="0">
                  <c:v>0.13225000000000001</c:v>
                </c:pt>
                <c:pt idx="1">
                  <c:v>0.13225000000000001</c:v>
                </c:pt>
                <c:pt idx="2">
                  <c:v>0.13225000000000001</c:v>
                </c:pt>
                <c:pt idx="3">
                  <c:v>0.13225000000000001</c:v>
                </c:pt>
                <c:pt idx="4">
                  <c:v>0.13225000000000001</c:v>
                </c:pt>
                <c:pt idx="5">
                  <c:v>0.13933000000000001</c:v>
                </c:pt>
                <c:pt idx="6">
                  <c:v>0.14671999999999999</c:v>
                </c:pt>
                <c:pt idx="7">
                  <c:v>0.15443000000000001</c:v>
                </c:pt>
                <c:pt idx="8">
                  <c:v>0.16220000000000001</c:v>
                </c:pt>
                <c:pt idx="9">
                  <c:v>0.17097999999999999</c:v>
                </c:pt>
                <c:pt idx="10">
                  <c:v>0.17960999999999999</c:v>
                </c:pt>
                <c:pt idx="11">
                  <c:v>0.18831000000000001</c:v>
                </c:pt>
                <c:pt idx="12">
                  <c:v>0.19733000000000001</c:v>
                </c:pt>
                <c:pt idx="13">
                  <c:v>0.20679</c:v>
                </c:pt>
                <c:pt idx="14">
                  <c:v>0.21629999999999999</c:v>
                </c:pt>
                <c:pt idx="15">
                  <c:v>0.22539999999999999</c:v>
                </c:pt>
                <c:pt idx="16">
                  <c:v>0.23380999999999999</c:v>
                </c:pt>
                <c:pt idx="17">
                  <c:v>0.24135999999999999</c:v>
                </c:pt>
                <c:pt idx="18">
                  <c:v>0.24814</c:v>
                </c:pt>
                <c:pt idx="19">
                  <c:v>0.25398999999999999</c:v>
                </c:pt>
                <c:pt idx="20">
                  <c:v>0.25741000000000003</c:v>
                </c:pt>
                <c:pt idx="21">
                  <c:v>0.25724000000000002</c:v>
                </c:pt>
                <c:pt idx="22">
                  <c:v>0.25494</c:v>
                </c:pt>
                <c:pt idx="23">
                  <c:v>0.25267000000000001</c:v>
                </c:pt>
                <c:pt idx="24">
                  <c:v>0.25276999999999999</c:v>
                </c:pt>
                <c:pt idx="25">
                  <c:v>0.25679000000000002</c:v>
                </c:pt>
                <c:pt idx="26">
                  <c:v>0.26297999999999999</c:v>
                </c:pt>
                <c:pt idx="27">
                  <c:v>0.26901999999999998</c:v>
                </c:pt>
                <c:pt idx="28">
                  <c:v>0.27359</c:v>
                </c:pt>
                <c:pt idx="29">
                  <c:v>0.27587</c:v>
                </c:pt>
                <c:pt idx="30">
                  <c:v>0.27606000000000003</c:v>
                </c:pt>
                <c:pt idx="31">
                  <c:v>0.27412999999999998</c:v>
                </c:pt>
                <c:pt idx="32">
                  <c:v>0.26801999999999998</c:v>
                </c:pt>
                <c:pt idx="33">
                  <c:v>0.25608999999999998</c:v>
                </c:pt>
                <c:pt idx="34">
                  <c:v>0.24031</c:v>
                </c:pt>
                <c:pt idx="35">
                  <c:v>0.22327</c:v>
                </c:pt>
                <c:pt idx="36">
                  <c:v>0.2064</c:v>
                </c:pt>
                <c:pt idx="37">
                  <c:v>0.19064</c:v>
                </c:pt>
                <c:pt idx="38">
                  <c:v>0.17599999999999999</c:v>
                </c:pt>
                <c:pt idx="39">
                  <c:v>0.16259999999999999</c:v>
                </c:pt>
                <c:pt idx="40">
                  <c:v>0.15168000000000001</c:v>
                </c:pt>
                <c:pt idx="41">
                  <c:v>0.14438000000000001</c:v>
                </c:pt>
                <c:pt idx="42">
                  <c:v>0.14004</c:v>
                </c:pt>
                <c:pt idx="43">
                  <c:v>0.13802</c:v>
                </c:pt>
                <c:pt idx="44">
                  <c:v>0.13932</c:v>
                </c:pt>
                <c:pt idx="45">
                  <c:v>0.14480999999999999</c:v>
                </c:pt>
                <c:pt idx="46">
                  <c:v>0.15312999999999999</c:v>
                </c:pt>
                <c:pt idx="47">
                  <c:v>0.16242000000000001</c:v>
                </c:pt>
                <c:pt idx="48">
                  <c:v>0.17116000000000001</c:v>
                </c:pt>
                <c:pt idx="49">
                  <c:v>0.1782</c:v>
                </c:pt>
                <c:pt idx="50">
                  <c:v>0.18373</c:v>
                </c:pt>
                <c:pt idx="51">
                  <c:v>0.18815999999999999</c:v>
                </c:pt>
                <c:pt idx="52">
                  <c:v>0.19156000000000001</c:v>
                </c:pt>
                <c:pt idx="53">
                  <c:v>0.19395999999999999</c:v>
                </c:pt>
                <c:pt idx="54">
                  <c:v>0.19558</c:v>
                </c:pt>
                <c:pt idx="55">
                  <c:v>0.19681999999999999</c:v>
                </c:pt>
                <c:pt idx="56">
                  <c:v>0.19847000000000001</c:v>
                </c:pt>
                <c:pt idx="57">
                  <c:v>0.20116999999999999</c:v>
                </c:pt>
                <c:pt idx="58">
                  <c:v>0.20444000000000001</c:v>
                </c:pt>
                <c:pt idx="59">
                  <c:v>0.20755999999999999</c:v>
                </c:pt>
                <c:pt idx="60">
                  <c:v>0.20979999999999999</c:v>
                </c:pt>
                <c:pt idx="61">
                  <c:v>0.21071000000000001</c:v>
                </c:pt>
                <c:pt idx="62">
                  <c:v>0.21063000000000001</c:v>
                </c:pt>
                <c:pt idx="63">
                  <c:v>0.21002999999999999</c:v>
                </c:pt>
                <c:pt idx="64">
                  <c:v>0.20907999999999999</c:v>
                </c:pt>
                <c:pt idx="65">
                  <c:v>0.20784</c:v>
                </c:pt>
                <c:pt idx="66">
                  <c:v>0.20630000000000001</c:v>
                </c:pt>
                <c:pt idx="67">
                  <c:v>0.20441999999999999</c:v>
                </c:pt>
                <c:pt idx="68">
                  <c:v>0.20218</c:v>
                </c:pt>
                <c:pt idx="69">
                  <c:v>0.20050999999999999</c:v>
                </c:pt>
                <c:pt idx="70">
                  <c:v>0.19863</c:v>
                </c:pt>
                <c:pt idx="71">
                  <c:v>0.19675999999999999</c:v>
                </c:pt>
                <c:pt idx="72">
                  <c:v>0.19491</c:v>
                </c:pt>
                <c:pt idx="73">
                  <c:v>0.19306999999999999</c:v>
                </c:pt>
                <c:pt idx="74">
                  <c:v>0.19123999999999999</c:v>
                </c:pt>
                <c:pt idx="75">
                  <c:v>0.18942000000000001</c:v>
                </c:pt>
                <c:pt idx="76">
                  <c:v>0.18762000000000001</c:v>
                </c:pt>
                <c:pt idx="77">
                  <c:v>0.18584000000000001</c:v>
                </c:pt>
                <c:pt idx="78">
                  <c:v>0.18406</c:v>
                </c:pt>
                <c:pt idx="79">
                  <c:v>0.18229999999999999</c:v>
                </c:pt>
                <c:pt idx="80">
                  <c:v>0.18054999999999999</c:v>
                </c:pt>
                <c:pt idx="81">
                  <c:v>0.17882000000000001</c:v>
                </c:pt>
                <c:pt idx="82">
                  <c:v>0.17709</c:v>
                </c:pt>
                <c:pt idx="83">
                  <c:v>0.17538000000000001</c:v>
                </c:pt>
                <c:pt idx="84">
                  <c:v>0.17369000000000001</c:v>
                </c:pt>
                <c:pt idx="85">
                  <c:v>0.17369000000000001</c:v>
                </c:pt>
                <c:pt idx="86">
                  <c:v>0.17369000000000001</c:v>
                </c:pt>
                <c:pt idx="87">
                  <c:v>0.17369000000000001</c:v>
                </c:pt>
                <c:pt idx="88">
                  <c:v>0.17369000000000001</c:v>
                </c:pt>
                <c:pt idx="89">
                  <c:v>0.17369000000000001</c:v>
                </c:pt>
                <c:pt idx="90">
                  <c:v>0.17369000000000001</c:v>
                </c:pt>
                <c:pt idx="91">
                  <c:v>0.17369000000000001</c:v>
                </c:pt>
                <c:pt idx="92">
                  <c:v>0.17369000000000001</c:v>
                </c:pt>
                <c:pt idx="93">
                  <c:v>0.17369000000000001</c:v>
                </c:pt>
                <c:pt idx="94">
                  <c:v>0.17369000000000001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4-3FE4-445B-8EEB-D88489EA6296}"/>
            </c:ext>
          </c:extLst>
        </c:ser>
        <c:ser>
          <c:idx val="70"/>
          <c:order val="6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'99set'!$BT$10:$BT$104</c:f>
              <c:numCache>
                <c:formatCode>0.0000</c:formatCode>
                <c:ptCount val="95"/>
                <c:pt idx="0">
                  <c:v>0.31794</c:v>
                </c:pt>
                <c:pt idx="1">
                  <c:v>0.31794</c:v>
                </c:pt>
                <c:pt idx="2">
                  <c:v>0.31794</c:v>
                </c:pt>
                <c:pt idx="3">
                  <c:v>0.31794</c:v>
                </c:pt>
                <c:pt idx="4">
                  <c:v>0.31794</c:v>
                </c:pt>
                <c:pt idx="5">
                  <c:v>0.34608</c:v>
                </c:pt>
                <c:pt idx="6">
                  <c:v>0.37534000000000001</c:v>
                </c:pt>
                <c:pt idx="7">
                  <c:v>0.40554000000000001</c:v>
                </c:pt>
                <c:pt idx="8">
                  <c:v>0.43536999999999998</c:v>
                </c:pt>
                <c:pt idx="9">
                  <c:v>0.46844999999999998</c:v>
                </c:pt>
                <c:pt idx="10">
                  <c:v>0.49987999999999999</c:v>
                </c:pt>
                <c:pt idx="11">
                  <c:v>0.52990000000000004</c:v>
                </c:pt>
                <c:pt idx="12">
                  <c:v>0.55871999999999999</c:v>
                </c:pt>
                <c:pt idx="13">
                  <c:v>0.58643999999999996</c:v>
                </c:pt>
                <c:pt idx="14">
                  <c:v>0.61260999999999999</c:v>
                </c:pt>
                <c:pt idx="15">
                  <c:v>0.63671999999999995</c:v>
                </c:pt>
                <c:pt idx="16">
                  <c:v>0.65856999999999999</c:v>
                </c:pt>
                <c:pt idx="17">
                  <c:v>0.67805000000000004</c:v>
                </c:pt>
                <c:pt idx="18">
                  <c:v>0.69494999999999996</c:v>
                </c:pt>
                <c:pt idx="19">
                  <c:v>0.70889999999999997</c:v>
                </c:pt>
                <c:pt idx="20">
                  <c:v>0.71896000000000004</c:v>
                </c:pt>
                <c:pt idx="21">
                  <c:v>0.72438000000000002</c:v>
                </c:pt>
                <c:pt idx="22">
                  <c:v>0.72575999999999996</c:v>
                </c:pt>
                <c:pt idx="23">
                  <c:v>0.72392000000000001</c:v>
                </c:pt>
                <c:pt idx="24">
                  <c:v>0.71916000000000002</c:v>
                </c:pt>
                <c:pt idx="25">
                  <c:v>0.71160999999999996</c:v>
                </c:pt>
                <c:pt idx="26">
                  <c:v>0.70123000000000002</c:v>
                </c:pt>
                <c:pt idx="27">
                  <c:v>0.68799999999999994</c:v>
                </c:pt>
                <c:pt idx="28">
                  <c:v>0.67186999999999997</c:v>
                </c:pt>
                <c:pt idx="29">
                  <c:v>0.65288000000000002</c:v>
                </c:pt>
                <c:pt idx="30">
                  <c:v>0.63146999999999998</c:v>
                </c:pt>
                <c:pt idx="31">
                  <c:v>0.60795999999999994</c:v>
                </c:pt>
                <c:pt idx="32">
                  <c:v>0.58201000000000003</c:v>
                </c:pt>
                <c:pt idx="33">
                  <c:v>0.55342999999999998</c:v>
                </c:pt>
                <c:pt idx="34">
                  <c:v>0.52327000000000001</c:v>
                </c:pt>
                <c:pt idx="35">
                  <c:v>0.49282999999999999</c:v>
                </c:pt>
                <c:pt idx="36">
                  <c:v>0.4632</c:v>
                </c:pt>
                <c:pt idx="37">
                  <c:v>0.43523000000000001</c:v>
                </c:pt>
                <c:pt idx="38">
                  <c:v>0.40899000000000002</c:v>
                </c:pt>
                <c:pt idx="39">
                  <c:v>0.38457999999999998</c:v>
                </c:pt>
                <c:pt idx="40">
                  <c:v>0.36303000000000002</c:v>
                </c:pt>
                <c:pt idx="41">
                  <c:v>0.34527999999999998</c:v>
                </c:pt>
                <c:pt idx="42">
                  <c:v>0.33078000000000002</c:v>
                </c:pt>
                <c:pt idx="43">
                  <c:v>0.31879999999999997</c:v>
                </c:pt>
                <c:pt idx="44">
                  <c:v>0.30924000000000001</c:v>
                </c:pt>
                <c:pt idx="45">
                  <c:v>0.30208000000000002</c:v>
                </c:pt>
                <c:pt idx="46">
                  <c:v>0.29698000000000002</c:v>
                </c:pt>
                <c:pt idx="47">
                  <c:v>0.29354999999999998</c:v>
                </c:pt>
                <c:pt idx="48">
                  <c:v>0.29142000000000001</c:v>
                </c:pt>
                <c:pt idx="49">
                  <c:v>0.29026999999999997</c:v>
                </c:pt>
                <c:pt idx="50">
                  <c:v>0.28997000000000001</c:v>
                </c:pt>
                <c:pt idx="51">
                  <c:v>0.29041</c:v>
                </c:pt>
                <c:pt idx="52">
                  <c:v>0.29121000000000002</c:v>
                </c:pt>
                <c:pt idx="53">
                  <c:v>0.29205999999999999</c:v>
                </c:pt>
                <c:pt idx="54">
                  <c:v>0.29307</c:v>
                </c:pt>
                <c:pt idx="55">
                  <c:v>0.29449999999999998</c:v>
                </c:pt>
                <c:pt idx="56">
                  <c:v>0.29687999999999998</c:v>
                </c:pt>
                <c:pt idx="57">
                  <c:v>0.30057</c:v>
                </c:pt>
                <c:pt idx="58">
                  <c:v>0.30502000000000001</c:v>
                </c:pt>
                <c:pt idx="59">
                  <c:v>0.30941000000000002</c:v>
                </c:pt>
                <c:pt idx="60">
                  <c:v>0.31263999999999997</c:v>
                </c:pt>
                <c:pt idx="61">
                  <c:v>0.31391999999999998</c:v>
                </c:pt>
                <c:pt idx="62">
                  <c:v>0.31378</c:v>
                </c:pt>
                <c:pt idx="63">
                  <c:v>0.31298999999999999</c:v>
                </c:pt>
                <c:pt idx="64">
                  <c:v>0.31181999999999999</c:v>
                </c:pt>
                <c:pt idx="65">
                  <c:v>0.31034</c:v>
                </c:pt>
                <c:pt idx="66">
                  <c:v>0.30852000000000002</c:v>
                </c:pt>
                <c:pt idx="67">
                  <c:v>0.30629000000000001</c:v>
                </c:pt>
                <c:pt idx="68">
                  <c:v>0.30358000000000002</c:v>
                </c:pt>
                <c:pt idx="69">
                  <c:v>0.30159999999999998</c:v>
                </c:pt>
                <c:pt idx="70">
                  <c:v>0.29932999999999998</c:v>
                </c:pt>
                <c:pt idx="71">
                  <c:v>0.29708000000000001</c:v>
                </c:pt>
                <c:pt idx="72">
                  <c:v>0.29483999999999999</c:v>
                </c:pt>
                <c:pt idx="73">
                  <c:v>0.29260000000000003</c:v>
                </c:pt>
                <c:pt idx="74">
                  <c:v>0.29038000000000003</c:v>
                </c:pt>
                <c:pt idx="75">
                  <c:v>0.28816999999999998</c:v>
                </c:pt>
                <c:pt idx="76">
                  <c:v>0.28597</c:v>
                </c:pt>
                <c:pt idx="77">
                  <c:v>0.28377000000000002</c:v>
                </c:pt>
                <c:pt idx="78">
                  <c:v>0.28159000000000001</c:v>
                </c:pt>
                <c:pt idx="79">
                  <c:v>0.27942</c:v>
                </c:pt>
                <c:pt idx="80">
                  <c:v>0.27726000000000001</c:v>
                </c:pt>
                <c:pt idx="81">
                  <c:v>0.27511000000000002</c:v>
                </c:pt>
                <c:pt idx="82">
                  <c:v>0.27295999999999998</c:v>
                </c:pt>
                <c:pt idx="83">
                  <c:v>0.27083000000000002</c:v>
                </c:pt>
                <c:pt idx="84">
                  <c:v>0.26871</c:v>
                </c:pt>
                <c:pt idx="85">
                  <c:v>0.26871</c:v>
                </c:pt>
                <c:pt idx="86">
                  <c:v>0.26871</c:v>
                </c:pt>
                <c:pt idx="87">
                  <c:v>0.26871</c:v>
                </c:pt>
                <c:pt idx="88">
                  <c:v>0.26871</c:v>
                </c:pt>
                <c:pt idx="89">
                  <c:v>0.26871</c:v>
                </c:pt>
                <c:pt idx="90">
                  <c:v>0.26871</c:v>
                </c:pt>
                <c:pt idx="91">
                  <c:v>0.26871</c:v>
                </c:pt>
                <c:pt idx="92">
                  <c:v>0.26871</c:v>
                </c:pt>
                <c:pt idx="93">
                  <c:v>0.26871</c:v>
                </c:pt>
                <c:pt idx="94">
                  <c:v>0.26871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5-3FE4-445B-8EEB-D88489EA6296}"/>
            </c:ext>
          </c:extLst>
        </c:ser>
        <c:ser>
          <c:idx val="71"/>
          <c:order val="7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'99set'!$BU$10:$BU$104</c:f>
              <c:numCache>
                <c:formatCode>0.0000</c:formatCode>
                <c:ptCount val="95"/>
                <c:pt idx="0">
                  <c:v>3.6457999999999997E-2</c:v>
                </c:pt>
                <c:pt idx="1">
                  <c:v>3.6457999999999997E-2</c:v>
                </c:pt>
                <c:pt idx="2">
                  <c:v>3.6457999999999997E-2</c:v>
                </c:pt>
                <c:pt idx="3">
                  <c:v>3.6457999999999997E-2</c:v>
                </c:pt>
                <c:pt idx="4">
                  <c:v>3.6457999999999997E-2</c:v>
                </c:pt>
                <c:pt idx="5">
                  <c:v>3.9523000000000003E-2</c:v>
                </c:pt>
                <c:pt idx="6">
                  <c:v>4.2833999999999997E-2</c:v>
                </c:pt>
                <c:pt idx="7">
                  <c:v>4.6408999999999999E-2</c:v>
                </c:pt>
                <c:pt idx="8">
                  <c:v>5.04E-2</c:v>
                </c:pt>
                <c:pt idx="9">
                  <c:v>5.4850000000000003E-2</c:v>
                </c:pt>
                <c:pt idx="10">
                  <c:v>6.1699999999999998E-2</c:v>
                </c:pt>
                <c:pt idx="11">
                  <c:v>6.9429000000000005E-2</c:v>
                </c:pt>
                <c:pt idx="12">
                  <c:v>7.8600000000000003E-2</c:v>
                </c:pt>
                <c:pt idx="13">
                  <c:v>9.0022000000000005E-2</c:v>
                </c:pt>
                <c:pt idx="14">
                  <c:v>0.10340000000000001</c:v>
                </c:pt>
                <c:pt idx="15">
                  <c:v>0.11814</c:v>
                </c:pt>
                <c:pt idx="16">
                  <c:v>0.1336</c:v>
                </c:pt>
                <c:pt idx="17">
                  <c:v>0.14924999999999999</c:v>
                </c:pt>
                <c:pt idx="18">
                  <c:v>0.16520000000000001</c:v>
                </c:pt>
                <c:pt idx="19">
                  <c:v>0.18140999999999999</c:v>
                </c:pt>
                <c:pt idx="20">
                  <c:v>0.19670000000000001</c:v>
                </c:pt>
                <c:pt idx="21">
                  <c:v>0.20952999999999999</c:v>
                </c:pt>
                <c:pt idx="22">
                  <c:v>0.21820000000000001</c:v>
                </c:pt>
                <c:pt idx="23">
                  <c:v>0.22140000000000001</c:v>
                </c:pt>
                <c:pt idx="24">
                  <c:v>0.2195</c:v>
                </c:pt>
                <c:pt idx="25">
                  <c:v>0.21332999999999999</c:v>
                </c:pt>
                <c:pt idx="26">
                  <c:v>0.2039</c:v>
                </c:pt>
                <c:pt idx="27">
                  <c:v>0.19206000000000001</c:v>
                </c:pt>
                <c:pt idx="28">
                  <c:v>0.17799999999999999</c:v>
                </c:pt>
                <c:pt idx="29">
                  <c:v>0.16197</c:v>
                </c:pt>
                <c:pt idx="30">
                  <c:v>0.1452</c:v>
                </c:pt>
                <c:pt idx="31">
                  <c:v>0.12916</c:v>
                </c:pt>
                <c:pt idx="32">
                  <c:v>0.1153</c:v>
                </c:pt>
                <c:pt idx="33">
                  <c:v>0.10467</c:v>
                </c:pt>
                <c:pt idx="34">
                  <c:v>9.69E-2</c:v>
                </c:pt>
                <c:pt idx="35">
                  <c:v>9.0997999999999996E-2</c:v>
                </c:pt>
                <c:pt idx="36">
                  <c:v>8.5000000000000006E-2</c:v>
                </c:pt>
                <c:pt idx="37">
                  <c:v>7.7175999999999995E-2</c:v>
                </c:pt>
                <c:pt idx="38">
                  <c:v>6.7699999999999996E-2</c:v>
                </c:pt>
                <c:pt idx="39">
                  <c:v>5.7338E-2</c:v>
                </c:pt>
                <c:pt idx="40">
                  <c:v>4.7300000000000002E-2</c:v>
                </c:pt>
                <c:pt idx="41">
                  <c:v>3.9010999999999997E-2</c:v>
                </c:pt>
                <c:pt idx="42">
                  <c:v>3.4299999999999997E-2</c:v>
                </c:pt>
                <c:pt idx="43">
                  <c:v>3.4779999999999998E-2</c:v>
                </c:pt>
                <c:pt idx="44">
                  <c:v>4.0800000000000003E-2</c:v>
                </c:pt>
                <c:pt idx="45">
                  <c:v>5.1341999999999999E-2</c:v>
                </c:pt>
                <c:pt idx="46">
                  <c:v>6.1199999999999997E-2</c:v>
                </c:pt>
                <c:pt idx="47">
                  <c:v>6.5402000000000002E-2</c:v>
                </c:pt>
                <c:pt idx="48">
                  <c:v>6.4100000000000004E-2</c:v>
                </c:pt>
                <c:pt idx="49">
                  <c:v>5.9013999999999997E-2</c:v>
                </c:pt>
                <c:pt idx="50">
                  <c:v>5.2999999999999999E-2</c:v>
                </c:pt>
                <c:pt idx="51">
                  <c:v>4.8592999999999997E-2</c:v>
                </c:pt>
                <c:pt idx="52">
                  <c:v>4.5900000000000003E-2</c:v>
                </c:pt>
                <c:pt idx="53">
                  <c:v>4.4428000000000002E-2</c:v>
                </c:pt>
                <c:pt idx="54">
                  <c:v>4.3700000000000003E-2</c:v>
                </c:pt>
                <c:pt idx="55">
                  <c:v>4.3309E-2</c:v>
                </c:pt>
                <c:pt idx="56">
                  <c:v>4.3099999999999999E-2</c:v>
                </c:pt>
                <c:pt idx="57">
                  <c:v>4.3136000000000001E-2</c:v>
                </c:pt>
                <c:pt idx="58">
                  <c:v>4.41E-2</c:v>
                </c:pt>
                <c:pt idx="59">
                  <c:v>4.6808000000000002E-2</c:v>
                </c:pt>
                <c:pt idx="60">
                  <c:v>5.1999999999999998E-2</c:v>
                </c:pt>
                <c:pt idx="61">
                  <c:v>6.0157000000000002E-2</c:v>
                </c:pt>
                <c:pt idx="62">
                  <c:v>7.0800000000000002E-2</c:v>
                </c:pt>
                <c:pt idx="63">
                  <c:v>8.3163000000000001E-2</c:v>
                </c:pt>
                <c:pt idx="64">
                  <c:v>9.6299999999999997E-2</c:v>
                </c:pt>
                <c:pt idx="65">
                  <c:v>0.10963000000000001</c:v>
                </c:pt>
                <c:pt idx="66">
                  <c:v>0.1242</c:v>
                </c:pt>
                <c:pt idx="67">
                  <c:v>0.14004</c:v>
                </c:pt>
                <c:pt idx="68">
                  <c:v>0.15140000000000001</c:v>
                </c:pt>
                <c:pt idx="69">
                  <c:v>0.16305</c:v>
                </c:pt>
                <c:pt idx="70">
                  <c:v>0.17496</c:v>
                </c:pt>
                <c:pt idx="71">
                  <c:v>0.18754999999999999</c:v>
                </c:pt>
                <c:pt idx="72">
                  <c:v>0.20083000000000001</c:v>
                </c:pt>
                <c:pt idx="73">
                  <c:v>0.21479999999999999</c:v>
                </c:pt>
                <c:pt idx="74">
                  <c:v>0.22946</c:v>
                </c:pt>
                <c:pt idx="75">
                  <c:v>0.24479999999999999</c:v>
                </c:pt>
                <c:pt idx="76">
                  <c:v>0.26083000000000001</c:v>
                </c:pt>
                <c:pt idx="77">
                  <c:v>0.27751999999999999</c:v>
                </c:pt>
                <c:pt idx="78">
                  <c:v>0.29486000000000001</c:v>
                </c:pt>
                <c:pt idx="79">
                  <c:v>0.31280000000000002</c:v>
                </c:pt>
                <c:pt idx="80">
                  <c:v>0.33133000000000001</c:v>
                </c:pt>
                <c:pt idx="81">
                  <c:v>0.35039999999999999</c:v>
                </c:pt>
                <c:pt idx="82">
                  <c:v>0.36995</c:v>
                </c:pt>
                <c:pt idx="83">
                  <c:v>0.38994000000000001</c:v>
                </c:pt>
                <c:pt idx="84">
                  <c:v>0.41031000000000001</c:v>
                </c:pt>
                <c:pt idx="85">
                  <c:v>0.41031000000000001</c:v>
                </c:pt>
                <c:pt idx="86">
                  <c:v>0.41031000000000001</c:v>
                </c:pt>
                <c:pt idx="87">
                  <c:v>0.41031000000000001</c:v>
                </c:pt>
                <c:pt idx="88">
                  <c:v>0.41031000000000001</c:v>
                </c:pt>
                <c:pt idx="89">
                  <c:v>0.41031000000000001</c:v>
                </c:pt>
                <c:pt idx="90">
                  <c:v>0.41031000000000001</c:v>
                </c:pt>
                <c:pt idx="91">
                  <c:v>0.41031000000000001</c:v>
                </c:pt>
                <c:pt idx="92">
                  <c:v>0.41031000000000001</c:v>
                </c:pt>
                <c:pt idx="93">
                  <c:v>0.41031000000000001</c:v>
                </c:pt>
                <c:pt idx="94">
                  <c:v>0.41031000000000001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6-3FE4-445B-8EEB-D88489EA6296}"/>
            </c:ext>
          </c:extLst>
        </c:ser>
        <c:ser>
          <c:idx val="72"/>
          <c:order val="7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'99set'!$BV$10:$BV$104</c:f>
              <c:numCache>
                <c:formatCode>0.0000</c:formatCode>
                <c:ptCount val="95"/>
                <c:pt idx="0">
                  <c:v>0.37756000000000001</c:v>
                </c:pt>
                <c:pt idx="1">
                  <c:v>0.37756000000000001</c:v>
                </c:pt>
                <c:pt idx="2">
                  <c:v>0.37756000000000001</c:v>
                </c:pt>
                <c:pt idx="3">
                  <c:v>0.37756000000000001</c:v>
                </c:pt>
                <c:pt idx="4">
                  <c:v>0.37756000000000001</c:v>
                </c:pt>
                <c:pt idx="5">
                  <c:v>0.39318999999999998</c:v>
                </c:pt>
                <c:pt idx="6">
                  <c:v>0.40905000000000002</c:v>
                </c:pt>
                <c:pt idx="7">
                  <c:v>0.42509000000000002</c:v>
                </c:pt>
                <c:pt idx="8">
                  <c:v>0.44022</c:v>
                </c:pt>
                <c:pt idx="9">
                  <c:v>0.45815</c:v>
                </c:pt>
                <c:pt idx="10">
                  <c:v>0.47443000000000002</c:v>
                </c:pt>
                <c:pt idx="11">
                  <c:v>0.48876999999999998</c:v>
                </c:pt>
                <c:pt idx="12">
                  <c:v>0.50090999999999997</c:v>
                </c:pt>
                <c:pt idx="13">
                  <c:v>0.51073000000000002</c:v>
                </c:pt>
                <c:pt idx="14">
                  <c:v>0.51873999999999998</c:v>
                </c:pt>
                <c:pt idx="15">
                  <c:v>0.52556000000000003</c:v>
                </c:pt>
                <c:pt idx="16">
                  <c:v>0.53161999999999998</c:v>
                </c:pt>
                <c:pt idx="17">
                  <c:v>0.53715999999999997</c:v>
                </c:pt>
                <c:pt idx="18">
                  <c:v>0.54203000000000001</c:v>
                </c:pt>
                <c:pt idx="19">
                  <c:v>0.54598000000000002</c:v>
                </c:pt>
                <c:pt idx="20">
                  <c:v>0.54903000000000002</c:v>
                </c:pt>
                <c:pt idx="21">
                  <c:v>0.55122000000000004</c:v>
                </c:pt>
                <c:pt idx="22">
                  <c:v>0.55254000000000003</c:v>
                </c:pt>
                <c:pt idx="23">
                  <c:v>0.55300000000000005</c:v>
                </c:pt>
                <c:pt idx="24">
                  <c:v>0.55264000000000002</c:v>
                </c:pt>
                <c:pt idx="25">
                  <c:v>0.55149000000000004</c:v>
                </c:pt>
                <c:pt idx="26">
                  <c:v>0.54954999999999998</c:v>
                </c:pt>
                <c:pt idx="27">
                  <c:v>0.54681000000000002</c:v>
                </c:pt>
                <c:pt idx="28">
                  <c:v>0.54325999999999997</c:v>
                </c:pt>
                <c:pt idx="29">
                  <c:v>0.53893999999999997</c:v>
                </c:pt>
                <c:pt idx="30">
                  <c:v>0.53388999999999998</c:v>
                </c:pt>
                <c:pt idx="31">
                  <c:v>0.52808999999999995</c:v>
                </c:pt>
                <c:pt idx="32">
                  <c:v>0.52120999999999995</c:v>
                </c:pt>
                <c:pt idx="33">
                  <c:v>0.51297999999999999</c:v>
                </c:pt>
                <c:pt idx="34">
                  <c:v>0.50390000000000001</c:v>
                </c:pt>
                <c:pt idx="35">
                  <c:v>0.49460999999999999</c:v>
                </c:pt>
                <c:pt idx="36">
                  <c:v>0.48565999999999998</c:v>
                </c:pt>
                <c:pt idx="37">
                  <c:v>0.47742000000000001</c:v>
                </c:pt>
                <c:pt idx="38">
                  <c:v>0.46978999999999999</c:v>
                </c:pt>
                <c:pt idx="39">
                  <c:v>0.46262999999999999</c:v>
                </c:pt>
                <c:pt idx="40">
                  <c:v>0.45609</c:v>
                </c:pt>
                <c:pt idx="41">
                  <c:v>0.45034000000000002</c:v>
                </c:pt>
                <c:pt idx="42">
                  <c:v>0.44536999999999999</c:v>
                </c:pt>
                <c:pt idx="43">
                  <c:v>0.44114999999999999</c:v>
                </c:pt>
                <c:pt idx="44">
                  <c:v>0.43795000000000001</c:v>
                </c:pt>
                <c:pt idx="45">
                  <c:v>0.43597999999999998</c:v>
                </c:pt>
                <c:pt idx="46">
                  <c:v>0.43496000000000001</c:v>
                </c:pt>
                <c:pt idx="47">
                  <c:v>0.43459999999999999</c:v>
                </c:pt>
                <c:pt idx="48">
                  <c:v>0.43496000000000001</c:v>
                </c:pt>
                <c:pt idx="49">
                  <c:v>0.43609999999999999</c:v>
                </c:pt>
                <c:pt idx="50">
                  <c:v>0.43774000000000002</c:v>
                </c:pt>
                <c:pt idx="51">
                  <c:v>0.43955</c:v>
                </c:pt>
                <c:pt idx="52">
                  <c:v>0.44113999999999998</c:v>
                </c:pt>
                <c:pt idx="53">
                  <c:v>0.44227</c:v>
                </c:pt>
                <c:pt idx="54">
                  <c:v>0.44309999999999999</c:v>
                </c:pt>
                <c:pt idx="55">
                  <c:v>0.44396999999999998</c:v>
                </c:pt>
                <c:pt idx="56">
                  <c:v>0.44536999999999999</c:v>
                </c:pt>
                <c:pt idx="57">
                  <c:v>0.44767000000000001</c:v>
                </c:pt>
                <c:pt idx="58">
                  <c:v>0.45051999999999998</c:v>
                </c:pt>
                <c:pt idx="59">
                  <c:v>0.45332</c:v>
                </c:pt>
                <c:pt idx="60">
                  <c:v>0.45526</c:v>
                </c:pt>
                <c:pt idx="61">
                  <c:v>0.45577000000000001</c:v>
                </c:pt>
                <c:pt idx="62">
                  <c:v>0.45535999999999999</c:v>
                </c:pt>
                <c:pt idx="63">
                  <c:v>0.45474999999999999</c:v>
                </c:pt>
                <c:pt idx="64">
                  <c:v>0.45433000000000001</c:v>
                </c:pt>
                <c:pt idx="65">
                  <c:v>0.45435999999999999</c:v>
                </c:pt>
                <c:pt idx="66">
                  <c:v>0.45474999999999999</c:v>
                </c:pt>
                <c:pt idx="67">
                  <c:v>0.45534000000000002</c:v>
                </c:pt>
                <c:pt idx="68">
                  <c:v>0.45598</c:v>
                </c:pt>
                <c:pt idx="69">
                  <c:v>0.45651999999999998</c:v>
                </c:pt>
                <c:pt idx="70">
                  <c:v>0.45709</c:v>
                </c:pt>
                <c:pt idx="71">
                  <c:v>0.45767000000000002</c:v>
                </c:pt>
                <c:pt idx="72">
                  <c:v>0.45824999999999999</c:v>
                </c:pt>
                <c:pt idx="73">
                  <c:v>0.45883000000000002</c:v>
                </c:pt>
                <c:pt idx="74">
                  <c:v>0.45940999999999999</c:v>
                </c:pt>
                <c:pt idx="75">
                  <c:v>0.45998</c:v>
                </c:pt>
                <c:pt idx="76">
                  <c:v>0.46056000000000002</c:v>
                </c:pt>
                <c:pt idx="77">
                  <c:v>0.46113999999999999</c:v>
                </c:pt>
                <c:pt idx="78">
                  <c:v>0.46172000000000002</c:v>
                </c:pt>
                <c:pt idx="79">
                  <c:v>0.46229999999999999</c:v>
                </c:pt>
                <c:pt idx="80">
                  <c:v>0.46288000000000001</c:v>
                </c:pt>
                <c:pt idx="81">
                  <c:v>0.46345999999999998</c:v>
                </c:pt>
                <c:pt idx="82">
                  <c:v>0.46404000000000001</c:v>
                </c:pt>
                <c:pt idx="83">
                  <c:v>0.46461999999999998</c:v>
                </c:pt>
                <c:pt idx="84">
                  <c:v>0.46518999999999999</c:v>
                </c:pt>
                <c:pt idx="85">
                  <c:v>0.46518999999999999</c:v>
                </c:pt>
                <c:pt idx="86">
                  <c:v>0.46518999999999999</c:v>
                </c:pt>
                <c:pt idx="87">
                  <c:v>0.46518999999999999</c:v>
                </c:pt>
                <c:pt idx="88">
                  <c:v>0.46518999999999999</c:v>
                </c:pt>
                <c:pt idx="89">
                  <c:v>0.46518999999999999</c:v>
                </c:pt>
                <c:pt idx="90">
                  <c:v>0.46518999999999999</c:v>
                </c:pt>
                <c:pt idx="91">
                  <c:v>0.46518999999999999</c:v>
                </c:pt>
                <c:pt idx="92">
                  <c:v>0.46518999999999999</c:v>
                </c:pt>
                <c:pt idx="93">
                  <c:v>0.46518999999999999</c:v>
                </c:pt>
                <c:pt idx="94">
                  <c:v>0.46518999999999999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7-3FE4-445B-8EEB-D88489EA6296}"/>
            </c:ext>
          </c:extLst>
        </c:ser>
        <c:ser>
          <c:idx val="73"/>
          <c:order val="7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'99set'!$BW$10:$BW$104</c:f>
              <c:numCache>
                <c:formatCode>0.0000</c:formatCode>
                <c:ptCount val="95"/>
                <c:pt idx="0">
                  <c:v>0.16159999999999999</c:v>
                </c:pt>
                <c:pt idx="1">
                  <c:v>0.16159999999999999</c:v>
                </c:pt>
                <c:pt idx="2">
                  <c:v>0.16159999999999999</c:v>
                </c:pt>
                <c:pt idx="3">
                  <c:v>0.16159999999999999</c:v>
                </c:pt>
                <c:pt idx="4">
                  <c:v>0.16159999999999999</c:v>
                </c:pt>
                <c:pt idx="5">
                  <c:v>0.18015999999999999</c:v>
                </c:pt>
                <c:pt idx="6">
                  <c:v>0.20033999999999999</c:v>
                </c:pt>
                <c:pt idx="7">
                  <c:v>0.22217000000000001</c:v>
                </c:pt>
                <c:pt idx="8">
                  <c:v>0.23998</c:v>
                </c:pt>
                <c:pt idx="9">
                  <c:v>0.2737</c:v>
                </c:pt>
                <c:pt idx="10">
                  <c:v>0.29807</c:v>
                </c:pt>
                <c:pt idx="11">
                  <c:v>0.32072000000000001</c:v>
                </c:pt>
                <c:pt idx="12">
                  <c:v>0.3493</c:v>
                </c:pt>
                <c:pt idx="13">
                  <c:v>0.38927</c:v>
                </c:pt>
                <c:pt idx="14">
                  <c:v>0.43736999999999998</c:v>
                </c:pt>
                <c:pt idx="15">
                  <c:v>0.48743999999999998</c:v>
                </c:pt>
                <c:pt idx="16">
                  <c:v>0.53051000000000004</c:v>
                </c:pt>
                <c:pt idx="17">
                  <c:v>0.55903999999999998</c:v>
                </c:pt>
                <c:pt idx="18">
                  <c:v>0.57418999999999998</c:v>
                </c:pt>
                <c:pt idx="19">
                  <c:v>0.57916000000000001</c:v>
                </c:pt>
                <c:pt idx="20">
                  <c:v>0.57667999999999997</c:v>
                </c:pt>
                <c:pt idx="21">
                  <c:v>0.56906999999999996</c:v>
                </c:pt>
                <c:pt idx="22">
                  <c:v>0.55740999999999996</c:v>
                </c:pt>
                <c:pt idx="23">
                  <c:v>0.54266999999999999</c:v>
                </c:pt>
                <c:pt idx="24">
                  <c:v>0.52663000000000004</c:v>
                </c:pt>
                <c:pt idx="25">
                  <c:v>0.51095000000000002</c:v>
                </c:pt>
                <c:pt idx="26">
                  <c:v>0.49575000000000002</c:v>
                </c:pt>
                <c:pt idx="27">
                  <c:v>0.48059000000000002</c:v>
                </c:pt>
                <c:pt idx="28">
                  <c:v>0.46417999999999998</c:v>
                </c:pt>
                <c:pt idx="29">
                  <c:v>0.44544</c:v>
                </c:pt>
                <c:pt idx="30">
                  <c:v>0.42486000000000002</c:v>
                </c:pt>
                <c:pt idx="31">
                  <c:v>0.40322999999999998</c:v>
                </c:pt>
                <c:pt idx="32">
                  <c:v>0.38078000000000001</c:v>
                </c:pt>
                <c:pt idx="33">
                  <c:v>0.35769000000000001</c:v>
                </c:pt>
                <c:pt idx="34">
                  <c:v>0.33450999999999997</c:v>
                </c:pt>
                <c:pt idx="35">
                  <c:v>0.31157000000000001</c:v>
                </c:pt>
                <c:pt idx="36">
                  <c:v>0.28793999999999997</c:v>
                </c:pt>
                <c:pt idx="37">
                  <c:v>0.26280999999999999</c:v>
                </c:pt>
                <c:pt idx="38">
                  <c:v>0.23701</c:v>
                </c:pt>
                <c:pt idx="39">
                  <c:v>0.21187</c:v>
                </c:pt>
                <c:pt idx="40">
                  <c:v>0.18905</c:v>
                </c:pt>
                <c:pt idx="41">
                  <c:v>0.16994000000000001</c:v>
                </c:pt>
                <c:pt idx="42">
                  <c:v>0.15459000000000001</c:v>
                </c:pt>
                <c:pt idx="43">
                  <c:v>0.14279</c:v>
                </c:pt>
                <c:pt idx="44">
                  <c:v>0.13464000000000001</c:v>
                </c:pt>
                <c:pt idx="45">
                  <c:v>0.13012000000000001</c:v>
                </c:pt>
                <c:pt idx="46">
                  <c:v>0.12858</c:v>
                </c:pt>
                <c:pt idx="47">
                  <c:v>0.12914</c:v>
                </c:pt>
                <c:pt idx="48">
                  <c:v>0.13086</c:v>
                </c:pt>
                <c:pt idx="49">
                  <c:v>0.13275000000000001</c:v>
                </c:pt>
                <c:pt idx="50">
                  <c:v>0.13364000000000001</c:v>
                </c:pt>
                <c:pt idx="51">
                  <c:v>0.13270999999999999</c:v>
                </c:pt>
                <c:pt idx="52">
                  <c:v>0.13047</c:v>
                </c:pt>
                <c:pt idx="53">
                  <c:v>0.12776999999999999</c:v>
                </c:pt>
                <c:pt idx="54">
                  <c:v>0.1255</c:v>
                </c:pt>
                <c:pt idx="55">
                  <c:v>0.12447</c:v>
                </c:pt>
                <c:pt idx="56">
                  <c:v>0.12520000000000001</c:v>
                </c:pt>
                <c:pt idx="57">
                  <c:v>0.12806999999999999</c:v>
                </c:pt>
                <c:pt idx="58">
                  <c:v>0.13295000000000001</c:v>
                </c:pt>
                <c:pt idx="59">
                  <c:v>0.13949</c:v>
                </c:pt>
                <c:pt idx="60">
                  <c:v>0.14695</c:v>
                </c:pt>
                <c:pt idx="61">
                  <c:v>0.15462000000000001</c:v>
                </c:pt>
                <c:pt idx="62">
                  <c:v>0.16234000000000001</c:v>
                </c:pt>
                <c:pt idx="63">
                  <c:v>0.17088999999999999</c:v>
                </c:pt>
                <c:pt idx="64">
                  <c:v>0.18428</c:v>
                </c:pt>
                <c:pt idx="65">
                  <c:v>0.20616999999999999</c:v>
                </c:pt>
                <c:pt idx="66">
                  <c:v>0.23561000000000001</c:v>
                </c:pt>
                <c:pt idx="67">
                  <c:v>0.27055000000000001</c:v>
                </c:pt>
                <c:pt idx="68">
                  <c:v>0.30889</c:v>
                </c:pt>
                <c:pt idx="69">
                  <c:v>0.34889999999999999</c:v>
                </c:pt>
                <c:pt idx="70">
                  <c:v>0.39166000000000001</c:v>
                </c:pt>
                <c:pt idx="71">
                  <c:v>0.43614999999999998</c:v>
                </c:pt>
                <c:pt idx="72">
                  <c:v>0.48169000000000001</c:v>
                </c:pt>
                <c:pt idx="73">
                  <c:v>0.52754000000000001</c:v>
                </c:pt>
                <c:pt idx="74">
                  <c:v>0.57293000000000005</c:v>
                </c:pt>
                <c:pt idx="75">
                  <c:v>0.61712</c:v>
                </c:pt>
                <c:pt idx="76">
                  <c:v>0.65946000000000005</c:v>
                </c:pt>
                <c:pt idx="77">
                  <c:v>0.69940000000000002</c:v>
                </c:pt>
                <c:pt idx="78">
                  <c:v>0.73651999999999995</c:v>
                </c:pt>
                <c:pt idx="79">
                  <c:v>0.77056999999999998</c:v>
                </c:pt>
                <c:pt idx="80">
                  <c:v>0.8014</c:v>
                </c:pt>
                <c:pt idx="81">
                  <c:v>0.82899999999999996</c:v>
                </c:pt>
                <c:pt idx="82">
                  <c:v>0.85348000000000002</c:v>
                </c:pt>
                <c:pt idx="83">
                  <c:v>0.87497000000000003</c:v>
                </c:pt>
                <c:pt idx="84">
                  <c:v>0.89371</c:v>
                </c:pt>
                <c:pt idx="85">
                  <c:v>0.89371</c:v>
                </c:pt>
                <c:pt idx="86">
                  <c:v>0.89371</c:v>
                </c:pt>
                <c:pt idx="87">
                  <c:v>0.89371</c:v>
                </c:pt>
                <c:pt idx="88">
                  <c:v>0.89371</c:v>
                </c:pt>
                <c:pt idx="89">
                  <c:v>0.89371</c:v>
                </c:pt>
                <c:pt idx="90">
                  <c:v>0.89371</c:v>
                </c:pt>
                <c:pt idx="91">
                  <c:v>0.89371</c:v>
                </c:pt>
                <c:pt idx="92">
                  <c:v>0.89371</c:v>
                </c:pt>
                <c:pt idx="93">
                  <c:v>0.89371</c:v>
                </c:pt>
                <c:pt idx="94">
                  <c:v>0.89371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8-3FE4-445B-8EEB-D88489EA6296}"/>
            </c:ext>
          </c:extLst>
        </c:ser>
        <c:ser>
          <c:idx val="74"/>
          <c:order val="7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'99set'!$BX$10:$BX$104</c:f>
              <c:numCache>
                <c:formatCode>0.0000</c:formatCode>
                <c:ptCount val="95"/>
                <c:pt idx="0">
                  <c:v>3.3875000000000002E-2</c:v>
                </c:pt>
                <c:pt idx="1">
                  <c:v>3.3875000000000002E-2</c:v>
                </c:pt>
                <c:pt idx="2">
                  <c:v>3.3875000000000002E-2</c:v>
                </c:pt>
                <c:pt idx="3">
                  <c:v>3.3875000000000002E-2</c:v>
                </c:pt>
                <c:pt idx="4">
                  <c:v>3.3875000000000002E-2</c:v>
                </c:pt>
                <c:pt idx="5">
                  <c:v>3.483E-2</c:v>
                </c:pt>
                <c:pt idx="6">
                  <c:v>3.5811999999999997E-2</c:v>
                </c:pt>
                <c:pt idx="7">
                  <c:v>3.6819999999999999E-2</c:v>
                </c:pt>
                <c:pt idx="8">
                  <c:v>3.7827E-2</c:v>
                </c:pt>
                <c:pt idx="9">
                  <c:v>3.8932000000000001E-2</c:v>
                </c:pt>
                <c:pt idx="10">
                  <c:v>4.0010999999999998E-2</c:v>
                </c:pt>
                <c:pt idx="11">
                  <c:v>4.1114999999999999E-2</c:v>
                </c:pt>
                <c:pt idx="12">
                  <c:v>4.2294999999999999E-2</c:v>
                </c:pt>
                <c:pt idx="13">
                  <c:v>4.3598999999999999E-2</c:v>
                </c:pt>
                <c:pt idx="14">
                  <c:v>4.5074999999999997E-2</c:v>
                </c:pt>
                <c:pt idx="15">
                  <c:v>4.6781999999999997E-2</c:v>
                </c:pt>
                <c:pt idx="16">
                  <c:v>4.8847000000000002E-2</c:v>
                </c:pt>
                <c:pt idx="17">
                  <c:v>5.1325999999999997E-2</c:v>
                </c:pt>
                <c:pt idx="18">
                  <c:v>5.3911000000000001E-2</c:v>
                </c:pt>
                <c:pt idx="19">
                  <c:v>5.6226999999999999E-2</c:v>
                </c:pt>
                <c:pt idx="20">
                  <c:v>5.7980999999999998E-2</c:v>
                </c:pt>
                <c:pt idx="21">
                  <c:v>5.8984000000000002E-2</c:v>
                </c:pt>
                <c:pt idx="22">
                  <c:v>5.9371E-2</c:v>
                </c:pt>
                <c:pt idx="23">
                  <c:v>5.9374000000000003E-2</c:v>
                </c:pt>
                <c:pt idx="24">
                  <c:v>5.9271999999999998E-2</c:v>
                </c:pt>
                <c:pt idx="25">
                  <c:v>5.9226000000000001E-2</c:v>
                </c:pt>
                <c:pt idx="26">
                  <c:v>5.8874999999999997E-2</c:v>
                </c:pt>
                <c:pt idx="27">
                  <c:v>5.7854000000000003E-2</c:v>
                </c:pt>
                <c:pt idx="28">
                  <c:v>5.6293999999999997E-2</c:v>
                </c:pt>
                <c:pt idx="29">
                  <c:v>5.4477999999999999E-2</c:v>
                </c:pt>
                <c:pt idx="30">
                  <c:v>5.2818999999999998E-2</c:v>
                </c:pt>
                <c:pt idx="31">
                  <c:v>5.1643000000000001E-2</c:v>
                </c:pt>
                <c:pt idx="32">
                  <c:v>5.0833000000000003E-2</c:v>
                </c:pt>
                <c:pt idx="33">
                  <c:v>5.0125999999999997E-2</c:v>
                </c:pt>
                <c:pt idx="34">
                  <c:v>4.9145000000000001E-2</c:v>
                </c:pt>
                <c:pt idx="35">
                  <c:v>4.7638E-2</c:v>
                </c:pt>
                <c:pt idx="36">
                  <c:v>4.5968000000000002E-2</c:v>
                </c:pt>
                <c:pt idx="37">
                  <c:v>4.4627E-2</c:v>
                </c:pt>
                <c:pt idx="38">
                  <c:v>4.3982E-2</c:v>
                </c:pt>
                <c:pt idx="39">
                  <c:v>4.4290999999999997E-2</c:v>
                </c:pt>
                <c:pt idx="40">
                  <c:v>4.5471999999999999E-2</c:v>
                </c:pt>
                <c:pt idx="41">
                  <c:v>4.7240999999999998E-2</c:v>
                </c:pt>
                <c:pt idx="42">
                  <c:v>4.8847000000000002E-2</c:v>
                </c:pt>
                <c:pt idx="43">
                  <c:v>4.9577000000000003E-2</c:v>
                </c:pt>
                <c:pt idx="44">
                  <c:v>4.9343999999999999E-2</c:v>
                </c:pt>
                <c:pt idx="45">
                  <c:v>4.8293999999999997E-2</c:v>
                </c:pt>
                <c:pt idx="46">
                  <c:v>4.6862000000000001E-2</c:v>
                </c:pt>
                <c:pt idx="47">
                  <c:v>4.5504999999999997E-2</c:v>
                </c:pt>
                <c:pt idx="48">
                  <c:v>4.4478999999999998E-2</c:v>
                </c:pt>
                <c:pt idx="49">
                  <c:v>4.3930999999999998E-2</c:v>
                </c:pt>
                <c:pt idx="50">
                  <c:v>4.3784000000000003E-2</c:v>
                </c:pt>
                <c:pt idx="51">
                  <c:v>4.3895000000000003E-2</c:v>
                </c:pt>
                <c:pt idx="52">
                  <c:v>4.4082000000000003E-2</c:v>
                </c:pt>
                <c:pt idx="53">
                  <c:v>4.4199000000000002E-2</c:v>
                </c:pt>
                <c:pt idx="54">
                  <c:v>4.428E-2</c:v>
                </c:pt>
                <c:pt idx="55">
                  <c:v>4.4422000000000003E-2</c:v>
                </c:pt>
                <c:pt idx="56">
                  <c:v>4.4776999999999997E-2</c:v>
                </c:pt>
                <c:pt idx="57">
                  <c:v>4.5545000000000002E-2</c:v>
                </c:pt>
                <c:pt idx="58">
                  <c:v>4.7059999999999998E-2</c:v>
                </c:pt>
                <c:pt idx="59">
                  <c:v>4.9652000000000002E-2</c:v>
                </c:pt>
                <c:pt idx="60">
                  <c:v>5.3513999999999999E-2</c:v>
                </c:pt>
                <c:pt idx="61">
                  <c:v>5.8895000000000003E-2</c:v>
                </c:pt>
                <c:pt idx="62">
                  <c:v>6.6420999999999994E-2</c:v>
                </c:pt>
                <c:pt idx="63">
                  <c:v>7.6755000000000004E-2</c:v>
                </c:pt>
                <c:pt idx="64">
                  <c:v>9.0347999999999998E-2</c:v>
                </c:pt>
                <c:pt idx="65">
                  <c:v>0.10761999999999999</c:v>
                </c:pt>
                <c:pt idx="66">
                  <c:v>0.12906999999999999</c:v>
                </c:pt>
                <c:pt idx="67">
                  <c:v>0.15523999999999999</c:v>
                </c:pt>
                <c:pt idx="68">
                  <c:v>0.18665000000000001</c:v>
                </c:pt>
                <c:pt idx="69">
                  <c:v>0.22083</c:v>
                </c:pt>
                <c:pt idx="70">
                  <c:v>0.26012999999999997</c:v>
                </c:pt>
                <c:pt idx="71">
                  <c:v>0.30370999999999998</c:v>
                </c:pt>
                <c:pt idx="72">
                  <c:v>0.35110999999999998</c:v>
                </c:pt>
                <c:pt idx="73">
                  <c:v>0.40165000000000001</c:v>
                </c:pt>
                <c:pt idx="74">
                  <c:v>0.45437</c:v>
                </c:pt>
                <c:pt idx="75">
                  <c:v>0.50812999999999997</c:v>
                </c:pt>
                <c:pt idx="76">
                  <c:v>0.56171000000000004</c:v>
                </c:pt>
                <c:pt idx="77">
                  <c:v>0.61387999999999998</c:v>
                </c:pt>
                <c:pt idx="78">
                  <c:v>0.66356999999999999</c:v>
                </c:pt>
                <c:pt idx="79">
                  <c:v>0.70987999999999996</c:v>
                </c:pt>
                <c:pt idx="80">
                  <c:v>0.75219999999999998</c:v>
                </c:pt>
                <c:pt idx="81">
                  <c:v>0.79015999999999997</c:v>
                </c:pt>
                <c:pt idx="82">
                  <c:v>0.82367999999999997</c:v>
                </c:pt>
                <c:pt idx="83">
                  <c:v>0.85284000000000004</c:v>
                </c:pt>
                <c:pt idx="84">
                  <c:v>0.87788999999999995</c:v>
                </c:pt>
                <c:pt idx="85">
                  <c:v>0.87788999999999995</c:v>
                </c:pt>
                <c:pt idx="86">
                  <c:v>0.87788999999999995</c:v>
                </c:pt>
                <c:pt idx="87">
                  <c:v>0.87788999999999995</c:v>
                </c:pt>
                <c:pt idx="88">
                  <c:v>0.87788999999999995</c:v>
                </c:pt>
                <c:pt idx="89">
                  <c:v>0.87788999999999995</c:v>
                </c:pt>
                <c:pt idx="90">
                  <c:v>0.87788999999999995</c:v>
                </c:pt>
                <c:pt idx="91">
                  <c:v>0.87788999999999995</c:v>
                </c:pt>
                <c:pt idx="92">
                  <c:v>0.87788999999999995</c:v>
                </c:pt>
                <c:pt idx="93">
                  <c:v>0.87788999999999995</c:v>
                </c:pt>
                <c:pt idx="94">
                  <c:v>0.87788999999999995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9-3FE4-445B-8EEB-D88489EA6296}"/>
            </c:ext>
          </c:extLst>
        </c:ser>
        <c:ser>
          <c:idx val="75"/>
          <c:order val="7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'99set'!$BY$10:$BY$104</c:f>
              <c:numCache>
                <c:formatCode>0.0000</c:formatCode>
                <c:ptCount val="95"/>
                <c:pt idx="0">
                  <c:v>2.9193E-2</c:v>
                </c:pt>
                <c:pt idx="1">
                  <c:v>2.9193E-2</c:v>
                </c:pt>
                <c:pt idx="2">
                  <c:v>2.9193E-2</c:v>
                </c:pt>
                <c:pt idx="3">
                  <c:v>2.9193E-2</c:v>
                </c:pt>
                <c:pt idx="4">
                  <c:v>2.9193E-2</c:v>
                </c:pt>
                <c:pt idx="5">
                  <c:v>3.3549000000000002E-2</c:v>
                </c:pt>
                <c:pt idx="6">
                  <c:v>3.8531000000000003E-2</c:v>
                </c:pt>
                <c:pt idx="7">
                  <c:v>4.4218E-2</c:v>
                </c:pt>
                <c:pt idx="8">
                  <c:v>5.0900000000000001E-2</c:v>
                </c:pt>
                <c:pt idx="9">
                  <c:v>5.8657000000000001E-2</c:v>
                </c:pt>
                <c:pt idx="10">
                  <c:v>6.9099999999999995E-2</c:v>
                </c:pt>
                <c:pt idx="11">
                  <c:v>7.8145000000000006E-2</c:v>
                </c:pt>
                <c:pt idx="12">
                  <c:v>8.6699999999999999E-2</c:v>
                </c:pt>
                <c:pt idx="13">
                  <c:v>9.6502000000000004E-2</c:v>
                </c:pt>
                <c:pt idx="14">
                  <c:v>0.1076</c:v>
                </c:pt>
                <c:pt idx="15">
                  <c:v>0.11962</c:v>
                </c:pt>
                <c:pt idx="16">
                  <c:v>0.13220000000000001</c:v>
                </c:pt>
                <c:pt idx="17">
                  <c:v>0.14512</c:v>
                </c:pt>
                <c:pt idx="18">
                  <c:v>0.15870000000000001</c:v>
                </c:pt>
                <c:pt idx="19">
                  <c:v>0.17307</c:v>
                </c:pt>
                <c:pt idx="20">
                  <c:v>0.18690000000000001</c:v>
                </c:pt>
                <c:pt idx="21">
                  <c:v>0.19843</c:v>
                </c:pt>
                <c:pt idx="22">
                  <c:v>0.20549999999999999</c:v>
                </c:pt>
                <c:pt idx="23">
                  <c:v>0.20635999999999999</c:v>
                </c:pt>
                <c:pt idx="24">
                  <c:v>0.20119999999999999</c:v>
                </c:pt>
                <c:pt idx="25">
                  <c:v>0.19094</c:v>
                </c:pt>
                <c:pt idx="26">
                  <c:v>0.1774</c:v>
                </c:pt>
                <c:pt idx="27">
                  <c:v>0.16234000000000001</c:v>
                </c:pt>
                <c:pt idx="28">
                  <c:v>0.14649999999999999</c:v>
                </c:pt>
                <c:pt idx="29">
                  <c:v>0.13039999999999999</c:v>
                </c:pt>
                <c:pt idx="30">
                  <c:v>0.1148</c:v>
                </c:pt>
                <c:pt idx="31">
                  <c:v>0.10054</c:v>
                </c:pt>
                <c:pt idx="32">
                  <c:v>8.8599999999999998E-2</c:v>
                </c:pt>
                <c:pt idx="33">
                  <c:v>7.9728999999999994E-2</c:v>
                </c:pt>
                <c:pt idx="34">
                  <c:v>7.3599999999999999E-2</c:v>
                </c:pt>
                <c:pt idx="35">
                  <c:v>6.9468000000000002E-2</c:v>
                </c:pt>
                <c:pt idx="36">
                  <c:v>6.6000000000000003E-2</c:v>
                </c:pt>
                <c:pt idx="37">
                  <c:v>6.1974000000000001E-2</c:v>
                </c:pt>
                <c:pt idx="38">
                  <c:v>5.7200000000000001E-2</c:v>
                </c:pt>
                <c:pt idx="39">
                  <c:v>5.1874999999999998E-2</c:v>
                </c:pt>
                <c:pt idx="40">
                  <c:v>4.6699999999999998E-2</c:v>
                </c:pt>
                <c:pt idx="41">
                  <c:v>4.2549999999999998E-2</c:v>
                </c:pt>
                <c:pt idx="42">
                  <c:v>4.0500000000000001E-2</c:v>
                </c:pt>
                <c:pt idx="43">
                  <c:v>4.1447999999999999E-2</c:v>
                </c:pt>
                <c:pt idx="44">
                  <c:v>4.5400000000000003E-2</c:v>
                </c:pt>
                <c:pt idx="45">
                  <c:v>5.1558E-2</c:v>
                </c:pt>
                <c:pt idx="46">
                  <c:v>5.6800000000000003E-2</c:v>
                </c:pt>
                <c:pt idx="47">
                  <c:v>5.8231999999999999E-2</c:v>
                </c:pt>
                <c:pt idx="48">
                  <c:v>5.62E-2</c:v>
                </c:pt>
                <c:pt idx="49">
                  <c:v>5.1977000000000002E-2</c:v>
                </c:pt>
                <c:pt idx="50">
                  <c:v>4.7300000000000002E-2</c:v>
                </c:pt>
                <c:pt idx="51">
                  <c:v>4.3686000000000003E-2</c:v>
                </c:pt>
                <c:pt idx="52">
                  <c:v>4.1300000000000003E-2</c:v>
                </c:pt>
                <c:pt idx="53">
                  <c:v>3.9965000000000001E-2</c:v>
                </c:pt>
                <c:pt idx="54">
                  <c:v>3.95E-2</c:v>
                </c:pt>
                <c:pt idx="55">
                  <c:v>3.9702000000000001E-2</c:v>
                </c:pt>
                <c:pt idx="56">
                  <c:v>4.0300000000000002E-2</c:v>
                </c:pt>
                <c:pt idx="57">
                  <c:v>4.1140000000000003E-2</c:v>
                </c:pt>
                <c:pt idx="58">
                  <c:v>4.2599999999999999E-2</c:v>
                </c:pt>
                <c:pt idx="59">
                  <c:v>4.5175E-2</c:v>
                </c:pt>
                <c:pt idx="60">
                  <c:v>4.9299999999999997E-2</c:v>
                </c:pt>
                <c:pt idx="61">
                  <c:v>5.5248999999999999E-2</c:v>
                </c:pt>
                <c:pt idx="62">
                  <c:v>6.2700000000000006E-2</c:v>
                </c:pt>
                <c:pt idx="63">
                  <c:v>7.1155999999999997E-2</c:v>
                </c:pt>
                <c:pt idx="64">
                  <c:v>0.08</c:v>
                </c:pt>
                <c:pt idx="65">
                  <c:v>8.8853000000000001E-2</c:v>
                </c:pt>
                <c:pt idx="66">
                  <c:v>9.8400000000000001E-2</c:v>
                </c:pt>
                <c:pt idx="67">
                  <c:v>0.10867</c:v>
                </c:pt>
                <c:pt idx="68">
                  <c:v>0.11600000000000001</c:v>
                </c:pt>
                <c:pt idx="69">
                  <c:v>0.12346</c:v>
                </c:pt>
                <c:pt idx="70">
                  <c:v>0.13106000000000001</c:v>
                </c:pt>
                <c:pt idx="71">
                  <c:v>0.13904</c:v>
                </c:pt>
                <c:pt idx="72">
                  <c:v>0.14743000000000001</c:v>
                </c:pt>
                <c:pt idx="73">
                  <c:v>0.15623000000000001</c:v>
                </c:pt>
                <c:pt idx="74">
                  <c:v>0.16546</c:v>
                </c:pt>
                <c:pt idx="75">
                  <c:v>0.17512</c:v>
                </c:pt>
                <c:pt idx="76">
                  <c:v>0.18522</c:v>
                </c:pt>
                <c:pt idx="77">
                  <c:v>0.19575999999999999</c:v>
                </c:pt>
                <c:pt idx="78">
                  <c:v>0.20674999999999999</c:v>
                </c:pt>
                <c:pt idx="79">
                  <c:v>0.21819</c:v>
                </c:pt>
                <c:pt idx="80">
                  <c:v>0.23008000000000001</c:v>
                </c:pt>
                <c:pt idx="81">
                  <c:v>0.24240999999999999</c:v>
                </c:pt>
                <c:pt idx="82">
                  <c:v>0.25518999999999997</c:v>
                </c:pt>
                <c:pt idx="83">
                  <c:v>0.26840000000000003</c:v>
                </c:pt>
                <c:pt idx="84">
                  <c:v>0.28204000000000001</c:v>
                </c:pt>
                <c:pt idx="85">
                  <c:v>0.28204000000000001</c:v>
                </c:pt>
                <c:pt idx="86">
                  <c:v>0.28204000000000001</c:v>
                </c:pt>
                <c:pt idx="87">
                  <c:v>0.28204000000000001</c:v>
                </c:pt>
                <c:pt idx="88">
                  <c:v>0.28204000000000001</c:v>
                </c:pt>
                <c:pt idx="89">
                  <c:v>0.28204000000000001</c:v>
                </c:pt>
                <c:pt idx="90">
                  <c:v>0.28204000000000001</c:v>
                </c:pt>
                <c:pt idx="91">
                  <c:v>0.28204000000000001</c:v>
                </c:pt>
                <c:pt idx="92">
                  <c:v>0.28204000000000001</c:v>
                </c:pt>
                <c:pt idx="93">
                  <c:v>0.28204000000000001</c:v>
                </c:pt>
                <c:pt idx="94">
                  <c:v>0.28204000000000001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A-3FE4-445B-8EEB-D88489EA6296}"/>
            </c:ext>
          </c:extLst>
        </c:ser>
        <c:ser>
          <c:idx val="76"/>
          <c:order val="7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'99set'!$BZ$10:$BZ$104</c:f>
              <c:numCache>
                <c:formatCode>0.0000</c:formatCode>
                <c:ptCount val="95"/>
                <c:pt idx="0">
                  <c:v>0.21199000000000001</c:v>
                </c:pt>
                <c:pt idx="1">
                  <c:v>0.21199000000000001</c:v>
                </c:pt>
                <c:pt idx="2">
                  <c:v>0.21199000000000001</c:v>
                </c:pt>
                <c:pt idx="3">
                  <c:v>0.21199000000000001</c:v>
                </c:pt>
                <c:pt idx="4">
                  <c:v>0.21199000000000001</c:v>
                </c:pt>
                <c:pt idx="5">
                  <c:v>0.22950999999999999</c:v>
                </c:pt>
                <c:pt idx="6">
                  <c:v>0.24803</c:v>
                </c:pt>
                <c:pt idx="7">
                  <c:v>0.26751999999999998</c:v>
                </c:pt>
                <c:pt idx="8">
                  <c:v>0.28860000000000002</c:v>
                </c:pt>
                <c:pt idx="9">
                  <c:v>0.31111</c:v>
                </c:pt>
                <c:pt idx="10">
                  <c:v>0.33960000000000001</c:v>
                </c:pt>
                <c:pt idx="11">
                  <c:v>0.36065999999999998</c:v>
                </c:pt>
                <c:pt idx="12">
                  <c:v>0.37769999999999998</c:v>
                </c:pt>
                <c:pt idx="13">
                  <c:v>0.39674999999999999</c:v>
                </c:pt>
                <c:pt idx="14">
                  <c:v>0.41749999999999998</c:v>
                </c:pt>
                <c:pt idx="15">
                  <c:v>0.43808000000000002</c:v>
                </c:pt>
                <c:pt idx="16">
                  <c:v>0.45679999999999998</c:v>
                </c:pt>
                <c:pt idx="17">
                  <c:v>0.47192000000000001</c:v>
                </c:pt>
                <c:pt idx="18">
                  <c:v>0.48120000000000002</c:v>
                </c:pt>
                <c:pt idx="19">
                  <c:v>0.48293000000000003</c:v>
                </c:pt>
                <c:pt idx="20">
                  <c:v>0.47789999999999999</c:v>
                </c:pt>
                <c:pt idx="21">
                  <c:v>0.46766000000000002</c:v>
                </c:pt>
                <c:pt idx="22">
                  <c:v>0.45429999999999998</c:v>
                </c:pt>
                <c:pt idx="23">
                  <c:v>0.43958999999999998</c:v>
                </c:pt>
                <c:pt idx="24">
                  <c:v>0.42359999999999998</c:v>
                </c:pt>
                <c:pt idx="25">
                  <c:v>0.40603</c:v>
                </c:pt>
                <c:pt idx="26">
                  <c:v>0.38690000000000002</c:v>
                </c:pt>
                <c:pt idx="27">
                  <c:v>0.36620999999999998</c:v>
                </c:pt>
                <c:pt idx="28">
                  <c:v>0.34350000000000003</c:v>
                </c:pt>
                <c:pt idx="29">
                  <c:v>0.31847999999999999</c:v>
                </c:pt>
                <c:pt idx="30">
                  <c:v>0.29189999999999999</c:v>
                </c:pt>
                <c:pt idx="31">
                  <c:v>0.26502999999999999</c:v>
                </c:pt>
                <c:pt idx="32">
                  <c:v>0.2402</c:v>
                </c:pt>
                <c:pt idx="33">
                  <c:v>0.21929000000000001</c:v>
                </c:pt>
                <c:pt idx="34">
                  <c:v>0.20150000000000001</c:v>
                </c:pt>
                <c:pt idx="35">
                  <c:v>0.18521000000000001</c:v>
                </c:pt>
                <c:pt idx="36">
                  <c:v>0.16839999999999999</c:v>
                </c:pt>
                <c:pt idx="37">
                  <c:v>0.14935000000000001</c:v>
                </c:pt>
                <c:pt idx="38">
                  <c:v>0.128</c:v>
                </c:pt>
                <c:pt idx="39">
                  <c:v>0.10516</c:v>
                </c:pt>
                <c:pt idx="40">
                  <c:v>8.3400000000000002E-2</c:v>
                </c:pt>
                <c:pt idx="41">
                  <c:v>6.5627000000000005E-2</c:v>
                </c:pt>
                <c:pt idx="42">
                  <c:v>5.4199999999999998E-2</c:v>
                </c:pt>
                <c:pt idx="43">
                  <c:v>5.1034999999999997E-2</c:v>
                </c:pt>
                <c:pt idx="44">
                  <c:v>5.6800000000000003E-2</c:v>
                </c:pt>
                <c:pt idx="45">
                  <c:v>7.0682999999999996E-2</c:v>
                </c:pt>
                <c:pt idx="46">
                  <c:v>8.72E-2</c:v>
                </c:pt>
                <c:pt idx="47">
                  <c:v>0.10057000000000001</c:v>
                </c:pt>
                <c:pt idx="48">
                  <c:v>0.1085</c:v>
                </c:pt>
                <c:pt idx="49">
                  <c:v>0.11045000000000001</c:v>
                </c:pt>
                <c:pt idx="50">
                  <c:v>0.1094</c:v>
                </c:pt>
                <c:pt idx="51">
                  <c:v>0.10857</c:v>
                </c:pt>
                <c:pt idx="52">
                  <c:v>0.1087</c:v>
                </c:pt>
                <c:pt idx="53">
                  <c:v>0.10986</c:v>
                </c:pt>
                <c:pt idx="54">
                  <c:v>0.1119</c:v>
                </c:pt>
                <c:pt idx="55">
                  <c:v>0.11481</c:v>
                </c:pt>
                <c:pt idx="56">
                  <c:v>0.11940000000000001</c:v>
                </c:pt>
                <c:pt idx="57">
                  <c:v>0.12645999999999999</c:v>
                </c:pt>
                <c:pt idx="58">
                  <c:v>0.1358</c:v>
                </c:pt>
                <c:pt idx="59">
                  <c:v>0.14671999999999999</c:v>
                </c:pt>
                <c:pt idx="60">
                  <c:v>0.15740000000000001</c:v>
                </c:pt>
                <c:pt idx="61">
                  <c:v>0.16578999999999999</c:v>
                </c:pt>
                <c:pt idx="62">
                  <c:v>0.17019999999999999</c:v>
                </c:pt>
                <c:pt idx="63">
                  <c:v>0.16964000000000001</c:v>
                </c:pt>
                <c:pt idx="64">
                  <c:v>0.16569999999999999</c:v>
                </c:pt>
                <c:pt idx="65">
                  <c:v>0.15994</c:v>
                </c:pt>
                <c:pt idx="66">
                  <c:v>0.1512</c:v>
                </c:pt>
                <c:pt idx="67">
                  <c:v>0.13916999999999999</c:v>
                </c:pt>
                <c:pt idx="68">
                  <c:v>0.12970000000000001</c:v>
                </c:pt>
                <c:pt idx="69">
                  <c:v>0.12095</c:v>
                </c:pt>
                <c:pt idx="70">
                  <c:v>0.11294</c:v>
                </c:pt>
                <c:pt idx="71">
                  <c:v>0.10539999999999999</c:v>
                </c:pt>
                <c:pt idx="72">
                  <c:v>9.8311999999999997E-2</c:v>
                </c:pt>
                <c:pt idx="73">
                  <c:v>9.1648999999999994E-2</c:v>
                </c:pt>
                <c:pt idx="74">
                  <c:v>8.5394999999999999E-2</c:v>
                </c:pt>
                <c:pt idx="75">
                  <c:v>7.9531000000000004E-2</c:v>
                </c:pt>
                <c:pt idx="76">
                  <c:v>7.4036000000000005E-2</c:v>
                </c:pt>
                <c:pt idx="77">
                  <c:v>6.8892999999999996E-2</c:v>
                </c:pt>
                <c:pt idx="78">
                  <c:v>6.4082E-2</c:v>
                </c:pt>
                <c:pt idx="79">
                  <c:v>5.9586E-2</c:v>
                </c:pt>
                <c:pt idx="80">
                  <c:v>5.5386999999999999E-2</c:v>
                </c:pt>
                <c:pt idx="81">
                  <c:v>5.1466999999999999E-2</c:v>
                </c:pt>
                <c:pt idx="82">
                  <c:v>4.7810999999999999E-2</c:v>
                </c:pt>
                <c:pt idx="83">
                  <c:v>4.4401999999999997E-2</c:v>
                </c:pt>
                <c:pt idx="84">
                  <c:v>4.1225999999999999E-2</c:v>
                </c:pt>
                <c:pt idx="85">
                  <c:v>4.1225999999999999E-2</c:v>
                </c:pt>
                <c:pt idx="86">
                  <c:v>4.1225999999999999E-2</c:v>
                </c:pt>
                <c:pt idx="87">
                  <c:v>4.1225999999999999E-2</c:v>
                </c:pt>
                <c:pt idx="88">
                  <c:v>4.1225999999999999E-2</c:v>
                </c:pt>
                <c:pt idx="89">
                  <c:v>4.1225999999999999E-2</c:v>
                </c:pt>
                <c:pt idx="90">
                  <c:v>4.1225999999999999E-2</c:v>
                </c:pt>
                <c:pt idx="91">
                  <c:v>4.1225999999999999E-2</c:v>
                </c:pt>
                <c:pt idx="92">
                  <c:v>4.1225999999999999E-2</c:v>
                </c:pt>
                <c:pt idx="93">
                  <c:v>4.1225999999999999E-2</c:v>
                </c:pt>
                <c:pt idx="94">
                  <c:v>4.1225999999999999E-2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B-3FE4-445B-8EEB-D88489EA6296}"/>
            </c:ext>
          </c:extLst>
        </c:ser>
        <c:ser>
          <c:idx val="77"/>
          <c:order val="7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'99set'!$CA$10:$CA$104</c:f>
              <c:numCache>
                <c:formatCode>0.0000</c:formatCode>
                <c:ptCount val="95"/>
                <c:pt idx="0">
                  <c:v>2.8048E-2</c:v>
                </c:pt>
                <c:pt idx="1">
                  <c:v>2.8048E-2</c:v>
                </c:pt>
                <c:pt idx="2">
                  <c:v>2.8048E-2</c:v>
                </c:pt>
                <c:pt idx="3">
                  <c:v>2.8048E-2</c:v>
                </c:pt>
                <c:pt idx="4">
                  <c:v>2.8048E-2</c:v>
                </c:pt>
                <c:pt idx="5">
                  <c:v>3.5373818181818173E-2</c:v>
                </c:pt>
                <c:pt idx="6">
                  <c:v>5.4221190476190471E-2</c:v>
                </c:pt>
                <c:pt idx="7">
                  <c:v>7.8299516129032257E-2</c:v>
                </c:pt>
                <c:pt idx="8">
                  <c:v>0.10592890243902439</c:v>
                </c:pt>
                <c:pt idx="9">
                  <c:v>0.13046017073170732</c:v>
                </c:pt>
                <c:pt idx="10">
                  <c:v>0.1559090243902439</c:v>
                </c:pt>
                <c:pt idx="11">
                  <c:v>0.18140446341463415</c:v>
                </c:pt>
                <c:pt idx="12">
                  <c:v>0.20586048780487809</c:v>
                </c:pt>
                <c:pt idx="13">
                  <c:v>0.22734951219512195</c:v>
                </c:pt>
                <c:pt idx="14">
                  <c:v>0.24649073170731714</c:v>
                </c:pt>
                <c:pt idx="15">
                  <c:v>0.26233853658536588</c:v>
                </c:pt>
                <c:pt idx="16">
                  <c:v>0.27425390243902442</c:v>
                </c:pt>
                <c:pt idx="17">
                  <c:v>0.2831258536585366</c:v>
                </c:pt>
                <c:pt idx="18">
                  <c:v>0.29061536585365849</c:v>
                </c:pt>
                <c:pt idx="19">
                  <c:v>0.29479975609756093</c:v>
                </c:pt>
                <c:pt idx="20">
                  <c:v>0.29517121951219516</c:v>
                </c:pt>
                <c:pt idx="21">
                  <c:v>0.29326536585365859</c:v>
                </c:pt>
                <c:pt idx="22">
                  <c:v>0.28875121951219507</c:v>
                </c:pt>
                <c:pt idx="23">
                  <c:v>0.28175585365853645</c:v>
                </c:pt>
                <c:pt idx="24">
                  <c:v>0.27334414634146342</c:v>
                </c:pt>
                <c:pt idx="25">
                  <c:v>0.26346121951219509</c:v>
                </c:pt>
                <c:pt idx="26">
                  <c:v>0.25140560975609755</c:v>
                </c:pt>
                <c:pt idx="27">
                  <c:v>0.23809317073170735</c:v>
                </c:pt>
                <c:pt idx="28">
                  <c:v>0.22534682926829272</c:v>
                </c:pt>
                <c:pt idx="29">
                  <c:v>0.21296609756097565</c:v>
                </c:pt>
                <c:pt idx="30">
                  <c:v>0.20097853658536588</c:v>
                </c:pt>
                <c:pt idx="31">
                  <c:v>0.18933512195121951</c:v>
                </c:pt>
                <c:pt idx="32">
                  <c:v>0.17749512195121953</c:v>
                </c:pt>
                <c:pt idx="33">
                  <c:v>0.16597804878048777</c:v>
                </c:pt>
                <c:pt idx="34">
                  <c:v>0.15478097560975609</c:v>
                </c:pt>
                <c:pt idx="35">
                  <c:v>0.14463902439024384</c:v>
                </c:pt>
                <c:pt idx="36">
                  <c:v>0.13534146341463407</c:v>
                </c:pt>
                <c:pt idx="37">
                  <c:v>0.12632146341463413</c:v>
                </c:pt>
                <c:pt idx="38">
                  <c:v>0.11733826829268296</c:v>
                </c:pt>
                <c:pt idx="39">
                  <c:v>0.1086997804878049</c:v>
                </c:pt>
                <c:pt idx="40">
                  <c:v>0.10113297560975612</c:v>
                </c:pt>
                <c:pt idx="41">
                  <c:v>9.4913463414634164E-2</c:v>
                </c:pt>
                <c:pt idx="42">
                  <c:v>8.9671024390243909E-2</c:v>
                </c:pt>
                <c:pt idx="43">
                  <c:v>8.5257756097560977E-2</c:v>
                </c:pt>
                <c:pt idx="44">
                  <c:v>8.1693414634146352E-2</c:v>
                </c:pt>
                <c:pt idx="45">
                  <c:v>7.9136243902439035E-2</c:v>
                </c:pt>
                <c:pt idx="46">
                  <c:v>7.76430731707317E-2</c:v>
                </c:pt>
                <c:pt idx="47">
                  <c:v>7.7073097560975606E-2</c:v>
                </c:pt>
                <c:pt idx="48">
                  <c:v>7.7304219512195085E-2</c:v>
                </c:pt>
                <c:pt idx="49">
                  <c:v>7.8251048780487775E-2</c:v>
                </c:pt>
                <c:pt idx="50">
                  <c:v>8.0233731707317055E-2</c:v>
                </c:pt>
                <c:pt idx="51">
                  <c:v>8.3571609756097551E-2</c:v>
                </c:pt>
                <c:pt idx="52">
                  <c:v>8.8855731707317059E-2</c:v>
                </c:pt>
                <c:pt idx="53">
                  <c:v>9.6813853658536606E-2</c:v>
                </c:pt>
                <c:pt idx="54">
                  <c:v>0.10784209756097561</c:v>
                </c:pt>
                <c:pt idx="55">
                  <c:v>0.12215980487804878</c:v>
                </c:pt>
                <c:pt idx="56">
                  <c:v>0.13991795121951223</c:v>
                </c:pt>
                <c:pt idx="57">
                  <c:v>0.161328</c:v>
                </c:pt>
                <c:pt idx="58">
                  <c:v>0.1857411951219512</c:v>
                </c:pt>
                <c:pt idx="59">
                  <c:v>0.21193097560975613</c:v>
                </c:pt>
                <c:pt idx="60">
                  <c:v>0.2387678048780488</c:v>
                </c:pt>
                <c:pt idx="61">
                  <c:v>0.26496146341463417</c:v>
                </c:pt>
                <c:pt idx="62">
                  <c:v>0.28851707317073177</c:v>
                </c:pt>
                <c:pt idx="63">
                  <c:v>0.30737048780487808</c:v>
                </c:pt>
                <c:pt idx="64">
                  <c:v>0.32248756097560977</c:v>
                </c:pt>
                <c:pt idx="65">
                  <c:v>0.33247268292682924</c:v>
                </c:pt>
                <c:pt idx="66">
                  <c:v>0.33781731707317075</c:v>
                </c:pt>
                <c:pt idx="67">
                  <c:v>0.33897463414634138</c:v>
                </c:pt>
                <c:pt idx="68">
                  <c:v>0.33666804878048773</c:v>
                </c:pt>
                <c:pt idx="69">
                  <c:v>0.33133317073170726</c:v>
                </c:pt>
                <c:pt idx="70">
                  <c:v>0.32424756097560969</c:v>
                </c:pt>
                <c:pt idx="71">
                  <c:v>0.31787853658536591</c:v>
                </c:pt>
                <c:pt idx="72">
                  <c:v>0.3116517073170732</c:v>
                </c:pt>
                <c:pt idx="73">
                  <c:v>0.30493756097560981</c:v>
                </c:pt>
                <c:pt idx="74">
                  <c:v>0.29853804878048773</c:v>
                </c:pt>
                <c:pt idx="75">
                  <c:v>0.2922160975609755</c:v>
                </c:pt>
                <c:pt idx="76">
                  <c:v>0.28597341463414633</c:v>
                </c:pt>
                <c:pt idx="77">
                  <c:v>0.27981170731707322</c:v>
                </c:pt>
                <c:pt idx="78">
                  <c:v>0.27373219512195124</c:v>
                </c:pt>
                <c:pt idx="79">
                  <c:v>0.26773536585365865</c:v>
                </c:pt>
                <c:pt idx="80">
                  <c:v>0.26182219512195132</c:v>
                </c:pt>
                <c:pt idx="81">
                  <c:v>0.25589096774193548</c:v>
                </c:pt>
                <c:pt idx="82">
                  <c:v>0.25007285714285715</c:v>
                </c:pt>
                <c:pt idx="83">
                  <c:v>0.24436909090909092</c:v>
                </c:pt>
                <c:pt idx="84">
                  <c:v>0.23877999999999999</c:v>
                </c:pt>
                <c:pt idx="85">
                  <c:v>0.23877999999999999</c:v>
                </c:pt>
                <c:pt idx="86">
                  <c:v>0.23877999999999999</c:v>
                </c:pt>
                <c:pt idx="87">
                  <c:v>0.23877999999999999</c:v>
                </c:pt>
                <c:pt idx="88">
                  <c:v>0.23877999999999999</c:v>
                </c:pt>
                <c:pt idx="89">
                  <c:v>0.23877999999999999</c:v>
                </c:pt>
                <c:pt idx="90">
                  <c:v>0.23877999999999999</c:v>
                </c:pt>
                <c:pt idx="91">
                  <c:v>0.23877999999999999</c:v>
                </c:pt>
                <c:pt idx="92">
                  <c:v>0.23877999999999999</c:v>
                </c:pt>
                <c:pt idx="93">
                  <c:v>0.23877999999999999</c:v>
                </c:pt>
                <c:pt idx="94">
                  <c:v>0.23877999999999999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C-3FE4-445B-8EEB-D88489EA6296}"/>
            </c:ext>
          </c:extLst>
        </c:ser>
        <c:ser>
          <c:idx val="78"/>
          <c:order val="7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'99set'!$CB$10:$CB$104</c:f>
              <c:numCache>
                <c:formatCode>0.0000</c:formatCode>
                <c:ptCount val="95"/>
                <c:pt idx="0">
                  <c:v>0.12947</c:v>
                </c:pt>
                <c:pt idx="1">
                  <c:v>0.12947</c:v>
                </c:pt>
                <c:pt idx="2">
                  <c:v>0.12947</c:v>
                </c:pt>
                <c:pt idx="3">
                  <c:v>0.12947</c:v>
                </c:pt>
                <c:pt idx="4">
                  <c:v>0.12947</c:v>
                </c:pt>
                <c:pt idx="5">
                  <c:v>0.14166999999999999</c:v>
                </c:pt>
                <c:pt idx="6">
                  <c:v>0.15481</c:v>
                </c:pt>
                <c:pt idx="7">
                  <c:v>0.16893</c:v>
                </c:pt>
                <c:pt idx="8">
                  <c:v>0.1812</c:v>
                </c:pt>
                <c:pt idx="9">
                  <c:v>0.20172000000000001</c:v>
                </c:pt>
                <c:pt idx="10">
                  <c:v>0.21754000000000001</c:v>
                </c:pt>
                <c:pt idx="11">
                  <c:v>0.23408000000000001</c:v>
                </c:pt>
                <c:pt idx="12">
                  <c:v>0.25675999999999999</c:v>
                </c:pt>
                <c:pt idx="13">
                  <c:v>0.28939999999999999</c:v>
                </c:pt>
                <c:pt idx="14">
                  <c:v>0.32944000000000001</c:v>
                </c:pt>
                <c:pt idx="15">
                  <c:v>0.37206</c:v>
                </c:pt>
                <c:pt idx="16">
                  <c:v>0.40977000000000002</c:v>
                </c:pt>
                <c:pt idx="17">
                  <c:v>0.43567</c:v>
                </c:pt>
                <c:pt idx="18">
                  <c:v>0.44790000000000002</c:v>
                </c:pt>
                <c:pt idx="19">
                  <c:v>0.44653999999999999</c:v>
                </c:pt>
                <c:pt idx="20">
                  <c:v>0.43439</c:v>
                </c:pt>
                <c:pt idx="21">
                  <c:v>0.41471999999999998</c:v>
                </c:pt>
                <c:pt idx="22">
                  <c:v>0.39001000000000002</c:v>
                </c:pt>
                <c:pt idx="23">
                  <c:v>0.36264999999999997</c:v>
                </c:pt>
                <c:pt idx="24">
                  <c:v>0.33550000000000002</c:v>
                </c:pt>
                <c:pt idx="25">
                  <c:v>0.31098999999999999</c:v>
                </c:pt>
                <c:pt idx="26">
                  <c:v>0.28943000000000002</c:v>
                </c:pt>
                <c:pt idx="27">
                  <c:v>0.27027000000000001</c:v>
                </c:pt>
                <c:pt idx="28">
                  <c:v>0.25169999999999998</c:v>
                </c:pt>
                <c:pt idx="29">
                  <c:v>0.23219000000000001</c:v>
                </c:pt>
                <c:pt idx="30">
                  <c:v>0.21257999999999999</c:v>
                </c:pt>
                <c:pt idx="31">
                  <c:v>0.19420999999999999</c:v>
                </c:pt>
                <c:pt idx="32">
                  <c:v>0.17802999999999999</c:v>
                </c:pt>
                <c:pt idx="33">
                  <c:v>0.16458</c:v>
                </c:pt>
                <c:pt idx="34">
                  <c:v>0.15329999999999999</c:v>
                </c:pt>
                <c:pt idx="35">
                  <c:v>0.14323</c:v>
                </c:pt>
                <c:pt idx="36">
                  <c:v>0.13285</c:v>
                </c:pt>
                <c:pt idx="37">
                  <c:v>0.12098</c:v>
                </c:pt>
                <c:pt idx="38">
                  <c:v>0.10823000000000001</c:v>
                </c:pt>
                <c:pt idx="39">
                  <c:v>9.5695000000000002E-2</c:v>
                </c:pt>
                <c:pt idx="40">
                  <c:v>8.4694000000000005E-2</c:v>
                </c:pt>
                <c:pt idx="41">
                  <c:v>7.6330999999999996E-2</c:v>
                </c:pt>
                <c:pt idx="42">
                  <c:v>7.0694000000000007E-2</c:v>
                </c:pt>
                <c:pt idx="43">
                  <c:v>6.7655999999999994E-2</c:v>
                </c:pt>
                <c:pt idx="44">
                  <c:v>6.7219000000000001E-2</c:v>
                </c:pt>
                <c:pt idx="45">
                  <c:v>6.9318000000000005E-2</c:v>
                </c:pt>
                <c:pt idx="46">
                  <c:v>7.3474999999999999E-2</c:v>
                </c:pt>
                <c:pt idx="47">
                  <c:v>7.9003000000000004E-2</c:v>
                </c:pt>
                <c:pt idx="48">
                  <c:v>8.4793999999999994E-2</c:v>
                </c:pt>
                <c:pt idx="49">
                  <c:v>8.9659000000000003E-2</c:v>
                </c:pt>
                <c:pt idx="50">
                  <c:v>9.2537999999999995E-2</c:v>
                </c:pt>
                <c:pt idx="51">
                  <c:v>9.2743000000000006E-2</c:v>
                </c:pt>
                <c:pt idx="52">
                  <c:v>9.0950000000000003E-2</c:v>
                </c:pt>
                <c:pt idx="53">
                  <c:v>8.8195999999999997E-2</c:v>
                </c:pt>
                <c:pt idx="54">
                  <c:v>8.5587999999999997E-2</c:v>
                </c:pt>
                <c:pt idx="55">
                  <c:v>8.4148000000000001E-2</c:v>
                </c:pt>
                <c:pt idx="56">
                  <c:v>8.4496000000000002E-2</c:v>
                </c:pt>
                <c:pt idx="57">
                  <c:v>8.7012999999999993E-2</c:v>
                </c:pt>
                <c:pt idx="58">
                  <c:v>9.1545000000000001E-2</c:v>
                </c:pt>
                <c:pt idx="59">
                  <c:v>9.7736000000000003E-2</c:v>
                </c:pt>
                <c:pt idx="60">
                  <c:v>0.10495</c:v>
                </c:pt>
                <c:pt idx="61">
                  <c:v>0.11255999999999999</c:v>
                </c:pt>
                <c:pt idx="62">
                  <c:v>0.12024</c:v>
                </c:pt>
                <c:pt idx="63">
                  <c:v>0.1285</c:v>
                </c:pt>
                <c:pt idx="64">
                  <c:v>0.14079</c:v>
                </c:pt>
                <c:pt idx="65">
                  <c:v>0.16039</c:v>
                </c:pt>
                <c:pt idx="66">
                  <c:v>0.18676000000000001</c:v>
                </c:pt>
                <c:pt idx="67">
                  <c:v>0.21842</c:v>
                </c:pt>
                <c:pt idx="68">
                  <c:v>0.25387999999999999</c:v>
                </c:pt>
                <c:pt idx="69">
                  <c:v>0.29220000000000002</c:v>
                </c:pt>
                <c:pt idx="70">
                  <c:v>0.33405000000000001</c:v>
                </c:pt>
                <c:pt idx="71">
                  <c:v>0.37868000000000002</c:v>
                </c:pt>
                <c:pt idx="72">
                  <c:v>0.42547000000000001</c:v>
                </c:pt>
                <c:pt idx="73">
                  <c:v>0.47364000000000001</c:v>
                </c:pt>
                <c:pt idx="74">
                  <c:v>0.52229999999999999</c:v>
                </c:pt>
                <c:pt idx="75">
                  <c:v>0.57054000000000005</c:v>
                </c:pt>
                <c:pt idx="76">
                  <c:v>0.61746999999999996</c:v>
                </c:pt>
                <c:pt idx="77">
                  <c:v>0.66232000000000002</c:v>
                </c:pt>
                <c:pt idx="78">
                  <c:v>0.70442000000000005</c:v>
                </c:pt>
                <c:pt idx="79">
                  <c:v>0.74331000000000003</c:v>
                </c:pt>
                <c:pt idx="80">
                  <c:v>0.77868999999999999</c:v>
                </c:pt>
                <c:pt idx="81">
                  <c:v>0.81042999999999998</c:v>
                </c:pt>
                <c:pt idx="82">
                  <c:v>0.83857000000000004</c:v>
                </c:pt>
                <c:pt idx="83">
                  <c:v>0.86323000000000005</c:v>
                </c:pt>
                <c:pt idx="84">
                  <c:v>0.88465000000000005</c:v>
                </c:pt>
                <c:pt idx="85">
                  <c:v>0.88465000000000005</c:v>
                </c:pt>
                <c:pt idx="86">
                  <c:v>0.88465000000000005</c:v>
                </c:pt>
                <c:pt idx="87">
                  <c:v>0.88465000000000005</c:v>
                </c:pt>
                <c:pt idx="88">
                  <c:v>0.88465000000000005</c:v>
                </c:pt>
                <c:pt idx="89">
                  <c:v>0.88465000000000005</c:v>
                </c:pt>
                <c:pt idx="90">
                  <c:v>0.88465000000000005</c:v>
                </c:pt>
                <c:pt idx="91">
                  <c:v>0.88465000000000005</c:v>
                </c:pt>
                <c:pt idx="92">
                  <c:v>0.88465000000000005</c:v>
                </c:pt>
                <c:pt idx="93">
                  <c:v>0.88465000000000005</c:v>
                </c:pt>
                <c:pt idx="94">
                  <c:v>0.88465000000000005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D-3FE4-445B-8EEB-D88489EA6296}"/>
            </c:ext>
          </c:extLst>
        </c:ser>
        <c:ser>
          <c:idx val="79"/>
          <c:order val="7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'99set'!$CC$10:$CC$104</c:f>
              <c:numCache>
                <c:formatCode>0.0000</c:formatCode>
                <c:ptCount val="95"/>
                <c:pt idx="0">
                  <c:v>0.56749000000000005</c:v>
                </c:pt>
                <c:pt idx="1">
                  <c:v>0.56749000000000005</c:v>
                </c:pt>
                <c:pt idx="2">
                  <c:v>0.56749000000000005</c:v>
                </c:pt>
                <c:pt idx="3">
                  <c:v>0.56749000000000005</c:v>
                </c:pt>
                <c:pt idx="4">
                  <c:v>0.56749000000000005</c:v>
                </c:pt>
                <c:pt idx="5">
                  <c:v>0.57857000000000003</c:v>
                </c:pt>
                <c:pt idx="6">
                  <c:v>0.58955999999999997</c:v>
                </c:pt>
                <c:pt idx="7">
                  <c:v>0.60045999999999999</c:v>
                </c:pt>
                <c:pt idx="8">
                  <c:v>0.60662000000000005</c:v>
                </c:pt>
                <c:pt idx="9">
                  <c:v>0.62422</c:v>
                </c:pt>
                <c:pt idx="10">
                  <c:v>0.63353000000000004</c:v>
                </c:pt>
                <c:pt idx="11">
                  <c:v>0.63805000000000001</c:v>
                </c:pt>
                <c:pt idx="12">
                  <c:v>0.64127000000000001</c:v>
                </c:pt>
                <c:pt idx="13">
                  <c:v>0.64576</c:v>
                </c:pt>
                <c:pt idx="14">
                  <c:v>0.65031000000000005</c:v>
                </c:pt>
                <c:pt idx="15">
                  <c:v>0.65295000000000003</c:v>
                </c:pt>
                <c:pt idx="16">
                  <c:v>0.65239000000000003</c:v>
                </c:pt>
                <c:pt idx="17">
                  <c:v>0.64837</c:v>
                </c:pt>
                <c:pt idx="18">
                  <c:v>0.64415</c:v>
                </c:pt>
                <c:pt idx="19">
                  <c:v>0.64297000000000004</c:v>
                </c:pt>
                <c:pt idx="20">
                  <c:v>0.64444999999999997</c:v>
                </c:pt>
                <c:pt idx="21">
                  <c:v>0.64683999999999997</c:v>
                </c:pt>
                <c:pt idx="22">
                  <c:v>0.64673000000000003</c:v>
                </c:pt>
                <c:pt idx="23">
                  <c:v>0.64119000000000004</c:v>
                </c:pt>
                <c:pt idx="24">
                  <c:v>0.63104000000000005</c:v>
                </c:pt>
                <c:pt idx="25">
                  <c:v>0.61778</c:v>
                </c:pt>
                <c:pt idx="26">
                  <c:v>0.60175999999999996</c:v>
                </c:pt>
                <c:pt idx="27">
                  <c:v>0.58330000000000004</c:v>
                </c:pt>
                <c:pt idx="28">
                  <c:v>0.56372999999999995</c:v>
                </c:pt>
                <c:pt idx="29">
                  <c:v>0.54442999999999997</c:v>
                </c:pt>
                <c:pt idx="30">
                  <c:v>0.52600000000000002</c:v>
                </c:pt>
                <c:pt idx="31">
                  <c:v>0.50863000000000003</c:v>
                </c:pt>
                <c:pt idx="32">
                  <c:v>0.49145</c:v>
                </c:pt>
                <c:pt idx="33">
                  <c:v>0.47370000000000001</c:v>
                </c:pt>
                <c:pt idx="34">
                  <c:v>0.45601000000000003</c:v>
                </c:pt>
                <c:pt idx="35">
                  <c:v>0.43928</c:v>
                </c:pt>
                <c:pt idx="36">
                  <c:v>0.42403999999999997</c:v>
                </c:pt>
                <c:pt idx="37">
                  <c:v>0.41066000000000003</c:v>
                </c:pt>
                <c:pt idx="38">
                  <c:v>0.39922000000000002</c:v>
                </c:pt>
                <c:pt idx="39">
                  <c:v>0.38961000000000001</c:v>
                </c:pt>
                <c:pt idx="40">
                  <c:v>0.38145000000000001</c:v>
                </c:pt>
                <c:pt idx="41">
                  <c:v>0.37419999999999998</c:v>
                </c:pt>
                <c:pt idx="42">
                  <c:v>0.36714999999999998</c:v>
                </c:pt>
                <c:pt idx="43">
                  <c:v>0.35994999999999999</c:v>
                </c:pt>
                <c:pt idx="44">
                  <c:v>0.35393999999999998</c:v>
                </c:pt>
                <c:pt idx="45">
                  <c:v>0.35060000000000002</c:v>
                </c:pt>
                <c:pt idx="46">
                  <c:v>0.35016999999999998</c:v>
                </c:pt>
                <c:pt idx="47">
                  <c:v>0.35247000000000001</c:v>
                </c:pt>
                <c:pt idx="48">
                  <c:v>0.35671999999999998</c:v>
                </c:pt>
                <c:pt idx="49">
                  <c:v>0.36207</c:v>
                </c:pt>
                <c:pt idx="50">
                  <c:v>0.36793999999999999</c:v>
                </c:pt>
                <c:pt idx="51">
                  <c:v>0.37408000000000002</c:v>
                </c:pt>
                <c:pt idx="52">
                  <c:v>0.38114999999999999</c:v>
                </c:pt>
                <c:pt idx="53">
                  <c:v>0.39034999999999997</c:v>
                </c:pt>
                <c:pt idx="54">
                  <c:v>0.40398000000000001</c:v>
                </c:pt>
                <c:pt idx="55">
                  <c:v>0.42415000000000003</c:v>
                </c:pt>
                <c:pt idx="56">
                  <c:v>0.45113999999999999</c:v>
                </c:pt>
                <c:pt idx="57">
                  <c:v>0.48459999999999998</c:v>
                </c:pt>
                <c:pt idx="58">
                  <c:v>0.52342</c:v>
                </c:pt>
                <c:pt idx="59">
                  <c:v>0.56583000000000006</c:v>
                </c:pt>
                <c:pt idx="60">
                  <c:v>0.60811000000000004</c:v>
                </c:pt>
                <c:pt idx="61">
                  <c:v>0.64649999999999996</c:v>
                </c:pt>
                <c:pt idx="62">
                  <c:v>0.67910000000000004</c:v>
                </c:pt>
                <c:pt idx="63">
                  <c:v>0.70496000000000003</c:v>
                </c:pt>
                <c:pt idx="64">
                  <c:v>0.72516000000000003</c:v>
                </c:pt>
                <c:pt idx="65">
                  <c:v>0.74134</c:v>
                </c:pt>
                <c:pt idx="66">
                  <c:v>0.75524999999999998</c:v>
                </c:pt>
                <c:pt idx="67">
                  <c:v>0.76868000000000003</c:v>
                </c:pt>
                <c:pt idx="68">
                  <c:v>0.78344000000000003</c:v>
                </c:pt>
                <c:pt idx="69">
                  <c:v>0.79525000000000001</c:v>
                </c:pt>
                <c:pt idx="70">
                  <c:v>0.80745</c:v>
                </c:pt>
                <c:pt idx="71">
                  <c:v>0.81908000000000003</c:v>
                </c:pt>
                <c:pt idx="72">
                  <c:v>0.83016000000000001</c:v>
                </c:pt>
                <c:pt idx="73">
                  <c:v>0.84069000000000005</c:v>
                </c:pt>
                <c:pt idx="74">
                  <c:v>0.85068999999999995</c:v>
                </c:pt>
                <c:pt idx="75">
                  <c:v>0.86016000000000004</c:v>
                </c:pt>
                <c:pt idx="76">
                  <c:v>0.86912999999999996</c:v>
                </c:pt>
                <c:pt idx="77">
                  <c:v>0.87760000000000005</c:v>
                </c:pt>
                <c:pt idx="78">
                  <c:v>0.88558999999999999</c:v>
                </c:pt>
                <c:pt idx="79">
                  <c:v>0.89312999999999998</c:v>
                </c:pt>
                <c:pt idx="80">
                  <c:v>0.90022999999999997</c:v>
                </c:pt>
                <c:pt idx="81">
                  <c:v>0.90690000000000004</c:v>
                </c:pt>
                <c:pt idx="82">
                  <c:v>0.91317000000000004</c:v>
                </c:pt>
                <c:pt idx="83">
                  <c:v>0.91905999999999999</c:v>
                </c:pt>
                <c:pt idx="84">
                  <c:v>0.92457999999999996</c:v>
                </c:pt>
                <c:pt idx="85">
                  <c:v>0.92457999999999996</c:v>
                </c:pt>
                <c:pt idx="86">
                  <c:v>0.92457999999999996</c:v>
                </c:pt>
                <c:pt idx="87">
                  <c:v>0.92457999999999996</c:v>
                </c:pt>
                <c:pt idx="88">
                  <c:v>0.92457999999999996</c:v>
                </c:pt>
                <c:pt idx="89">
                  <c:v>0.92457999999999996</c:v>
                </c:pt>
                <c:pt idx="90">
                  <c:v>0.92457999999999996</c:v>
                </c:pt>
                <c:pt idx="91">
                  <c:v>0.92457999999999996</c:v>
                </c:pt>
                <c:pt idx="92">
                  <c:v>0.92457999999999996</c:v>
                </c:pt>
                <c:pt idx="93">
                  <c:v>0.92457999999999996</c:v>
                </c:pt>
                <c:pt idx="94">
                  <c:v>0.92457999999999996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E-3FE4-445B-8EEB-D88489EA6296}"/>
            </c:ext>
          </c:extLst>
        </c:ser>
        <c:ser>
          <c:idx val="80"/>
          <c:order val="7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'99set'!$CD$10:$CD$104</c:f>
              <c:numCache>
                <c:formatCode>0.0000</c:formatCode>
                <c:ptCount val="95"/>
                <c:pt idx="0">
                  <c:v>0.31684000000000001</c:v>
                </c:pt>
                <c:pt idx="1">
                  <c:v>0.31684000000000001</c:v>
                </c:pt>
                <c:pt idx="2">
                  <c:v>0.31684000000000001</c:v>
                </c:pt>
                <c:pt idx="3">
                  <c:v>0.31684000000000001</c:v>
                </c:pt>
                <c:pt idx="4">
                  <c:v>0.31684000000000001</c:v>
                </c:pt>
                <c:pt idx="5">
                  <c:v>0.34433000000000002</c:v>
                </c:pt>
                <c:pt idx="6">
                  <c:v>0.36971999999999999</c:v>
                </c:pt>
                <c:pt idx="7">
                  <c:v>0.39599000000000001</c:v>
                </c:pt>
                <c:pt idx="8">
                  <c:v>0.42314000000000002</c:v>
                </c:pt>
                <c:pt idx="9">
                  <c:v>0.45024999999999998</c:v>
                </c:pt>
                <c:pt idx="10">
                  <c:v>0.47575000000000001</c:v>
                </c:pt>
                <c:pt idx="11">
                  <c:v>0.49823000000000001</c:v>
                </c:pt>
                <c:pt idx="12">
                  <c:v>0.51751000000000003</c:v>
                </c:pt>
                <c:pt idx="13">
                  <c:v>0.53376999999999997</c:v>
                </c:pt>
                <c:pt idx="14">
                  <c:v>0.54732999999999998</c:v>
                </c:pt>
                <c:pt idx="15">
                  <c:v>0.55847000000000002</c:v>
                </c:pt>
                <c:pt idx="16">
                  <c:v>0.56720000000000004</c:v>
                </c:pt>
                <c:pt idx="17">
                  <c:v>0.57340000000000002</c:v>
                </c:pt>
                <c:pt idx="18">
                  <c:v>0.57682999999999995</c:v>
                </c:pt>
                <c:pt idx="19">
                  <c:v>0.57723000000000002</c:v>
                </c:pt>
                <c:pt idx="20">
                  <c:v>0.57440999999999998</c:v>
                </c:pt>
                <c:pt idx="21">
                  <c:v>0.56815000000000004</c:v>
                </c:pt>
                <c:pt idx="22">
                  <c:v>0.55801000000000001</c:v>
                </c:pt>
                <c:pt idx="23">
                  <c:v>0.54359999999999997</c:v>
                </c:pt>
                <c:pt idx="24">
                  <c:v>0.52497000000000005</c:v>
                </c:pt>
                <c:pt idx="25">
                  <c:v>0.50256000000000001</c:v>
                </c:pt>
                <c:pt idx="26">
                  <c:v>0.4778</c:v>
                </c:pt>
                <c:pt idx="27">
                  <c:v>0.45229000000000003</c:v>
                </c:pt>
                <c:pt idx="28">
                  <c:v>0.42720000000000002</c:v>
                </c:pt>
                <c:pt idx="29">
                  <c:v>0.40344000000000002</c:v>
                </c:pt>
                <c:pt idx="30">
                  <c:v>0.38140000000000002</c:v>
                </c:pt>
                <c:pt idx="31">
                  <c:v>0.36126999999999998</c:v>
                </c:pt>
                <c:pt idx="32">
                  <c:v>0.34288999999999997</c:v>
                </c:pt>
                <c:pt idx="33">
                  <c:v>0.32612000000000002</c:v>
                </c:pt>
                <c:pt idx="34">
                  <c:v>0.31137999999999999</c:v>
                </c:pt>
                <c:pt idx="35">
                  <c:v>0.29903000000000002</c:v>
                </c:pt>
                <c:pt idx="36">
                  <c:v>0.28877000000000003</c:v>
                </c:pt>
                <c:pt idx="37">
                  <c:v>0.28021000000000001</c:v>
                </c:pt>
                <c:pt idx="38">
                  <c:v>0.27333000000000002</c:v>
                </c:pt>
                <c:pt idx="39">
                  <c:v>0.26819999999999999</c:v>
                </c:pt>
                <c:pt idx="40">
                  <c:v>0.26479000000000003</c:v>
                </c:pt>
                <c:pt idx="41">
                  <c:v>0.26307000000000003</c:v>
                </c:pt>
                <c:pt idx="42">
                  <c:v>0.26304</c:v>
                </c:pt>
                <c:pt idx="43">
                  <c:v>0.26462000000000002</c:v>
                </c:pt>
                <c:pt idx="44">
                  <c:v>0.26728000000000002</c:v>
                </c:pt>
                <c:pt idx="45">
                  <c:v>0.27051999999999998</c:v>
                </c:pt>
                <c:pt idx="46">
                  <c:v>0.27437</c:v>
                </c:pt>
                <c:pt idx="47">
                  <c:v>0.27889999999999998</c:v>
                </c:pt>
                <c:pt idx="48">
                  <c:v>0.28389999999999999</c:v>
                </c:pt>
                <c:pt idx="49">
                  <c:v>0.28921000000000002</c:v>
                </c:pt>
                <c:pt idx="50">
                  <c:v>0.29508000000000001</c:v>
                </c:pt>
                <c:pt idx="51">
                  <c:v>0.30177999999999999</c:v>
                </c:pt>
                <c:pt idx="52">
                  <c:v>0.30937999999999999</c:v>
                </c:pt>
                <c:pt idx="53">
                  <c:v>0.31796000000000002</c:v>
                </c:pt>
                <c:pt idx="54">
                  <c:v>0.32801999999999998</c:v>
                </c:pt>
                <c:pt idx="55">
                  <c:v>0.34004000000000001</c:v>
                </c:pt>
                <c:pt idx="56">
                  <c:v>0.35415999999999997</c:v>
                </c:pt>
                <c:pt idx="57">
                  <c:v>0.37047999999999998</c:v>
                </c:pt>
                <c:pt idx="58">
                  <c:v>0.38943</c:v>
                </c:pt>
                <c:pt idx="59">
                  <c:v>0.41132999999999997</c:v>
                </c:pt>
                <c:pt idx="60">
                  <c:v>0.43586000000000003</c:v>
                </c:pt>
                <c:pt idx="61">
                  <c:v>0.46260000000000001</c:v>
                </c:pt>
                <c:pt idx="62">
                  <c:v>0.49134</c:v>
                </c:pt>
                <c:pt idx="63">
                  <c:v>0.52195999999999998</c:v>
                </c:pt>
                <c:pt idx="64">
                  <c:v>0.55435000000000001</c:v>
                </c:pt>
                <c:pt idx="65">
                  <c:v>0.58814999999999995</c:v>
                </c:pt>
                <c:pt idx="66">
                  <c:v>0.62190999999999996</c:v>
                </c:pt>
                <c:pt idx="67">
                  <c:v>0.65419000000000005</c:v>
                </c:pt>
                <c:pt idx="68">
                  <c:v>0.68462999999999996</c:v>
                </c:pt>
                <c:pt idx="69">
                  <c:v>0.71299000000000001</c:v>
                </c:pt>
                <c:pt idx="70">
                  <c:v>0.73843000000000003</c:v>
                </c:pt>
                <c:pt idx="71">
                  <c:v>0.76029000000000002</c:v>
                </c:pt>
                <c:pt idx="72">
                  <c:v>0.77927000000000002</c:v>
                </c:pt>
                <c:pt idx="73">
                  <c:v>0.79615000000000002</c:v>
                </c:pt>
                <c:pt idx="74">
                  <c:v>0.81061000000000005</c:v>
                </c:pt>
                <c:pt idx="75">
                  <c:v>0.82240999999999997</c:v>
                </c:pt>
                <c:pt idx="76">
                  <c:v>0.83267000000000002</c:v>
                </c:pt>
                <c:pt idx="77">
                  <c:v>0.84211000000000003</c:v>
                </c:pt>
                <c:pt idx="78">
                  <c:v>0.84838999999999998</c:v>
                </c:pt>
                <c:pt idx="79">
                  <c:v>0.84957000000000005</c:v>
                </c:pt>
                <c:pt idx="80">
                  <c:v>0.84838999999999998</c:v>
                </c:pt>
                <c:pt idx="81">
                  <c:v>0.84799999999999998</c:v>
                </c:pt>
                <c:pt idx="82">
                  <c:v>0.84838999999999998</c:v>
                </c:pt>
                <c:pt idx="83">
                  <c:v>0.84877999999999998</c:v>
                </c:pt>
                <c:pt idx="84">
                  <c:v>0.84838999999999998</c:v>
                </c:pt>
                <c:pt idx="85">
                  <c:v>0.84838999999999998</c:v>
                </c:pt>
                <c:pt idx="86">
                  <c:v>0.84838999999999998</c:v>
                </c:pt>
                <c:pt idx="87">
                  <c:v>0.84838999999999998</c:v>
                </c:pt>
                <c:pt idx="88">
                  <c:v>0.84838999999999998</c:v>
                </c:pt>
                <c:pt idx="89">
                  <c:v>0.84838999999999998</c:v>
                </c:pt>
                <c:pt idx="90">
                  <c:v>0.84838999999999998</c:v>
                </c:pt>
                <c:pt idx="91">
                  <c:v>0.84838999999999998</c:v>
                </c:pt>
                <c:pt idx="92">
                  <c:v>0.84838999999999998</c:v>
                </c:pt>
                <c:pt idx="93">
                  <c:v>0.84838999999999998</c:v>
                </c:pt>
                <c:pt idx="94">
                  <c:v>0.84838999999999998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F-3FE4-445B-8EEB-D88489EA6296}"/>
            </c:ext>
          </c:extLst>
        </c:ser>
        <c:ser>
          <c:idx val="81"/>
          <c:order val="8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'99set'!$CE$10:$CE$104</c:f>
              <c:numCache>
                <c:formatCode>0.0000</c:formatCode>
                <c:ptCount val="95"/>
                <c:pt idx="0">
                  <c:v>0.12067</c:v>
                </c:pt>
                <c:pt idx="1">
                  <c:v>0.12067</c:v>
                </c:pt>
                <c:pt idx="2">
                  <c:v>0.12067</c:v>
                </c:pt>
                <c:pt idx="3">
                  <c:v>0.12067</c:v>
                </c:pt>
                <c:pt idx="4">
                  <c:v>0.12067</c:v>
                </c:pt>
                <c:pt idx="5">
                  <c:v>0.17602000000000001</c:v>
                </c:pt>
                <c:pt idx="6">
                  <c:v>0.23297999999999999</c:v>
                </c:pt>
                <c:pt idx="7">
                  <c:v>0.27446999999999999</c:v>
                </c:pt>
                <c:pt idx="8">
                  <c:v>0.30442000000000002</c:v>
                </c:pt>
                <c:pt idx="9">
                  <c:v>0.32357000000000002</c:v>
                </c:pt>
                <c:pt idx="10">
                  <c:v>0.33682000000000001</c:v>
                </c:pt>
                <c:pt idx="11">
                  <c:v>0.34500999999999998</c:v>
                </c:pt>
                <c:pt idx="12">
                  <c:v>0.34762999999999999</c:v>
                </c:pt>
                <c:pt idx="13">
                  <c:v>0.35069</c:v>
                </c:pt>
                <c:pt idx="14">
                  <c:v>0.35499999999999998</c:v>
                </c:pt>
                <c:pt idx="15">
                  <c:v>0.35271000000000002</c:v>
                </c:pt>
                <c:pt idx="16">
                  <c:v>0.34519</c:v>
                </c:pt>
                <c:pt idx="17">
                  <c:v>0.33814</c:v>
                </c:pt>
                <c:pt idx="18">
                  <c:v>0.33334999999999998</c:v>
                </c:pt>
                <c:pt idx="19">
                  <c:v>0.32584999999999997</c:v>
                </c:pt>
                <c:pt idx="20">
                  <c:v>0.31342999999999999</c:v>
                </c:pt>
                <c:pt idx="21">
                  <c:v>0.30296000000000001</c:v>
                </c:pt>
                <c:pt idx="22">
                  <c:v>0.29343000000000002</c:v>
                </c:pt>
                <c:pt idx="23">
                  <c:v>0.27906999999999998</c:v>
                </c:pt>
                <c:pt idx="24">
                  <c:v>0.26179000000000002</c:v>
                </c:pt>
                <c:pt idx="25">
                  <c:v>0.24643999999999999</c:v>
                </c:pt>
                <c:pt idx="26">
                  <c:v>0.23007</c:v>
                </c:pt>
                <c:pt idx="27">
                  <c:v>0.21651999999999999</c:v>
                </c:pt>
                <c:pt idx="28">
                  <c:v>0.20355999999999999</c:v>
                </c:pt>
                <c:pt idx="29">
                  <c:v>0.18994</c:v>
                </c:pt>
                <c:pt idx="30">
                  <c:v>0.17480999999999999</c:v>
                </c:pt>
                <c:pt idx="31">
                  <c:v>0.15837999999999999</c:v>
                </c:pt>
                <c:pt idx="32">
                  <c:v>0.14046</c:v>
                </c:pt>
                <c:pt idx="33">
                  <c:v>0.12315</c:v>
                </c:pt>
                <c:pt idx="34">
                  <c:v>0.11069</c:v>
                </c:pt>
                <c:pt idx="35">
                  <c:v>0.10618</c:v>
                </c:pt>
                <c:pt idx="36">
                  <c:v>0.1031</c:v>
                </c:pt>
                <c:pt idx="37">
                  <c:v>9.9973000000000006E-2</c:v>
                </c:pt>
                <c:pt idx="38">
                  <c:v>9.7486000000000003E-2</c:v>
                </c:pt>
                <c:pt idx="39">
                  <c:v>9.1213000000000002E-2</c:v>
                </c:pt>
                <c:pt idx="40">
                  <c:v>8.2113000000000005E-2</c:v>
                </c:pt>
                <c:pt idx="41">
                  <c:v>7.4395000000000003E-2</c:v>
                </c:pt>
                <c:pt idx="42">
                  <c:v>6.7993999999999999E-2</c:v>
                </c:pt>
                <c:pt idx="43">
                  <c:v>6.7377999999999993E-2</c:v>
                </c:pt>
                <c:pt idx="44">
                  <c:v>7.1705000000000005E-2</c:v>
                </c:pt>
                <c:pt idx="45">
                  <c:v>8.1240999999999994E-2</c:v>
                </c:pt>
                <c:pt idx="46">
                  <c:v>9.0241000000000002E-2</c:v>
                </c:pt>
                <c:pt idx="47">
                  <c:v>9.6299999999999997E-2</c:v>
                </c:pt>
                <c:pt idx="48">
                  <c:v>0.10233</c:v>
                </c:pt>
                <c:pt idx="49">
                  <c:v>0.10517</c:v>
                </c:pt>
                <c:pt idx="50">
                  <c:v>0.10009999999999999</c:v>
                </c:pt>
                <c:pt idx="51">
                  <c:v>9.5354999999999995E-2</c:v>
                </c:pt>
                <c:pt idx="52">
                  <c:v>9.9780999999999995E-2</c:v>
                </c:pt>
                <c:pt idx="53">
                  <c:v>0.11368</c:v>
                </c:pt>
                <c:pt idx="54">
                  <c:v>0.13297</c:v>
                </c:pt>
                <c:pt idx="55">
                  <c:v>0.16167000000000001</c:v>
                </c:pt>
                <c:pt idx="56">
                  <c:v>0.19616</c:v>
                </c:pt>
                <c:pt idx="57">
                  <c:v>0.23898</c:v>
                </c:pt>
                <c:pt idx="58">
                  <c:v>0.29172999999999999</c:v>
                </c:pt>
                <c:pt idx="59">
                  <c:v>0.34344999999999998</c:v>
                </c:pt>
                <c:pt idx="60">
                  <c:v>0.37835000000000002</c:v>
                </c:pt>
                <c:pt idx="61">
                  <c:v>0.40403</c:v>
                </c:pt>
                <c:pt idx="62">
                  <c:v>0.42471999999999999</c:v>
                </c:pt>
                <c:pt idx="63">
                  <c:v>0.436</c:v>
                </c:pt>
                <c:pt idx="64">
                  <c:v>0.44674000000000003</c:v>
                </c:pt>
                <c:pt idx="65">
                  <c:v>0.45590999999999998</c:v>
                </c:pt>
                <c:pt idx="66">
                  <c:v>0.46076</c:v>
                </c:pt>
                <c:pt idx="67">
                  <c:v>0.46165</c:v>
                </c:pt>
                <c:pt idx="68">
                  <c:v>0.46531</c:v>
                </c:pt>
                <c:pt idx="69">
                  <c:v>0.47144999999999998</c:v>
                </c:pt>
                <c:pt idx="70">
                  <c:v>0.47513</c:v>
                </c:pt>
                <c:pt idx="71">
                  <c:v>0.47881000000000001</c:v>
                </c:pt>
                <c:pt idx="72">
                  <c:v>0.48249999999999998</c:v>
                </c:pt>
                <c:pt idx="73">
                  <c:v>0.48618</c:v>
                </c:pt>
                <c:pt idx="74">
                  <c:v>0.48987000000000003</c:v>
                </c:pt>
                <c:pt idx="75">
                  <c:v>0.49356</c:v>
                </c:pt>
                <c:pt idx="76">
                  <c:v>0.49725000000000003</c:v>
                </c:pt>
                <c:pt idx="77">
                  <c:v>0.50094000000000005</c:v>
                </c:pt>
                <c:pt idx="78">
                  <c:v>0.50463000000000002</c:v>
                </c:pt>
                <c:pt idx="79">
                  <c:v>0.50831999999999999</c:v>
                </c:pt>
                <c:pt idx="80">
                  <c:v>0.51200999999999997</c:v>
                </c:pt>
                <c:pt idx="81">
                  <c:v>0.51570000000000005</c:v>
                </c:pt>
                <c:pt idx="82">
                  <c:v>0.51937999999999995</c:v>
                </c:pt>
                <c:pt idx="83">
                  <c:v>0.52307000000000003</c:v>
                </c:pt>
                <c:pt idx="84">
                  <c:v>0.52675000000000005</c:v>
                </c:pt>
                <c:pt idx="85">
                  <c:v>0.52675000000000005</c:v>
                </c:pt>
                <c:pt idx="86">
                  <c:v>0.52675000000000005</c:v>
                </c:pt>
                <c:pt idx="87">
                  <c:v>0.52675000000000005</c:v>
                </c:pt>
                <c:pt idx="88">
                  <c:v>0.52675000000000005</c:v>
                </c:pt>
                <c:pt idx="89">
                  <c:v>0.52675000000000005</c:v>
                </c:pt>
                <c:pt idx="90">
                  <c:v>0.52675000000000005</c:v>
                </c:pt>
                <c:pt idx="91">
                  <c:v>0.52675000000000005</c:v>
                </c:pt>
                <c:pt idx="92">
                  <c:v>0.52675000000000005</c:v>
                </c:pt>
                <c:pt idx="93">
                  <c:v>0.52675000000000005</c:v>
                </c:pt>
                <c:pt idx="94">
                  <c:v>0.52675000000000005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0-3FE4-445B-8EEB-D88489EA6296}"/>
            </c:ext>
          </c:extLst>
        </c:ser>
        <c:ser>
          <c:idx val="82"/>
          <c:order val="8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'99set'!$CF$10:$CF$104</c:f>
              <c:numCache>
                <c:formatCode>0.0000</c:formatCode>
                <c:ptCount val="95"/>
                <c:pt idx="0">
                  <c:v>0.70772000000000002</c:v>
                </c:pt>
                <c:pt idx="1">
                  <c:v>0.70772000000000002</c:v>
                </c:pt>
                <c:pt idx="2">
                  <c:v>0.70772000000000002</c:v>
                </c:pt>
                <c:pt idx="3">
                  <c:v>0.70772000000000002</c:v>
                </c:pt>
                <c:pt idx="4">
                  <c:v>0.70772000000000002</c:v>
                </c:pt>
                <c:pt idx="5">
                  <c:v>0.71503000000000005</c:v>
                </c:pt>
                <c:pt idx="6">
                  <c:v>0.72221999999999997</c:v>
                </c:pt>
                <c:pt idx="7">
                  <c:v>0.72929999999999995</c:v>
                </c:pt>
                <c:pt idx="8">
                  <c:v>0.73650000000000004</c:v>
                </c:pt>
                <c:pt idx="9">
                  <c:v>0.74377000000000004</c:v>
                </c:pt>
                <c:pt idx="10">
                  <c:v>0.75319999999999998</c:v>
                </c:pt>
                <c:pt idx="11">
                  <c:v>0.76058999999999999</c:v>
                </c:pt>
                <c:pt idx="12">
                  <c:v>0.76659999999999995</c:v>
                </c:pt>
                <c:pt idx="13">
                  <c:v>0.77259</c:v>
                </c:pt>
                <c:pt idx="14">
                  <c:v>0.77790000000000004</c:v>
                </c:pt>
                <c:pt idx="15">
                  <c:v>0.78171000000000002</c:v>
                </c:pt>
                <c:pt idx="16">
                  <c:v>0.78449999999999998</c:v>
                </c:pt>
                <c:pt idx="17">
                  <c:v>0.78681999999999996</c:v>
                </c:pt>
                <c:pt idx="18">
                  <c:v>0.78820000000000001</c:v>
                </c:pt>
                <c:pt idx="19">
                  <c:v>0.78803999999999996</c:v>
                </c:pt>
                <c:pt idx="20">
                  <c:v>0.78620000000000001</c:v>
                </c:pt>
                <c:pt idx="21">
                  <c:v>0.78261000000000003</c:v>
                </c:pt>
                <c:pt idx="22">
                  <c:v>0.77710000000000001</c:v>
                </c:pt>
                <c:pt idx="23">
                  <c:v>0.76963999999999999</c:v>
                </c:pt>
                <c:pt idx="24">
                  <c:v>0.76100000000000001</c:v>
                </c:pt>
                <c:pt idx="25">
                  <c:v>0.75185999999999997</c:v>
                </c:pt>
                <c:pt idx="26">
                  <c:v>0.74180000000000001</c:v>
                </c:pt>
                <c:pt idx="27">
                  <c:v>0.73043999999999998</c:v>
                </c:pt>
                <c:pt idx="28">
                  <c:v>0.71879999999999999</c:v>
                </c:pt>
                <c:pt idx="29">
                  <c:v>0.70796000000000003</c:v>
                </c:pt>
                <c:pt idx="30">
                  <c:v>0.69789999999999996</c:v>
                </c:pt>
                <c:pt idx="31">
                  <c:v>0.68833999999999995</c:v>
                </c:pt>
                <c:pt idx="32">
                  <c:v>0.67900000000000005</c:v>
                </c:pt>
                <c:pt idx="33">
                  <c:v>0.66979999999999995</c:v>
                </c:pt>
                <c:pt idx="34">
                  <c:v>0.66149999999999998</c:v>
                </c:pt>
                <c:pt idx="35">
                  <c:v>0.65483999999999998</c:v>
                </c:pt>
                <c:pt idx="36">
                  <c:v>0.64970000000000006</c:v>
                </c:pt>
                <c:pt idx="37">
                  <c:v>0.64587000000000006</c:v>
                </c:pt>
                <c:pt idx="38">
                  <c:v>0.64380000000000004</c:v>
                </c:pt>
                <c:pt idx="39">
                  <c:v>0.64380999999999999</c:v>
                </c:pt>
                <c:pt idx="40">
                  <c:v>0.64510000000000001</c:v>
                </c:pt>
                <c:pt idx="41">
                  <c:v>0.64673999999999998</c:v>
                </c:pt>
                <c:pt idx="42">
                  <c:v>0.64829999999999999</c:v>
                </c:pt>
                <c:pt idx="43">
                  <c:v>0.64956000000000003</c:v>
                </c:pt>
                <c:pt idx="44">
                  <c:v>0.65069999999999995</c:v>
                </c:pt>
                <c:pt idx="45">
                  <c:v>0.65200000000000002</c:v>
                </c:pt>
                <c:pt idx="46">
                  <c:v>0.65380000000000005</c:v>
                </c:pt>
                <c:pt idx="47">
                  <c:v>0.65629000000000004</c:v>
                </c:pt>
                <c:pt idx="48">
                  <c:v>0.65910000000000002</c:v>
                </c:pt>
                <c:pt idx="49">
                  <c:v>0.66176999999999997</c:v>
                </c:pt>
                <c:pt idx="50">
                  <c:v>0.66390000000000005</c:v>
                </c:pt>
                <c:pt idx="51">
                  <c:v>0.66527999999999998</c:v>
                </c:pt>
                <c:pt idx="52">
                  <c:v>0.6663</c:v>
                </c:pt>
                <c:pt idx="53">
                  <c:v>0.66737000000000002</c:v>
                </c:pt>
                <c:pt idx="54">
                  <c:v>0.66839999999999999</c:v>
                </c:pt>
                <c:pt idx="55">
                  <c:v>0.66966000000000003</c:v>
                </c:pt>
                <c:pt idx="56">
                  <c:v>0.67349999999999999</c:v>
                </c:pt>
                <c:pt idx="57">
                  <c:v>0.68201000000000001</c:v>
                </c:pt>
                <c:pt idx="58">
                  <c:v>0.69420000000000004</c:v>
                </c:pt>
                <c:pt idx="59">
                  <c:v>0.70870999999999995</c:v>
                </c:pt>
                <c:pt idx="60">
                  <c:v>0.7258</c:v>
                </c:pt>
                <c:pt idx="61">
                  <c:v>0.74587999999999999</c:v>
                </c:pt>
                <c:pt idx="62">
                  <c:v>0.76839999999999997</c:v>
                </c:pt>
                <c:pt idx="63">
                  <c:v>0.79213</c:v>
                </c:pt>
                <c:pt idx="64">
                  <c:v>0.81420000000000003</c:v>
                </c:pt>
                <c:pt idx="65">
                  <c:v>0.83252999999999999</c:v>
                </c:pt>
                <c:pt idx="66">
                  <c:v>0.84989999999999999</c:v>
                </c:pt>
                <c:pt idx="67">
                  <c:v>0.86826000000000003</c:v>
                </c:pt>
                <c:pt idx="68">
                  <c:v>0.88139999999999996</c:v>
                </c:pt>
                <c:pt idx="69">
                  <c:v>0.89315</c:v>
                </c:pt>
                <c:pt idx="70">
                  <c:v>0.90354999999999996</c:v>
                </c:pt>
                <c:pt idx="71">
                  <c:v>0.91303999999999996</c:v>
                </c:pt>
                <c:pt idx="72">
                  <c:v>0.92166999999999999</c:v>
                </c:pt>
                <c:pt idx="73">
                  <c:v>0.92952000000000001</c:v>
                </c:pt>
                <c:pt idx="74">
                  <c:v>0.93662999999999996</c:v>
                </c:pt>
                <c:pt idx="75">
                  <c:v>0.94306999999999996</c:v>
                </c:pt>
                <c:pt idx="76">
                  <c:v>0.94889000000000001</c:v>
                </c:pt>
                <c:pt idx="77">
                  <c:v>0.95413999999999999</c:v>
                </c:pt>
                <c:pt idx="78">
                  <c:v>0.95887999999999995</c:v>
                </c:pt>
                <c:pt idx="79">
                  <c:v>0.96314</c:v>
                </c:pt>
                <c:pt idx="80">
                  <c:v>0.96697999999999995</c:v>
                </c:pt>
                <c:pt idx="81">
                  <c:v>0.97043999999999997</c:v>
                </c:pt>
                <c:pt idx="82">
                  <c:v>0.97353999999999996</c:v>
                </c:pt>
                <c:pt idx="83">
                  <c:v>0.97631999999999997</c:v>
                </c:pt>
                <c:pt idx="84">
                  <c:v>0.97882000000000002</c:v>
                </c:pt>
                <c:pt idx="85">
                  <c:v>0.97882000000000002</c:v>
                </c:pt>
                <c:pt idx="86">
                  <c:v>0.97882000000000002</c:v>
                </c:pt>
                <c:pt idx="87">
                  <c:v>0.97882000000000002</c:v>
                </c:pt>
                <c:pt idx="88">
                  <c:v>0.97882000000000002</c:v>
                </c:pt>
                <c:pt idx="89">
                  <c:v>0.97882000000000002</c:v>
                </c:pt>
                <c:pt idx="90">
                  <c:v>0.97882000000000002</c:v>
                </c:pt>
                <c:pt idx="91">
                  <c:v>0.97882000000000002</c:v>
                </c:pt>
                <c:pt idx="92">
                  <c:v>0.97882000000000002</c:v>
                </c:pt>
                <c:pt idx="93">
                  <c:v>0.97882000000000002</c:v>
                </c:pt>
                <c:pt idx="94">
                  <c:v>0.97882000000000002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1-3FE4-445B-8EEB-D88489EA6296}"/>
            </c:ext>
          </c:extLst>
        </c:ser>
        <c:ser>
          <c:idx val="83"/>
          <c:order val="8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'99set'!$CG$10:$CG$104</c:f>
              <c:numCache>
                <c:formatCode>0.0000</c:formatCode>
                <c:ptCount val="95"/>
                <c:pt idx="0">
                  <c:v>0.56349000000000005</c:v>
                </c:pt>
                <c:pt idx="1">
                  <c:v>0.56349000000000005</c:v>
                </c:pt>
                <c:pt idx="2">
                  <c:v>0.56349000000000005</c:v>
                </c:pt>
                <c:pt idx="3">
                  <c:v>0.56349000000000005</c:v>
                </c:pt>
                <c:pt idx="4">
                  <c:v>0.56349000000000005</c:v>
                </c:pt>
                <c:pt idx="5">
                  <c:v>0.57154000000000005</c:v>
                </c:pt>
                <c:pt idx="6">
                  <c:v>0.57955999999999996</c:v>
                </c:pt>
                <c:pt idx="7">
                  <c:v>0.58753</c:v>
                </c:pt>
                <c:pt idx="8">
                  <c:v>0.59570000000000001</c:v>
                </c:pt>
                <c:pt idx="9">
                  <c:v>0.60396000000000005</c:v>
                </c:pt>
                <c:pt idx="10">
                  <c:v>0.61319999999999997</c:v>
                </c:pt>
                <c:pt idx="11">
                  <c:v>0.61738999999999999</c:v>
                </c:pt>
                <c:pt idx="12">
                  <c:v>0.61799999999999999</c:v>
                </c:pt>
                <c:pt idx="13">
                  <c:v>0.61761999999999995</c:v>
                </c:pt>
                <c:pt idx="14">
                  <c:v>0.6159</c:v>
                </c:pt>
                <c:pt idx="15">
                  <c:v>0.61212999999999995</c:v>
                </c:pt>
                <c:pt idx="16">
                  <c:v>0.60709999999999997</c:v>
                </c:pt>
                <c:pt idx="17">
                  <c:v>0.60152000000000005</c:v>
                </c:pt>
                <c:pt idx="18">
                  <c:v>0.59440000000000004</c:v>
                </c:pt>
                <c:pt idx="19">
                  <c:v>0.58477999999999997</c:v>
                </c:pt>
                <c:pt idx="20">
                  <c:v>0.5736</c:v>
                </c:pt>
                <c:pt idx="21">
                  <c:v>0.56172999999999995</c:v>
                </c:pt>
                <c:pt idx="22">
                  <c:v>0.54790000000000005</c:v>
                </c:pt>
                <c:pt idx="23">
                  <c:v>0.53110999999999997</c:v>
                </c:pt>
                <c:pt idx="24">
                  <c:v>0.51359999999999995</c:v>
                </c:pt>
                <c:pt idx="25">
                  <c:v>0.49765999999999999</c:v>
                </c:pt>
                <c:pt idx="26">
                  <c:v>0.48270000000000002</c:v>
                </c:pt>
                <c:pt idx="27">
                  <c:v>0.46771000000000001</c:v>
                </c:pt>
                <c:pt idx="28">
                  <c:v>0.45300000000000001</c:v>
                </c:pt>
                <c:pt idx="29">
                  <c:v>0.43915999999999999</c:v>
                </c:pt>
                <c:pt idx="30">
                  <c:v>0.42670000000000002</c:v>
                </c:pt>
                <c:pt idx="31">
                  <c:v>0.41592000000000001</c:v>
                </c:pt>
                <c:pt idx="32">
                  <c:v>0.40639999999999998</c:v>
                </c:pt>
                <c:pt idx="33">
                  <c:v>0.39768999999999999</c:v>
                </c:pt>
                <c:pt idx="34">
                  <c:v>0.39</c:v>
                </c:pt>
                <c:pt idx="35">
                  <c:v>0.38378000000000001</c:v>
                </c:pt>
                <c:pt idx="36">
                  <c:v>0.37969999999999998</c:v>
                </c:pt>
                <c:pt idx="37">
                  <c:v>0.37817000000000001</c:v>
                </c:pt>
                <c:pt idx="38">
                  <c:v>0.37830000000000003</c:v>
                </c:pt>
                <c:pt idx="39">
                  <c:v>0.37928000000000001</c:v>
                </c:pt>
                <c:pt idx="40">
                  <c:v>0.38179999999999997</c:v>
                </c:pt>
                <c:pt idx="41">
                  <c:v>0.38643</c:v>
                </c:pt>
                <c:pt idx="42">
                  <c:v>0.39179999999999998</c:v>
                </c:pt>
                <c:pt idx="43">
                  <c:v>0.39639000000000002</c:v>
                </c:pt>
                <c:pt idx="44">
                  <c:v>0.40010000000000001</c:v>
                </c:pt>
                <c:pt idx="45">
                  <c:v>0.40309</c:v>
                </c:pt>
                <c:pt idx="46">
                  <c:v>0.4052</c:v>
                </c:pt>
                <c:pt idx="47">
                  <c:v>0.40629999999999999</c:v>
                </c:pt>
                <c:pt idx="48">
                  <c:v>0.40670000000000001</c:v>
                </c:pt>
                <c:pt idx="49">
                  <c:v>0.40672000000000003</c:v>
                </c:pt>
                <c:pt idx="50">
                  <c:v>0.40620000000000001</c:v>
                </c:pt>
                <c:pt idx="51">
                  <c:v>0.40499000000000002</c:v>
                </c:pt>
                <c:pt idx="52">
                  <c:v>0.40329999999999999</c:v>
                </c:pt>
                <c:pt idx="53">
                  <c:v>0.40177000000000002</c:v>
                </c:pt>
                <c:pt idx="54">
                  <c:v>0.40239999999999998</c:v>
                </c:pt>
                <c:pt idx="55">
                  <c:v>0.40703</c:v>
                </c:pt>
                <c:pt idx="56">
                  <c:v>0.41560000000000002</c:v>
                </c:pt>
                <c:pt idx="57">
                  <c:v>0.42779</c:v>
                </c:pt>
                <c:pt idx="58">
                  <c:v>0.44419999999999998</c:v>
                </c:pt>
                <c:pt idx="59">
                  <c:v>0.46526000000000001</c:v>
                </c:pt>
                <c:pt idx="60">
                  <c:v>0.48980000000000001</c:v>
                </c:pt>
                <c:pt idx="61">
                  <c:v>0.51663999999999999</c:v>
                </c:pt>
                <c:pt idx="62">
                  <c:v>0.54610000000000003</c:v>
                </c:pt>
                <c:pt idx="63">
                  <c:v>0.57781000000000005</c:v>
                </c:pt>
                <c:pt idx="64">
                  <c:v>0.60699999999999998</c:v>
                </c:pt>
                <c:pt idx="65">
                  <c:v>0.63022999999999996</c:v>
                </c:pt>
                <c:pt idx="66">
                  <c:v>0.65359999999999996</c:v>
                </c:pt>
                <c:pt idx="67">
                  <c:v>0.68162</c:v>
                </c:pt>
                <c:pt idx="68">
                  <c:v>0.70289999999999997</c:v>
                </c:pt>
                <c:pt idx="69">
                  <c:v>0.72287000000000001</c:v>
                </c:pt>
                <c:pt idx="70">
                  <c:v>0.74141000000000001</c:v>
                </c:pt>
                <c:pt idx="71">
                  <c:v>0.75912999999999997</c:v>
                </c:pt>
                <c:pt idx="72">
                  <c:v>0.77600000000000002</c:v>
                </c:pt>
                <c:pt idx="73">
                  <c:v>0.79201999999999995</c:v>
                </c:pt>
                <c:pt idx="74">
                  <c:v>0.80717000000000005</c:v>
                </c:pt>
                <c:pt idx="75">
                  <c:v>0.82147000000000003</c:v>
                </c:pt>
                <c:pt idx="76">
                  <c:v>0.83492</c:v>
                </c:pt>
                <c:pt idx="77">
                  <c:v>0.84755000000000003</c:v>
                </c:pt>
                <c:pt idx="78">
                  <c:v>0.85936999999999997</c:v>
                </c:pt>
                <c:pt idx="79">
                  <c:v>0.87041999999999997</c:v>
                </c:pt>
                <c:pt idx="80">
                  <c:v>0.88071999999999995</c:v>
                </c:pt>
                <c:pt idx="81">
                  <c:v>0.89031000000000005</c:v>
                </c:pt>
                <c:pt idx="82">
                  <c:v>0.89920999999999995</c:v>
                </c:pt>
                <c:pt idx="83">
                  <c:v>0.90746000000000004</c:v>
                </c:pt>
                <c:pt idx="84">
                  <c:v>0.91510999999999998</c:v>
                </c:pt>
                <c:pt idx="85">
                  <c:v>0.91510999999999998</c:v>
                </c:pt>
                <c:pt idx="86">
                  <c:v>0.91510999999999998</c:v>
                </c:pt>
                <c:pt idx="87">
                  <c:v>0.91510999999999998</c:v>
                </c:pt>
                <c:pt idx="88">
                  <c:v>0.91510999999999998</c:v>
                </c:pt>
                <c:pt idx="89">
                  <c:v>0.91510999999999998</c:v>
                </c:pt>
                <c:pt idx="90">
                  <c:v>0.91510999999999998</c:v>
                </c:pt>
                <c:pt idx="91">
                  <c:v>0.91510999999999998</c:v>
                </c:pt>
                <c:pt idx="92">
                  <c:v>0.91510999999999998</c:v>
                </c:pt>
                <c:pt idx="93">
                  <c:v>0.91510999999999998</c:v>
                </c:pt>
                <c:pt idx="94">
                  <c:v>0.91510999999999998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2-3FE4-445B-8EEB-D88489EA6296}"/>
            </c:ext>
          </c:extLst>
        </c:ser>
        <c:ser>
          <c:idx val="84"/>
          <c:order val="8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'99set'!$CH$10:$CH$104</c:f>
              <c:numCache>
                <c:formatCode>0.0000</c:formatCode>
                <c:ptCount val="95"/>
                <c:pt idx="0">
                  <c:v>3.3753999999999999E-2</c:v>
                </c:pt>
                <c:pt idx="1">
                  <c:v>3.3753999999999999E-2</c:v>
                </c:pt>
                <c:pt idx="2">
                  <c:v>3.3753999999999999E-2</c:v>
                </c:pt>
                <c:pt idx="3">
                  <c:v>3.3753999999999999E-2</c:v>
                </c:pt>
                <c:pt idx="4">
                  <c:v>3.3753999999999999E-2</c:v>
                </c:pt>
                <c:pt idx="5">
                  <c:v>3.5553000000000001E-2</c:v>
                </c:pt>
                <c:pt idx="6">
                  <c:v>3.7444999999999999E-2</c:v>
                </c:pt>
                <c:pt idx="7">
                  <c:v>3.9433999999999997E-2</c:v>
                </c:pt>
                <c:pt idx="8">
                  <c:v>4.1383000000000003E-2</c:v>
                </c:pt>
                <c:pt idx="9">
                  <c:v>4.3790999999999997E-2</c:v>
                </c:pt>
                <c:pt idx="10">
                  <c:v>4.6046999999999998E-2</c:v>
                </c:pt>
                <c:pt idx="11">
                  <c:v>4.8304E-2</c:v>
                </c:pt>
                <c:pt idx="12">
                  <c:v>5.0712E-2</c:v>
                </c:pt>
                <c:pt idx="13">
                  <c:v>5.3344000000000003E-2</c:v>
                </c:pt>
                <c:pt idx="14">
                  <c:v>5.5971E-2</c:v>
                </c:pt>
                <c:pt idx="15">
                  <c:v>5.8292999999999998E-2</c:v>
                </c:pt>
                <c:pt idx="16">
                  <c:v>6.0040000000000003E-2</c:v>
                </c:pt>
                <c:pt idx="17">
                  <c:v>6.1045000000000002E-2</c:v>
                </c:pt>
                <c:pt idx="18">
                  <c:v>6.1529E-2</c:v>
                </c:pt>
                <c:pt idx="19">
                  <c:v>6.1712000000000003E-2</c:v>
                </c:pt>
                <c:pt idx="20">
                  <c:v>6.1429999999999998E-2</c:v>
                </c:pt>
                <c:pt idx="21">
                  <c:v>6.0536E-2</c:v>
                </c:pt>
                <c:pt idx="22">
                  <c:v>5.9346000000000003E-2</c:v>
                </c:pt>
                <c:pt idx="23">
                  <c:v>5.8333000000000003E-2</c:v>
                </c:pt>
                <c:pt idx="24">
                  <c:v>5.8154999999999998E-2</c:v>
                </c:pt>
                <c:pt idx="25">
                  <c:v>5.9255000000000002E-2</c:v>
                </c:pt>
                <c:pt idx="26">
                  <c:v>6.1032999999999997E-2</c:v>
                </c:pt>
                <c:pt idx="27">
                  <c:v>6.2670000000000003E-2</c:v>
                </c:pt>
                <c:pt idx="28">
                  <c:v>6.3514000000000001E-2</c:v>
                </c:pt>
                <c:pt idx="29">
                  <c:v>6.3145999999999994E-2</c:v>
                </c:pt>
                <c:pt idx="30">
                  <c:v>6.1926000000000002E-2</c:v>
                </c:pt>
                <c:pt idx="31">
                  <c:v>6.0271999999999999E-2</c:v>
                </c:pt>
                <c:pt idx="32">
                  <c:v>5.8055000000000002E-2</c:v>
                </c:pt>
                <c:pt idx="33">
                  <c:v>5.5114999999999997E-2</c:v>
                </c:pt>
                <c:pt idx="34">
                  <c:v>5.1704E-2</c:v>
                </c:pt>
                <c:pt idx="35">
                  <c:v>4.8138E-2</c:v>
                </c:pt>
                <c:pt idx="36">
                  <c:v>4.4559000000000001E-2</c:v>
                </c:pt>
                <c:pt idx="37">
                  <c:v>4.1071999999999997E-2</c:v>
                </c:pt>
                <c:pt idx="38">
                  <c:v>3.7810000000000003E-2</c:v>
                </c:pt>
                <c:pt idx="39">
                  <c:v>3.4956000000000001E-2</c:v>
                </c:pt>
                <c:pt idx="40">
                  <c:v>3.2848000000000002E-2</c:v>
                </c:pt>
                <c:pt idx="41">
                  <c:v>3.1765000000000002E-2</c:v>
                </c:pt>
                <c:pt idx="42">
                  <c:v>3.1558000000000003E-2</c:v>
                </c:pt>
                <c:pt idx="43">
                  <c:v>3.2121999999999998E-2</c:v>
                </c:pt>
                <c:pt idx="44">
                  <c:v>3.3939999999999998E-2</c:v>
                </c:pt>
                <c:pt idx="45">
                  <c:v>3.7419000000000001E-2</c:v>
                </c:pt>
                <c:pt idx="46">
                  <c:v>4.2077999999999997E-2</c:v>
                </c:pt>
                <c:pt idx="47">
                  <c:v>4.7160000000000001E-2</c:v>
                </c:pt>
                <c:pt idx="48">
                  <c:v>5.1704E-2</c:v>
                </c:pt>
                <c:pt idx="49">
                  <c:v>5.4963999999999999E-2</c:v>
                </c:pt>
                <c:pt idx="50">
                  <c:v>5.7260999999999999E-2</c:v>
                </c:pt>
                <c:pt idx="51">
                  <c:v>5.9074000000000002E-2</c:v>
                </c:pt>
                <c:pt idx="52">
                  <c:v>6.0436999999999998E-2</c:v>
                </c:pt>
                <c:pt idx="53">
                  <c:v>6.1316000000000002E-2</c:v>
                </c:pt>
                <c:pt idx="54">
                  <c:v>6.1827E-2</c:v>
                </c:pt>
                <c:pt idx="55">
                  <c:v>6.2142000000000003E-2</c:v>
                </c:pt>
                <c:pt idx="56">
                  <c:v>6.2520999999999993E-2</c:v>
                </c:pt>
                <c:pt idx="57">
                  <c:v>6.3158000000000006E-2</c:v>
                </c:pt>
                <c:pt idx="58">
                  <c:v>6.3910999999999996E-2</c:v>
                </c:pt>
                <c:pt idx="59">
                  <c:v>6.4573000000000005E-2</c:v>
                </c:pt>
                <c:pt idx="60">
                  <c:v>6.5002000000000004E-2</c:v>
                </c:pt>
                <c:pt idx="61">
                  <c:v>6.5116999999999994E-2</c:v>
                </c:pt>
                <c:pt idx="62">
                  <c:v>6.5002000000000004E-2</c:v>
                </c:pt>
                <c:pt idx="63">
                  <c:v>6.4776E-2</c:v>
                </c:pt>
                <c:pt idx="64">
                  <c:v>6.4505999999999994E-2</c:v>
                </c:pt>
                <c:pt idx="65">
                  <c:v>6.4229999999999995E-2</c:v>
                </c:pt>
                <c:pt idx="66">
                  <c:v>6.3910999999999996E-2</c:v>
                </c:pt>
                <c:pt idx="67">
                  <c:v>6.3492000000000007E-2</c:v>
                </c:pt>
                <c:pt idx="68">
                  <c:v>6.2918000000000002E-2</c:v>
                </c:pt>
                <c:pt idx="69">
                  <c:v>6.2572000000000003E-2</c:v>
                </c:pt>
                <c:pt idx="70">
                  <c:v>6.2137999999999999E-2</c:v>
                </c:pt>
                <c:pt idx="71">
                  <c:v>6.1706999999999998E-2</c:v>
                </c:pt>
                <c:pt idx="72">
                  <c:v>6.1279E-2</c:v>
                </c:pt>
                <c:pt idx="73">
                  <c:v>6.0852999999999997E-2</c:v>
                </c:pt>
                <c:pt idx="74">
                  <c:v>6.0430999999999999E-2</c:v>
                </c:pt>
                <c:pt idx="75">
                  <c:v>6.0011000000000002E-2</c:v>
                </c:pt>
                <c:pt idx="76">
                  <c:v>5.9594000000000001E-2</c:v>
                </c:pt>
                <c:pt idx="77">
                  <c:v>5.9179000000000002E-2</c:v>
                </c:pt>
                <c:pt idx="78">
                  <c:v>5.8768000000000001E-2</c:v>
                </c:pt>
                <c:pt idx="79">
                  <c:v>5.8358E-2</c:v>
                </c:pt>
                <c:pt idx="80">
                  <c:v>5.7951999999999997E-2</c:v>
                </c:pt>
                <c:pt idx="81">
                  <c:v>5.7548000000000002E-2</c:v>
                </c:pt>
                <c:pt idx="82">
                  <c:v>5.7147000000000003E-2</c:v>
                </c:pt>
                <c:pt idx="83">
                  <c:v>5.6749000000000001E-2</c:v>
                </c:pt>
                <c:pt idx="84">
                  <c:v>5.6353E-2</c:v>
                </c:pt>
                <c:pt idx="85">
                  <c:v>5.6353E-2</c:v>
                </c:pt>
                <c:pt idx="86">
                  <c:v>5.6353E-2</c:v>
                </c:pt>
                <c:pt idx="87">
                  <c:v>5.6353E-2</c:v>
                </c:pt>
                <c:pt idx="88">
                  <c:v>5.6353E-2</c:v>
                </c:pt>
                <c:pt idx="89">
                  <c:v>5.6353E-2</c:v>
                </c:pt>
                <c:pt idx="90">
                  <c:v>5.6353E-2</c:v>
                </c:pt>
                <c:pt idx="91">
                  <c:v>5.6353E-2</c:v>
                </c:pt>
                <c:pt idx="92">
                  <c:v>5.6353E-2</c:v>
                </c:pt>
                <c:pt idx="93">
                  <c:v>5.6353E-2</c:v>
                </c:pt>
                <c:pt idx="94">
                  <c:v>5.6353E-2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3-3FE4-445B-8EEB-D88489EA6296}"/>
            </c:ext>
          </c:extLst>
        </c:ser>
        <c:ser>
          <c:idx val="85"/>
          <c:order val="8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'99set'!$CI$10:$CI$104</c:f>
              <c:numCache>
                <c:formatCode>0.0000</c:formatCode>
                <c:ptCount val="95"/>
                <c:pt idx="0">
                  <c:v>1.4249E-2</c:v>
                </c:pt>
                <c:pt idx="1">
                  <c:v>1.4249E-2</c:v>
                </c:pt>
                <c:pt idx="2">
                  <c:v>1.4249E-2</c:v>
                </c:pt>
                <c:pt idx="3">
                  <c:v>1.4249E-2</c:v>
                </c:pt>
                <c:pt idx="4">
                  <c:v>1.4249E-2</c:v>
                </c:pt>
                <c:pt idx="5">
                  <c:v>1.2914999999999999E-2</c:v>
                </c:pt>
                <c:pt idx="6">
                  <c:v>1.7314E-2</c:v>
                </c:pt>
                <c:pt idx="7">
                  <c:v>2.4437E-2</c:v>
                </c:pt>
                <c:pt idx="8">
                  <c:v>3.8309999999999997E-2</c:v>
                </c:pt>
                <c:pt idx="9">
                  <c:v>4.9395000000000001E-2</c:v>
                </c:pt>
                <c:pt idx="10">
                  <c:v>6.3242999999999994E-2</c:v>
                </c:pt>
                <c:pt idx="11">
                  <c:v>7.9551999999999998E-2</c:v>
                </c:pt>
                <c:pt idx="12">
                  <c:v>9.5229999999999995E-2</c:v>
                </c:pt>
                <c:pt idx="13">
                  <c:v>0.11233</c:v>
                </c:pt>
                <c:pt idx="14">
                  <c:v>0.13166</c:v>
                </c:pt>
                <c:pt idx="15">
                  <c:v>0.14949999999999999</c:v>
                </c:pt>
                <c:pt idx="16">
                  <c:v>0.15820000000000001</c:v>
                </c:pt>
                <c:pt idx="17">
                  <c:v>0.16275000000000001</c:v>
                </c:pt>
                <c:pt idx="18">
                  <c:v>0.17107</c:v>
                </c:pt>
                <c:pt idx="19">
                  <c:v>0.17496</c:v>
                </c:pt>
                <c:pt idx="20">
                  <c:v>0.17394999999999999</c:v>
                </c:pt>
                <c:pt idx="21">
                  <c:v>0.17369999999999999</c:v>
                </c:pt>
                <c:pt idx="22">
                  <c:v>0.17216000000000001</c:v>
                </c:pt>
                <c:pt idx="23">
                  <c:v>0.16727</c:v>
                </c:pt>
                <c:pt idx="24">
                  <c:v>0.16006999999999999</c:v>
                </c:pt>
                <c:pt idx="25">
                  <c:v>0.15576000000000001</c:v>
                </c:pt>
                <c:pt idx="26">
                  <c:v>0.14927000000000001</c:v>
                </c:pt>
                <c:pt idx="27">
                  <c:v>0.14321</c:v>
                </c:pt>
                <c:pt idx="28">
                  <c:v>0.13436000000000001</c:v>
                </c:pt>
                <c:pt idx="29">
                  <c:v>0.12644</c:v>
                </c:pt>
                <c:pt idx="30">
                  <c:v>0.12123</c:v>
                </c:pt>
                <c:pt idx="31">
                  <c:v>0.11599</c:v>
                </c:pt>
                <c:pt idx="32">
                  <c:v>0.11004</c:v>
                </c:pt>
                <c:pt idx="33">
                  <c:v>0.104</c:v>
                </c:pt>
                <c:pt idx="34">
                  <c:v>9.7158999999999995E-2</c:v>
                </c:pt>
                <c:pt idx="35">
                  <c:v>9.3592999999999996E-2</c:v>
                </c:pt>
                <c:pt idx="36">
                  <c:v>9.2133999999999994E-2</c:v>
                </c:pt>
                <c:pt idx="37">
                  <c:v>9.2614000000000002E-2</c:v>
                </c:pt>
                <c:pt idx="38">
                  <c:v>9.0657000000000001E-2</c:v>
                </c:pt>
                <c:pt idx="39">
                  <c:v>8.9015999999999998E-2</c:v>
                </c:pt>
                <c:pt idx="40">
                  <c:v>8.9067999999999994E-2</c:v>
                </c:pt>
                <c:pt idx="41">
                  <c:v>8.7917999999999996E-2</c:v>
                </c:pt>
                <c:pt idx="42">
                  <c:v>8.7941000000000005E-2</c:v>
                </c:pt>
                <c:pt idx="43">
                  <c:v>8.5875000000000007E-2</c:v>
                </c:pt>
                <c:pt idx="44">
                  <c:v>8.4628999999999996E-2</c:v>
                </c:pt>
                <c:pt idx="45">
                  <c:v>8.7251999999999996E-2</c:v>
                </c:pt>
                <c:pt idx="46">
                  <c:v>9.0874999999999997E-2</c:v>
                </c:pt>
                <c:pt idx="47">
                  <c:v>9.7581000000000001E-2</c:v>
                </c:pt>
                <c:pt idx="48">
                  <c:v>0.10274</c:v>
                </c:pt>
                <c:pt idx="49">
                  <c:v>0.10874</c:v>
                </c:pt>
                <c:pt idx="50">
                  <c:v>0.10959000000000001</c:v>
                </c:pt>
                <c:pt idx="51">
                  <c:v>0.11171</c:v>
                </c:pt>
                <c:pt idx="52">
                  <c:v>0.11602999999999999</c:v>
                </c:pt>
                <c:pt idx="53">
                  <c:v>0.12275999999999999</c:v>
                </c:pt>
                <c:pt idx="54">
                  <c:v>0.12916</c:v>
                </c:pt>
                <c:pt idx="55">
                  <c:v>0.13825999999999999</c:v>
                </c:pt>
                <c:pt idx="56">
                  <c:v>0.14463999999999999</c:v>
                </c:pt>
                <c:pt idx="57">
                  <c:v>0.15049000000000001</c:v>
                </c:pt>
                <c:pt idx="58">
                  <c:v>0.16785</c:v>
                </c:pt>
                <c:pt idx="59">
                  <c:v>0.19264999999999999</c:v>
                </c:pt>
                <c:pt idx="60">
                  <c:v>0.20784</c:v>
                </c:pt>
                <c:pt idx="61">
                  <c:v>0.22794</c:v>
                </c:pt>
                <c:pt idx="62">
                  <c:v>0.25255</c:v>
                </c:pt>
                <c:pt idx="63">
                  <c:v>0.26973999999999998</c:v>
                </c:pt>
                <c:pt idx="64">
                  <c:v>0.28737000000000001</c:v>
                </c:pt>
                <c:pt idx="65">
                  <c:v>0.30481000000000003</c:v>
                </c:pt>
                <c:pt idx="66">
                  <c:v>0.31630000000000003</c:v>
                </c:pt>
                <c:pt idx="67">
                  <c:v>0.32417000000000001</c:v>
                </c:pt>
                <c:pt idx="68">
                  <c:v>0.33878000000000003</c:v>
                </c:pt>
                <c:pt idx="69">
                  <c:v>0.34908</c:v>
                </c:pt>
                <c:pt idx="70">
                  <c:v>0.36054000000000003</c:v>
                </c:pt>
                <c:pt idx="71">
                  <c:v>0.37214999999999998</c:v>
                </c:pt>
                <c:pt idx="72">
                  <c:v>0.38391999999999998</c:v>
                </c:pt>
                <c:pt idx="73">
                  <c:v>0.39582000000000001</c:v>
                </c:pt>
                <c:pt idx="74">
                  <c:v>0.40784999999999999</c:v>
                </c:pt>
                <c:pt idx="75">
                  <c:v>0.41998999999999997</c:v>
                </c:pt>
                <c:pt idx="76">
                  <c:v>0.43223</c:v>
                </c:pt>
                <c:pt idx="77">
                  <c:v>0.44455</c:v>
                </c:pt>
                <c:pt idx="78">
                  <c:v>0.45694000000000001</c:v>
                </c:pt>
                <c:pt idx="79">
                  <c:v>0.46938000000000002</c:v>
                </c:pt>
                <c:pt idx="80">
                  <c:v>0.48186000000000001</c:v>
                </c:pt>
                <c:pt idx="81">
                  <c:v>0.49436000000000002</c:v>
                </c:pt>
                <c:pt idx="82">
                  <c:v>0.50687000000000004</c:v>
                </c:pt>
                <c:pt idx="83">
                  <c:v>0.51937999999999995</c:v>
                </c:pt>
                <c:pt idx="84">
                  <c:v>0.53185000000000004</c:v>
                </c:pt>
                <c:pt idx="85">
                  <c:v>0.53185000000000004</c:v>
                </c:pt>
                <c:pt idx="86">
                  <c:v>0.53185000000000004</c:v>
                </c:pt>
                <c:pt idx="87">
                  <c:v>0.53185000000000004</c:v>
                </c:pt>
                <c:pt idx="88">
                  <c:v>0.53185000000000004</c:v>
                </c:pt>
                <c:pt idx="89">
                  <c:v>0.53185000000000004</c:v>
                </c:pt>
                <c:pt idx="90">
                  <c:v>0.53185000000000004</c:v>
                </c:pt>
                <c:pt idx="91">
                  <c:v>0.53185000000000004</c:v>
                </c:pt>
                <c:pt idx="92">
                  <c:v>0.53185000000000004</c:v>
                </c:pt>
                <c:pt idx="93">
                  <c:v>0.53185000000000004</c:v>
                </c:pt>
                <c:pt idx="94">
                  <c:v>0.53185000000000004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4-3FE4-445B-8EEB-D88489EA6296}"/>
            </c:ext>
          </c:extLst>
        </c:ser>
        <c:ser>
          <c:idx val="86"/>
          <c:order val="8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'99set'!$CJ$10:$CJ$104</c:f>
              <c:numCache>
                <c:formatCode>0.0000</c:formatCode>
                <c:ptCount val="95"/>
                <c:pt idx="0">
                  <c:v>0.50251999999999997</c:v>
                </c:pt>
                <c:pt idx="1">
                  <c:v>0.50251999999999997</c:v>
                </c:pt>
                <c:pt idx="2">
                  <c:v>0.50251999999999997</c:v>
                </c:pt>
                <c:pt idx="3">
                  <c:v>0.50251999999999997</c:v>
                </c:pt>
                <c:pt idx="4">
                  <c:v>0.50251999999999997</c:v>
                </c:pt>
                <c:pt idx="5">
                  <c:v>0.51400000000000001</c:v>
                </c:pt>
                <c:pt idx="6">
                  <c:v>0.52546000000000004</c:v>
                </c:pt>
                <c:pt idx="7">
                  <c:v>0.53688999999999998</c:v>
                </c:pt>
                <c:pt idx="8">
                  <c:v>0.54635999999999996</c:v>
                </c:pt>
                <c:pt idx="9">
                  <c:v>0.56055999999999995</c:v>
                </c:pt>
                <c:pt idx="10">
                  <c:v>0.57138</c:v>
                </c:pt>
                <c:pt idx="11">
                  <c:v>0.57981000000000005</c:v>
                </c:pt>
                <c:pt idx="12">
                  <c:v>0.58686000000000005</c:v>
                </c:pt>
                <c:pt idx="13">
                  <c:v>0.59284000000000003</c:v>
                </c:pt>
                <c:pt idx="14">
                  <c:v>0.59519999999999995</c:v>
                </c:pt>
                <c:pt idx="15">
                  <c:v>0.59175999999999995</c:v>
                </c:pt>
                <c:pt idx="16">
                  <c:v>0.58448</c:v>
                </c:pt>
                <c:pt idx="17">
                  <c:v>0.57574999999999998</c:v>
                </c:pt>
                <c:pt idx="18">
                  <c:v>0.56542000000000003</c:v>
                </c:pt>
                <c:pt idx="19">
                  <c:v>0.55286999999999997</c:v>
                </c:pt>
                <c:pt idx="20">
                  <c:v>0.53820999999999997</c:v>
                </c:pt>
                <c:pt idx="21">
                  <c:v>0.52173999999999998</c:v>
                </c:pt>
                <c:pt idx="22">
                  <c:v>0.50366</c:v>
                </c:pt>
                <c:pt idx="23">
                  <c:v>0.48437000000000002</c:v>
                </c:pt>
                <c:pt idx="24">
                  <c:v>0.46483999999999998</c:v>
                </c:pt>
                <c:pt idx="25">
                  <c:v>0.44596999999999998</c:v>
                </c:pt>
                <c:pt idx="26">
                  <c:v>0.42760999999999999</c:v>
                </c:pt>
                <c:pt idx="27">
                  <c:v>0.40933999999999998</c:v>
                </c:pt>
                <c:pt idx="28">
                  <c:v>0.39068000000000003</c:v>
                </c:pt>
                <c:pt idx="29">
                  <c:v>0.37145</c:v>
                </c:pt>
                <c:pt idx="30">
                  <c:v>0.35265000000000002</c:v>
                </c:pt>
                <c:pt idx="31">
                  <c:v>0.33549000000000001</c:v>
                </c:pt>
                <c:pt idx="32">
                  <c:v>0.32078000000000001</c:v>
                </c:pt>
                <c:pt idx="33">
                  <c:v>0.30890000000000001</c:v>
                </c:pt>
                <c:pt idx="34">
                  <c:v>0.29883999999999999</c:v>
                </c:pt>
                <c:pt idx="35">
                  <c:v>0.28927000000000003</c:v>
                </c:pt>
                <c:pt idx="36">
                  <c:v>0.27878999999999998</c:v>
                </c:pt>
                <c:pt idx="37">
                  <c:v>0.26663999999999999</c:v>
                </c:pt>
                <c:pt idx="38">
                  <c:v>0.25456000000000001</c:v>
                </c:pt>
                <c:pt idx="39">
                  <c:v>0.24482999999999999</c:v>
                </c:pt>
                <c:pt idx="40">
                  <c:v>0.23946999999999999</c:v>
                </c:pt>
                <c:pt idx="41">
                  <c:v>0.23968999999999999</c:v>
                </c:pt>
                <c:pt idx="42">
                  <c:v>0.24364</c:v>
                </c:pt>
                <c:pt idx="43">
                  <c:v>0.24875</c:v>
                </c:pt>
                <c:pt idx="44">
                  <c:v>0.25258000000000003</c:v>
                </c:pt>
                <c:pt idx="45">
                  <c:v>0.25330999999999998</c:v>
                </c:pt>
                <c:pt idx="46">
                  <c:v>0.25139</c:v>
                </c:pt>
                <c:pt idx="47">
                  <c:v>0.24833</c:v>
                </c:pt>
                <c:pt idx="48">
                  <c:v>0.24771000000000001</c:v>
                </c:pt>
                <c:pt idx="49">
                  <c:v>0.25339</c:v>
                </c:pt>
                <c:pt idx="50">
                  <c:v>0.26835999999999999</c:v>
                </c:pt>
                <c:pt idx="51">
                  <c:v>0.29491000000000001</c:v>
                </c:pt>
                <c:pt idx="52">
                  <c:v>0.33339000000000002</c:v>
                </c:pt>
                <c:pt idx="53">
                  <c:v>0.38324999999999998</c:v>
                </c:pt>
                <c:pt idx="54">
                  <c:v>0.44220999999999999</c:v>
                </c:pt>
                <c:pt idx="55">
                  <c:v>0.50670000000000004</c:v>
                </c:pt>
                <c:pt idx="56">
                  <c:v>0.56969000000000003</c:v>
                </c:pt>
                <c:pt idx="57">
                  <c:v>0.62438000000000005</c:v>
                </c:pt>
                <c:pt idx="58">
                  <c:v>0.66837000000000002</c:v>
                </c:pt>
                <c:pt idx="59">
                  <c:v>0.70086999999999999</c:v>
                </c:pt>
                <c:pt idx="60">
                  <c:v>0.72318000000000005</c:v>
                </c:pt>
                <c:pt idx="61">
                  <c:v>0.73733000000000004</c:v>
                </c:pt>
                <c:pt idx="62">
                  <c:v>0.74600999999999995</c:v>
                </c:pt>
                <c:pt idx="63">
                  <c:v>0.75185000000000002</c:v>
                </c:pt>
                <c:pt idx="64">
                  <c:v>0.75644</c:v>
                </c:pt>
                <c:pt idx="65">
                  <c:v>0.76102000000000003</c:v>
                </c:pt>
                <c:pt idx="66">
                  <c:v>0.76637</c:v>
                </c:pt>
                <c:pt idx="67">
                  <c:v>0.77312999999999998</c:v>
                </c:pt>
                <c:pt idx="68">
                  <c:v>0.78195000000000003</c:v>
                </c:pt>
                <c:pt idx="69">
                  <c:v>0.78747</c:v>
                </c:pt>
                <c:pt idx="70">
                  <c:v>0.79408999999999996</c:v>
                </c:pt>
                <c:pt idx="71">
                  <c:v>0.80056000000000005</c:v>
                </c:pt>
                <c:pt idx="72">
                  <c:v>0.80686999999999998</c:v>
                </c:pt>
                <c:pt idx="73">
                  <c:v>0.81303000000000003</c:v>
                </c:pt>
                <c:pt idx="74">
                  <c:v>0.81903999999999999</c:v>
                </c:pt>
                <c:pt idx="75">
                  <c:v>0.82489999999999997</c:v>
                </c:pt>
                <c:pt idx="76">
                  <c:v>0.8306</c:v>
                </c:pt>
                <c:pt idx="77">
                  <c:v>0.83616000000000001</c:v>
                </c:pt>
                <c:pt idx="78">
                  <c:v>0.84157000000000004</c:v>
                </c:pt>
                <c:pt idx="79">
                  <c:v>0.84682999999999997</c:v>
                </c:pt>
                <c:pt idx="80">
                  <c:v>0.85194999999999999</c:v>
                </c:pt>
                <c:pt idx="81">
                  <c:v>0.85692999999999997</c:v>
                </c:pt>
                <c:pt idx="82">
                  <c:v>0.86177000000000004</c:v>
                </c:pt>
                <c:pt idx="83">
                  <c:v>0.86646999999999996</c:v>
                </c:pt>
                <c:pt idx="84">
                  <c:v>0.87102999999999997</c:v>
                </c:pt>
                <c:pt idx="85">
                  <c:v>0.87102999999999997</c:v>
                </c:pt>
                <c:pt idx="86">
                  <c:v>0.87102999999999997</c:v>
                </c:pt>
                <c:pt idx="87">
                  <c:v>0.87102999999999997</c:v>
                </c:pt>
                <c:pt idx="88">
                  <c:v>0.87102999999999997</c:v>
                </c:pt>
                <c:pt idx="89">
                  <c:v>0.87102999999999997</c:v>
                </c:pt>
                <c:pt idx="90">
                  <c:v>0.87102999999999997</c:v>
                </c:pt>
                <c:pt idx="91">
                  <c:v>0.87102999999999997</c:v>
                </c:pt>
                <c:pt idx="92">
                  <c:v>0.87102999999999997</c:v>
                </c:pt>
                <c:pt idx="93">
                  <c:v>0.87102999999999997</c:v>
                </c:pt>
                <c:pt idx="94">
                  <c:v>0.87102999999999997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5-3FE4-445B-8EEB-D88489EA6296}"/>
            </c:ext>
          </c:extLst>
        </c:ser>
        <c:ser>
          <c:idx val="87"/>
          <c:order val="8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'99set'!$CK$10:$CK$104</c:f>
              <c:numCache>
                <c:formatCode>0.0000</c:formatCode>
                <c:ptCount val="95"/>
                <c:pt idx="0">
                  <c:v>0.10613</c:v>
                </c:pt>
                <c:pt idx="1">
                  <c:v>0.10613</c:v>
                </c:pt>
                <c:pt idx="2">
                  <c:v>0.10613</c:v>
                </c:pt>
                <c:pt idx="3">
                  <c:v>0.10613</c:v>
                </c:pt>
                <c:pt idx="4">
                  <c:v>0.10613</c:v>
                </c:pt>
                <c:pt idx="5">
                  <c:v>0.11586</c:v>
                </c:pt>
                <c:pt idx="6">
                  <c:v>0.12634999999999999</c:v>
                </c:pt>
                <c:pt idx="7">
                  <c:v>0.13764000000000001</c:v>
                </c:pt>
                <c:pt idx="8">
                  <c:v>0.14596000000000001</c:v>
                </c:pt>
                <c:pt idx="9">
                  <c:v>0.16475999999999999</c:v>
                </c:pt>
                <c:pt idx="10">
                  <c:v>0.17752999999999999</c:v>
                </c:pt>
                <c:pt idx="11">
                  <c:v>0.18653</c:v>
                </c:pt>
                <c:pt idx="12">
                  <c:v>0.19400999999999999</c:v>
                </c:pt>
                <c:pt idx="13">
                  <c:v>0.20193</c:v>
                </c:pt>
                <c:pt idx="14">
                  <c:v>0.21099000000000001</c:v>
                </c:pt>
                <c:pt idx="15">
                  <c:v>0.22114</c:v>
                </c:pt>
                <c:pt idx="16">
                  <c:v>0.23055</c:v>
                </c:pt>
                <c:pt idx="17">
                  <c:v>0.23699999999999999</c:v>
                </c:pt>
                <c:pt idx="18">
                  <c:v>0.23849000000000001</c:v>
                </c:pt>
                <c:pt idx="19">
                  <c:v>0.23383999999999999</c:v>
                </c:pt>
                <c:pt idx="20">
                  <c:v>0.22469</c:v>
                </c:pt>
                <c:pt idx="21">
                  <c:v>0.21321999999999999</c:v>
                </c:pt>
                <c:pt idx="22">
                  <c:v>0.20075999999999999</c:v>
                </c:pt>
                <c:pt idx="23">
                  <c:v>0.18829000000000001</c:v>
                </c:pt>
                <c:pt idx="24">
                  <c:v>0.17613999999999999</c:v>
                </c:pt>
                <c:pt idx="25">
                  <c:v>0.16447999999999999</c:v>
                </c:pt>
                <c:pt idx="26">
                  <c:v>0.15340000000000001</c:v>
                </c:pt>
                <c:pt idx="27">
                  <c:v>0.1429</c:v>
                </c:pt>
                <c:pt idx="28">
                  <c:v>0.13255</c:v>
                </c:pt>
                <c:pt idx="29">
                  <c:v>0.12197</c:v>
                </c:pt>
                <c:pt idx="30">
                  <c:v>0.11119999999999999</c:v>
                </c:pt>
                <c:pt idx="31">
                  <c:v>0.10054</c:v>
                </c:pt>
                <c:pt idx="32">
                  <c:v>9.085E-2</c:v>
                </c:pt>
                <c:pt idx="33">
                  <c:v>8.2960999999999993E-2</c:v>
                </c:pt>
                <c:pt idx="34">
                  <c:v>7.7049000000000006E-2</c:v>
                </c:pt>
                <c:pt idx="35">
                  <c:v>7.2875999999999996E-2</c:v>
                </c:pt>
                <c:pt idx="36">
                  <c:v>6.9205000000000003E-2</c:v>
                </c:pt>
                <c:pt idx="37">
                  <c:v>6.4821000000000004E-2</c:v>
                </c:pt>
                <c:pt idx="38">
                  <c:v>5.9574000000000002E-2</c:v>
                </c:pt>
                <c:pt idx="39">
                  <c:v>5.3745000000000001E-2</c:v>
                </c:pt>
                <c:pt idx="40">
                  <c:v>4.8254999999999999E-2</c:v>
                </c:pt>
                <c:pt idx="41">
                  <c:v>4.4033999999999997E-2</c:v>
                </c:pt>
                <c:pt idx="42">
                  <c:v>4.1404000000000003E-2</c:v>
                </c:pt>
                <c:pt idx="43">
                  <c:v>4.1105999999999997E-2</c:v>
                </c:pt>
                <c:pt idx="44">
                  <c:v>4.6170000000000003E-2</c:v>
                </c:pt>
                <c:pt idx="45">
                  <c:v>5.9264999999999998E-2</c:v>
                </c:pt>
                <c:pt idx="46">
                  <c:v>7.9333000000000001E-2</c:v>
                </c:pt>
                <c:pt idx="47">
                  <c:v>0.10352</c:v>
                </c:pt>
                <c:pt idx="48">
                  <c:v>0.1255</c:v>
                </c:pt>
                <c:pt idx="49">
                  <c:v>0.13983999999999999</c:v>
                </c:pt>
                <c:pt idx="50">
                  <c:v>0.14804</c:v>
                </c:pt>
                <c:pt idx="51">
                  <c:v>0.15301000000000001</c:v>
                </c:pt>
                <c:pt idx="52">
                  <c:v>0.15637999999999999</c:v>
                </c:pt>
                <c:pt idx="53">
                  <c:v>0.15926999999999999</c:v>
                </c:pt>
                <c:pt idx="54">
                  <c:v>0.16203999999999999</c:v>
                </c:pt>
                <c:pt idx="55">
                  <c:v>0.16492000000000001</c:v>
                </c:pt>
                <c:pt idx="56">
                  <c:v>0.16819999999999999</c:v>
                </c:pt>
                <c:pt idx="57">
                  <c:v>0.17215</c:v>
                </c:pt>
                <c:pt idx="58">
                  <c:v>0.17684</c:v>
                </c:pt>
                <c:pt idx="59">
                  <c:v>0.182</c:v>
                </c:pt>
                <c:pt idx="60">
                  <c:v>0.18626999999999999</c:v>
                </c:pt>
                <c:pt idx="61">
                  <c:v>0.1883</c:v>
                </c:pt>
                <c:pt idx="62">
                  <c:v>0.18795999999999999</c:v>
                </c:pt>
                <c:pt idx="63">
                  <c:v>0.18570999999999999</c:v>
                </c:pt>
                <c:pt idx="64">
                  <c:v>0.18318999999999999</c:v>
                </c:pt>
                <c:pt idx="65">
                  <c:v>0.18185000000000001</c:v>
                </c:pt>
                <c:pt idx="66">
                  <c:v>0.1812</c:v>
                </c:pt>
                <c:pt idx="67">
                  <c:v>0.18026</c:v>
                </c:pt>
                <c:pt idx="68">
                  <c:v>0.17802999999999999</c:v>
                </c:pt>
                <c:pt idx="69">
                  <c:v>0.17751</c:v>
                </c:pt>
                <c:pt idx="70">
                  <c:v>0.17632</c:v>
                </c:pt>
                <c:pt idx="71">
                  <c:v>0.17513000000000001</c:v>
                </c:pt>
                <c:pt idx="72">
                  <c:v>0.17394999999999999</c:v>
                </c:pt>
                <c:pt idx="73">
                  <c:v>0.17277999999999999</c:v>
                </c:pt>
                <c:pt idx="74">
                  <c:v>0.17161000000000001</c:v>
                </c:pt>
                <c:pt idx="75">
                  <c:v>0.17044999999999999</c:v>
                </c:pt>
                <c:pt idx="76">
                  <c:v>0.16929</c:v>
                </c:pt>
                <c:pt idx="77">
                  <c:v>0.16814000000000001</c:v>
                </c:pt>
                <c:pt idx="78">
                  <c:v>0.16700000000000001</c:v>
                </c:pt>
                <c:pt idx="79">
                  <c:v>0.16586000000000001</c:v>
                </c:pt>
                <c:pt idx="80">
                  <c:v>0.16472999999999999</c:v>
                </c:pt>
                <c:pt idx="81">
                  <c:v>0.16361000000000001</c:v>
                </c:pt>
                <c:pt idx="82">
                  <c:v>0.16249</c:v>
                </c:pt>
                <c:pt idx="83">
                  <c:v>0.16138</c:v>
                </c:pt>
                <c:pt idx="84">
                  <c:v>0.16027</c:v>
                </c:pt>
                <c:pt idx="85">
                  <c:v>0.16027</c:v>
                </c:pt>
                <c:pt idx="86">
                  <c:v>0.16027</c:v>
                </c:pt>
                <c:pt idx="87">
                  <c:v>0.16027</c:v>
                </c:pt>
                <c:pt idx="88">
                  <c:v>0.16027</c:v>
                </c:pt>
                <c:pt idx="89">
                  <c:v>0.16027</c:v>
                </c:pt>
                <c:pt idx="90">
                  <c:v>0.16027</c:v>
                </c:pt>
                <c:pt idx="91">
                  <c:v>0.16027</c:v>
                </c:pt>
                <c:pt idx="92">
                  <c:v>0.16027</c:v>
                </c:pt>
                <c:pt idx="93">
                  <c:v>0.16027</c:v>
                </c:pt>
                <c:pt idx="94">
                  <c:v>0.16027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6-3FE4-445B-8EEB-D88489EA6296}"/>
            </c:ext>
          </c:extLst>
        </c:ser>
        <c:ser>
          <c:idx val="88"/>
          <c:order val="8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'99set'!$CL$10:$CL$104</c:f>
              <c:numCache>
                <c:formatCode>0.0000</c:formatCode>
                <c:ptCount val="95"/>
                <c:pt idx="0">
                  <c:v>0.4264</c:v>
                </c:pt>
                <c:pt idx="1">
                  <c:v>0.4264</c:v>
                </c:pt>
                <c:pt idx="2">
                  <c:v>0.4264</c:v>
                </c:pt>
                <c:pt idx="3">
                  <c:v>0.4264</c:v>
                </c:pt>
                <c:pt idx="4">
                  <c:v>0.4264</c:v>
                </c:pt>
                <c:pt idx="5">
                  <c:v>0.44033</c:v>
                </c:pt>
                <c:pt idx="6">
                  <c:v>0.45434999999999998</c:v>
                </c:pt>
                <c:pt idx="7">
                  <c:v>0.46844999999999998</c:v>
                </c:pt>
                <c:pt idx="8">
                  <c:v>0.47489999999999999</c:v>
                </c:pt>
                <c:pt idx="9">
                  <c:v>0.50053999999999998</c:v>
                </c:pt>
                <c:pt idx="10">
                  <c:v>0.51283000000000001</c:v>
                </c:pt>
                <c:pt idx="11">
                  <c:v>0.51583999999999997</c:v>
                </c:pt>
                <c:pt idx="12">
                  <c:v>0.51363000000000003</c:v>
                </c:pt>
                <c:pt idx="13">
                  <c:v>0.50938000000000005</c:v>
                </c:pt>
                <c:pt idx="14">
                  <c:v>0.50280000000000002</c:v>
                </c:pt>
                <c:pt idx="15">
                  <c:v>0.49313000000000001</c:v>
                </c:pt>
                <c:pt idx="16">
                  <c:v>0.48115999999999998</c:v>
                </c:pt>
                <c:pt idx="17">
                  <c:v>0.46804000000000001</c:v>
                </c:pt>
                <c:pt idx="18">
                  <c:v>0.45465</c:v>
                </c:pt>
                <c:pt idx="19">
                  <c:v>0.44163999999999998</c:v>
                </c:pt>
                <c:pt idx="20">
                  <c:v>0.42903000000000002</c:v>
                </c:pt>
                <c:pt idx="21">
                  <c:v>0.41661999999999999</c:v>
                </c:pt>
                <c:pt idx="22">
                  <c:v>0.40400999999999998</c:v>
                </c:pt>
                <c:pt idx="23">
                  <c:v>0.39068000000000003</c:v>
                </c:pt>
                <c:pt idx="24">
                  <c:v>0.37591000000000002</c:v>
                </c:pt>
                <c:pt idx="25">
                  <c:v>0.35911999999999999</c:v>
                </c:pt>
                <c:pt idx="26">
                  <c:v>0.34055999999999997</c:v>
                </c:pt>
                <c:pt idx="27">
                  <c:v>0.32102999999999998</c:v>
                </c:pt>
                <c:pt idx="28">
                  <c:v>0.30253999999999998</c:v>
                </c:pt>
                <c:pt idx="29">
                  <c:v>0.28661999999999999</c:v>
                </c:pt>
                <c:pt idx="30">
                  <c:v>0.27176</c:v>
                </c:pt>
                <c:pt idx="31">
                  <c:v>0.25597999999999999</c:v>
                </c:pt>
                <c:pt idx="32">
                  <c:v>0.23869000000000001</c:v>
                </c:pt>
                <c:pt idx="33">
                  <c:v>0.22042</c:v>
                </c:pt>
                <c:pt idx="34">
                  <c:v>0.20493</c:v>
                </c:pt>
                <c:pt idx="35">
                  <c:v>0.1958</c:v>
                </c:pt>
                <c:pt idx="36">
                  <c:v>0.19252</c:v>
                </c:pt>
                <c:pt idx="37">
                  <c:v>0.19314999999999999</c:v>
                </c:pt>
                <c:pt idx="38">
                  <c:v>0.19400999999999999</c:v>
                </c:pt>
                <c:pt idx="39">
                  <c:v>0.19189999999999999</c:v>
                </c:pt>
                <c:pt idx="40">
                  <c:v>0.18706</c:v>
                </c:pt>
                <c:pt idx="41">
                  <c:v>0.18151</c:v>
                </c:pt>
                <c:pt idx="42">
                  <c:v>0.18071000000000001</c:v>
                </c:pt>
                <c:pt idx="43">
                  <c:v>0.18983</c:v>
                </c:pt>
                <c:pt idx="44">
                  <c:v>0.2094</c:v>
                </c:pt>
                <c:pt idx="45">
                  <c:v>0.23794999999999999</c:v>
                </c:pt>
                <c:pt idx="46">
                  <c:v>0.27076</c:v>
                </c:pt>
                <c:pt idx="47">
                  <c:v>0.30302000000000001</c:v>
                </c:pt>
                <c:pt idx="48">
                  <c:v>0.33272000000000002</c:v>
                </c:pt>
                <c:pt idx="49">
                  <c:v>0.35882999999999998</c:v>
                </c:pt>
                <c:pt idx="50">
                  <c:v>0.38146999999999998</c:v>
                </c:pt>
                <c:pt idx="51">
                  <c:v>0.40076000000000001</c:v>
                </c:pt>
                <c:pt idx="52">
                  <c:v>0.41563</c:v>
                </c:pt>
                <c:pt idx="53">
                  <c:v>0.42508000000000001</c:v>
                </c:pt>
                <c:pt idx="54">
                  <c:v>0.42953000000000002</c:v>
                </c:pt>
                <c:pt idx="55">
                  <c:v>0.4299</c:v>
                </c:pt>
                <c:pt idx="56">
                  <c:v>0.42774000000000001</c:v>
                </c:pt>
                <c:pt idx="57">
                  <c:v>0.42497000000000001</c:v>
                </c:pt>
                <c:pt idx="58">
                  <c:v>0.42426999999999998</c:v>
                </c:pt>
                <c:pt idx="59">
                  <c:v>0.42832999999999999</c:v>
                </c:pt>
                <c:pt idx="60">
                  <c:v>0.43925999999999998</c:v>
                </c:pt>
                <c:pt idx="61">
                  <c:v>0.45877000000000001</c:v>
                </c:pt>
                <c:pt idx="62">
                  <c:v>0.48760999999999999</c:v>
                </c:pt>
                <c:pt idx="63">
                  <c:v>0.52561999999999998</c:v>
                </c:pt>
                <c:pt idx="64">
                  <c:v>0.56991999999999998</c:v>
                </c:pt>
                <c:pt idx="65">
                  <c:v>0.61695</c:v>
                </c:pt>
                <c:pt idx="66">
                  <c:v>0.66286</c:v>
                </c:pt>
                <c:pt idx="67">
                  <c:v>0.70374999999999999</c:v>
                </c:pt>
                <c:pt idx="68">
                  <c:v>0.73573999999999995</c:v>
                </c:pt>
                <c:pt idx="69">
                  <c:v>0.77275000000000005</c:v>
                </c:pt>
                <c:pt idx="70">
                  <c:v>0.80334000000000005</c:v>
                </c:pt>
                <c:pt idx="71">
                  <c:v>0.83070999999999995</c:v>
                </c:pt>
                <c:pt idx="72">
                  <c:v>0.85496000000000005</c:v>
                </c:pt>
                <c:pt idx="73">
                  <c:v>0.87624999999999997</c:v>
                </c:pt>
                <c:pt idx="74">
                  <c:v>0.89480999999999999</c:v>
                </c:pt>
                <c:pt idx="75">
                  <c:v>0.91086</c:v>
                </c:pt>
                <c:pt idx="76">
                  <c:v>0.92466999999999999</c:v>
                </c:pt>
                <c:pt idx="77">
                  <c:v>0.93649000000000004</c:v>
                </c:pt>
                <c:pt idx="78">
                  <c:v>0.94655999999999996</c:v>
                </c:pt>
                <c:pt idx="79">
                  <c:v>0.95511000000000001</c:v>
                </c:pt>
                <c:pt idx="80">
                  <c:v>0.96235000000000004</c:v>
                </c:pt>
                <c:pt idx="81">
                  <c:v>0.96845999999999999</c:v>
                </c:pt>
                <c:pt idx="82">
                  <c:v>0.97360000000000002</c:v>
                </c:pt>
                <c:pt idx="83">
                  <c:v>0.97792999999999997</c:v>
                </c:pt>
                <c:pt idx="84">
                  <c:v>0.98155999999999999</c:v>
                </c:pt>
                <c:pt idx="85">
                  <c:v>0.98155999999999999</c:v>
                </c:pt>
                <c:pt idx="86">
                  <c:v>0.98155999999999999</c:v>
                </c:pt>
                <c:pt idx="87">
                  <c:v>0.98155999999999999</c:v>
                </c:pt>
                <c:pt idx="88">
                  <c:v>0.98155999999999999</c:v>
                </c:pt>
                <c:pt idx="89">
                  <c:v>0.98155999999999999</c:v>
                </c:pt>
                <c:pt idx="90">
                  <c:v>0.98155999999999999</c:v>
                </c:pt>
                <c:pt idx="91">
                  <c:v>0.98155999999999999</c:v>
                </c:pt>
                <c:pt idx="92">
                  <c:v>0.98155999999999999</c:v>
                </c:pt>
                <c:pt idx="93">
                  <c:v>0.98155999999999999</c:v>
                </c:pt>
                <c:pt idx="94">
                  <c:v>0.98155999999999999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7-3FE4-445B-8EEB-D88489EA6296}"/>
            </c:ext>
          </c:extLst>
        </c:ser>
        <c:ser>
          <c:idx val="89"/>
          <c:order val="8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'99set'!$CM$10:$CM$104</c:f>
              <c:numCache>
                <c:formatCode>0.0000</c:formatCode>
                <c:ptCount val="95"/>
                <c:pt idx="0">
                  <c:v>7.2745000000000004E-2</c:v>
                </c:pt>
                <c:pt idx="1">
                  <c:v>7.2745000000000004E-2</c:v>
                </c:pt>
                <c:pt idx="2">
                  <c:v>7.2745000000000004E-2</c:v>
                </c:pt>
                <c:pt idx="3">
                  <c:v>7.2745000000000004E-2</c:v>
                </c:pt>
                <c:pt idx="4">
                  <c:v>7.2745000000000004E-2</c:v>
                </c:pt>
                <c:pt idx="5">
                  <c:v>8.208E-2</c:v>
                </c:pt>
                <c:pt idx="6">
                  <c:v>9.2493000000000006E-2</c:v>
                </c:pt>
                <c:pt idx="7">
                  <c:v>0.10408000000000001</c:v>
                </c:pt>
                <c:pt idx="8">
                  <c:v>0.11545999999999999</c:v>
                </c:pt>
                <c:pt idx="9">
                  <c:v>0.13191</c:v>
                </c:pt>
                <c:pt idx="10">
                  <c:v>0.14757000000000001</c:v>
                </c:pt>
                <c:pt idx="11">
                  <c:v>0.16011</c:v>
                </c:pt>
                <c:pt idx="12">
                  <c:v>0.16724</c:v>
                </c:pt>
                <c:pt idx="13">
                  <c:v>0.16828000000000001</c:v>
                </c:pt>
                <c:pt idx="14">
                  <c:v>0.16927</c:v>
                </c:pt>
                <c:pt idx="15">
                  <c:v>0.17537</c:v>
                </c:pt>
                <c:pt idx="16">
                  <c:v>0.18160000000000001</c:v>
                </c:pt>
                <c:pt idx="17">
                  <c:v>0.18229999999999999</c:v>
                </c:pt>
                <c:pt idx="18">
                  <c:v>0.17906</c:v>
                </c:pt>
                <c:pt idx="19">
                  <c:v>0.17458000000000001</c:v>
                </c:pt>
                <c:pt idx="20">
                  <c:v>0.16855999999999999</c:v>
                </c:pt>
                <c:pt idx="21">
                  <c:v>0.16017000000000001</c:v>
                </c:pt>
                <c:pt idx="22">
                  <c:v>0.14940000000000001</c:v>
                </c:pt>
                <c:pt idx="23">
                  <c:v>0.13678999999999999</c:v>
                </c:pt>
                <c:pt idx="24">
                  <c:v>0.12422999999999999</c:v>
                </c:pt>
                <c:pt idx="25">
                  <c:v>0.11336</c:v>
                </c:pt>
                <c:pt idx="26">
                  <c:v>0.10344</c:v>
                </c:pt>
                <c:pt idx="27">
                  <c:v>9.3580999999999998E-2</c:v>
                </c:pt>
                <c:pt idx="28">
                  <c:v>8.4585999999999995E-2</c:v>
                </c:pt>
                <c:pt idx="29">
                  <c:v>7.7413999999999997E-2</c:v>
                </c:pt>
                <c:pt idx="30">
                  <c:v>7.1948999999999999E-2</c:v>
                </c:pt>
                <c:pt idx="31">
                  <c:v>6.7756999999999998E-2</c:v>
                </c:pt>
                <c:pt idx="32">
                  <c:v>6.4203999999999997E-2</c:v>
                </c:pt>
                <c:pt idx="33">
                  <c:v>6.0780000000000001E-2</c:v>
                </c:pt>
                <c:pt idx="34">
                  <c:v>5.7681000000000003E-2</c:v>
                </c:pt>
                <c:pt idx="35">
                  <c:v>5.5263E-2</c:v>
                </c:pt>
                <c:pt idx="36">
                  <c:v>5.3809000000000003E-2</c:v>
                </c:pt>
                <c:pt idx="37">
                  <c:v>5.3582999999999999E-2</c:v>
                </c:pt>
                <c:pt idx="38">
                  <c:v>5.4828000000000002E-2</c:v>
                </c:pt>
                <c:pt idx="39">
                  <c:v>5.7626999999999998E-2</c:v>
                </c:pt>
                <c:pt idx="40">
                  <c:v>6.1452E-2</c:v>
                </c:pt>
                <c:pt idx="41">
                  <c:v>6.5639000000000003E-2</c:v>
                </c:pt>
                <c:pt idx="42">
                  <c:v>6.9605E-2</c:v>
                </c:pt>
                <c:pt idx="43">
                  <c:v>7.3039999999999994E-2</c:v>
                </c:pt>
                <c:pt idx="44">
                  <c:v>7.6636999999999997E-2</c:v>
                </c:pt>
                <c:pt idx="45">
                  <c:v>8.1195000000000003E-2</c:v>
                </c:pt>
                <c:pt idx="46">
                  <c:v>8.6929999999999993E-2</c:v>
                </c:pt>
                <c:pt idx="47">
                  <c:v>9.3861E-2</c:v>
                </c:pt>
                <c:pt idx="48">
                  <c:v>0.10181</c:v>
                </c:pt>
                <c:pt idx="49">
                  <c:v>0.11045000000000001</c:v>
                </c:pt>
                <c:pt idx="50">
                  <c:v>0.11913</c:v>
                </c:pt>
                <c:pt idx="51">
                  <c:v>0.12714</c:v>
                </c:pt>
                <c:pt idx="52">
                  <c:v>0.13391</c:v>
                </c:pt>
                <c:pt idx="53">
                  <c:v>0.13922000000000001</c:v>
                </c:pt>
                <c:pt idx="54">
                  <c:v>0.1439</c:v>
                </c:pt>
                <c:pt idx="55">
                  <c:v>0.14909</c:v>
                </c:pt>
                <c:pt idx="56">
                  <c:v>0.15603</c:v>
                </c:pt>
                <c:pt idx="57">
                  <c:v>0.16583000000000001</c:v>
                </c:pt>
                <c:pt idx="58">
                  <c:v>0.17906</c:v>
                </c:pt>
                <c:pt idx="59">
                  <c:v>0.19606999999999999</c:v>
                </c:pt>
                <c:pt idx="60">
                  <c:v>0.21697</c:v>
                </c:pt>
                <c:pt idx="61">
                  <c:v>0.2417</c:v>
                </c:pt>
                <c:pt idx="62">
                  <c:v>0.26985999999999999</c:v>
                </c:pt>
                <c:pt idx="63">
                  <c:v>0.30107</c:v>
                </c:pt>
                <c:pt idx="64">
                  <c:v>0.33549000000000001</c:v>
                </c:pt>
                <c:pt idx="65">
                  <c:v>0.37308999999999998</c:v>
                </c:pt>
                <c:pt idx="66">
                  <c:v>0.41253000000000001</c:v>
                </c:pt>
                <c:pt idx="67">
                  <c:v>0.45218999999999998</c:v>
                </c:pt>
                <c:pt idx="68">
                  <c:v>0.49038999999999999</c:v>
                </c:pt>
                <c:pt idx="69">
                  <c:v>0.53154999999999997</c:v>
                </c:pt>
                <c:pt idx="70">
                  <c:v>0.57116999999999996</c:v>
                </c:pt>
                <c:pt idx="71">
                  <c:v>0.60989000000000004</c:v>
                </c:pt>
                <c:pt idx="72">
                  <c:v>0.64727999999999997</c:v>
                </c:pt>
                <c:pt idx="73">
                  <c:v>0.68293999999999999</c:v>
                </c:pt>
                <c:pt idx="74">
                  <c:v>0.71657999999999999</c:v>
                </c:pt>
                <c:pt idx="75">
                  <c:v>0.74797000000000002</c:v>
                </c:pt>
                <c:pt idx="76">
                  <c:v>0.77695999999999998</c:v>
                </c:pt>
                <c:pt idx="77">
                  <c:v>0.80349999999999999</c:v>
                </c:pt>
                <c:pt idx="78">
                  <c:v>0.82757000000000003</c:v>
                </c:pt>
                <c:pt idx="79">
                  <c:v>0.84924999999999995</c:v>
                </c:pt>
                <c:pt idx="80">
                  <c:v>0.86863999999999997</c:v>
                </c:pt>
                <c:pt idx="81">
                  <c:v>0.88587000000000005</c:v>
                </c:pt>
                <c:pt idx="82">
                  <c:v>0.90110000000000001</c:v>
                </c:pt>
                <c:pt idx="83">
                  <c:v>0.91449000000000003</c:v>
                </c:pt>
                <c:pt idx="84">
                  <c:v>0.92620999999999998</c:v>
                </c:pt>
                <c:pt idx="85">
                  <c:v>0.92620999999999998</c:v>
                </c:pt>
                <c:pt idx="86">
                  <c:v>0.92620999999999998</c:v>
                </c:pt>
                <c:pt idx="87">
                  <c:v>0.92620999999999998</c:v>
                </c:pt>
                <c:pt idx="88">
                  <c:v>0.92620999999999998</c:v>
                </c:pt>
                <c:pt idx="89">
                  <c:v>0.92620999999999998</c:v>
                </c:pt>
                <c:pt idx="90">
                  <c:v>0.92620999999999998</c:v>
                </c:pt>
                <c:pt idx="91">
                  <c:v>0.92620999999999998</c:v>
                </c:pt>
                <c:pt idx="92">
                  <c:v>0.92620999999999998</c:v>
                </c:pt>
                <c:pt idx="93">
                  <c:v>0.92620999999999998</c:v>
                </c:pt>
                <c:pt idx="94">
                  <c:v>0.92620999999999998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8-3FE4-445B-8EEB-D88489EA6296}"/>
            </c:ext>
          </c:extLst>
        </c:ser>
        <c:ser>
          <c:idx val="90"/>
          <c:order val="8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'99set'!$CN$10:$CN$104</c:f>
              <c:numCache>
                <c:formatCode>0.0000</c:formatCode>
                <c:ptCount val="95"/>
                <c:pt idx="0">
                  <c:v>0.22178</c:v>
                </c:pt>
                <c:pt idx="1">
                  <c:v>0.22178</c:v>
                </c:pt>
                <c:pt idx="2">
                  <c:v>0.22178</c:v>
                </c:pt>
                <c:pt idx="3">
                  <c:v>0.22178</c:v>
                </c:pt>
                <c:pt idx="4">
                  <c:v>0.22178</c:v>
                </c:pt>
                <c:pt idx="5">
                  <c:v>0.23127</c:v>
                </c:pt>
                <c:pt idx="6">
                  <c:v>0.24102999999999999</c:v>
                </c:pt>
                <c:pt idx="7">
                  <c:v>0.25108000000000003</c:v>
                </c:pt>
                <c:pt idx="8">
                  <c:v>0.26169999999999999</c:v>
                </c:pt>
                <c:pt idx="9">
                  <c:v>0.27271000000000001</c:v>
                </c:pt>
                <c:pt idx="10">
                  <c:v>0.2838</c:v>
                </c:pt>
                <c:pt idx="11">
                  <c:v>0.28598000000000001</c:v>
                </c:pt>
                <c:pt idx="12">
                  <c:v>0.28220000000000001</c:v>
                </c:pt>
                <c:pt idx="13">
                  <c:v>0.27711000000000002</c:v>
                </c:pt>
                <c:pt idx="14">
                  <c:v>0.27029999999999998</c:v>
                </c:pt>
                <c:pt idx="15">
                  <c:v>0.26062999999999997</c:v>
                </c:pt>
                <c:pt idx="16">
                  <c:v>0.249</c:v>
                </c:pt>
                <c:pt idx="17">
                  <c:v>0.23663000000000001</c:v>
                </c:pt>
                <c:pt idx="18">
                  <c:v>0.22389999999999999</c:v>
                </c:pt>
                <c:pt idx="19">
                  <c:v>0.21107000000000001</c:v>
                </c:pt>
                <c:pt idx="20">
                  <c:v>0.19869999999999999</c:v>
                </c:pt>
                <c:pt idx="21">
                  <c:v>0.18718000000000001</c:v>
                </c:pt>
                <c:pt idx="22">
                  <c:v>0.1759</c:v>
                </c:pt>
                <c:pt idx="23">
                  <c:v>0.16417000000000001</c:v>
                </c:pt>
                <c:pt idx="24">
                  <c:v>0.152</c:v>
                </c:pt>
                <c:pt idx="25">
                  <c:v>0.13979</c:v>
                </c:pt>
                <c:pt idx="26">
                  <c:v>0.12870000000000001</c:v>
                </c:pt>
                <c:pt idx="27">
                  <c:v>0.11977</c:v>
                </c:pt>
                <c:pt idx="28">
                  <c:v>0.11260000000000001</c:v>
                </c:pt>
                <c:pt idx="29">
                  <c:v>0.10642</c:v>
                </c:pt>
                <c:pt idx="30">
                  <c:v>0.1002</c:v>
                </c:pt>
                <c:pt idx="31">
                  <c:v>9.3206999999999998E-2</c:v>
                </c:pt>
                <c:pt idx="32">
                  <c:v>8.5999999999999993E-2</c:v>
                </c:pt>
                <c:pt idx="33">
                  <c:v>7.9445000000000002E-2</c:v>
                </c:pt>
                <c:pt idx="34">
                  <c:v>7.4300000000000005E-2</c:v>
                </c:pt>
                <c:pt idx="35">
                  <c:v>7.1138999999999994E-2</c:v>
                </c:pt>
                <c:pt idx="36">
                  <c:v>6.9900000000000004E-2</c:v>
                </c:pt>
                <c:pt idx="37">
                  <c:v>7.0186999999999999E-2</c:v>
                </c:pt>
                <c:pt idx="38">
                  <c:v>7.0900000000000005E-2</c:v>
                </c:pt>
                <c:pt idx="39">
                  <c:v>7.109E-2</c:v>
                </c:pt>
                <c:pt idx="40">
                  <c:v>7.1099999999999997E-2</c:v>
                </c:pt>
                <c:pt idx="41">
                  <c:v>7.1753999999999998E-2</c:v>
                </c:pt>
                <c:pt idx="42">
                  <c:v>7.4499999999999997E-2</c:v>
                </c:pt>
                <c:pt idx="43">
                  <c:v>8.0843999999999999E-2</c:v>
                </c:pt>
                <c:pt idx="44">
                  <c:v>9.1899999999999996E-2</c:v>
                </c:pt>
                <c:pt idx="45">
                  <c:v>0.10811</c:v>
                </c:pt>
                <c:pt idx="46">
                  <c:v>0.12759999999999999</c:v>
                </c:pt>
                <c:pt idx="47">
                  <c:v>0.14791000000000001</c:v>
                </c:pt>
                <c:pt idx="48">
                  <c:v>0.16650000000000001</c:v>
                </c:pt>
                <c:pt idx="49">
                  <c:v>0.18129999999999999</c:v>
                </c:pt>
                <c:pt idx="50">
                  <c:v>0.1923</c:v>
                </c:pt>
                <c:pt idx="51">
                  <c:v>0.20011000000000001</c:v>
                </c:pt>
                <c:pt idx="52">
                  <c:v>0.20569999999999999</c:v>
                </c:pt>
                <c:pt idx="53">
                  <c:v>0.20999000000000001</c:v>
                </c:pt>
                <c:pt idx="54">
                  <c:v>0.21340000000000001</c:v>
                </c:pt>
                <c:pt idx="55">
                  <c:v>0.21626000000000001</c:v>
                </c:pt>
                <c:pt idx="56">
                  <c:v>0.21890000000000001</c:v>
                </c:pt>
                <c:pt idx="57">
                  <c:v>0.22164</c:v>
                </c:pt>
                <c:pt idx="58">
                  <c:v>0.22459999999999999</c:v>
                </c:pt>
                <c:pt idx="59">
                  <c:v>0.22767999999999999</c:v>
                </c:pt>
                <c:pt idx="60">
                  <c:v>0.2301</c:v>
                </c:pt>
                <c:pt idx="61">
                  <c:v>0.23136999999999999</c:v>
                </c:pt>
                <c:pt idx="62">
                  <c:v>0.2329</c:v>
                </c:pt>
                <c:pt idx="63">
                  <c:v>0.23605999999999999</c:v>
                </c:pt>
                <c:pt idx="64">
                  <c:v>0.24010000000000001</c:v>
                </c:pt>
                <c:pt idx="65">
                  <c:v>0.24393000000000001</c:v>
                </c:pt>
                <c:pt idx="66">
                  <c:v>0.2472</c:v>
                </c:pt>
                <c:pt idx="67">
                  <c:v>0.24973000000000001</c:v>
                </c:pt>
                <c:pt idx="68">
                  <c:v>0.25119999999999998</c:v>
                </c:pt>
                <c:pt idx="69">
                  <c:v>0.25261</c:v>
                </c:pt>
                <c:pt idx="70">
                  <c:v>0.25396999999999997</c:v>
                </c:pt>
                <c:pt idx="71">
                  <c:v>0.25533</c:v>
                </c:pt>
                <c:pt idx="72">
                  <c:v>0.25669999999999998</c:v>
                </c:pt>
                <c:pt idx="73">
                  <c:v>0.25807000000000002</c:v>
                </c:pt>
                <c:pt idx="74">
                  <c:v>0.25945000000000001</c:v>
                </c:pt>
                <c:pt idx="75">
                  <c:v>0.26083000000000001</c:v>
                </c:pt>
                <c:pt idx="76">
                  <c:v>0.26222000000000001</c:v>
                </c:pt>
                <c:pt idx="77">
                  <c:v>0.26362000000000002</c:v>
                </c:pt>
                <c:pt idx="78">
                  <c:v>0.26501000000000002</c:v>
                </c:pt>
                <c:pt idx="79">
                  <c:v>0.26641999999999999</c:v>
                </c:pt>
                <c:pt idx="80">
                  <c:v>0.26782</c:v>
                </c:pt>
                <c:pt idx="81">
                  <c:v>0.26923000000000002</c:v>
                </c:pt>
                <c:pt idx="82">
                  <c:v>0.27065</c:v>
                </c:pt>
                <c:pt idx="83">
                  <c:v>0.27206999999999998</c:v>
                </c:pt>
                <c:pt idx="84">
                  <c:v>0.27350000000000002</c:v>
                </c:pt>
                <c:pt idx="85">
                  <c:v>0.27350000000000002</c:v>
                </c:pt>
                <c:pt idx="86">
                  <c:v>0.27350000000000002</c:v>
                </c:pt>
                <c:pt idx="87">
                  <c:v>0.27350000000000002</c:v>
                </c:pt>
                <c:pt idx="88">
                  <c:v>0.27350000000000002</c:v>
                </c:pt>
                <c:pt idx="89">
                  <c:v>0.27350000000000002</c:v>
                </c:pt>
                <c:pt idx="90">
                  <c:v>0.27350000000000002</c:v>
                </c:pt>
                <c:pt idx="91">
                  <c:v>0.27350000000000002</c:v>
                </c:pt>
                <c:pt idx="92">
                  <c:v>0.27350000000000002</c:v>
                </c:pt>
                <c:pt idx="93">
                  <c:v>0.27350000000000002</c:v>
                </c:pt>
                <c:pt idx="94">
                  <c:v>0.27350000000000002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9-3FE4-445B-8EEB-D88489EA6296}"/>
            </c:ext>
          </c:extLst>
        </c:ser>
        <c:ser>
          <c:idx val="91"/>
          <c:order val="9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'99set'!$CO$10:$CO$104</c:f>
              <c:numCache>
                <c:formatCode>0.0000</c:formatCode>
                <c:ptCount val="95"/>
                <c:pt idx="0">
                  <c:v>2.9659000000000001E-2</c:v>
                </c:pt>
                <c:pt idx="1">
                  <c:v>2.9659000000000001E-2</c:v>
                </c:pt>
                <c:pt idx="2">
                  <c:v>2.9659000000000001E-2</c:v>
                </c:pt>
                <c:pt idx="3">
                  <c:v>2.9659000000000001E-2</c:v>
                </c:pt>
                <c:pt idx="4">
                  <c:v>2.9659000000000001E-2</c:v>
                </c:pt>
                <c:pt idx="5">
                  <c:v>3.3792272727272726E-2</c:v>
                </c:pt>
                <c:pt idx="6">
                  <c:v>4.7769047619047621E-2</c:v>
                </c:pt>
                <c:pt idx="7">
                  <c:v>7.916809677419355E-2</c:v>
                </c:pt>
                <c:pt idx="8">
                  <c:v>0.13074539024390244</c:v>
                </c:pt>
                <c:pt idx="9">
                  <c:v>0.17690534146341463</c:v>
                </c:pt>
                <c:pt idx="10">
                  <c:v>0.22905112195121954</c:v>
                </c:pt>
                <c:pt idx="11">
                  <c:v>0.28446282926829264</c:v>
                </c:pt>
                <c:pt idx="12">
                  <c:v>0.34278534146341466</c:v>
                </c:pt>
                <c:pt idx="13">
                  <c:v>0.40109634146341466</c:v>
                </c:pt>
                <c:pt idx="14">
                  <c:v>0.45478682926829272</c:v>
                </c:pt>
                <c:pt idx="15">
                  <c:v>0.50149780487804874</c:v>
                </c:pt>
                <c:pt idx="16">
                  <c:v>0.53963487804878052</c:v>
                </c:pt>
                <c:pt idx="17">
                  <c:v>0.56762170731707307</c:v>
                </c:pt>
                <c:pt idx="18">
                  <c:v>0.5870765853658535</c:v>
                </c:pt>
                <c:pt idx="19">
                  <c:v>0.60061146341463401</c:v>
                </c:pt>
                <c:pt idx="20">
                  <c:v>0.60849536585365849</c:v>
                </c:pt>
                <c:pt idx="21">
                  <c:v>0.61063878048780496</c:v>
                </c:pt>
                <c:pt idx="22">
                  <c:v>0.60879170731707299</c:v>
                </c:pt>
                <c:pt idx="23">
                  <c:v>0.60405609756097545</c:v>
                </c:pt>
                <c:pt idx="24">
                  <c:v>0.59734317073170717</c:v>
                </c:pt>
                <c:pt idx="25">
                  <c:v>0.59009170731707328</c:v>
                </c:pt>
                <c:pt idx="26">
                  <c:v>0.58275243902439045</c:v>
                </c:pt>
                <c:pt idx="27">
                  <c:v>0.57510902439024392</c:v>
                </c:pt>
                <c:pt idx="28">
                  <c:v>0.56692341463414642</c:v>
                </c:pt>
                <c:pt idx="29">
                  <c:v>0.55948585365853654</c:v>
                </c:pt>
                <c:pt idx="30">
                  <c:v>0.55296560975609743</c:v>
                </c:pt>
                <c:pt idx="31">
                  <c:v>0.54596975609756104</c:v>
                </c:pt>
                <c:pt idx="32">
                  <c:v>0.53793414634146353</c:v>
                </c:pt>
                <c:pt idx="33">
                  <c:v>0.52943463414634151</c:v>
                </c:pt>
                <c:pt idx="34">
                  <c:v>0.52206634146341446</c:v>
                </c:pt>
                <c:pt idx="35">
                  <c:v>0.51669317073170729</c:v>
                </c:pt>
                <c:pt idx="36">
                  <c:v>0.51244219512195133</c:v>
                </c:pt>
                <c:pt idx="37">
                  <c:v>0.50806829268292697</c:v>
                </c:pt>
                <c:pt idx="38">
                  <c:v>0.5037090243902439</c:v>
                </c:pt>
                <c:pt idx="39">
                  <c:v>0.50097292682926831</c:v>
                </c:pt>
                <c:pt idx="40">
                  <c:v>0.50109463414634148</c:v>
                </c:pt>
                <c:pt idx="41">
                  <c:v>0.50341707317073159</c:v>
                </c:pt>
                <c:pt idx="42">
                  <c:v>0.50601024390243898</c:v>
                </c:pt>
                <c:pt idx="43">
                  <c:v>0.50809097560975613</c:v>
                </c:pt>
                <c:pt idx="44">
                  <c:v>0.51071536585365862</c:v>
                </c:pt>
                <c:pt idx="45">
                  <c:v>0.51512658536585365</c:v>
                </c:pt>
                <c:pt idx="46">
                  <c:v>0.52154487804878047</c:v>
                </c:pt>
                <c:pt idx="47">
                  <c:v>0.52925341463414644</c:v>
                </c:pt>
                <c:pt idx="48">
                  <c:v>0.53705292682926842</c:v>
                </c:pt>
                <c:pt idx="49">
                  <c:v>0.54511000000000009</c:v>
                </c:pt>
                <c:pt idx="50">
                  <c:v>0.55458390243902433</c:v>
                </c:pt>
                <c:pt idx="51">
                  <c:v>0.56536682926829274</c:v>
                </c:pt>
                <c:pt idx="52">
                  <c:v>0.57660951219512213</c:v>
                </c:pt>
                <c:pt idx="53">
                  <c:v>0.58749097560975616</c:v>
                </c:pt>
                <c:pt idx="54">
                  <c:v>0.59586414634146345</c:v>
                </c:pt>
                <c:pt idx="55">
                  <c:v>0.60145609756097573</c:v>
                </c:pt>
                <c:pt idx="56">
                  <c:v>0.60694390243902452</c:v>
                </c:pt>
                <c:pt idx="57">
                  <c:v>0.61324463414634145</c:v>
                </c:pt>
                <c:pt idx="58">
                  <c:v>0.61885658536585375</c:v>
                </c:pt>
                <c:pt idx="59">
                  <c:v>0.62331463414634147</c:v>
                </c:pt>
                <c:pt idx="60">
                  <c:v>0.62790024390243915</c:v>
                </c:pt>
                <c:pt idx="61">
                  <c:v>0.63149999999999984</c:v>
                </c:pt>
                <c:pt idx="62">
                  <c:v>0.63258170731707308</c:v>
                </c:pt>
                <c:pt idx="63">
                  <c:v>0.63233609756097564</c:v>
                </c:pt>
                <c:pt idx="64">
                  <c:v>0.63234853658536583</c:v>
                </c:pt>
                <c:pt idx="65">
                  <c:v>0.62884024390243909</c:v>
                </c:pt>
                <c:pt idx="66">
                  <c:v>0.62320975609756113</c:v>
                </c:pt>
                <c:pt idx="67">
                  <c:v>0.61632682926829263</c:v>
                </c:pt>
                <c:pt idx="68">
                  <c:v>0.60749365853658543</c:v>
                </c:pt>
                <c:pt idx="69">
                  <c:v>0.59715121951219508</c:v>
                </c:pt>
                <c:pt idx="70">
                  <c:v>0.588299512195122</c:v>
                </c:pt>
                <c:pt idx="71">
                  <c:v>0.58146317073170728</c:v>
                </c:pt>
                <c:pt idx="72">
                  <c:v>0.5735417073170731</c:v>
                </c:pt>
                <c:pt idx="73">
                  <c:v>0.56537609756097573</c:v>
                </c:pt>
                <c:pt idx="74">
                  <c:v>0.55744707317073172</c:v>
                </c:pt>
                <c:pt idx="75">
                  <c:v>0.54948926829268285</c:v>
                </c:pt>
                <c:pt idx="76">
                  <c:v>0.5415053658536586</c:v>
                </c:pt>
                <c:pt idx="77">
                  <c:v>0.53350000000000009</c:v>
                </c:pt>
                <c:pt idx="78">
                  <c:v>0.52547756097560983</c:v>
                </c:pt>
                <c:pt idx="79">
                  <c:v>0.51744170731707317</c:v>
                </c:pt>
                <c:pt idx="80">
                  <c:v>0.50939731707317071</c:v>
                </c:pt>
                <c:pt idx="81">
                  <c:v>0.5013490322580646</c:v>
                </c:pt>
                <c:pt idx="82">
                  <c:v>0.49329047619047617</c:v>
                </c:pt>
                <c:pt idx="83">
                  <c:v>0.48523181818181821</c:v>
                </c:pt>
                <c:pt idx="84">
                  <c:v>0.47717999999999999</c:v>
                </c:pt>
                <c:pt idx="85">
                  <c:v>0.47717999999999999</c:v>
                </c:pt>
                <c:pt idx="86">
                  <c:v>0.47717999999999999</c:v>
                </c:pt>
                <c:pt idx="87">
                  <c:v>0.47717999999999999</c:v>
                </c:pt>
                <c:pt idx="88">
                  <c:v>0.47717999999999999</c:v>
                </c:pt>
                <c:pt idx="89">
                  <c:v>0.47717999999999999</c:v>
                </c:pt>
                <c:pt idx="90">
                  <c:v>0.47717999999999999</c:v>
                </c:pt>
                <c:pt idx="91">
                  <c:v>0.47717999999999999</c:v>
                </c:pt>
                <c:pt idx="92">
                  <c:v>0.47717999999999999</c:v>
                </c:pt>
                <c:pt idx="93">
                  <c:v>0.47717999999999999</c:v>
                </c:pt>
                <c:pt idx="94">
                  <c:v>0.47717999999999999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A-3FE4-445B-8EEB-D88489EA6296}"/>
            </c:ext>
          </c:extLst>
        </c:ser>
        <c:ser>
          <c:idx val="92"/>
          <c:order val="9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'99set'!$CP$10:$CP$104</c:f>
              <c:numCache>
                <c:formatCode>0.0000</c:formatCode>
                <c:ptCount val="95"/>
                <c:pt idx="0">
                  <c:v>5.2604000000000001E-3</c:v>
                </c:pt>
                <c:pt idx="1">
                  <c:v>5.2604000000000001E-3</c:v>
                </c:pt>
                <c:pt idx="2">
                  <c:v>5.2604000000000001E-3</c:v>
                </c:pt>
                <c:pt idx="3">
                  <c:v>5.2604000000000001E-3</c:v>
                </c:pt>
                <c:pt idx="4">
                  <c:v>5.2604000000000001E-3</c:v>
                </c:pt>
                <c:pt idx="5">
                  <c:v>2.44826E-2</c:v>
                </c:pt>
                <c:pt idx="6">
                  <c:v>5.165036190476191E-2</c:v>
                </c:pt>
                <c:pt idx="7">
                  <c:v>7.3734309677419355E-2</c:v>
                </c:pt>
                <c:pt idx="8">
                  <c:v>9.6700819512195127E-2</c:v>
                </c:pt>
                <c:pt idx="9">
                  <c:v>0.12048221951219514</c:v>
                </c:pt>
                <c:pt idx="10">
                  <c:v>0.14705160975609757</c:v>
                </c:pt>
                <c:pt idx="11">
                  <c:v>0.17355353658536585</c:v>
                </c:pt>
                <c:pt idx="12">
                  <c:v>0.19902502439024392</c:v>
                </c:pt>
                <c:pt idx="13">
                  <c:v>0.22337024390243893</c:v>
                </c:pt>
                <c:pt idx="14">
                  <c:v>0.24497268292682917</c:v>
                </c:pt>
                <c:pt idx="15">
                  <c:v>0.26321341463414621</c:v>
                </c:pt>
                <c:pt idx="16">
                  <c:v>0.2793195121951218</c:v>
                </c:pt>
                <c:pt idx="17">
                  <c:v>0.2920268292682926</c:v>
                </c:pt>
                <c:pt idx="18">
                  <c:v>0.29990170731707316</c:v>
                </c:pt>
                <c:pt idx="19">
                  <c:v>0.30269634146341462</c:v>
                </c:pt>
                <c:pt idx="20">
                  <c:v>0.3015434146341463</c:v>
                </c:pt>
                <c:pt idx="21">
                  <c:v>0.29826341463414635</c:v>
                </c:pt>
                <c:pt idx="22">
                  <c:v>0.29385658536585368</c:v>
                </c:pt>
                <c:pt idx="23">
                  <c:v>0.28892121951219518</c:v>
                </c:pt>
                <c:pt idx="24">
                  <c:v>0.28246829268292695</c:v>
                </c:pt>
                <c:pt idx="25">
                  <c:v>0.27445390243902451</c:v>
                </c:pt>
                <c:pt idx="26">
                  <c:v>0.26514414634146355</c:v>
                </c:pt>
                <c:pt idx="27">
                  <c:v>0.25487560975609763</c:v>
                </c:pt>
                <c:pt idx="28">
                  <c:v>0.24532219512195125</c:v>
                </c:pt>
                <c:pt idx="29">
                  <c:v>0.23678707317073167</c:v>
                </c:pt>
                <c:pt idx="30">
                  <c:v>0.2275580487804878</c:v>
                </c:pt>
                <c:pt idx="31">
                  <c:v>0.21695682926829271</c:v>
                </c:pt>
                <c:pt idx="32">
                  <c:v>0.20634439024390239</c:v>
                </c:pt>
                <c:pt idx="33">
                  <c:v>0.19676146341463416</c:v>
                </c:pt>
                <c:pt idx="34">
                  <c:v>0.18816170731707313</c:v>
                </c:pt>
                <c:pt idx="35">
                  <c:v>0.18044804878048779</c:v>
                </c:pt>
                <c:pt idx="36">
                  <c:v>0.17339658536585364</c:v>
                </c:pt>
                <c:pt idx="37">
                  <c:v>0.16725439024390243</c:v>
                </c:pt>
                <c:pt idx="38">
                  <c:v>0.1626258536585366</c:v>
                </c:pt>
                <c:pt idx="39">
                  <c:v>0.1600041463414634</c:v>
                </c:pt>
                <c:pt idx="40">
                  <c:v>0.15892951219512197</c:v>
                </c:pt>
                <c:pt idx="41">
                  <c:v>0.15868390243902439</c:v>
                </c:pt>
                <c:pt idx="42">
                  <c:v>0.15917560975609754</c:v>
                </c:pt>
                <c:pt idx="43">
                  <c:v>0.16048365853658536</c:v>
                </c:pt>
                <c:pt idx="44">
                  <c:v>0.16282999999999997</c:v>
                </c:pt>
                <c:pt idx="45">
                  <c:v>0.16661243902439024</c:v>
                </c:pt>
                <c:pt idx="46">
                  <c:v>0.17221902439024389</c:v>
                </c:pt>
                <c:pt idx="47">
                  <c:v>0.18040829268292682</c:v>
                </c:pt>
                <c:pt idx="48">
                  <c:v>0.19232756097560977</c:v>
                </c:pt>
                <c:pt idx="49">
                  <c:v>0.20952658536585372</c:v>
                </c:pt>
                <c:pt idx="50">
                  <c:v>0.23349878048780487</c:v>
                </c:pt>
                <c:pt idx="51">
                  <c:v>0.26384219512195128</c:v>
                </c:pt>
                <c:pt idx="52">
                  <c:v>0.29850439024390252</c:v>
                </c:pt>
                <c:pt idx="53">
                  <c:v>0.3351775609756098</c:v>
                </c:pt>
                <c:pt idx="54">
                  <c:v>0.37372707317073173</c:v>
                </c:pt>
                <c:pt idx="55">
                  <c:v>0.41398707317073169</c:v>
                </c:pt>
                <c:pt idx="56">
                  <c:v>0.45456463414634135</c:v>
                </c:pt>
                <c:pt idx="57">
                  <c:v>0.49236097560975595</c:v>
                </c:pt>
                <c:pt idx="58">
                  <c:v>0.52438780487804859</c:v>
                </c:pt>
                <c:pt idx="59">
                  <c:v>0.5500080487804877</c:v>
                </c:pt>
                <c:pt idx="60">
                  <c:v>0.57049341463414627</c:v>
                </c:pt>
                <c:pt idx="61">
                  <c:v>0.587992195121951</c:v>
                </c:pt>
                <c:pt idx="62">
                  <c:v>0.60569926829268272</c:v>
                </c:pt>
                <c:pt idx="63">
                  <c:v>0.62286926829268274</c:v>
                </c:pt>
                <c:pt idx="64">
                  <c:v>0.63522829268292658</c:v>
                </c:pt>
                <c:pt idx="65">
                  <c:v>0.64717219512195101</c:v>
                </c:pt>
                <c:pt idx="66">
                  <c:v>0.65931219512195127</c:v>
                </c:pt>
                <c:pt idx="67">
                  <c:v>0.67211682926829275</c:v>
                </c:pt>
                <c:pt idx="68">
                  <c:v>0.68575243902439043</c:v>
                </c:pt>
                <c:pt idx="69">
                  <c:v>0.70059512195121953</c:v>
                </c:pt>
                <c:pt idx="70">
                  <c:v>0.71302585365853655</c:v>
                </c:pt>
                <c:pt idx="71">
                  <c:v>0.72275463414634122</c:v>
                </c:pt>
                <c:pt idx="72">
                  <c:v>0.7336958536585364</c:v>
                </c:pt>
                <c:pt idx="73">
                  <c:v>0.74439097560975598</c:v>
                </c:pt>
                <c:pt idx="74">
                  <c:v>0.75454512195121937</c:v>
                </c:pt>
                <c:pt idx="75">
                  <c:v>0.76442439024390241</c:v>
                </c:pt>
                <c:pt idx="76">
                  <c:v>0.77402585365853649</c:v>
                </c:pt>
                <c:pt idx="77">
                  <c:v>0.78334731707317085</c:v>
                </c:pt>
                <c:pt idx="78">
                  <c:v>0.79238829268292676</c:v>
                </c:pt>
                <c:pt idx="79">
                  <c:v>0.80114853658536567</c:v>
                </c:pt>
                <c:pt idx="80">
                  <c:v>0.80962902439024398</c:v>
                </c:pt>
                <c:pt idx="81">
                  <c:v>0.81816354838709671</c:v>
                </c:pt>
                <c:pt idx="82">
                  <c:v>0.82632285714285714</c:v>
                </c:pt>
                <c:pt idx="83">
                  <c:v>0.83411272727272734</c:v>
                </c:pt>
                <c:pt idx="84">
                  <c:v>0.84153999999999995</c:v>
                </c:pt>
                <c:pt idx="85">
                  <c:v>0.84153999999999995</c:v>
                </c:pt>
                <c:pt idx="86">
                  <c:v>0.84153999999999995</c:v>
                </c:pt>
                <c:pt idx="87">
                  <c:v>0.84153999999999995</c:v>
                </c:pt>
                <c:pt idx="88">
                  <c:v>0.84153999999999995</c:v>
                </c:pt>
                <c:pt idx="89">
                  <c:v>0.84153999999999995</c:v>
                </c:pt>
                <c:pt idx="90">
                  <c:v>0.84153999999999995</c:v>
                </c:pt>
                <c:pt idx="91">
                  <c:v>0.84153999999999995</c:v>
                </c:pt>
                <c:pt idx="92">
                  <c:v>0.84153999999999995</c:v>
                </c:pt>
                <c:pt idx="93">
                  <c:v>0.84153999999999995</c:v>
                </c:pt>
                <c:pt idx="94">
                  <c:v>0.84153999999999995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B-3FE4-445B-8EEB-D88489EA6296}"/>
            </c:ext>
          </c:extLst>
        </c:ser>
        <c:ser>
          <c:idx val="93"/>
          <c:order val="9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'99set'!$CQ$10:$CQ$104</c:f>
              <c:numCache>
                <c:formatCode>0.0000</c:formatCode>
                <c:ptCount val="95"/>
                <c:pt idx="0">
                  <c:v>0.23077</c:v>
                </c:pt>
                <c:pt idx="1">
                  <c:v>0.23077</c:v>
                </c:pt>
                <c:pt idx="2">
                  <c:v>0.23077</c:v>
                </c:pt>
                <c:pt idx="3">
                  <c:v>0.23077</c:v>
                </c:pt>
                <c:pt idx="4">
                  <c:v>0.23077</c:v>
                </c:pt>
                <c:pt idx="5">
                  <c:v>0.24351999999999999</c:v>
                </c:pt>
                <c:pt idx="6">
                  <c:v>0.25635999999999998</c:v>
                </c:pt>
                <c:pt idx="7">
                  <c:v>0.26919999999999999</c:v>
                </c:pt>
                <c:pt idx="8">
                  <c:v>0.28194999999999998</c:v>
                </c:pt>
                <c:pt idx="9">
                  <c:v>0.29459999999999997</c:v>
                </c:pt>
                <c:pt idx="10">
                  <c:v>0.30753999999999998</c:v>
                </c:pt>
                <c:pt idx="11">
                  <c:v>0.32129999999999997</c:v>
                </c:pt>
                <c:pt idx="12">
                  <c:v>0.33661999999999997</c:v>
                </c:pt>
                <c:pt idx="13">
                  <c:v>0.35357</c:v>
                </c:pt>
                <c:pt idx="14">
                  <c:v>0.36925000000000002</c:v>
                </c:pt>
                <c:pt idx="15">
                  <c:v>0.38105</c:v>
                </c:pt>
                <c:pt idx="16">
                  <c:v>0.39054</c:v>
                </c:pt>
                <c:pt idx="17">
                  <c:v>0.39974999999999999</c:v>
                </c:pt>
                <c:pt idx="18">
                  <c:v>0.40838999999999998</c:v>
                </c:pt>
                <c:pt idx="19">
                  <c:v>0.41538999999999998</c:v>
                </c:pt>
                <c:pt idx="20">
                  <c:v>0.41876999999999998</c:v>
                </c:pt>
                <c:pt idx="21">
                  <c:v>0.41719000000000001</c:v>
                </c:pt>
                <c:pt idx="22">
                  <c:v>0.41282999999999997</c:v>
                </c:pt>
                <c:pt idx="23">
                  <c:v>0.40771000000000002</c:v>
                </c:pt>
                <c:pt idx="24">
                  <c:v>0.39971000000000001</c:v>
                </c:pt>
                <c:pt idx="25">
                  <c:v>0.38682</c:v>
                </c:pt>
                <c:pt idx="26">
                  <c:v>0.37157000000000001</c:v>
                </c:pt>
                <c:pt idx="27">
                  <c:v>0.35699999999999998</c:v>
                </c:pt>
                <c:pt idx="28">
                  <c:v>0.34355999999999998</c:v>
                </c:pt>
                <c:pt idx="29">
                  <c:v>0.33107999999999999</c:v>
                </c:pt>
                <c:pt idx="30">
                  <c:v>0.31952000000000003</c:v>
                </c:pt>
                <c:pt idx="31">
                  <c:v>0.30897000000000002</c:v>
                </c:pt>
                <c:pt idx="32">
                  <c:v>0.30003000000000002</c:v>
                </c:pt>
                <c:pt idx="33">
                  <c:v>0.29315999999999998</c:v>
                </c:pt>
                <c:pt idx="34">
                  <c:v>0.28788000000000002</c:v>
                </c:pt>
                <c:pt idx="35">
                  <c:v>0.28365000000000001</c:v>
                </c:pt>
                <c:pt idx="36">
                  <c:v>0.28066000000000002</c:v>
                </c:pt>
                <c:pt idx="37">
                  <c:v>0.27914</c:v>
                </c:pt>
                <c:pt idx="38">
                  <c:v>0.27879999999999999</c:v>
                </c:pt>
                <c:pt idx="39">
                  <c:v>0.27934999999999999</c:v>
                </c:pt>
                <c:pt idx="40">
                  <c:v>0.28106999999999999</c:v>
                </c:pt>
                <c:pt idx="41">
                  <c:v>0.28419</c:v>
                </c:pt>
                <c:pt idx="42">
                  <c:v>0.28827000000000003</c:v>
                </c:pt>
                <c:pt idx="43">
                  <c:v>0.29294999999999999</c:v>
                </c:pt>
                <c:pt idx="44">
                  <c:v>0.29888999999999999</c:v>
                </c:pt>
                <c:pt idx="45">
                  <c:v>0.30682999999999999</c:v>
                </c:pt>
                <c:pt idx="46">
                  <c:v>0.31669999999999998</c:v>
                </c:pt>
                <c:pt idx="47">
                  <c:v>0.32832</c:v>
                </c:pt>
                <c:pt idx="48">
                  <c:v>0.34189000000000003</c:v>
                </c:pt>
                <c:pt idx="49">
                  <c:v>0.35764000000000001</c:v>
                </c:pt>
                <c:pt idx="50">
                  <c:v>0.37558000000000002</c:v>
                </c:pt>
                <c:pt idx="51">
                  <c:v>0.39567000000000002</c:v>
                </c:pt>
                <c:pt idx="52">
                  <c:v>0.41782999999999998</c:v>
                </c:pt>
                <c:pt idx="53">
                  <c:v>0.44203999999999999</c:v>
                </c:pt>
                <c:pt idx="54">
                  <c:v>0.46839999999999998</c:v>
                </c:pt>
                <c:pt idx="55">
                  <c:v>0.49679000000000001</c:v>
                </c:pt>
                <c:pt idx="56">
                  <c:v>0.52605999999999997</c:v>
                </c:pt>
                <c:pt idx="57">
                  <c:v>0.55501999999999996</c:v>
                </c:pt>
                <c:pt idx="58">
                  <c:v>0.58337000000000006</c:v>
                </c:pt>
                <c:pt idx="59">
                  <c:v>0.61087999999999998</c:v>
                </c:pt>
                <c:pt idx="60">
                  <c:v>0.63663000000000003</c:v>
                </c:pt>
                <c:pt idx="61">
                  <c:v>0.65968000000000004</c:v>
                </c:pt>
                <c:pt idx="62">
                  <c:v>0.67984</c:v>
                </c:pt>
                <c:pt idx="63">
                  <c:v>0.69708999999999999</c:v>
                </c:pt>
                <c:pt idx="64">
                  <c:v>0.71148</c:v>
                </c:pt>
                <c:pt idx="65">
                  <c:v>0.72321000000000002</c:v>
                </c:pt>
                <c:pt idx="66">
                  <c:v>0.73309000000000002</c:v>
                </c:pt>
                <c:pt idx="67">
                  <c:v>0.74189000000000005</c:v>
                </c:pt>
                <c:pt idx="68">
                  <c:v>0.74956999999999996</c:v>
                </c:pt>
                <c:pt idx="69">
                  <c:v>0.75580999999999998</c:v>
                </c:pt>
                <c:pt idx="70">
                  <c:v>0.76012999999999997</c:v>
                </c:pt>
                <c:pt idx="71">
                  <c:v>0.76226000000000005</c:v>
                </c:pt>
                <c:pt idx="72">
                  <c:v>0.76305999999999996</c:v>
                </c:pt>
                <c:pt idx="73">
                  <c:v>0.76368999999999998</c:v>
                </c:pt>
                <c:pt idx="74">
                  <c:v>0.76529999999999998</c:v>
                </c:pt>
                <c:pt idx="75">
                  <c:v>0.76570000000000005</c:v>
                </c:pt>
                <c:pt idx="76">
                  <c:v>0.76658000000000004</c:v>
                </c:pt>
                <c:pt idx="77">
                  <c:v>0.76746000000000003</c:v>
                </c:pt>
                <c:pt idx="78">
                  <c:v>0.76832999999999996</c:v>
                </c:pt>
                <c:pt idx="79">
                  <c:v>0.76919999999999999</c:v>
                </c:pt>
                <c:pt idx="80">
                  <c:v>0.77007000000000003</c:v>
                </c:pt>
                <c:pt idx="81">
                  <c:v>0.77093999999999996</c:v>
                </c:pt>
                <c:pt idx="82">
                  <c:v>0.77181</c:v>
                </c:pt>
                <c:pt idx="83">
                  <c:v>0.77266999999999997</c:v>
                </c:pt>
                <c:pt idx="84">
                  <c:v>0.77353000000000005</c:v>
                </c:pt>
                <c:pt idx="85">
                  <c:v>0.77353000000000005</c:v>
                </c:pt>
                <c:pt idx="86">
                  <c:v>0.77353000000000005</c:v>
                </c:pt>
                <c:pt idx="87">
                  <c:v>0.77353000000000005</c:v>
                </c:pt>
                <c:pt idx="88">
                  <c:v>0.77353000000000005</c:v>
                </c:pt>
                <c:pt idx="89">
                  <c:v>0.77353000000000005</c:v>
                </c:pt>
                <c:pt idx="90">
                  <c:v>0.77353000000000005</c:v>
                </c:pt>
                <c:pt idx="91">
                  <c:v>0.77353000000000005</c:v>
                </c:pt>
                <c:pt idx="92">
                  <c:v>0.77353000000000005</c:v>
                </c:pt>
                <c:pt idx="93">
                  <c:v>0.77353000000000005</c:v>
                </c:pt>
                <c:pt idx="94">
                  <c:v>0.77353000000000005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C-3FE4-445B-8EEB-D88489EA6296}"/>
            </c:ext>
          </c:extLst>
        </c:ser>
        <c:ser>
          <c:idx val="94"/>
          <c:order val="9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'99set'!$CR$10:$CR$104</c:f>
              <c:numCache>
                <c:formatCode>0.0000</c:formatCode>
                <c:ptCount val="95"/>
                <c:pt idx="0">
                  <c:v>6.1017000000000002E-2</c:v>
                </c:pt>
                <c:pt idx="1">
                  <c:v>6.1017000000000002E-2</c:v>
                </c:pt>
                <c:pt idx="2">
                  <c:v>6.1017000000000002E-2</c:v>
                </c:pt>
                <c:pt idx="3">
                  <c:v>6.1017000000000002E-2</c:v>
                </c:pt>
                <c:pt idx="4">
                  <c:v>6.1017000000000002E-2</c:v>
                </c:pt>
                <c:pt idx="5">
                  <c:v>6.7007999999999998E-2</c:v>
                </c:pt>
                <c:pt idx="6">
                  <c:v>7.3539999999999994E-2</c:v>
                </c:pt>
                <c:pt idx="7">
                  <c:v>8.0654000000000003E-2</c:v>
                </c:pt>
                <c:pt idx="8">
                  <c:v>8.8099999999999998E-2</c:v>
                </c:pt>
                <c:pt idx="9">
                  <c:v>9.6944000000000002E-2</c:v>
                </c:pt>
                <c:pt idx="10">
                  <c:v>0.10607</c:v>
                </c:pt>
                <c:pt idx="11">
                  <c:v>0.11496000000000001</c:v>
                </c:pt>
                <c:pt idx="12">
                  <c:v>0.12311999999999999</c:v>
                </c:pt>
                <c:pt idx="13">
                  <c:v>0.13016</c:v>
                </c:pt>
                <c:pt idx="14">
                  <c:v>0.13628999999999999</c:v>
                </c:pt>
                <c:pt idx="15">
                  <c:v>0.14162</c:v>
                </c:pt>
                <c:pt idx="16">
                  <c:v>0.14546999999999999</c:v>
                </c:pt>
                <c:pt idx="17">
                  <c:v>0.14718000000000001</c:v>
                </c:pt>
                <c:pt idx="18">
                  <c:v>0.14699999999999999</c:v>
                </c:pt>
                <c:pt idx="19">
                  <c:v>0.14527999999999999</c:v>
                </c:pt>
                <c:pt idx="20">
                  <c:v>0.14180000000000001</c:v>
                </c:pt>
                <c:pt idx="21">
                  <c:v>0.13636999999999999</c:v>
                </c:pt>
                <c:pt idx="22">
                  <c:v>0.12955</c:v>
                </c:pt>
                <c:pt idx="23">
                  <c:v>0.12194000000000001</c:v>
                </c:pt>
                <c:pt idx="24">
                  <c:v>0.11362</c:v>
                </c:pt>
                <c:pt idx="25">
                  <c:v>0.10476000000000001</c:v>
                </c:pt>
                <c:pt idx="26">
                  <c:v>9.6368999999999996E-2</c:v>
                </c:pt>
                <c:pt idx="27">
                  <c:v>8.9368000000000003E-2</c:v>
                </c:pt>
                <c:pt idx="28">
                  <c:v>8.3405000000000007E-2</c:v>
                </c:pt>
                <c:pt idx="29">
                  <c:v>7.7947000000000002E-2</c:v>
                </c:pt>
                <c:pt idx="30">
                  <c:v>7.2992000000000001E-2</c:v>
                </c:pt>
                <c:pt idx="31">
                  <c:v>6.8644999999999998E-2</c:v>
                </c:pt>
                <c:pt idx="32">
                  <c:v>6.4926999999999999E-2</c:v>
                </c:pt>
                <c:pt idx="33">
                  <c:v>6.1853999999999999E-2</c:v>
                </c:pt>
                <c:pt idx="34">
                  <c:v>5.9515999999999999E-2</c:v>
                </c:pt>
                <c:pt idx="35">
                  <c:v>5.7997E-2</c:v>
                </c:pt>
                <c:pt idx="36">
                  <c:v>5.7270000000000001E-2</c:v>
                </c:pt>
                <c:pt idx="37">
                  <c:v>5.7272000000000003E-2</c:v>
                </c:pt>
                <c:pt idx="38">
                  <c:v>5.7882999999999997E-2</c:v>
                </c:pt>
                <c:pt idx="39">
                  <c:v>5.8962000000000001E-2</c:v>
                </c:pt>
                <c:pt idx="40">
                  <c:v>6.0332999999999998E-2</c:v>
                </c:pt>
                <c:pt idx="41">
                  <c:v>6.1873999999999998E-2</c:v>
                </c:pt>
                <c:pt idx="42">
                  <c:v>6.3701999999999995E-2</c:v>
                </c:pt>
                <c:pt idx="43">
                  <c:v>6.5991999999999995E-2</c:v>
                </c:pt>
                <c:pt idx="44">
                  <c:v>6.8907999999999997E-2</c:v>
                </c:pt>
                <c:pt idx="45">
                  <c:v>7.2638999999999995E-2</c:v>
                </c:pt>
                <c:pt idx="46">
                  <c:v>7.7483999999999997E-2</c:v>
                </c:pt>
                <c:pt idx="47">
                  <c:v>8.3812999999999999E-2</c:v>
                </c:pt>
                <c:pt idx="48">
                  <c:v>9.2184000000000002E-2</c:v>
                </c:pt>
                <c:pt idx="49">
                  <c:v>0.10310999999999999</c:v>
                </c:pt>
                <c:pt idx="50">
                  <c:v>0.11679</c:v>
                </c:pt>
                <c:pt idx="51">
                  <c:v>0.13341</c:v>
                </c:pt>
                <c:pt idx="52">
                  <c:v>0.15364</c:v>
                </c:pt>
                <c:pt idx="53">
                  <c:v>0.17791000000000001</c:v>
                </c:pt>
                <c:pt idx="54">
                  <c:v>0.20530000000000001</c:v>
                </c:pt>
                <c:pt idx="55">
                  <c:v>0.23477000000000001</c:v>
                </c:pt>
                <c:pt idx="56">
                  <c:v>0.26623999999999998</c:v>
                </c:pt>
                <c:pt idx="57">
                  <c:v>0.29975000000000002</c:v>
                </c:pt>
                <c:pt idx="58">
                  <c:v>0.33484000000000003</c:v>
                </c:pt>
                <c:pt idx="59">
                  <c:v>0.37096000000000001</c:v>
                </c:pt>
                <c:pt idx="60">
                  <c:v>0.40772999999999998</c:v>
                </c:pt>
                <c:pt idx="61">
                  <c:v>0.44474999999999998</c:v>
                </c:pt>
                <c:pt idx="62">
                  <c:v>0.48133999999999999</c:v>
                </c:pt>
                <c:pt idx="63">
                  <c:v>0.51685999999999999</c:v>
                </c:pt>
                <c:pt idx="64">
                  <c:v>0.55127000000000004</c:v>
                </c:pt>
                <c:pt idx="65">
                  <c:v>0.58455000000000001</c:v>
                </c:pt>
                <c:pt idx="66">
                  <c:v>0.61629999999999996</c:v>
                </c:pt>
                <c:pt idx="67">
                  <c:v>0.64600000000000002</c:v>
                </c:pt>
                <c:pt idx="68">
                  <c:v>0.67315999999999998</c:v>
                </c:pt>
                <c:pt idx="69">
                  <c:v>0.70121</c:v>
                </c:pt>
                <c:pt idx="70">
                  <c:v>0.72706999999999999</c:v>
                </c:pt>
                <c:pt idx="71">
                  <c:v>0.75148000000000004</c:v>
                </c:pt>
                <c:pt idx="72">
                  <c:v>0.77439000000000002</c:v>
                </c:pt>
                <c:pt idx="73">
                  <c:v>0.79576000000000002</c:v>
                </c:pt>
                <c:pt idx="74">
                  <c:v>0.81557999999999997</c:v>
                </c:pt>
                <c:pt idx="75">
                  <c:v>0.83389000000000002</c:v>
                </c:pt>
                <c:pt idx="76">
                  <c:v>0.85070999999999997</c:v>
                </c:pt>
                <c:pt idx="77">
                  <c:v>0.86609999999999998</c:v>
                </c:pt>
                <c:pt idx="78">
                  <c:v>0.88012000000000001</c:v>
                </c:pt>
                <c:pt idx="79">
                  <c:v>0.89285999999999999</c:v>
                </c:pt>
                <c:pt idx="80">
                  <c:v>0.90439999999999998</c:v>
                </c:pt>
                <c:pt idx="81">
                  <c:v>0.91481000000000001</c:v>
                </c:pt>
                <c:pt idx="82">
                  <c:v>0.92418</c:v>
                </c:pt>
                <c:pt idx="83">
                  <c:v>0.93259000000000003</c:v>
                </c:pt>
                <c:pt idx="84">
                  <c:v>0.94013999999999998</c:v>
                </c:pt>
                <c:pt idx="85">
                  <c:v>0.94013999999999998</c:v>
                </c:pt>
                <c:pt idx="86">
                  <c:v>0.94013999999999998</c:v>
                </c:pt>
                <c:pt idx="87">
                  <c:v>0.94013999999999998</c:v>
                </c:pt>
                <c:pt idx="88">
                  <c:v>0.94013999999999998</c:v>
                </c:pt>
                <c:pt idx="89">
                  <c:v>0.94013999999999998</c:v>
                </c:pt>
                <c:pt idx="90">
                  <c:v>0.94013999999999998</c:v>
                </c:pt>
                <c:pt idx="91">
                  <c:v>0.94013999999999998</c:v>
                </c:pt>
                <c:pt idx="92">
                  <c:v>0.94013999999999998</c:v>
                </c:pt>
                <c:pt idx="93">
                  <c:v>0.94013999999999998</c:v>
                </c:pt>
                <c:pt idx="94">
                  <c:v>0.94013999999999998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D-3FE4-445B-8EEB-D88489EA6296}"/>
            </c:ext>
          </c:extLst>
        </c:ser>
        <c:ser>
          <c:idx val="95"/>
          <c:order val="9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'99set'!$CS$10:$CS$104</c:f>
              <c:numCache>
                <c:formatCode>0.0000</c:formatCode>
                <c:ptCount val="95"/>
                <c:pt idx="0">
                  <c:v>7.3718000000000006E-2</c:v>
                </c:pt>
                <c:pt idx="1">
                  <c:v>7.3718000000000006E-2</c:v>
                </c:pt>
                <c:pt idx="2">
                  <c:v>7.3718000000000006E-2</c:v>
                </c:pt>
                <c:pt idx="3">
                  <c:v>7.3718000000000006E-2</c:v>
                </c:pt>
                <c:pt idx="4">
                  <c:v>7.3718000000000006E-2</c:v>
                </c:pt>
                <c:pt idx="5">
                  <c:v>9.0649999999999994E-2</c:v>
                </c:pt>
                <c:pt idx="6">
                  <c:v>0.111</c:v>
                </c:pt>
                <c:pt idx="7">
                  <c:v>0.13525000000000001</c:v>
                </c:pt>
                <c:pt idx="8">
                  <c:v>0.16428000000000001</c:v>
                </c:pt>
                <c:pt idx="9">
                  <c:v>0.19678000000000001</c:v>
                </c:pt>
                <c:pt idx="10">
                  <c:v>0.23541000000000001</c:v>
                </c:pt>
                <c:pt idx="11">
                  <c:v>0.27694999999999997</c:v>
                </c:pt>
                <c:pt idx="12">
                  <c:v>0.31816</c:v>
                </c:pt>
                <c:pt idx="13">
                  <c:v>0.35643000000000002</c:v>
                </c:pt>
                <c:pt idx="14">
                  <c:v>0.39144000000000001</c:v>
                </c:pt>
                <c:pt idx="15">
                  <c:v>0.42266999999999999</c:v>
                </c:pt>
                <c:pt idx="16">
                  <c:v>0.44627</c:v>
                </c:pt>
                <c:pt idx="17">
                  <c:v>0.45905000000000001</c:v>
                </c:pt>
                <c:pt idx="18">
                  <c:v>0.46389999999999998</c:v>
                </c:pt>
                <c:pt idx="19">
                  <c:v>0.46464</c:v>
                </c:pt>
                <c:pt idx="20">
                  <c:v>0.46288000000000001</c:v>
                </c:pt>
                <c:pt idx="21">
                  <c:v>0.45926</c:v>
                </c:pt>
                <c:pt idx="22">
                  <c:v>0.45279000000000003</c:v>
                </c:pt>
                <c:pt idx="23">
                  <c:v>0.44268999999999997</c:v>
                </c:pt>
                <c:pt idx="24">
                  <c:v>0.43067</c:v>
                </c:pt>
                <c:pt idx="25">
                  <c:v>0.41861999999999999</c:v>
                </c:pt>
                <c:pt idx="26">
                  <c:v>0.40661999999999998</c:v>
                </c:pt>
                <c:pt idx="27">
                  <c:v>0.39437</c:v>
                </c:pt>
                <c:pt idx="28">
                  <c:v>0.38166</c:v>
                </c:pt>
                <c:pt idx="29">
                  <c:v>0.36831999999999998</c:v>
                </c:pt>
                <c:pt idx="30">
                  <c:v>0.35444999999999999</c:v>
                </c:pt>
                <c:pt idx="31">
                  <c:v>0.34032000000000001</c:v>
                </c:pt>
                <c:pt idx="32">
                  <c:v>0.32702999999999999</c:v>
                </c:pt>
                <c:pt idx="33">
                  <c:v>0.31562000000000001</c:v>
                </c:pt>
                <c:pt idx="34">
                  <c:v>0.30624000000000001</c:v>
                </c:pt>
                <c:pt idx="35">
                  <c:v>0.29880000000000001</c:v>
                </c:pt>
                <c:pt idx="36">
                  <c:v>0.29298999999999997</c:v>
                </c:pt>
                <c:pt idx="37">
                  <c:v>0.28848000000000001</c:v>
                </c:pt>
                <c:pt idx="38">
                  <c:v>0.28494000000000003</c:v>
                </c:pt>
                <c:pt idx="39">
                  <c:v>0.28227000000000002</c:v>
                </c:pt>
                <c:pt idx="40">
                  <c:v>0.28116999999999998</c:v>
                </c:pt>
                <c:pt idx="41">
                  <c:v>0.28238000000000002</c:v>
                </c:pt>
                <c:pt idx="42">
                  <c:v>0.28595999999999999</c:v>
                </c:pt>
                <c:pt idx="43">
                  <c:v>0.29205999999999999</c:v>
                </c:pt>
                <c:pt idx="44">
                  <c:v>0.30186000000000002</c:v>
                </c:pt>
                <c:pt idx="45">
                  <c:v>0.31662000000000001</c:v>
                </c:pt>
                <c:pt idx="46">
                  <c:v>0.33692</c:v>
                </c:pt>
                <c:pt idx="47">
                  <c:v>0.36292999999999997</c:v>
                </c:pt>
                <c:pt idx="48">
                  <c:v>0.39399000000000001</c:v>
                </c:pt>
                <c:pt idx="49">
                  <c:v>0.42914999999999998</c:v>
                </c:pt>
                <c:pt idx="50">
                  <c:v>0.46745999999999999</c:v>
                </c:pt>
                <c:pt idx="51">
                  <c:v>0.50749999999999995</c:v>
                </c:pt>
                <c:pt idx="52">
                  <c:v>0.54613999999999996</c:v>
                </c:pt>
                <c:pt idx="53">
                  <c:v>0.58067999999999997</c:v>
                </c:pt>
                <c:pt idx="54">
                  <c:v>0.61187000000000002</c:v>
                </c:pt>
                <c:pt idx="55">
                  <c:v>0.64119000000000004</c:v>
                </c:pt>
                <c:pt idx="56">
                  <c:v>0.66964999999999997</c:v>
                </c:pt>
                <c:pt idx="57">
                  <c:v>0.69796000000000002</c:v>
                </c:pt>
                <c:pt idx="58">
                  <c:v>0.72611000000000003</c:v>
                </c:pt>
                <c:pt idx="59">
                  <c:v>0.75366999999999995</c:v>
                </c:pt>
                <c:pt idx="60">
                  <c:v>0.77900000000000003</c:v>
                </c:pt>
                <c:pt idx="61">
                  <c:v>0.80047999999999997</c:v>
                </c:pt>
                <c:pt idx="62">
                  <c:v>0.81742000000000004</c:v>
                </c:pt>
                <c:pt idx="63">
                  <c:v>0.82987999999999995</c:v>
                </c:pt>
                <c:pt idx="64">
                  <c:v>0.83974000000000004</c:v>
                </c:pt>
                <c:pt idx="65">
                  <c:v>0.84880999999999995</c:v>
                </c:pt>
                <c:pt idx="66">
                  <c:v>0.85665999999999998</c:v>
                </c:pt>
                <c:pt idx="67">
                  <c:v>0.86234999999999995</c:v>
                </c:pt>
                <c:pt idx="68">
                  <c:v>0.86492000000000002</c:v>
                </c:pt>
                <c:pt idx="69">
                  <c:v>0.87151000000000001</c:v>
                </c:pt>
                <c:pt idx="70">
                  <c:v>0.87626999999999999</c:v>
                </c:pt>
                <c:pt idx="71">
                  <c:v>0.88088999999999995</c:v>
                </c:pt>
                <c:pt idx="72">
                  <c:v>0.88534999999999997</c:v>
                </c:pt>
                <c:pt idx="73">
                  <c:v>0.88966000000000001</c:v>
                </c:pt>
                <c:pt idx="74">
                  <c:v>0.89383999999999997</c:v>
                </c:pt>
                <c:pt idx="75">
                  <c:v>0.89786999999999995</c:v>
                </c:pt>
                <c:pt idx="76">
                  <c:v>0.90176999999999996</c:v>
                </c:pt>
                <c:pt idx="77">
                  <c:v>0.90552999999999995</c:v>
                </c:pt>
                <c:pt idx="78">
                  <c:v>0.90917000000000003</c:v>
                </c:pt>
                <c:pt idx="79">
                  <c:v>0.91266999999999998</c:v>
                </c:pt>
                <c:pt idx="80">
                  <c:v>0.91605999999999999</c:v>
                </c:pt>
                <c:pt idx="81">
                  <c:v>0.91932000000000003</c:v>
                </c:pt>
                <c:pt idx="82">
                  <c:v>0.92247000000000001</c:v>
                </c:pt>
                <c:pt idx="83">
                  <c:v>0.92551000000000005</c:v>
                </c:pt>
                <c:pt idx="84">
                  <c:v>0.92844000000000004</c:v>
                </c:pt>
                <c:pt idx="85">
                  <c:v>0.92844000000000004</c:v>
                </c:pt>
                <c:pt idx="86">
                  <c:v>0.92844000000000004</c:v>
                </c:pt>
                <c:pt idx="87">
                  <c:v>0.92844000000000004</c:v>
                </c:pt>
                <c:pt idx="88">
                  <c:v>0.92844000000000004</c:v>
                </c:pt>
                <c:pt idx="89">
                  <c:v>0.92844000000000004</c:v>
                </c:pt>
                <c:pt idx="90">
                  <c:v>0.92844000000000004</c:v>
                </c:pt>
                <c:pt idx="91">
                  <c:v>0.92844000000000004</c:v>
                </c:pt>
                <c:pt idx="92">
                  <c:v>0.92844000000000004</c:v>
                </c:pt>
                <c:pt idx="93">
                  <c:v>0.92844000000000004</c:v>
                </c:pt>
                <c:pt idx="94">
                  <c:v>0.92844000000000004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E-3FE4-445B-8EEB-D88489EA6296}"/>
            </c:ext>
          </c:extLst>
        </c:ser>
        <c:ser>
          <c:idx val="96"/>
          <c:order val="9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'99set'!$CT$10:$CT$104</c:f>
              <c:numCache>
                <c:formatCode>0.0000</c:formatCode>
                <c:ptCount val="95"/>
                <c:pt idx="0">
                  <c:v>0.33850999999999998</c:v>
                </c:pt>
                <c:pt idx="1">
                  <c:v>0.33850999999999998</c:v>
                </c:pt>
                <c:pt idx="2">
                  <c:v>0.33850999999999998</c:v>
                </c:pt>
                <c:pt idx="3">
                  <c:v>0.33850999999999998</c:v>
                </c:pt>
                <c:pt idx="4">
                  <c:v>0.33850999999999998</c:v>
                </c:pt>
                <c:pt idx="5">
                  <c:v>0.36144999999999999</c:v>
                </c:pt>
                <c:pt idx="6">
                  <c:v>0.38503999999999999</c:v>
                </c:pt>
                <c:pt idx="7">
                  <c:v>0.40917999999999999</c:v>
                </c:pt>
                <c:pt idx="8">
                  <c:v>0.43393999999999999</c:v>
                </c:pt>
                <c:pt idx="9">
                  <c:v>0.45859</c:v>
                </c:pt>
                <c:pt idx="10">
                  <c:v>0.48408000000000001</c:v>
                </c:pt>
                <c:pt idx="11">
                  <c:v>0.50807999999999998</c:v>
                </c:pt>
                <c:pt idx="12">
                  <c:v>0.52829999999999999</c:v>
                </c:pt>
                <c:pt idx="13">
                  <c:v>0.54339999999999999</c:v>
                </c:pt>
                <c:pt idx="14">
                  <c:v>0.55591999999999997</c:v>
                </c:pt>
                <c:pt idx="15">
                  <c:v>0.56810000000000005</c:v>
                </c:pt>
                <c:pt idx="16">
                  <c:v>0.57701999999999998</c:v>
                </c:pt>
                <c:pt idx="17">
                  <c:v>0.5796</c:v>
                </c:pt>
                <c:pt idx="18">
                  <c:v>0.57732000000000006</c:v>
                </c:pt>
                <c:pt idx="19">
                  <c:v>0.57245000000000001</c:v>
                </c:pt>
                <c:pt idx="20">
                  <c:v>0.56571000000000005</c:v>
                </c:pt>
                <c:pt idx="21">
                  <c:v>0.55730999999999997</c:v>
                </c:pt>
                <c:pt idx="22">
                  <c:v>0.54695000000000005</c:v>
                </c:pt>
                <c:pt idx="23">
                  <c:v>0.53442999999999996</c:v>
                </c:pt>
                <c:pt idx="24">
                  <c:v>0.52046000000000003</c:v>
                </c:pt>
                <c:pt idx="25">
                  <c:v>0.50592999999999999</c:v>
                </c:pt>
                <c:pt idx="26">
                  <c:v>0.49141000000000001</c:v>
                </c:pt>
                <c:pt idx="27">
                  <c:v>0.47728999999999999</c:v>
                </c:pt>
                <c:pt idx="28">
                  <c:v>0.46359</c:v>
                </c:pt>
                <c:pt idx="29">
                  <c:v>0.45024999999999998</c:v>
                </c:pt>
                <c:pt idx="30">
                  <c:v>0.43719999999999998</c:v>
                </c:pt>
                <c:pt idx="31">
                  <c:v>0.42459000000000002</c:v>
                </c:pt>
                <c:pt idx="32">
                  <c:v>0.41354999999999997</c:v>
                </c:pt>
                <c:pt idx="33">
                  <c:v>0.40516999999999997</c:v>
                </c:pt>
                <c:pt idx="34">
                  <c:v>0.39949000000000001</c:v>
                </c:pt>
                <c:pt idx="35">
                  <c:v>0.39624999999999999</c:v>
                </c:pt>
                <c:pt idx="36">
                  <c:v>0.39511000000000002</c:v>
                </c:pt>
                <c:pt idx="37">
                  <c:v>0.39574999999999999</c:v>
                </c:pt>
                <c:pt idx="38">
                  <c:v>0.39816000000000001</c:v>
                </c:pt>
                <c:pt idx="39">
                  <c:v>0.40244000000000002</c:v>
                </c:pt>
                <c:pt idx="40">
                  <c:v>0.40897</c:v>
                </c:pt>
                <c:pt idx="41">
                  <c:v>0.41799999999999998</c:v>
                </c:pt>
                <c:pt idx="42">
                  <c:v>0.42914999999999998</c:v>
                </c:pt>
                <c:pt idx="43">
                  <c:v>0.44206000000000001</c:v>
                </c:pt>
                <c:pt idx="44">
                  <c:v>0.45737</c:v>
                </c:pt>
                <c:pt idx="45">
                  <c:v>0.47574</c:v>
                </c:pt>
                <c:pt idx="46">
                  <c:v>0.49691999999999997</c:v>
                </c:pt>
                <c:pt idx="47">
                  <c:v>0.52053000000000005</c:v>
                </c:pt>
                <c:pt idx="48">
                  <c:v>0.54654999999999998</c:v>
                </c:pt>
                <c:pt idx="49">
                  <c:v>0.57499999999999996</c:v>
                </c:pt>
                <c:pt idx="50">
                  <c:v>0.60596000000000005</c:v>
                </c:pt>
                <c:pt idx="51">
                  <c:v>0.63909000000000005</c:v>
                </c:pt>
                <c:pt idx="52">
                  <c:v>0.67240999999999995</c:v>
                </c:pt>
                <c:pt idx="53">
                  <c:v>0.70387</c:v>
                </c:pt>
                <c:pt idx="54">
                  <c:v>0.73294000000000004</c:v>
                </c:pt>
                <c:pt idx="55">
                  <c:v>0.75943000000000005</c:v>
                </c:pt>
                <c:pt idx="56">
                  <c:v>0.78317999999999999</c:v>
                </c:pt>
                <c:pt idx="57">
                  <c:v>0.80405000000000004</c:v>
                </c:pt>
                <c:pt idx="58">
                  <c:v>0.82201000000000002</c:v>
                </c:pt>
                <c:pt idx="59">
                  <c:v>0.83704000000000001</c:v>
                </c:pt>
                <c:pt idx="60">
                  <c:v>0.84892000000000001</c:v>
                </c:pt>
                <c:pt idx="61">
                  <c:v>0.85750999999999999</c:v>
                </c:pt>
                <c:pt idx="62">
                  <c:v>0.86338999999999999</c:v>
                </c:pt>
                <c:pt idx="63">
                  <c:v>0.86748999999999998</c:v>
                </c:pt>
                <c:pt idx="64">
                  <c:v>0.87173999999999996</c:v>
                </c:pt>
                <c:pt idx="65">
                  <c:v>0.87761</c:v>
                </c:pt>
                <c:pt idx="66">
                  <c:v>0.88387000000000004</c:v>
                </c:pt>
                <c:pt idx="67">
                  <c:v>0.88859999999999995</c:v>
                </c:pt>
                <c:pt idx="68">
                  <c:v>0.88988</c:v>
                </c:pt>
                <c:pt idx="69">
                  <c:v>0.89554</c:v>
                </c:pt>
                <c:pt idx="70">
                  <c:v>0.89927999999999997</c:v>
                </c:pt>
                <c:pt idx="71">
                  <c:v>0.90290000000000004</c:v>
                </c:pt>
                <c:pt idx="72">
                  <c:v>0.90639999999999998</c:v>
                </c:pt>
                <c:pt idx="73">
                  <c:v>0.90978999999999999</c:v>
                </c:pt>
                <c:pt idx="74">
                  <c:v>0.91307000000000005</c:v>
                </c:pt>
                <c:pt idx="75">
                  <c:v>0.91624000000000005</c:v>
                </c:pt>
                <c:pt idx="76">
                  <c:v>0.91930000000000001</c:v>
                </c:pt>
                <c:pt idx="77">
                  <c:v>0.92225999999999997</c:v>
                </c:pt>
                <c:pt idx="78">
                  <c:v>0.92513000000000001</c:v>
                </c:pt>
                <c:pt idx="79">
                  <c:v>0.92788999999999999</c:v>
                </c:pt>
                <c:pt idx="80">
                  <c:v>0.93056000000000005</c:v>
                </c:pt>
                <c:pt idx="81">
                  <c:v>0.93313999999999997</c:v>
                </c:pt>
                <c:pt idx="82">
                  <c:v>0.93562999999999996</c:v>
                </c:pt>
                <c:pt idx="83">
                  <c:v>0.93803000000000003</c:v>
                </c:pt>
                <c:pt idx="84">
                  <c:v>0.94035000000000002</c:v>
                </c:pt>
                <c:pt idx="85">
                  <c:v>0.94035000000000002</c:v>
                </c:pt>
                <c:pt idx="86">
                  <c:v>0.94035000000000002</c:v>
                </c:pt>
                <c:pt idx="87">
                  <c:v>0.94035000000000002</c:v>
                </c:pt>
                <c:pt idx="88">
                  <c:v>0.94035000000000002</c:v>
                </c:pt>
                <c:pt idx="89">
                  <c:v>0.94035000000000002</c:v>
                </c:pt>
                <c:pt idx="90">
                  <c:v>0.94035000000000002</c:v>
                </c:pt>
                <c:pt idx="91">
                  <c:v>0.94035000000000002</c:v>
                </c:pt>
                <c:pt idx="92">
                  <c:v>0.94035000000000002</c:v>
                </c:pt>
                <c:pt idx="93">
                  <c:v>0.94035000000000002</c:v>
                </c:pt>
                <c:pt idx="94">
                  <c:v>0.94035000000000002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F-3FE4-445B-8EEB-D88489EA6296}"/>
            </c:ext>
          </c:extLst>
        </c:ser>
        <c:ser>
          <c:idx val="97"/>
          <c:order val="9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'99set'!$CU$10:$CU$104</c:f>
              <c:numCache>
                <c:formatCode>0.0000</c:formatCode>
                <c:ptCount val="95"/>
                <c:pt idx="0">
                  <c:v>0.11931</c:v>
                </c:pt>
                <c:pt idx="1">
                  <c:v>0.11931</c:v>
                </c:pt>
                <c:pt idx="2">
                  <c:v>0.11931</c:v>
                </c:pt>
                <c:pt idx="3">
                  <c:v>0.11931</c:v>
                </c:pt>
                <c:pt idx="4">
                  <c:v>0.11931</c:v>
                </c:pt>
                <c:pt idx="5">
                  <c:v>0.13183</c:v>
                </c:pt>
                <c:pt idx="6">
                  <c:v>0.14544000000000001</c:v>
                </c:pt>
                <c:pt idx="7">
                  <c:v>0.16019</c:v>
                </c:pt>
                <c:pt idx="8">
                  <c:v>0.17660000000000001</c:v>
                </c:pt>
                <c:pt idx="9">
                  <c:v>0.19450999999999999</c:v>
                </c:pt>
                <c:pt idx="10">
                  <c:v>0.2147</c:v>
                </c:pt>
                <c:pt idx="11">
                  <c:v>0.22438</c:v>
                </c:pt>
                <c:pt idx="12">
                  <c:v>0.22750000000000001</c:v>
                </c:pt>
                <c:pt idx="13">
                  <c:v>0.23063</c:v>
                </c:pt>
                <c:pt idx="14">
                  <c:v>0.23419999999999999</c:v>
                </c:pt>
                <c:pt idx="15">
                  <c:v>0.23707</c:v>
                </c:pt>
                <c:pt idx="16">
                  <c:v>0.23810000000000001</c:v>
                </c:pt>
                <c:pt idx="17">
                  <c:v>0.23624999999999999</c:v>
                </c:pt>
                <c:pt idx="18">
                  <c:v>0.23089999999999999</c:v>
                </c:pt>
                <c:pt idx="19">
                  <c:v>0.22181999999999999</c:v>
                </c:pt>
                <c:pt idx="20">
                  <c:v>0.20979999999999999</c:v>
                </c:pt>
                <c:pt idx="21">
                  <c:v>0.19595000000000001</c:v>
                </c:pt>
                <c:pt idx="22">
                  <c:v>0.1817</c:v>
                </c:pt>
                <c:pt idx="23">
                  <c:v>0.16814000000000001</c:v>
                </c:pt>
                <c:pt idx="24">
                  <c:v>0.15479999999999999</c:v>
                </c:pt>
                <c:pt idx="25">
                  <c:v>0.14093</c:v>
                </c:pt>
                <c:pt idx="26">
                  <c:v>0.12640000000000001</c:v>
                </c:pt>
                <c:pt idx="27">
                  <c:v>0.11162999999999999</c:v>
                </c:pt>
                <c:pt idx="28">
                  <c:v>9.8799999999999999E-2</c:v>
                </c:pt>
                <c:pt idx="29">
                  <c:v>8.9927999999999994E-2</c:v>
                </c:pt>
                <c:pt idx="30">
                  <c:v>8.48E-2</c:v>
                </c:pt>
                <c:pt idx="31">
                  <c:v>8.2340999999999998E-2</c:v>
                </c:pt>
                <c:pt idx="32">
                  <c:v>8.0299999999999996E-2</c:v>
                </c:pt>
                <c:pt idx="33">
                  <c:v>7.6593999999999995E-2</c:v>
                </c:pt>
                <c:pt idx="34">
                  <c:v>7.0999999999999994E-2</c:v>
                </c:pt>
                <c:pt idx="35">
                  <c:v>6.4144000000000007E-2</c:v>
                </c:pt>
                <c:pt idx="36">
                  <c:v>5.8200000000000002E-2</c:v>
                </c:pt>
                <c:pt idx="37">
                  <c:v>5.6231000000000003E-2</c:v>
                </c:pt>
                <c:pt idx="38">
                  <c:v>6.3299999999999995E-2</c:v>
                </c:pt>
                <c:pt idx="39">
                  <c:v>8.3956000000000003E-2</c:v>
                </c:pt>
                <c:pt idx="40">
                  <c:v>0.1187</c:v>
                </c:pt>
                <c:pt idx="41">
                  <c:v>0.16497999999999999</c:v>
                </c:pt>
                <c:pt idx="42">
                  <c:v>0.21210000000000001</c:v>
                </c:pt>
                <c:pt idx="43">
                  <c:v>0.24926999999999999</c:v>
                </c:pt>
                <c:pt idx="44">
                  <c:v>0.27350000000000002</c:v>
                </c:pt>
                <c:pt idx="45">
                  <c:v>0.28466000000000002</c:v>
                </c:pt>
                <c:pt idx="46">
                  <c:v>0.28610000000000002</c:v>
                </c:pt>
                <c:pt idx="47">
                  <c:v>0.28181</c:v>
                </c:pt>
                <c:pt idx="48">
                  <c:v>0.2747</c:v>
                </c:pt>
                <c:pt idx="49">
                  <c:v>0.26721</c:v>
                </c:pt>
                <c:pt idx="50">
                  <c:v>0.26090000000000002</c:v>
                </c:pt>
                <c:pt idx="51">
                  <c:v>0.25685000000000002</c:v>
                </c:pt>
                <c:pt idx="52">
                  <c:v>0.255</c:v>
                </c:pt>
                <c:pt idx="53">
                  <c:v>0.25496000000000002</c:v>
                </c:pt>
                <c:pt idx="54">
                  <c:v>0.25619999999999998</c:v>
                </c:pt>
                <c:pt idx="55">
                  <c:v>0.25835000000000002</c:v>
                </c:pt>
                <c:pt idx="56">
                  <c:v>0.26200000000000001</c:v>
                </c:pt>
                <c:pt idx="57">
                  <c:v>0.26778000000000002</c:v>
                </c:pt>
                <c:pt idx="58">
                  <c:v>0.2757</c:v>
                </c:pt>
                <c:pt idx="59">
                  <c:v>0.28525</c:v>
                </c:pt>
                <c:pt idx="60">
                  <c:v>0.29449999999999998</c:v>
                </c:pt>
                <c:pt idx="61">
                  <c:v>0.30142000000000002</c:v>
                </c:pt>
                <c:pt idx="62">
                  <c:v>0.3049</c:v>
                </c:pt>
                <c:pt idx="63">
                  <c:v>0.30449999999999999</c:v>
                </c:pt>
                <c:pt idx="64">
                  <c:v>0.3014</c:v>
                </c:pt>
                <c:pt idx="65">
                  <c:v>0.29672999999999999</c:v>
                </c:pt>
                <c:pt idx="66">
                  <c:v>0.28970000000000001</c:v>
                </c:pt>
                <c:pt idx="67">
                  <c:v>0.28021000000000001</c:v>
                </c:pt>
                <c:pt idx="68">
                  <c:v>0.27279999999999999</c:v>
                </c:pt>
                <c:pt idx="69">
                  <c:v>0.26568000000000003</c:v>
                </c:pt>
                <c:pt idx="70">
                  <c:v>0.25889000000000001</c:v>
                </c:pt>
                <c:pt idx="71">
                  <c:v>0.25222</c:v>
                </c:pt>
                <c:pt idx="72">
                  <c:v>0.24565999999999999</c:v>
                </c:pt>
                <c:pt idx="73">
                  <c:v>0.23921999999999999</c:v>
                </c:pt>
                <c:pt idx="74">
                  <c:v>0.2329</c:v>
                </c:pt>
                <c:pt idx="75">
                  <c:v>0.22669</c:v>
                </c:pt>
                <c:pt idx="76">
                  <c:v>0.22059999999999999</c:v>
                </c:pt>
                <c:pt idx="77">
                  <c:v>0.21462999999999999</c:v>
                </c:pt>
                <c:pt idx="78">
                  <c:v>0.20877999999999999</c:v>
                </c:pt>
                <c:pt idx="79">
                  <c:v>0.20305000000000001</c:v>
                </c:pt>
                <c:pt idx="80">
                  <c:v>0.19742999999999999</c:v>
                </c:pt>
                <c:pt idx="81">
                  <c:v>0.19192999999999999</c:v>
                </c:pt>
                <c:pt idx="82">
                  <c:v>0.18654999999999999</c:v>
                </c:pt>
                <c:pt idx="83">
                  <c:v>0.18129000000000001</c:v>
                </c:pt>
                <c:pt idx="84">
                  <c:v>0.17613999999999999</c:v>
                </c:pt>
                <c:pt idx="85">
                  <c:v>0.17613999999999999</c:v>
                </c:pt>
                <c:pt idx="86">
                  <c:v>0.17613999999999999</c:v>
                </c:pt>
                <c:pt idx="87">
                  <c:v>0.17613999999999999</c:v>
                </c:pt>
                <c:pt idx="88">
                  <c:v>0.17613999999999999</c:v>
                </c:pt>
                <c:pt idx="89">
                  <c:v>0.17613999999999999</c:v>
                </c:pt>
                <c:pt idx="90">
                  <c:v>0.17613999999999999</c:v>
                </c:pt>
                <c:pt idx="91">
                  <c:v>0.17613999999999999</c:v>
                </c:pt>
                <c:pt idx="92">
                  <c:v>0.17613999999999999</c:v>
                </c:pt>
                <c:pt idx="93">
                  <c:v>0.17613999999999999</c:v>
                </c:pt>
                <c:pt idx="94">
                  <c:v>0.17613999999999999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60-3FE4-445B-8EEB-D88489EA6296}"/>
            </c:ext>
          </c:extLst>
        </c:ser>
        <c:ser>
          <c:idx val="98"/>
          <c:order val="9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'99set'!$CV$10:$CV$104</c:f>
              <c:numCache>
                <c:formatCode>0.0000</c:formatCode>
                <c:ptCount val="95"/>
                <c:pt idx="0">
                  <c:v>0.27424999999999999</c:v>
                </c:pt>
                <c:pt idx="1">
                  <c:v>0.27424999999999999</c:v>
                </c:pt>
                <c:pt idx="2">
                  <c:v>0.27424999999999999</c:v>
                </c:pt>
                <c:pt idx="3">
                  <c:v>0.27424999999999999</c:v>
                </c:pt>
                <c:pt idx="4">
                  <c:v>0.27424999999999999</c:v>
                </c:pt>
                <c:pt idx="5">
                  <c:v>0.28297</c:v>
                </c:pt>
                <c:pt idx="6">
                  <c:v>0.29185</c:v>
                </c:pt>
                <c:pt idx="7">
                  <c:v>0.3009</c:v>
                </c:pt>
                <c:pt idx="8">
                  <c:v>0.31040000000000001</c:v>
                </c:pt>
                <c:pt idx="9">
                  <c:v>0.32028000000000001</c:v>
                </c:pt>
                <c:pt idx="10">
                  <c:v>0.33277000000000001</c:v>
                </c:pt>
                <c:pt idx="11">
                  <c:v>0.34183999999999998</c:v>
                </c:pt>
                <c:pt idx="12">
                  <c:v>0.34836</c:v>
                </c:pt>
                <c:pt idx="13">
                  <c:v>0.35424</c:v>
                </c:pt>
                <c:pt idx="14">
                  <c:v>0.35854999999999998</c:v>
                </c:pt>
                <c:pt idx="15">
                  <c:v>0.35975000000000001</c:v>
                </c:pt>
                <c:pt idx="16">
                  <c:v>0.35649999999999998</c:v>
                </c:pt>
                <c:pt idx="17">
                  <c:v>0.34788999999999998</c:v>
                </c:pt>
                <c:pt idx="18">
                  <c:v>0.33439999999999998</c:v>
                </c:pt>
                <c:pt idx="19">
                  <c:v>0.31698999999999999</c:v>
                </c:pt>
                <c:pt idx="20">
                  <c:v>0.29727999999999999</c:v>
                </c:pt>
                <c:pt idx="21">
                  <c:v>0.27687</c:v>
                </c:pt>
                <c:pt idx="22">
                  <c:v>0.25673000000000001</c:v>
                </c:pt>
                <c:pt idx="23">
                  <c:v>0.23768</c:v>
                </c:pt>
                <c:pt idx="24">
                  <c:v>0.22048999999999999</c:v>
                </c:pt>
                <c:pt idx="25">
                  <c:v>0.20560999999999999</c:v>
                </c:pt>
                <c:pt idx="26">
                  <c:v>0.1923</c:v>
                </c:pt>
                <c:pt idx="27">
                  <c:v>0.1797</c:v>
                </c:pt>
                <c:pt idx="28">
                  <c:v>0.16764999999999999</c:v>
                </c:pt>
                <c:pt idx="29">
                  <c:v>0.15642</c:v>
                </c:pt>
                <c:pt idx="30">
                  <c:v>0.14727000000000001</c:v>
                </c:pt>
                <c:pt idx="31">
                  <c:v>0.14136000000000001</c:v>
                </c:pt>
                <c:pt idx="32">
                  <c:v>0.13849</c:v>
                </c:pt>
                <c:pt idx="33">
                  <c:v>0.13788</c:v>
                </c:pt>
                <c:pt idx="34">
                  <c:v>0.13780999999999999</c:v>
                </c:pt>
                <c:pt idx="35">
                  <c:v>0.13678999999999999</c:v>
                </c:pt>
                <c:pt idx="36">
                  <c:v>0.13517999999999999</c:v>
                </c:pt>
                <c:pt idx="37">
                  <c:v>0.13405</c:v>
                </c:pt>
                <c:pt idx="38">
                  <c:v>0.13542999999999999</c:v>
                </c:pt>
                <c:pt idx="39">
                  <c:v>0.14163000000000001</c:v>
                </c:pt>
                <c:pt idx="40">
                  <c:v>0.15518999999999999</c:v>
                </c:pt>
                <c:pt idx="41">
                  <c:v>0.17835000000000001</c:v>
                </c:pt>
                <c:pt idx="42">
                  <c:v>0.21210000000000001</c:v>
                </c:pt>
                <c:pt idx="43">
                  <c:v>0.25629000000000002</c:v>
                </c:pt>
                <c:pt idx="44">
                  <c:v>0.30764999999999998</c:v>
                </c:pt>
                <c:pt idx="45">
                  <c:v>0.36204999999999998</c:v>
                </c:pt>
                <c:pt idx="46">
                  <c:v>0.41520000000000001</c:v>
                </c:pt>
                <c:pt idx="47">
                  <c:v>0.46276</c:v>
                </c:pt>
                <c:pt idx="48">
                  <c:v>0.50046999999999997</c:v>
                </c:pt>
                <c:pt idx="49">
                  <c:v>0.52541000000000004</c:v>
                </c:pt>
                <c:pt idx="50">
                  <c:v>0.54005999999999998</c:v>
                </c:pt>
                <c:pt idx="51">
                  <c:v>0.54796</c:v>
                </c:pt>
                <c:pt idx="52">
                  <c:v>0.55154000000000003</c:v>
                </c:pt>
                <c:pt idx="53">
                  <c:v>0.55303000000000002</c:v>
                </c:pt>
                <c:pt idx="54">
                  <c:v>0.55484</c:v>
                </c:pt>
                <c:pt idx="55">
                  <c:v>0.55911999999999995</c:v>
                </c:pt>
                <c:pt idx="56">
                  <c:v>0.56677</c:v>
                </c:pt>
                <c:pt idx="57">
                  <c:v>0.57838000000000001</c:v>
                </c:pt>
                <c:pt idx="58">
                  <c:v>0.59453999999999996</c:v>
                </c:pt>
                <c:pt idx="59">
                  <c:v>0.61548000000000003</c:v>
                </c:pt>
                <c:pt idx="60">
                  <c:v>0.63995999999999997</c:v>
                </c:pt>
                <c:pt idx="61">
                  <c:v>0.66654999999999998</c:v>
                </c:pt>
                <c:pt idx="62">
                  <c:v>0.69438999999999995</c:v>
                </c:pt>
                <c:pt idx="63">
                  <c:v>0.72255000000000003</c:v>
                </c:pt>
                <c:pt idx="64">
                  <c:v>0.74924999999999997</c:v>
                </c:pt>
                <c:pt idx="65">
                  <c:v>0.77305999999999997</c:v>
                </c:pt>
                <c:pt idx="66">
                  <c:v>0.79488999999999999</c:v>
                </c:pt>
                <c:pt idx="67">
                  <c:v>0.81494</c:v>
                </c:pt>
                <c:pt idx="68">
                  <c:v>0.82813999999999999</c:v>
                </c:pt>
                <c:pt idx="69">
                  <c:v>0.84021999999999997</c:v>
                </c:pt>
                <c:pt idx="70">
                  <c:v>0.85124999999999995</c:v>
                </c:pt>
                <c:pt idx="71">
                  <c:v>0.86163000000000001</c:v>
                </c:pt>
                <c:pt idx="72">
                  <c:v>0.87141000000000002</c:v>
                </c:pt>
                <c:pt idx="73">
                  <c:v>0.88058000000000003</c:v>
                </c:pt>
                <c:pt idx="74">
                  <c:v>0.88919000000000004</c:v>
                </c:pt>
                <c:pt idx="75">
                  <c:v>0.89724999999999999</c:v>
                </c:pt>
                <c:pt idx="76">
                  <c:v>0.90478000000000003</c:v>
                </c:pt>
                <c:pt idx="77">
                  <c:v>0.91181999999999996</c:v>
                </c:pt>
                <c:pt idx="78">
                  <c:v>0.91837999999999997</c:v>
                </c:pt>
                <c:pt idx="79">
                  <c:v>0.92449999999999999</c:v>
                </c:pt>
                <c:pt idx="80">
                  <c:v>0.93018999999999996</c:v>
                </c:pt>
                <c:pt idx="81">
                  <c:v>0.93547999999999998</c:v>
                </c:pt>
                <c:pt idx="82">
                  <c:v>0.94040000000000001</c:v>
                </c:pt>
                <c:pt idx="83">
                  <c:v>0.94496000000000002</c:v>
                </c:pt>
                <c:pt idx="84">
                  <c:v>0.94920000000000004</c:v>
                </c:pt>
                <c:pt idx="85">
                  <c:v>0.94920000000000004</c:v>
                </c:pt>
                <c:pt idx="86">
                  <c:v>0.94920000000000004</c:v>
                </c:pt>
                <c:pt idx="87">
                  <c:v>0.94920000000000004</c:v>
                </c:pt>
                <c:pt idx="88">
                  <c:v>0.94920000000000004</c:v>
                </c:pt>
                <c:pt idx="89">
                  <c:v>0.94920000000000004</c:v>
                </c:pt>
                <c:pt idx="90">
                  <c:v>0.94920000000000004</c:v>
                </c:pt>
                <c:pt idx="91">
                  <c:v>0.94920000000000004</c:v>
                </c:pt>
                <c:pt idx="92">
                  <c:v>0.94920000000000004</c:v>
                </c:pt>
                <c:pt idx="93">
                  <c:v>0.94920000000000004</c:v>
                </c:pt>
                <c:pt idx="94">
                  <c:v>0.94920000000000004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61-3FE4-445B-8EEB-D88489EA6296}"/>
            </c:ext>
          </c:extLst>
        </c:ser>
        <c:ser>
          <c:idx val="99"/>
          <c:order val="9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'99set'!$CW$10:$CW$104</c:f>
              <c:numCache>
                <c:formatCode>0.0000</c:formatCode>
                <c:ptCount val="95"/>
                <c:pt idx="0">
                  <c:v>0.16958000000000001</c:v>
                </c:pt>
                <c:pt idx="1">
                  <c:v>0.16958000000000001</c:v>
                </c:pt>
                <c:pt idx="2">
                  <c:v>0.16958000000000001</c:v>
                </c:pt>
                <c:pt idx="3">
                  <c:v>0.16958000000000001</c:v>
                </c:pt>
                <c:pt idx="4">
                  <c:v>0.16958000000000001</c:v>
                </c:pt>
                <c:pt idx="5">
                  <c:v>0.17882000000000001</c:v>
                </c:pt>
                <c:pt idx="6">
                  <c:v>0.18845999999999999</c:v>
                </c:pt>
                <c:pt idx="7">
                  <c:v>0.19847999999999999</c:v>
                </c:pt>
                <c:pt idx="8">
                  <c:v>0.2092</c:v>
                </c:pt>
                <c:pt idx="9">
                  <c:v>0.22044</c:v>
                </c:pt>
                <c:pt idx="10">
                  <c:v>0.2319</c:v>
                </c:pt>
                <c:pt idx="11">
                  <c:v>0.23457</c:v>
                </c:pt>
                <c:pt idx="12">
                  <c:v>0.2316</c:v>
                </c:pt>
                <c:pt idx="13">
                  <c:v>0.22794</c:v>
                </c:pt>
                <c:pt idx="14">
                  <c:v>0.22339999999999999</c:v>
                </c:pt>
                <c:pt idx="15">
                  <c:v>0.21695</c:v>
                </c:pt>
                <c:pt idx="16">
                  <c:v>0.2092</c:v>
                </c:pt>
                <c:pt idx="17">
                  <c:v>0.20100000000000001</c:v>
                </c:pt>
                <c:pt idx="18">
                  <c:v>0.19259999999999999</c:v>
                </c:pt>
                <c:pt idx="19">
                  <c:v>0.18414</c:v>
                </c:pt>
                <c:pt idx="20">
                  <c:v>0.17580000000000001</c:v>
                </c:pt>
                <c:pt idx="21">
                  <c:v>0.16772999999999999</c:v>
                </c:pt>
                <c:pt idx="22">
                  <c:v>0.1598</c:v>
                </c:pt>
                <c:pt idx="23">
                  <c:v>0.15182999999999999</c:v>
                </c:pt>
                <c:pt idx="24">
                  <c:v>0.14380000000000001</c:v>
                </c:pt>
                <c:pt idx="25">
                  <c:v>0.13580999999999999</c:v>
                </c:pt>
                <c:pt idx="26">
                  <c:v>0.12839999999999999</c:v>
                </c:pt>
                <c:pt idx="27">
                  <c:v>0.12204</c:v>
                </c:pt>
                <c:pt idx="28">
                  <c:v>0.11650000000000001</c:v>
                </c:pt>
                <c:pt idx="29">
                  <c:v>0.11137</c:v>
                </c:pt>
                <c:pt idx="30">
                  <c:v>0.1061</c:v>
                </c:pt>
                <c:pt idx="31">
                  <c:v>0.10032000000000001</c:v>
                </c:pt>
                <c:pt idx="32">
                  <c:v>9.4399999999999998E-2</c:v>
                </c:pt>
                <c:pt idx="33">
                  <c:v>8.8942999999999994E-2</c:v>
                </c:pt>
                <c:pt idx="34">
                  <c:v>8.4699999999999998E-2</c:v>
                </c:pt>
                <c:pt idx="35">
                  <c:v>8.2271999999999998E-2</c:v>
                </c:pt>
                <c:pt idx="36">
                  <c:v>8.1500000000000003E-2</c:v>
                </c:pt>
                <c:pt idx="37">
                  <c:v>8.1932000000000005E-2</c:v>
                </c:pt>
                <c:pt idx="38">
                  <c:v>8.2699999999999996E-2</c:v>
                </c:pt>
                <c:pt idx="39">
                  <c:v>8.3087999999999995E-2</c:v>
                </c:pt>
                <c:pt idx="40">
                  <c:v>8.3400000000000002E-2</c:v>
                </c:pt>
                <c:pt idx="41">
                  <c:v>8.4404999999999994E-2</c:v>
                </c:pt>
                <c:pt idx="42">
                  <c:v>8.77E-2</c:v>
                </c:pt>
                <c:pt idx="43">
                  <c:v>9.5079999999999998E-2</c:v>
                </c:pt>
                <c:pt idx="44">
                  <c:v>0.10829999999999999</c:v>
                </c:pt>
                <c:pt idx="45">
                  <c:v>0.12914</c:v>
                </c:pt>
                <c:pt idx="46">
                  <c:v>0.1595</c:v>
                </c:pt>
                <c:pt idx="47">
                  <c:v>0.20019999999999999</c:v>
                </c:pt>
                <c:pt idx="48">
                  <c:v>0.2475</c:v>
                </c:pt>
                <c:pt idx="49">
                  <c:v>0.29719000000000001</c:v>
                </c:pt>
                <c:pt idx="50">
                  <c:v>0.34770000000000001</c:v>
                </c:pt>
                <c:pt idx="51">
                  <c:v>0.39782000000000001</c:v>
                </c:pt>
                <c:pt idx="52">
                  <c:v>0.4451</c:v>
                </c:pt>
                <c:pt idx="53">
                  <c:v>0.48712</c:v>
                </c:pt>
                <c:pt idx="54">
                  <c:v>0.52280000000000004</c:v>
                </c:pt>
                <c:pt idx="55">
                  <c:v>0.55159000000000002</c:v>
                </c:pt>
                <c:pt idx="56">
                  <c:v>0.57369999999999999</c:v>
                </c:pt>
                <c:pt idx="57">
                  <c:v>0.58975</c:v>
                </c:pt>
                <c:pt idx="58">
                  <c:v>0.60129999999999995</c:v>
                </c:pt>
                <c:pt idx="59">
                  <c:v>0.60992000000000002</c:v>
                </c:pt>
                <c:pt idx="60">
                  <c:v>0.61619999999999997</c:v>
                </c:pt>
                <c:pt idx="61">
                  <c:v>0.62056999999999995</c:v>
                </c:pt>
                <c:pt idx="62">
                  <c:v>0.62380000000000002</c:v>
                </c:pt>
                <c:pt idx="63">
                  <c:v>0.62656000000000001</c:v>
                </c:pt>
                <c:pt idx="64">
                  <c:v>0.62880000000000003</c:v>
                </c:pt>
                <c:pt idx="65">
                  <c:v>0.63041000000000003</c:v>
                </c:pt>
                <c:pt idx="66">
                  <c:v>0.63170000000000004</c:v>
                </c:pt>
                <c:pt idx="67">
                  <c:v>0.63293999999999995</c:v>
                </c:pt>
                <c:pt idx="68">
                  <c:v>0.63380000000000003</c:v>
                </c:pt>
                <c:pt idx="69">
                  <c:v>0.63463000000000003</c:v>
                </c:pt>
                <c:pt idx="70">
                  <c:v>0.63541999999999998</c:v>
                </c:pt>
                <c:pt idx="71">
                  <c:v>0.63622000000000001</c:v>
                </c:pt>
                <c:pt idx="72">
                  <c:v>0.63702000000000003</c:v>
                </c:pt>
                <c:pt idx="73">
                  <c:v>0.63782000000000005</c:v>
                </c:pt>
                <c:pt idx="74">
                  <c:v>0.63861000000000001</c:v>
                </c:pt>
                <c:pt idx="75">
                  <c:v>0.63941000000000003</c:v>
                </c:pt>
                <c:pt idx="76">
                  <c:v>0.64019999999999999</c:v>
                </c:pt>
                <c:pt idx="77">
                  <c:v>0.64098999999999995</c:v>
                </c:pt>
                <c:pt idx="78">
                  <c:v>0.64178999999999997</c:v>
                </c:pt>
                <c:pt idx="79">
                  <c:v>0.64258000000000004</c:v>
                </c:pt>
                <c:pt idx="80">
                  <c:v>0.64337</c:v>
                </c:pt>
                <c:pt idx="81">
                  <c:v>0.64415999999999995</c:v>
                </c:pt>
                <c:pt idx="82">
                  <c:v>0.64495000000000002</c:v>
                </c:pt>
                <c:pt idx="83">
                  <c:v>0.64573999999999998</c:v>
                </c:pt>
                <c:pt idx="84">
                  <c:v>0.64651999999999998</c:v>
                </c:pt>
                <c:pt idx="85">
                  <c:v>0.64651999999999998</c:v>
                </c:pt>
                <c:pt idx="86">
                  <c:v>0.64651999999999998</c:v>
                </c:pt>
                <c:pt idx="87">
                  <c:v>0.64651999999999998</c:v>
                </c:pt>
                <c:pt idx="88">
                  <c:v>0.64651999999999998</c:v>
                </c:pt>
                <c:pt idx="89">
                  <c:v>0.64651999999999998</c:v>
                </c:pt>
                <c:pt idx="90">
                  <c:v>0.64651999999999998</c:v>
                </c:pt>
                <c:pt idx="91">
                  <c:v>0.64651999999999998</c:v>
                </c:pt>
                <c:pt idx="92">
                  <c:v>0.64651999999999998</c:v>
                </c:pt>
                <c:pt idx="93">
                  <c:v>0.64651999999999998</c:v>
                </c:pt>
                <c:pt idx="94">
                  <c:v>0.64651999999999998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62-3FE4-445B-8EEB-D88489EA6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6816136"/>
        <c:axId val="616816920"/>
      </c:scatterChart>
      <c:valAx>
        <c:axId val="616816136"/>
        <c:scaling>
          <c:orientation val="minMax"/>
          <c:max val="830"/>
          <c:min val="3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wavelength (nm)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6816920"/>
        <c:crosses val="autoZero"/>
        <c:crossBetween val="midCat"/>
      </c:valAx>
      <c:valAx>
        <c:axId val="616816920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spectral reflectance</a:t>
                </a:r>
              </a:p>
            </c:rich>
          </c:tx>
          <c:overlay val="0"/>
        </c:title>
        <c:numFmt formatCode="#,##0.00" sourceLinked="0"/>
        <c:majorTickMark val="out"/>
        <c:minorTickMark val="none"/>
        <c:tickLblPos val="nextTo"/>
        <c:crossAx val="6168161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523874</xdr:colOff>
      <xdr:row>2</xdr:row>
      <xdr:rowOff>104775</xdr:rowOff>
    </xdr:from>
    <xdr:to>
      <xdr:col>15</xdr:col>
      <xdr:colOff>504824</xdr:colOff>
      <xdr:row>18</xdr:row>
      <xdr:rowOff>38100</xdr:rowOff>
    </xdr:to>
    <xdr:grpSp>
      <xdr:nvGrpSpPr>
        <xdr:cNvPr id="2" name="Group 10"/>
        <xdr:cNvGrpSpPr>
          <a:grpSpLocks/>
        </xdr:cNvGrpSpPr>
      </xdr:nvGrpSpPr>
      <xdr:grpSpPr bwMode="auto">
        <a:xfrm>
          <a:off x="8499474" y="517525"/>
          <a:ext cx="3155950" cy="2892425"/>
          <a:chOff x="7843085" y="457200"/>
          <a:chExt cx="3028690" cy="2997960"/>
        </a:xfrm>
      </xdr:grpSpPr>
      <xdr:pic>
        <xdr:nvPicPr>
          <xdr:cNvPr id="3" name="Picture 7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983195" y="597478"/>
            <a:ext cx="2744894" cy="27246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graphicFrame macro="">
        <xdr:nvGraphicFramePr>
          <xdr:cNvPr id="4" name="Chart 6"/>
          <xdr:cNvGraphicFramePr>
            <a:graphicFrameLocks/>
          </xdr:cNvGraphicFramePr>
        </xdr:nvGraphicFramePr>
        <xdr:xfrm>
          <a:off x="7843085" y="457200"/>
          <a:ext cx="3028690" cy="29979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5</xdr:col>
      <xdr:colOff>123825</xdr:colOff>
      <xdr:row>3</xdr:row>
      <xdr:rowOff>9525</xdr:rowOff>
    </xdr:from>
    <xdr:to>
      <xdr:col>10</xdr:col>
      <xdr:colOff>485775</xdr:colOff>
      <xdr:row>17</xdr:row>
      <xdr:rowOff>114300</xdr:rowOff>
    </xdr:to>
    <xdr:graphicFrame macro="">
      <xdr:nvGraphicFramePr>
        <xdr:cNvPr id="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190500</xdr:colOff>
      <xdr:row>6</xdr:row>
      <xdr:rowOff>19050</xdr:rowOff>
    </xdr:from>
    <xdr:to>
      <xdr:col>28</xdr:col>
      <xdr:colOff>352425</xdr:colOff>
      <xdr:row>23</xdr:row>
      <xdr:rowOff>180975</xdr:rowOff>
    </xdr:to>
    <xdr:graphicFrame macro="">
      <xdr:nvGraphicFramePr>
        <xdr:cNvPr id="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123825</xdr:colOff>
      <xdr:row>18</xdr:row>
      <xdr:rowOff>161925</xdr:rowOff>
    </xdr:from>
    <xdr:to>
      <xdr:col>10</xdr:col>
      <xdr:colOff>495300</xdr:colOff>
      <xdr:row>40</xdr:row>
      <xdr:rowOff>104775</xdr:rowOff>
    </xdr:to>
    <xdr:graphicFrame macro="">
      <xdr:nvGraphicFramePr>
        <xdr:cNvPr id="7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57150</xdr:colOff>
      <xdr:row>18</xdr:row>
      <xdr:rowOff>161925</xdr:rowOff>
    </xdr:from>
    <xdr:to>
      <xdr:col>15</xdr:col>
      <xdr:colOff>371475</xdr:colOff>
      <xdr:row>40</xdr:row>
      <xdr:rowOff>142875</xdr:rowOff>
    </xdr:to>
    <xdr:graphicFrame macro="">
      <xdr:nvGraphicFramePr>
        <xdr:cNvPr id="8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133350</xdr:colOff>
      <xdr:row>42</xdr:row>
      <xdr:rowOff>9525</xdr:rowOff>
    </xdr:from>
    <xdr:to>
      <xdr:col>15</xdr:col>
      <xdr:colOff>390525</xdr:colOff>
      <xdr:row>58</xdr:row>
      <xdr:rowOff>161925</xdr:rowOff>
    </xdr:to>
    <xdr:graphicFrame macro="">
      <xdr:nvGraphicFramePr>
        <xdr:cNvPr id="9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0.57254</cdr:x>
      <cdr:y>0.18246</cdr:y>
    </cdr:from>
    <cdr:to>
      <cdr:x>0.61957</cdr:x>
      <cdr:y>0.2214</cdr:y>
    </cdr:to>
    <cdr:sp macro="" textlink="">
      <cdr:nvSpPr>
        <cdr:cNvPr id="2" name="Oval 99"/>
        <cdr:cNvSpPr/>
      </cdr:nvSpPr>
      <cdr:spPr>
        <a:xfrm xmlns:a="http://schemas.openxmlformats.org/drawingml/2006/main">
          <a:off x="1957777" y="754244"/>
          <a:ext cx="160811" cy="161005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 w="3175">
          <a:solidFill>
            <a:schemeClr val="tx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 rtlCol="0" anchor="ctr"/>
        <a:lstStyle xmlns:a="http://schemas.openxmlformats.org/drawingml/2006/main"/>
        <a:p xmlns:a="http://schemas.openxmlformats.org/drawingml/2006/main">
          <a:endParaRPr lang="nl-BE"/>
        </a:p>
      </cdr:txBody>
    </cdr:sp>
  </cdr:relSizeAnchor>
  <cdr:relSizeAnchor xmlns:cdr="http://schemas.openxmlformats.org/drawingml/2006/chartDrawing">
    <cdr:from>
      <cdr:x>0.33735</cdr:x>
      <cdr:y>0.10659</cdr:y>
    </cdr:from>
    <cdr:to>
      <cdr:x>0.43444</cdr:x>
      <cdr:y>0.18</cdr:y>
    </cdr:to>
    <cdr:sp macro="" textlink="">
      <cdr:nvSpPr>
        <cdr:cNvPr id="3" name="TextBox 96"/>
        <cdr:cNvSpPr txBox="1"/>
      </cdr:nvSpPr>
      <cdr:spPr>
        <a:xfrm xmlns:a="http://schemas.openxmlformats.org/drawingml/2006/main">
          <a:off x="1153573" y="440626"/>
          <a:ext cx="331980" cy="303478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/>
            <a:t>2</a:t>
          </a:r>
        </a:p>
      </cdr:txBody>
    </cdr:sp>
  </cdr:relSizeAnchor>
  <cdr:relSizeAnchor xmlns:cdr="http://schemas.openxmlformats.org/drawingml/2006/chartDrawing">
    <cdr:from>
      <cdr:x>0.60288</cdr:x>
      <cdr:y>0.10105</cdr:y>
    </cdr:from>
    <cdr:to>
      <cdr:x>0.93036</cdr:x>
      <cdr:y>0.24263</cdr:y>
    </cdr:to>
    <cdr:sp macro="" textlink="">
      <cdr:nvSpPr>
        <cdr:cNvPr id="4" name="TextBox 39"/>
        <cdr:cNvSpPr txBox="1"/>
      </cdr:nvSpPr>
      <cdr:spPr>
        <a:xfrm xmlns:a="http://schemas.openxmlformats.org/drawingml/2006/main">
          <a:off x="2061517" y="417727"/>
          <a:ext cx="1119834" cy="585278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00"/>
            <a:t>Approx. limits for sources on the Planckian locus.</a:t>
          </a:r>
        </a:p>
      </cdr:txBody>
    </cdr:sp>
  </cdr:relSizeAnchor>
  <cdr:relSizeAnchor xmlns:cdr="http://schemas.openxmlformats.org/drawingml/2006/chartDrawing">
    <cdr:from>
      <cdr:x>0</cdr:x>
      <cdr:y>0.01229</cdr:y>
    </cdr:from>
    <cdr:to>
      <cdr:x>1</cdr:x>
      <cdr:y>0.09863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50800" y="50800"/>
          <a:ext cx="3869368" cy="3569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100" b="1" i="1">
              <a:solidFill>
                <a:schemeClr val="bg1"/>
              </a:solidFill>
            </a:rPr>
            <a:t>R</a:t>
          </a:r>
          <a:r>
            <a:rPr lang="en-US" sz="1100" b="1" i="0" baseline="-25000">
              <a:solidFill>
                <a:schemeClr val="bg1"/>
              </a:solidFill>
            </a:rPr>
            <a:t>f</a:t>
          </a:r>
          <a:r>
            <a:rPr lang="en-US" sz="1100" b="1" i="0">
              <a:solidFill>
                <a:schemeClr val="bg1"/>
              </a:solidFill>
            </a:rPr>
            <a:t>-</a:t>
          </a:r>
          <a:r>
            <a:rPr lang="en-US" sz="1100" b="1" i="1">
              <a:solidFill>
                <a:schemeClr val="bg1"/>
              </a:solidFill>
            </a:rPr>
            <a:t>R</a:t>
          </a:r>
          <a:r>
            <a:rPr lang="en-US" sz="1100" b="1" i="0" baseline="-25000">
              <a:solidFill>
                <a:schemeClr val="bg1"/>
              </a:solidFill>
            </a:rPr>
            <a:t>g</a:t>
          </a:r>
          <a:r>
            <a:rPr lang="en-US" sz="1100" b="1" i="0"/>
            <a:t> </a:t>
          </a:r>
          <a:r>
            <a:rPr lang="en-US" sz="1100" b="1" i="0">
              <a:solidFill>
                <a:schemeClr val="bg1"/>
              </a:solidFill>
            </a:rPr>
            <a:t>Plot</a:t>
          </a:r>
          <a:endParaRPr lang="en-US" sz="1100" b="1" i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0.19591</cdr:x>
      <cdr:y>0.10906</cdr:y>
    </cdr:from>
    <cdr:to>
      <cdr:x>0.293</cdr:x>
      <cdr:y>0.18248</cdr:y>
    </cdr:to>
    <cdr:sp macro="" textlink="">
      <cdr:nvSpPr>
        <cdr:cNvPr id="6" name="TextBox 34"/>
        <cdr:cNvSpPr txBox="1"/>
      </cdr:nvSpPr>
      <cdr:spPr>
        <a:xfrm xmlns:a="http://schemas.openxmlformats.org/drawingml/2006/main">
          <a:off x="669925" y="450850"/>
          <a:ext cx="331980" cy="303478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/>
            <a:t>1</a:t>
          </a:r>
        </a:p>
      </cdr:txBody>
    </cdr:sp>
  </cdr:relSizeAnchor>
  <cdr:relSizeAnchor xmlns:cdr="http://schemas.openxmlformats.org/drawingml/2006/chartDrawing">
    <cdr:from>
      <cdr:x>0.57237</cdr:x>
      <cdr:y>0.11863</cdr:y>
    </cdr:from>
    <cdr:to>
      <cdr:x>0.6194</cdr:x>
      <cdr:y>0.15758</cdr:y>
    </cdr:to>
    <cdr:sp macro="" textlink="">
      <cdr:nvSpPr>
        <cdr:cNvPr id="7" name="Oval 93"/>
        <cdr:cNvSpPr/>
      </cdr:nvSpPr>
      <cdr:spPr>
        <a:xfrm xmlns:a="http://schemas.openxmlformats.org/drawingml/2006/main">
          <a:off x="1957221" y="490398"/>
          <a:ext cx="160811" cy="161005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 w="3175">
          <a:solidFill>
            <a:schemeClr val="tx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 rtlCol="0" anchor="ctr"/>
        <a:lstStyle xmlns:a="http://schemas.openxmlformats.org/drawingml/2006/main"/>
        <a:p xmlns:a="http://schemas.openxmlformats.org/drawingml/2006/main">
          <a:endParaRPr lang="nl-BE"/>
        </a:p>
      </cdr:txBody>
    </cdr:sp>
  </cdr:relSizeAnchor>
  <cdr:relSizeAnchor xmlns:cdr="http://schemas.openxmlformats.org/drawingml/2006/chartDrawing">
    <cdr:from>
      <cdr:x>0.6093</cdr:x>
      <cdr:y>0.16339</cdr:y>
    </cdr:from>
    <cdr:to>
      <cdr:x>0.95156</cdr:x>
      <cdr:y>0.30497</cdr:y>
    </cdr:to>
    <cdr:sp macro="" textlink="">
      <cdr:nvSpPr>
        <cdr:cNvPr id="8" name="TextBox 40"/>
        <cdr:cNvSpPr txBox="1"/>
      </cdr:nvSpPr>
      <cdr:spPr>
        <a:xfrm xmlns:a="http://schemas.openxmlformats.org/drawingml/2006/main">
          <a:off x="2083478" y="675433"/>
          <a:ext cx="1170347" cy="585278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00"/>
            <a:t>Approx. limits for practical light sources.</a:t>
          </a:r>
        </a:p>
      </cdr:txBody>
    </cdr:sp>
  </cdr:relSizeAnchor>
  <cdr:relSizeAnchor xmlns:cdr="http://schemas.openxmlformats.org/drawingml/2006/chartDrawing">
    <cdr:from>
      <cdr:x>0.5636</cdr:x>
      <cdr:y>0.17588</cdr:y>
    </cdr:from>
    <cdr:to>
      <cdr:x>0.66069</cdr:x>
      <cdr:y>0.2493</cdr:y>
    </cdr:to>
    <cdr:sp macro="" textlink="">
      <cdr:nvSpPr>
        <cdr:cNvPr id="9" name="TextBox 37"/>
        <cdr:cNvSpPr txBox="1"/>
      </cdr:nvSpPr>
      <cdr:spPr>
        <a:xfrm xmlns:a="http://schemas.openxmlformats.org/drawingml/2006/main">
          <a:off x="1927225" y="727075"/>
          <a:ext cx="331980" cy="303478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/>
            <a:t>2</a:t>
          </a:r>
        </a:p>
      </cdr:txBody>
    </cdr:sp>
  </cdr:relSizeAnchor>
  <cdr:relSizeAnchor xmlns:cdr="http://schemas.openxmlformats.org/drawingml/2006/chartDrawing">
    <cdr:from>
      <cdr:x>0.56082</cdr:x>
      <cdr:y>0.11137</cdr:y>
    </cdr:from>
    <cdr:to>
      <cdr:x>0.6579</cdr:x>
      <cdr:y>0.18478</cdr:y>
    </cdr:to>
    <cdr:sp macro="" textlink="">
      <cdr:nvSpPr>
        <cdr:cNvPr id="10" name="TextBox 37"/>
        <cdr:cNvSpPr txBox="1"/>
      </cdr:nvSpPr>
      <cdr:spPr>
        <a:xfrm xmlns:a="http://schemas.openxmlformats.org/drawingml/2006/main">
          <a:off x="1917700" y="460375"/>
          <a:ext cx="331980" cy="303478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/>
            <a:t>1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61912</xdr:colOff>
      <xdr:row>12</xdr:row>
      <xdr:rowOff>95250</xdr:rowOff>
    </xdr:from>
    <xdr:to>
      <xdr:col>18</xdr:col>
      <xdr:colOff>323850</xdr:colOff>
      <xdr:row>33</xdr:row>
      <xdr:rowOff>76200</xdr:rowOff>
    </xdr:to>
    <xdr:graphicFrame macro="">
      <xdr:nvGraphicFramePr>
        <xdr:cNvPr id="4" name="Grafiek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nadalm\Local%20Settings\Temporary%20Internet%20Files\Content.Outlook\LNDJH9QE\CQS%209%200%20a%20(Win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OLOR\PROJECTS\Ongoing\ColourRendition\ExcelOptimizers\OptimSPD_Rm_Qa_Ra2012_CIER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 notes"/>
      <sheetName val="Instruction"/>
      <sheetName val="Color View"/>
      <sheetName val="Lamp data &amp; Results"/>
      <sheetName val="u'v' diagram"/>
      <sheetName val="CAM_UCS plot"/>
      <sheetName val="3 LED model"/>
      <sheetName val="4 LED model"/>
      <sheetName val="Broadband model"/>
      <sheetName val="Munsell samples"/>
      <sheetName val="TSC"/>
      <sheetName val="CQS"/>
      <sheetName val="CRI"/>
      <sheetName val="Reference"/>
      <sheetName val="Chromaticity"/>
      <sheetName val="C Adapt"/>
      <sheetName val="TSC work"/>
      <sheetName val="x y diagram"/>
      <sheetName val="RBG conversion"/>
      <sheetName val="CMCCAT-h"/>
      <sheetName val="CMCCAT-v"/>
      <sheetName val="CAM_UCS"/>
      <sheetName val="CIELAB"/>
      <sheetName val="Duvtoxy"/>
      <sheetName val="CCT.v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>
        <row r="1">
          <cell r="A1" t="str">
            <v>CAM_UCS_xyY</v>
          </cell>
        </row>
      </sheetData>
      <sheetData sheetId="22" refreshError="1"/>
      <sheetData sheetId="23" refreshError="1"/>
      <sheetData sheetId="2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lverspdi"/>
      <sheetName val="xyzs"/>
      <sheetName val="Main"/>
      <sheetName val="CMF_RFLs"/>
      <sheetName val="XYZc calculations"/>
      <sheetName val="xyz2IPT"/>
      <sheetName val="Similarity S(x,y) "/>
      <sheetName val="Rescale Similarity"/>
      <sheetName val="CRI  vs MCRI"/>
      <sheetName val="CRI vs MCRI graph"/>
      <sheetName val="Lamp_data"/>
      <sheetName val="Color View"/>
      <sheetName val="Lamp data"/>
      <sheetName val="uvdiagram"/>
      <sheetName val="3 LED model"/>
      <sheetName val="4 LED model"/>
      <sheetName val="Broadband model"/>
      <sheetName val="TCS"/>
      <sheetName val="TCS-CQS"/>
      <sheetName val="CRI"/>
      <sheetName val="CRI_2"/>
      <sheetName val="CQS"/>
      <sheetName val="HLset"/>
      <sheetName val="Chromaticity_HLset "/>
      <sheetName val="CRI2012_generalindex"/>
      <sheetName val="Reference"/>
      <sheetName val="Chromaticity"/>
      <sheetName val="C Adapt"/>
      <sheetName val="x y diagram"/>
      <sheetName val="RBG conversion"/>
      <sheetName val="CMCCAT"/>
      <sheetName val="CIELAB"/>
      <sheetName val="Duvtoxy"/>
      <sheetName val="CCT.v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1">
          <cell r="A1" t="str">
            <v>CMCCAT</v>
          </cell>
          <cell r="B1" t="str">
            <v>CMCCATv</v>
          </cell>
        </row>
      </sheetData>
      <sheetData sheetId="31">
        <row r="1">
          <cell r="A1" t="str">
            <v>LAB</v>
          </cell>
        </row>
      </sheetData>
      <sheetData sheetId="32">
        <row r="1">
          <cell r="A1" t="str">
            <v>Duvtoxy</v>
          </cell>
        </row>
      </sheetData>
      <sheetData sheetId="33"/>
    </sheetDataSet>
  </externalBook>
</externalLink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28"/>
  <sheetViews>
    <sheetView showFormulas="1" topLeftCell="A37" zoomScaleNormal="100" workbookViewId="0">
      <selection activeCell="A60" sqref="A60"/>
    </sheetView>
  </sheetViews>
  <sheetFormatPr defaultColWidth="11.453125" defaultRowHeight="11.5"/>
  <cols>
    <col min="1" max="1" width="25" style="9" customWidth="1"/>
    <col min="2" max="2" width="7.36328125" style="9" customWidth="1"/>
    <col min="3" max="3" width="11.90625" style="9" customWidth="1"/>
    <col min="4" max="4" width="5.08984375" style="9" customWidth="1"/>
    <col min="5" max="5" width="6.08984375" style="9" customWidth="1"/>
    <col min="6" max="6" width="2" style="9" customWidth="1"/>
    <col min="7" max="7" width="11.36328125" style="9" customWidth="1"/>
    <col min="8" max="256" width="11.453125" style="9"/>
    <col min="257" max="257" width="25" style="9" customWidth="1"/>
    <col min="258" max="258" width="7.36328125" style="9" customWidth="1"/>
    <col min="259" max="259" width="11.90625" style="9" customWidth="1"/>
    <col min="260" max="260" width="5.08984375" style="9" customWidth="1"/>
    <col min="261" max="261" width="6.08984375" style="9" customWidth="1"/>
    <col min="262" max="262" width="2" style="9" customWidth="1"/>
    <col min="263" max="263" width="11.36328125" style="9" customWidth="1"/>
    <col min="264" max="512" width="11.453125" style="9"/>
    <col min="513" max="513" width="25" style="9" customWidth="1"/>
    <col min="514" max="514" width="7.36328125" style="9" customWidth="1"/>
    <col min="515" max="515" width="11.90625" style="9" customWidth="1"/>
    <col min="516" max="516" width="5.08984375" style="9" customWidth="1"/>
    <col min="517" max="517" width="6.08984375" style="9" customWidth="1"/>
    <col min="518" max="518" width="2" style="9" customWidth="1"/>
    <col min="519" max="519" width="11.36328125" style="9" customWidth="1"/>
    <col min="520" max="768" width="11.453125" style="9"/>
    <col min="769" max="769" width="25" style="9" customWidth="1"/>
    <col min="770" max="770" width="7.36328125" style="9" customWidth="1"/>
    <col min="771" max="771" width="11.90625" style="9" customWidth="1"/>
    <col min="772" max="772" width="5.08984375" style="9" customWidth="1"/>
    <col min="773" max="773" width="6.08984375" style="9" customWidth="1"/>
    <col min="774" max="774" width="2" style="9" customWidth="1"/>
    <col min="775" max="775" width="11.36328125" style="9" customWidth="1"/>
    <col min="776" max="1024" width="11.453125" style="9"/>
    <col min="1025" max="1025" width="25" style="9" customWidth="1"/>
    <col min="1026" max="1026" width="7.36328125" style="9" customWidth="1"/>
    <col min="1027" max="1027" width="11.90625" style="9" customWidth="1"/>
    <col min="1028" max="1028" width="5.08984375" style="9" customWidth="1"/>
    <col min="1029" max="1029" width="6.08984375" style="9" customWidth="1"/>
    <col min="1030" max="1030" width="2" style="9" customWidth="1"/>
    <col min="1031" max="1031" width="11.36328125" style="9" customWidth="1"/>
    <col min="1032" max="1280" width="11.453125" style="9"/>
    <col min="1281" max="1281" width="25" style="9" customWidth="1"/>
    <col min="1282" max="1282" width="7.36328125" style="9" customWidth="1"/>
    <col min="1283" max="1283" width="11.90625" style="9" customWidth="1"/>
    <col min="1284" max="1284" width="5.08984375" style="9" customWidth="1"/>
    <col min="1285" max="1285" width="6.08984375" style="9" customWidth="1"/>
    <col min="1286" max="1286" width="2" style="9" customWidth="1"/>
    <col min="1287" max="1287" width="11.36328125" style="9" customWidth="1"/>
    <col min="1288" max="1536" width="11.453125" style="9"/>
    <col min="1537" max="1537" width="25" style="9" customWidth="1"/>
    <col min="1538" max="1538" width="7.36328125" style="9" customWidth="1"/>
    <col min="1539" max="1539" width="11.90625" style="9" customWidth="1"/>
    <col min="1540" max="1540" width="5.08984375" style="9" customWidth="1"/>
    <col min="1541" max="1541" width="6.08984375" style="9" customWidth="1"/>
    <col min="1542" max="1542" width="2" style="9" customWidth="1"/>
    <col min="1543" max="1543" width="11.36328125" style="9" customWidth="1"/>
    <col min="1544" max="1792" width="11.453125" style="9"/>
    <col min="1793" max="1793" width="25" style="9" customWidth="1"/>
    <col min="1794" max="1794" width="7.36328125" style="9" customWidth="1"/>
    <col min="1795" max="1795" width="11.90625" style="9" customWidth="1"/>
    <col min="1796" max="1796" width="5.08984375" style="9" customWidth="1"/>
    <col min="1797" max="1797" width="6.08984375" style="9" customWidth="1"/>
    <col min="1798" max="1798" width="2" style="9" customWidth="1"/>
    <col min="1799" max="1799" width="11.36328125" style="9" customWidth="1"/>
    <col min="1800" max="2048" width="11.453125" style="9"/>
    <col min="2049" max="2049" width="25" style="9" customWidth="1"/>
    <col min="2050" max="2050" width="7.36328125" style="9" customWidth="1"/>
    <col min="2051" max="2051" width="11.90625" style="9" customWidth="1"/>
    <col min="2052" max="2052" width="5.08984375" style="9" customWidth="1"/>
    <col min="2053" max="2053" width="6.08984375" style="9" customWidth="1"/>
    <col min="2054" max="2054" width="2" style="9" customWidth="1"/>
    <col min="2055" max="2055" width="11.36328125" style="9" customWidth="1"/>
    <col min="2056" max="2304" width="11.453125" style="9"/>
    <col min="2305" max="2305" width="25" style="9" customWidth="1"/>
    <col min="2306" max="2306" width="7.36328125" style="9" customWidth="1"/>
    <col min="2307" max="2307" width="11.90625" style="9" customWidth="1"/>
    <col min="2308" max="2308" width="5.08984375" style="9" customWidth="1"/>
    <col min="2309" max="2309" width="6.08984375" style="9" customWidth="1"/>
    <col min="2310" max="2310" width="2" style="9" customWidth="1"/>
    <col min="2311" max="2311" width="11.36328125" style="9" customWidth="1"/>
    <col min="2312" max="2560" width="11.453125" style="9"/>
    <col min="2561" max="2561" width="25" style="9" customWidth="1"/>
    <col min="2562" max="2562" width="7.36328125" style="9" customWidth="1"/>
    <col min="2563" max="2563" width="11.90625" style="9" customWidth="1"/>
    <col min="2564" max="2564" width="5.08984375" style="9" customWidth="1"/>
    <col min="2565" max="2565" width="6.08984375" style="9" customWidth="1"/>
    <col min="2566" max="2566" width="2" style="9" customWidth="1"/>
    <col min="2567" max="2567" width="11.36328125" style="9" customWidth="1"/>
    <col min="2568" max="2816" width="11.453125" style="9"/>
    <col min="2817" max="2817" width="25" style="9" customWidth="1"/>
    <col min="2818" max="2818" width="7.36328125" style="9" customWidth="1"/>
    <col min="2819" max="2819" width="11.90625" style="9" customWidth="1"/>
    <col min="2820" max="2820" width="5.08984375" style="9" customWidth="1"/>
    <col min="2821" max="2821" width="6.08984375" style="9" customWidth="1"/>
    <col min="2822" max="2822" width="2" style="9" customWidth="1"/>
    <col min="2823" max="2823" width="11.36328125" style="9" customWidth="1"/>
    <col min="2824" max="3072" width="11.453125" style="9"/>
    <col min="3073" max="3073" width="25" style="9" customWidth="1"/>
    <col min="3074" max="3074" width="7.36328125" style="9" customWidth="1"/>
    <col min="3075" max="3075" width="11.90625" style="9" customWidth="1"/>
    <col min="3076" max="3076" width="5.08984375" style="9" customWidth="1"/>
    <col min="3077" max="3077" width="6.08984375" style="9" customWidth="1"/>
    <col min="3078" max="3078" width="2" style="9" customWidth="1"/>
    <col min="3079" max="3079" width="11.36328125" style="9" customWidth="1"/>
    <col min="3080" max="3328" width="11.453125" style="9"/>
    <col min="3329" max="3329" width="25" style="9" customWidth="1"/>
    <col min="3330" max="3330" width="7.36328125" style="9" customWidth="1"/>
    <col min="3331" max="3331" width="11.90625" style="9" customWidth="1"/>
    <col min="3332" max="3332" width="5.08984375" style="9" customWidth="1"/>
    <col min="3333" max="3333" width="6.08984375" style="9" customWidth="1"/>
    <col min="3334" max="3334" width="2" style="9" customWidth="1"/>
    <col min="3335" max="3335" width="11.36328125" style="9" customWidth="1"/>
    <col min="3336" max="3584" width="11.453125" style="9"/>
    <col min="3585" max="3585" width="25" style="9" customWidth="1"/>
    <col min="3586" max="3586" width="7.36328125" style="9" customWidth="1"/>
    <col min="3587" max="3587" width="11.90625" style="9" customWidth="1"/>
    <col min="3588" max="3588" width="5.08984375" style="9" customWidth="1"/>
    <col min="3589" max="3589" width="6.08984375" style="9" customWidth="1"/>
    <col min="3590" max="3590" width="2" style="9" customWidth="1"/>
    <col min="3591" max="3591" width="11.36328125" style="9" customWidth="1"/>
    <col min="3592" max="3840" width="11.453125" style="9"/>
    <col min="3841" max="3841" width="25" style="9" customWidth="1"/>
    <col min="3842" max="3842" width="7.36328125" style="9" customWidth="1"/>
    <col min="3843" max="3843" width="11.90625" style="9" customWidth="1"/>
    <col min="3844" max="3844" width="5.08984375" style="9" customWidth="1"/>
    <col min="3845" max="3845" width="6.08984375" style="9" customWidth="1"/>
    <col min="3846" max="3846" width="2" style="9" customWidth="1"/>
    <col min="3847" max="3847" width="11.36328125" style="9" customWidth="1"/>
    <col min="3848" max="4096" width="11.453125" style="9"/>
    <col min="4097" max="4097" width="25" style="9" customWidth="1"/>
    <col min="4098" max="4098" width="7.36328125" style="9" customWidth="1"/>
    <col min="4099" max="4099" width="11.90625" style="9" customWidth="1"/>
    <col min="4100" max="4100" width="5.08984375" style="9" customWidth="1"/>
    <col min="4101" max="4101" width="6.08984375" style="9" customWidth="1"/>
    <col min="4102" max="4102" width="2" style="9" customWidth="1"/>
    <col min="4103" max="4103" width="11.36328125" style="9" customWidth="1"/>
    <col min="4104" max="4352" width="11.453125" style="9"/>
    <col min="4353" max="4353" width="25" style="9" customWidth="1"/>
    <col min="4354" max="4354" width="7.36328125" style="9" customWidth="1"/>
    <col min="4355" max="4355" width="11.90625" style="9" customWidth="1"/>
    <col min="4356" max="4356" width="5.08984375" style="9" customWidth="1"/>
    <col min="4357" max="4357" width="6.08984375" style="9" customWidth="1"/>
    <col min="4358" max="4358" width="2" style="9" customWidth="1"/>
    <col min="4359" max="4359" width="11.36328125" style="9" customWidth="1"/>
    <col min="4360" max="4608" width="11.453125" style="9"/>
    <col min="4609" max="4609" width="25" style="9" customWidth="1"/>
    <col min="4610" max="4610" width="7.36328125" style="9" customWidth="1"/>
    <col min="4611" max="4611" width="11.90625" style="9" customWidth="1"/>
    <col min="4612" max="4612" width="5.08984375" style="9" customWidth="1"/>
    <col min="4613" max="4613" width="6.08984375" style="9" customWidth="1"/>
    <col min="4614" max="4614" width="2" style="9" customWidth="1"/>
    <col min="4615" max="4615" width="11.36328125" style="9" customWidth="1"/>
    <col min="4616" max="4864" width="11.453125" style="9"/>
    <col min="4865" max="4865" width="25" style="9" customWidth="1"/>
    <col min="4866" max="4866" width="7.36328125" style="9" customWidth="1"/>
    <col min="4867" max="4867" width="11.90625" style="9" customWidth="1"/>
    <col min="4868" max="4868" width="5.08984375" style="9" customWidth="1"/>
    <col min="4869" max="4869" width="6.08984375" style="9" customWidth="1"/>
    <col min="4870" max="4870" width="2" style="9" customWidth="1"/>
    <col min="4871" max="4871" width="11.36328125" style="9" customWidth="1"/>
    <col min="4872" max="5120" width="11.453125" style="9"/>
    <col min="5121" max="5121" width="25" style="9" customWidth="1"/>
    <col min="5122" max="5122" width="7.36328125" style="9" customWidth="1"/>
    <col min="5123" max="5123" width="11.90625" style="9" customWidth="1"/>
    <col min="5124" max="5124" width="5.08984375" style="9" customWidth="1"/>
    <col min="5125" max="5125" width="6.08984375" style="9" customWidth="1"/>
    <col min="5126" max="5126" width="2" style="9" customWidth="1"/>
    <col min="5127" max="5127" width="11.36328125" style="9" customWidth="1"/>
    <col min="5128" max="5376" width="11.453125" style="9"/>
    <col min="5377" max="5377" width="25" style="9" customWidth="1"/>
    <col min="5378" max="5378" width="7.36328125" style="9" customWidth="1"/>
    <col min="5379" max="5379" width="11.90625" style="9" customWidth="1"/>
    <col min="5380" max="5380" width="5.08984375" style="9" customWidth="1"/>
    <col min="5381" max="5381" width="6.08984375" style="9" customWidth="1"/>
    <col min="5382" max="5382" width="2" style="9" customWidth="1"/>
    <col min="5383" max="5383" width="11.36328125" style="9" customWidth="1"/>
    <col min="5384" max="5632" width="11.453125" style="9"/>
    <col min="5633" max="5633" width="25" style="9" customWidth="1"/>
    <col min="5634" max="5634" width="7.36328125" style="9" customWidth="1"/>
    <col min="5635" max="5635" width="11.90625" style="9" customWidth="1"/>
    <col min="5636" max="5636" width="5.08984375" style="9" customWidth="1"/>
    <col min="5637" max="5637" width="6.08984375" style="9" customWidth="1"/>
    <col min="5638" max="5638" width="2" style="9" customWidth="1"/>
    <col min="5639" max="5639" width="11.36328125" style="9" customWidth="1"/>
    <col min="5640" max="5888" width="11.453125" style="9"/>
    <col min="5889" max="5889" width="25" style="9" customWidth="1"/>
    <col min="5890" max="5890" width="7.36328125" style="9" customWidth="1"/>
    <col min="5891" max="5891" width="11.90625" style="9" customWidth="1"/>
    <col min="5892" max="5892" width="5.08984375" style="9" customWidth="1"/>
    <col min="5893" max="5893" width="6.08984375" style="9" customWidth="1"/>
    <col min="5894" max="5894" width="2" style="9" customWidth="1"/>
    <col min="5895" max="5895" width="11.36328125" style="9" customWidth="1"/>
    <col min="5896" max="6144" width="11.453125" style="9"/>
    <col min="6145" max="6145" width="25" style="9" customWidth="1"/>
    <col min="6146" max="6146" width="7.36328125" style="9" customWidth="1"/>
    <col min="6147" max="6147" width="11.90625" style="9" customWidth="1"/>
    <col min="6148" max="6148" width="5.08984375" style="9" customWidth="1"/>
    <col min="6149" max="6149" width="6.08984375" style="9" customWidth="1"/>
    <col min="6150" max="6150" width="2" style="9" customWidth="1"/>
    <col min="6151" max="6151" width="11.36328125" style="9" customWidth="1"/>
    <col min="6152" max="6400" width="11.453125" style="9"/>
    <col min="6401" max="6401" width="25" style="9" customWidth="1"/>
    <col min="6402" max="6402" width="7.36328125" style="9" customWidth="1"/>
    <col min="6403" max="6403" width="11.90625" style="9" customWidth="1"/>
    <col min="6404" max="6404" width="5.08984375" style="9" customWidth="1"/>
    <col min="6405" max="6405" width="6.08984375" style="9" customWidth="1"/>
    <col min="6406" max="6406" width="2" style="9" customWidth="1"/>
    <col min="6407" max="6407" width="11.36328125" style="9" customWidth="1"/>
    <col min="6408" max="6656" width="11.453125" style="9"/>
    <col min="6657" max="6657" width="25" style="9" customWidth="1"/>
    <col min="6658" max="6658" width="7.36328125" style="9" customWidth="1"/>
    <col min="6659" max="6659" width="11.90625" style="9" customWidth="1"/>
    <col min="6660" max="6660" width="5.08984375" style="9" customWidth="1"/>
    <col min="6661" max="6661" width="6.08984375" style="9" customWidth="1"/>
    <col min="6662" max="6662" width="2" style="9" customWidth="1"/>
    <col min="6663" max="6663" width="11.36328125" style="9" customWidth="1"/>
    <col min="6664" max="6912" width="11.453125" style="9"/>
    <col min="6913" max="6913" width="25" style="9" customWidth="1"/>
    <col min="6914" max="6914" width="7.36328125" style="9" customWidth="1"/>
    <col min="6915" max="6915" width="11.90625" style="9" customWidth="1"/>
    <col min="6916" max="6916" width="5.08984375" style="9" customWidth="1"/>
    <col min="6917" max="6917" width="6.08984375" style="9" customWidth="1"/>
    <col min="6918" max="6918" width="2" style="9" customWidth="1"/>
    <col min="6919" max="6919" width="11.36328125" style="9" customWidth="1"/>
    <col min="6920" max="7168" width="11.453125" style="9"/>
    <col min="7169" max="7169" width="25" style="9" customWidth="1"/>
    <col min="7170" max="7170" width="7.36328125" style="9" customWidth="1"/>
    <col min="7171" max="7171" width="11.90625" style="9" customWidth="1"/>
    <col min="7172" max="7172" width="5.08984375" style="9" customWidth="1"/>
    <col min="7173" max="7173" width="6.08984375" style="9" customWidth="1"/>
    <col min="7174" max="7174" width="2" style="9" customWidth="1"/>
    <col min="7175" max="7175" width="11.36328125" style="9" customWidth="1"/>
    <col min="7176" max="7424" width="11.453125" style="9"/>
    <col min="7425" max="7425" width="25" style="9" customWidth="1"/>
    <col min="7426" max="7426" width="7.36328125" style="9" customWidth="1"/>
    <col min="7427" max="7427" width="11.90625" style="9" customWidth="1"/>
    <col min="7428" max="7428" width="5.08984375" style="9" customWidth="1"/>
    <col min="7429" max="7429" width="6.08984375" style="9" customWidth="1"/>
    <col min="7430" max="7430" width="2" style="9" customWidth="1"/>
    <col min="7431" max="7431" width="11.36328125" style="9" customWidth="1"/>
    <col min="7432" max="7680" width="11.453125" style="9"/>
    <col min="7681" max="7681" width="25" style="9" customWidth="1"/>
    <col min="7682" max="7682" width="7.36328125" style="9" customWidth="1"/>
    <col min="7683" max="7683" width="11.90625" style="9" customWidth="1"/>
    <col min="7684" max="7684" width="5.08984375" style="9" customWidth="1"/>
    <col min="7685" max="7685" width="6.08984375" style="9" customWidth="1"/>
    <col min="7686" max="7686" width="2" style="9" customWidth="1"/>
    <col min="7687" max="7687" width="11.36328125" style="9" customWidth="1"/>
    <col min="7688" max="7936" width="11.453125" style="9"/>
    <col min="7937" max="7937" width="25" style="9" customWidth="1"/>
    <col min="7938" max="7938" width="7.36328125" style="9" customWidth="1"/>
    <col min="7939" max="7939" width="11.90625" style="9" customWidth="1"/>
    <col min="7940" max="7940" width="5.08984375" style="9" customWidth="1"/>
    <col min="7941" max="7941" width="6.08984375" style="9" customWidth="1"/>
    <col min="7942" max="7942" width="2" style="9" customWidth="1"/>
    <col min="7943" max="7943" width="11.36328125" style="9" customWidth="1"/>
    <col min="7944" max="8192" width="11.453125" style="9"/>
    <col min="8193" max="8193" width="25" style="9" customWidth="1"/>
    <col min="8194" max="8194" width="7.36328125" style="9" customWidth="1"/>
    <col min="8195" max="8195" width="11.90625" style="9" customWidth="1"/>
    <col min="8196" max="8196" width="5.08984375" style="9" customWidth="1"/>
    <col min="8197" max="8197" width="6.08984375" style="9" customWidth="1"/>
    <col min="8198" max="8198" width="2" style="9" customWidth="1"/>
    <col min="8199" max="8199" width="11.36328125" style="9" customWidth="1"/>
    <col min="8200" max="8448" width="11.453125" style="9"/>
    <col min="8449" max="8449" width="25" style="9" customWidth="1"/>
    <col min="8450" max="8450" width="7.36328125" style="9" customWidth="1"/>
    <col min="8451" max="8451" width="11.90625" style="9" customWidth="1"/>
    <col min="8452" max="8452" width="5.08984375" style="9" customWidth="1"/>
    <col min="8453" max="8453" width="6.08984375" style="9" customWidth="1"/>
    <col min="8454" max="8454" width="2" style="9" customWidth="1"/>
    <col min="8455" max="8455" width="11.36328125" style="9" customWidth="1"/>
    <col min="8456" max="8704" width="11.453125" style="9"/>
    <col min="8705" max="8705" width="25" style="9" customWidth="1"/>
    <col min="8706" max="8706" width="7.36328125" style="9" customWidth="1"/>
    <col min="8707" max="8707" width="11.90625" style="9" customWidth="1"/>
    <col min="8708" max="8708" width="5.08984375" style="9" customWidth="1"/>
    <col min="8709" max="8709" width="6.08984375" style="9" customWidth="1"/>
    <col min="8710" max="8710" width="2" style="9" customWidth="1"/>
    <col min="8711" max="8711" width="11.36328125" style="9" customWidth="1"/>
    <col min="8712" max="8960" width="11.453125" style="9"/>
    <col min="8961" max="8961" width="25" style="9" customWidth="1"/>
    <col min="8962" max="8962" width="7.36328125" style="9" customWidth="1"/>
    <col min="8963" max="8963" width="11.90625" style="9" customWidth="1"/>
    <col min="8964" max="8964" width="5.08984375" style="9" customWidth="1"/>
    <col min="8965" max="8965" width="6.08984375" style="9" customWidth="1"/>
    <col min="8966" max="8966" width="2" style="9" customWidth="1"/>
    <col min="8967" max="8967" width="11.36328125" style="9" customWidth="1"/>
    <col min="8968" max="9216" width="11.453125" style="9"/>
    <col min="9217" max="9217" width="25" style="9" customWidth="1"/>
    <col min="9218" max="9218" width="7.36328125" style="9" customWidth="1"/>
    <col min="9219" max="9219" width="11.90625" style="9" customWidth="1"/>
    <col min="9220" max="9220" width="5.08984375" style="9" customWidth="1"/>
    <col min="9221" max="9221" width="6.08984375" style="9" customWidth="1"/>
    <col min="9222" max="9222" width="2" style="9" customWidth="1"/>
    <col min="9223" max="9223" width="11.36328125" style="9" customWidth="1"/>
    <col min="9224" max="9472" width="11.453125" style="9"/>
    <col min="9473" max="9473" width="25" style="9" customWidth="1"/>
    <col min="9474" max="9474" width="7.36328125" style="9" customWidth="1"/>
    <col min="9475" max="9475" width="11.90625" style="9" customWidth="1"/>
    <col min="9476" max="9476" width="5.08984375" style="9" customWidth="1"/>
    <col min="9477" max="9477" width="6.08984375" style="9" customWidth="1"/>
    <col min="9478" max="9478" width="2" style="9" customWidth="1"/>
    <col min="9479" max="9479" width="11.36328125" style="9" customWidth="1"/>
    <col min="9480" max="9728" width="11.453125" style="9"/>
    <col min="9729" max="9729" width="25" style="9" customWidth="1"/>
    <col min="9730" max="9730" width="7.36328125" style="9" customWidth="1"/>
    <col min="9731" max="9731" width="11.90625" style="9" customWidth="1"/>
    <col min="9732" max="9732" width="5.08984375" style="9" customWidth="1"/>
    <col min="9733" max="9733" width="6.08984375" style="9" customWidth="1"/>
    <col min="9734" max="9734" width="2" style="9" customWidth="1"/>
    <col min="9735" max="9735" width="11.36328125" style="9" customWidth="1"/>
    <col min="9736" max="9984" width="11.453125" style="9"/>
    <col min="9985" max="9985" width="25" style="9" customWidth="1"/>
    <col min="9986" max="9986" width="7.36328125" style="9" customWidth="1"/>
    <col min="9987" max="9987" width="11.90625" style="9" customWidth="1"/>
    <col min="9988" max="9988" width="5.08984375" style="9" customWidth="1"/>
    <col min="9989" max="9989" width="6.08984375" style="9" customWidth="1"/>
    <col min="9990" max="9990" width="2" style="9" customWidth="1"/>
    <col min="9991" max="9991" width="11.36328125" style="9" customWidth="1"/>
    <col min="9992" max="10240" width="11.453125" style="9"/>
    <col min="10241" max="10241" width="25" style="9" customWidth="1"/>
    <col min="10242" max="10242" width="7.36328125" style="9" customWidth="1"/>
    <col min="10243" max="10243" width="11.90625" style="9" customWidth="1"/>
    <col min="10244" max="10244" width="5.08984375" style="9" customWidth="1"/>
    <col min="10245" max="10245" width="6.08984375" style="9" customWidth="1"/>
    <col min="10246" max="10246" width="2" style="9" customWidth="1"/>
    <col min="10247" max="10247" width="11.36328125" style="9" customWidth="1"/>
    <col min="10248" max="10496" width="11.453125" style="9"/>
    <col min="10497" max="10497" width="25" style="9" customWidth="1"/>
    <col min="10498" max="10498" width="7.36328125" style="9" customWidth="1"/>
    <col min="10499" max="10499" width="11.90625" style="9" customWidth="1"/>
    <col min="10500" max="10500" width="5.08984375" style="9" customWidth="1"/>
    <col min="10501" max="10501" width="6.08984375" style="9" customWidth="1"/>
    <col min="10502" max="10502" width="2" style="9" customWidth="1"/>
    <col min="10503" max="10503" width="11.36328125" style="9" customWidth="1"/>
    <col min="10504" max="10752" width="11.453125" style="9"/>
    <col min="10753" max="10753" width="25" style="9" customWidth="1"/>
    <col min="10754" max="10754" width="7.36328125" style="9" customWidth="1"/>
    <col min="10755" max="10755" width="11.90625" style="9" customWidth="1"/>
    <col min="10756" max="10756" width="5.08984375" style="9" customWidth="1"/>
    <col min="10757" max="10757" width="6.08984375" style="9" customWidth="1"/>
    <col min="10758" max="10758" width="2" style="9" customWidth="1"/>
    <col min="10759" max="10759" width="11.36328125" style="9" customWidth="1"/>
    <col min="10760" max="11008" width="11.453125" style="9"/>
    <col min="11009" max="11009" width="25" style="9" customWidth="1"/>
    <col min="11010" max="11010" width="7.36328125" style="9" customWidth="1"/>
    <col min="11011" max="11011" width="11.90625" style="9" customWidth="1"/>
    <col min="11012" max="11012" width="5.08984375" style="9" customWidth="1"/>
    <col min="11013" max="11013" width="6.08984375" style="9" customWidth="1"/>
    <col min="11014" max="11014" width="2" style="9" customWidth="1"/>
    <col min="11015" max="11015" width="11.36328125" style="9" customWidth="1"/>
    <col min="11016" max="11264" width="11.453125" style="9"/>
    <col min="11265" max="11265" width="25" style="9" customWidth="1"/>
    <col min="11266" max="11266" width="7.36328125" style="9" customWidth="1"/>
    <col min="11267" max="11267" width="11.90625" style="9" customWidth="1"/>
    <col min="11268" max="11268" width="5.08984375" style="9" customWidth="1"/>
    <col min="11269" max="11269" width="6.08984375" style="9" customWidth="1"/>
    <col min="11270" max="11270" width="2" style="9" customWidth="1"/>
    <col min="11271" max="11271" width="11.36328125" style="9" customWidth="1"/>
    <col min="11272" max="11520" width="11.453125" style="9"/>
    <col min="11521" max="11521" width="25" style="9" customWidth="1"/>
    <col min="11522" max="11522" width="7.36328125" style="9" customWidth="1"/>
    <col min="11523" max="11523" width="11.90625" style="9" customWidth="1"/>
    <col min="11524" max="11524" width="5.08984375" style="9" customWidth="1"/>
    <col min="11525" max="11525" width="6.08984375" style="9" customWidth="1"/>
    <col min="11526" max="11526" width="2" style="9" customWidth="1"/>
    <col min="11527" max="11527" width="11.36328125" style="9" customWidth="1"/>
    <col min="11528" max="11776" width="11.453125" style="9"/>
    <col min="11777" max="11777" width="25" style="9" customWidth="1"/>
    <col min="11778" max="11778" width="7.36328125" style="9" customWidth="1"/>
    <col min="11779" max="11779" width="11.90625" style="9" customWidth="1"/>
    <col min="11780" max="11780" width="5.08984375" style="9" customWidth="1"/>
    <col min="11781" max="11781" width="6.08984375" style="9" customWidth="1"/>
    <col min="11782" max="11782" width="2" style="9" customWidth="1"/>
    <col min="11783" max="11783" width="11.36328125" style="9" customWidth="1"/>
    <col min="11784" max="12032" width="11.453125" style="9"/>
    <col min="12033" max="12033" width="25" style="9" customWidth="1"/>
    <col min="12034" max="12034" width="7.36328125" style="9" customWidth="1"/>
    <col min="12035" max="12035" width="11.90625" style="9" customWidth="1"/>
    <col min="12036" max="12036" width="5.08984375" style="9" customWidth="1"/>
    <col min="12037" max="12037" width="6.08984375" style="9" customWidth="1"/>
    <col min="12038" max="12038" width="2" style="9" customWidth="1"/>
    <col min="12039" max="12039" width="11.36328125" style="9" customWidth="1"/>
    <col min="12040" max="12288" width="11.453125" style="9"/>
    <col min="12289" max="12289" width="25" style="9" customWidth="1"/>
    <col min="12290" max="12290" width="7.36328125" style="9" customWidth="1"/>
    <col min="12291" max="12291" width="11.90625" style="9" customWidth="1"/>
    <col min="12292" max="12292" width="5.08984375" style="9" customWidth="1"/>
    <col min="12293" max="12293" width="6.08984375" style="9" customWidth="1"/>
    <col min="12294" max="12294" width="2" style="9" customWidth="1"/>
    <col min="12295" max="12295" width="11.36328125" style="9" customWidth="1"/>
    <col min="12296" max="12544" width="11.453125" style="9"/>
    <col min="12545" max="12545" width="25" style="9" customWidth="1"/>
    <col min="12546" max="12546" width="7.36328125" style="9" customWidth="1"/>
    <col min="12547" max="12547" width="11.90625" style="9" customWidth="1"/>
    <col min="12548" max="12548" width="5.08984375" style="9" customWidth="1"/>
    <col min="12549" max="12549" width="6.08984375" style="9" customWidth="1"/>
    <col min="12550" max="12550" width="2" style="9" customWidth="1"/>
    <col min="12551" max="12551" width="11.36328125" style="9" customWidth="1"/>
    <col min="12552" max="12800" width="11.453125" style="9"/>
    <col min="12801" max="12801" width="25" style="9" customWidth="1"/>
    <col min="12802" max="12802" width="7.36328125" style="9" customWidth="1"/>
    <col min="12803" max="12803" width="11.90625" style="9" customWidth="1"/>
    <col min="12804" max="12804" width="5.08984375" style="9" customWidth="1"/>
    <col min="12805" max="12805" width="6.08984375" style="9" customWidth="1"/>
    <col min="12806" max="12806" width="2" style="9" customWidth="1"/>
    <col min="12807" max="12807" width="11.36328125" style="9" customWidth="1"/>
    <col min="12808" max="13056" width="11.453125" style="9"/>
    <col min="13057" max="13057" width="25" style="9" customWidth="1"/>
    <col min="13058" max="13058" width="7.36328125" style="9" customWidth="1"/>
    <col min="13059" max="13059" width="11.90625" style="9" customWidth="1"/>
    <col min="13060" max="13060" width="5.08984375" style="9" customWidth="1"/>
    <col min="13061" max="13061" width="6.08984375" style="9" customWidth="1"/>
    <col min="13062" max="13062" width="2" style="9" customWidth="1"/>
    <col min="13063" max="13063" width="11.36328125" style="9" customWidth="1"/>
    <col min="13064" max="13312" width="11.453125" style="9"/>
    <col min="13313" max="13313" width="25" style="9" customWidth="1"/>
    <col min="13314" max="13314" width="7.36328125" style="9" customWidth="1"/>
    <col min="13315" max="13315" width="11.90625" style="9" customWidth="1"/>
    <col min="13316" max="13316" width="5.08984375" style="9" customWidth="1"/>
    <col min="13317" max="13317" width="6.08984375" style="9" customWidth="1"/>
    <col min="13318" max="13318" width="2" style="9" customWidth="1"/>
    <col min="13319" max="13319" width="11.36328125" style="9" customWidth="1"/>
    <col min="13320" max="13568" width="11.453125" style="9"/>
    <col min="13569" max="13569" width="25" style="9" customWidth="1"/>
    <col min="13570" max="13570" width="7.36328125" style="9" customWidth="1"/>
    <col min="13571" max="13571" width="11.90625" style="9" customWidth="1"/>
    <col min="13572" max="13572" width="5.08984375" style="9" customWidth="1"/>
    <col min="13573" max="13573" width="6.08984375" style="9" customWidth="1"/>
    <col min="13574" max="13574" width="2" style="9" customWidth="1"/>
    <col min="13575" max="13575" width="11.36328125" style="9" customWidth="1"/>
    <col min="13576" max="13824" width="11.453125" style="9"/>
    <col min="13825" max="13825" width="25" style="9" customWidth="1"/>
    <col min="13826" max="13826" width="7.36328125" style="9" customWidth="1"/>
    <col min="13827" max="13827" width="11.90625" style="9" customWidth="1"/>
    <col min="13828" max="13828" width="5.08984375" style="9" customWidth="1"/>
    <col min="13829" max="13829" width="6.08984375" style="9" customWidth="1"/>
    <col min="13830" max="13830" width="2" style="9" customWidth="1"/>
    <col min="13831" max="13831" width="11.36328125" style="9" customWidth="1"/>
    <col min="13832" max="14080" width="11.453125" style="9"/>
    <col min="14081" max="14081" width="25" style="9" customWidth="1"/>
    <col min="14082" max="14082" width="7.36328125" style="9" customWidth="1"/>
    <col min="14083" max="14083" width="11.90625" style="9" customWidth="1"/>
    <col min="14084" max="14084" width="5.08984375" style="9" customWidth="1"/>
    <col min="14085" max="14085" width="6.08984375" style="9" customWidth="1"/>
    <col min="14086" max="14086" width="2" style="9" customWidth="1"/>
    <col min="14087" max="14087" width="11.36328125" style="9" customWidth="1"/>
    <col min="14088" max="14336" width="11.453125" style="9"/>
    <col min="14337" max="14337" width="25" style="9" customWidth="1"/>
    <col min="14338" max="14338" width="7.36328125" style="9" customWidth="1"/>
    <col min="14339" max="14339" width="11.90625" style="9" customWidth="1"/>
    <col min="14340" max="14340" width="5.08984375" style="9" customWidth="1"/>
    <col min="14341" max="14341" width="6.08984375" style="9" customWidth="1"/>
    <col min="14342" max="14342" width="2" style="9" customWidth="1"/>
    <col min="14343" max="14343" width="11.36328125" style="9" customWidth="1"/>
    <col min="14344" max="14592" width="11.453125" style="9"/>
    <col min="14593" max="14593" width="25" style="9" customWidth="1"/>
    <col min="14594" max="14594" width="7.36328125" style="9" customWidth="1"/>
    <col min="14595" max="14595" width="11.90625" style="9" customWidth="1"/>
    <col min="14596" max="14596" width="5.08984375" style="9" customWidth="1"/>
    <col min="14597" max="14597" width="6.08984375" style="9" customWidth="1"/>
    <col min="14598" max="14598" width="2" style="9" customWidth="1"/>
    <col min="14599" max="14599" width="11.36328125" style="9" customWidth="1"/>
    <col min="14600" max="14848" width="11.453125" style="9"/>
    <col min="14849" max="14849" width="25" style="9" customWidth="1"/>
    <col min="14850" max="14850" width="7.36328125" style="9" customWidth="1"/>
    <col min="14851" max="14851" width="11.90625" style="9" customWidth="1"/>
    <col min="14852" max="14852" width="5.08984375" style="9" customWidth="1"/>
    <col min="14853" max="14853" width="6.08984375" style="9" customWidth="1"/>
    <col min="14854" max="14854" width="2" style="9" customWidth="1"/>
    <col min="14855" max="14855" width="11.36328125" style="9" customWidth="1"/>
    <col min="14856" max="15104" width="11.453125" style="9"/>
    <col min="15105" max="15105" width="25" style="9" customWidth="1"/>
    <col min="15106" max="15106" width="7.36328125" style="9" customWidth="1"/>
    <col min="15107" max="15107" width="11.90625" style="9" customWidth="1"/>
    <col min="15108" max="15108" width="5.08984375" style="9" customWidth="1"/>
    <col min="15109" max="15109" width="6.08984375" style="9" customWidth="1"/>
    <col min="15110" max="15110" width="2" style="9" customWidth="1"/>
    <col min="15111" max="15111" width="11.36328125" style="9" customWidth="1"/>
    <col min="15112" max="15360" width="11.453125" style="9"/>
    <col min="15361" max="15361" width="25" style="9" customWidth="1"/>
    <col min="15362" max="15362" width="7.36328125" style="9" customWidth="1"/>
    <col min="15363" max="15363" width="11.90625" style="9" customWidth="1"/>
    <col min="15364" max="15364" width="5.08984375" style="9" customWidth="1"/>
    <col min="15365" max="15365" width="6.08984375" style="9" customWidth="1"/>
    <col min="15366" max="15366" width="2" style="9" customWidth="1"/>
    <col min="15367" max="15367" width="11.36328125" style="9" customWidth="1"/>
    <col min="15368" max="15616" width="11.453125" style="9"/>
    <col min="15617" max="15617" width="25" style="9" customWidth="1"/>
    <col min="15618" max="15618" width="7.36328125" style="9" customWidth="1"/>
    <col min="15619" max="15619" width="11.90625" style="9" customWidth="1"/>
    <col min="15620" max="15620" width="5.08984375" style="9" customWidth="1"/>
    <col min="15621" max="15621" width="6.08984375" style="9" customWidth="1"/>
    <col min="15622" max="15622" width="2" style="9" customWidth="1"/>
    <col min="15623" max="15623" width="11.36328125" style="9" customWidth="1"/>
    <col min="15624" max="15872" width="11.453125" style="9"/>
    <col min="15873" max="15873" width="25" style="9" customWidth="1"/>
    <col min="15874" max="15874" width="7.36328125" style="9" customWidth="1"/>
    <col min="15875" max="15875" width="11.90625" style="9" customWidth="1"/>
    <col min="15876" max="15876" width="5.08984375" style="9" customWidth="1"/>
    <col min="15877" max="15877" width="6.08984375" style="9" customWidth="1"/>
    <col min="15878" max="15878" width="2" style="9" customWidth="1"/>
    <col min="15879" max="15879" width="11.36328125" style="9" customWidth="1"/>
    <col min="15880" max="16128" width="11.453125" style="9"/>
    <col min="16129" max="16129" width="25" style="9" customWidth="1"/>
    <col min="16130" max="16130" width="7.36328125" style="9" customWidth="1"/>
    <col min="16131" max="16131" width="11.90625" style="9" customWidth="1"/>
    <col min="16132" max="16132" width="5.08984375" style="9" customWidth="1"/>
    <col min="16133" max="16133" width="6.08984375" style="9" customWidth="1"/>
    <col min="16134" max="16134" width="2" style="9" customWidth="1"/>
    <col min="16135" max="16135" width="11.36328125" style="9" customWidth="1"/>
    <col min="16136" max="16384" width="11.453125" style="9"/>
  </cols>
  <sheetData>
    <row r="1" spans="1:8">
      <c r="A1" s="9" t="s">
        <v>12</v>
      </c>
      <c r="B1" s="9" t="s">
        <v>13</v>
      </c>
      <c r="C1" s="10"/>
      <c r="D1" s="11"/>
    </row>
    <row r="2" spans="1:8">
      <c r="A2" s="9" t="b">
        <f>RESULT(64)</f>
        <v>1</v>
      </c>
      <c r="C2" s="10"/>
      <c r="D2" s="11"/>
      <c r="E2" s="11"/>
    </row>
    <row r="3" spans="1:8">
      <c r="A3" s="12" t="b">
        <f>ARGUMENT("x",1)</f>
        <v>1</v>
      </c>
      <c r="B3" s="9" t="s">
        <v>14</v>
      </c>
      <c r="C3" s="9" t="s">
        <v>15</v>
      </c>
      <c r="D3" s="9">
        <v>0.25281819591720989</v>
      </c>
      <c r="E3" s="9">
        <v>0.34842548863867129</v>
      </c>
      <c r="F3" s="13" t="s">
        <v>16</v>
      </c>
    </row>
    <row r="4" spans="1:8" ht="12.5">
      <c r="A4" s="12" t="b">
        <f>ARGUMENT("y",1)</f>
        <v>1</v>
      </c>
      <c r="B4" s="9" t="s">
        <v>17</v>
      </c>
      <c r="E4" s="9" t="s">
        <v>18</v>
      </c>
      <c r="G4" s="9" t="s">
        <v>19</v>
      </c>
      <c r="H4" s="14" t="s">
        <v>20</v>
      </c>
    </row>
    <row r="5" spans="1:8" ht="12.5">
      <c r="A5" s="12">
        <f>4*x/(12*y-2*x+3)</f>
        <v>0.25281819591720989</v>
      </c>
      <c r="B5" s="14" t="s">
        <v>21</v>
      </c>
      <c r="C5" s="15" t="s">
        <v>22</v>
      </c>
      <c r="D5" s="16">
        <v>2933.3800698456803</v>
      </c>
      <c r="E5" s="17">
        <v>1.77963384984335E-4</v>
      </c>
      <c r="F5" s="17"/>
      <c r="G5" s="17">
        <v>3.1670966395082632E-8</v>
      </c>
      <c r="H5" s="9">
        <v>14.685233974664698</v>
      </c>
    </row>
    <row r="6" spans="1:8" ht="12.5">
      <c r="A6" s="12" t="b">
        <f>SET.VALUE(D3,A5)</f>
        <v>1</v>
      </c>
      <c r="B6" s="14" t="s">
        <v>23</v>
      </c>
      <c r="C6" s="15" t="s">
        <v>24</v>
      </c>
      <c r="D6" s="18">
        <v>2940.7135200202943</v>
      </c>
      <c r="E6" s="19">
        <v>1.1137531245941335E-4</v>
      </c>
      <c r="F6" s="17"/>
      <c r="G6" s="17">
        <v>1.2404460225431953E-8</v>
      </c>
      <c r="H6" s="9" t="s">
        <v>25</v>
      </c>
    </row>
    <row r="7" spans="1:8" ht="12.5">
      <c r="A7" s="12">
        <f>6*y/(12*y-2*x+3)</f>
        <v>0.34842548863867129</v>
      </c>
      <c r="B7" s="14" t="s">
        <v>26</v>
      </c>
      <c r="C7" s="15" t="s">
        <v>27</v>
      </c>
      <c r="D7" s="16">
        <v>2948.065303820345</v>
      </c>
      <c r="E7" s="17">
        <v>4.0004396628438692E-4</v>
      </c>
      <c r="F7" s="17"/>
      <c r="G7" s="17">
        <v>1.6003517496054369E-7</v>
      </c>
      <c r="H7" s="9">
        <v>5.7800692440618023E-4</v>
      </c>
    </row>
    <row r="8" spans="1:8" ht="12.5">
      <c r="A8" s="12" t="b">
        <f>SET.VALUE(E3,A7)</f>
        <v>1</v>
      </c>
      <c r="B8" s="14" t="s">
        <v>28</v>
      </c>
      <c r="C8" s="15" t="s">
        <v>16</v>
      </c>
      <c r="D8" s="20">
        <v>2937.9016902232925</v>
      </c>
      <c r="G8" s="17">
        <v>6989.4576937129623</v>
      </c>
    </row>
    <row r="9" spans="1:8" ht="13">
      <c r="A9" s="9" t="b">
        <f>GOTO(G11)</f>
        <v>1</v>
      </c>
      <c r="B9" s="14" t="s">
        <v>29</v>
      </c>
      <c r="C9" s="21" t="s">
        <v>30</v>
      </c>
      <c r="D9" s="22">
        <v>3.2427345233004745E-7</v>
      </c>
      <c r="E9" s="23"/>
      <c r="G9" s="17"/>
      <c r="H9" s="9" t="s">
        <v>16</v>
      </c>
    </row>
    <row r="10" spans="1:8" ht="12.5">
      <c r="A10" s="9">
        <f>INDEX($C$11:$C$1227,MATCH(MIN($G$11:$G$1227),$G$11:$G$1227,0),1)</f>
        <v>2940.7135200202943</v>
      </c>
      <c r="B10" s="14" t="s">
        <v>31</v>
      </c>
      <c r="C10" s="24" t="s">
        <v>32</v>
      </c>
      <c r="D10" s="24" t="s">
        <v>21</v>
      </c>
      <c r="E10" s="24" t="s">
        <v>26</v>
      </c>
      <c r="F10" s="24"/>
      <c r="G10" s="24" t="s">
        <v>33</v>
      </c>
    </row>
    <row r="11" spans="1:8" ht="12.5">
      <c r="A11" s="9" t="b">
        <f>SET.VALUE(D6,A10)</f>
        <v>1</v>
      </c>
      <c r="B11" s="14" t="s">
        <v>34</v>
      </c>
      <c r="C11" s="25">
        <v>997.5062344139651</v>
      </c>
      <c r="D11" s="26">
        <v>0.44859066043344342</v>
      </c>
      <c r="E11" s="26">
        <v>0.35457467034460705</v>
      </c>
      <c r="G11" s="9">
        <f>((D11-$D$3)^2+(E11-$E$3)^2)</f>
        <v>3.8364670298412534E-2</v>
      </c>
    </row>
    <row r="12" spans="1:8" ht="12.5">
      <c r="A12" s="9">
        <f>INDEX($C$11:$C$1227,MATCH(MIN($G$11:$G$1227),$G$11:$G$1227,0)+1,1)</f>
        <v>2948.065303820345</v>
      </c>
      <c r="B12" s="14" t="s">
        <v>35</v>
      </c>
      <c r="C12" s="27">
        <v>1000</v>
      </c>
      <c r="D12" s="26">
        <v>0.4480058488286478</v>
      </c>
      <c r="E12" s="26">
        <v>0.35462541831325362</v>
      </c>
      <c r="G12" s="9">
        <f>((D12-$D$3)^2+(E12-$E$3)^2)</f>
        <v>3.8136658977045726E-2</v>
      </c>
    </row>
    <row r="13" spans="1:8" ht="12.5">
      <c r="A13" s="9" t="b">
        <f>SET.VALUE(D7,A12)</f>
        <v>1</v>
      </c>
      <c r="B13" s="14" t="s">
        <v>36</v>
      </c>
      <c r="C13" s="27">
        <v>1002.5</v>
      </c>
      <c r="D13" s="26">
        <v>0.44742112544015333</v>
      </c>
      <c r="E13" s="26">
        <v>0.3546760626408339</v>
      </c>
      <c r="G13" s="9">
        <f>((D13-$D$3)^2+(E13-$E$3)^2)</f>
        <v>3.7909369854268203E-2</v>
      </c>
    </row>
    <row r="14" spans="1:8" ht="12.5">
      <c r="A14" s="9">
        <f>INDEX($C$11:$C$1227,MATCH(MIN($G$11:$G$1227),$G$11:$G$1227,0)-1,1)</f>
        <v>2933.3800698456803</v>
      </c>
      <c r="B14" s="14" t="s">
        <v>37</v>
      </c>
      <c r="C14" s="27">
        <v>1005.0062499999999</v>
      </c>
      <c r="D14" s="26">
        <v>0.44683649643810258</v>
      </c>
      <c r="E14" s="26">
        <v>0.35472660177716481</v>
      </c>
      <c r="G14" s="9">
        <f>((D14-$D$3)^2+(E14-$E$3)^2)</f>
        <v>3.7682804963799527E-2</v>
      </c>
    </row>
    <row r="15" spans="1:8" ht="12.5">
      <c r="A15" s="9" t="b">
        <f>SET.VALUE(D5,A14)</f>
        <v>1</v>
      </c>
      <c r="B15" s="14" t="s">
        <v>38</v>
      </c>
      <c r="C15" s="27">
        <v>1007.5187656249999</v>
      </c>
      <c r="D15" s="26">
        <v>0.44625196797001876</v>
      </c>
      <c r="E15" s="26">
        <v>0.35477703416879852</v>
      </c>
      <c r="G15" s="9">
        <f>((D15-$D$3)^2+(E15-$E$3)^2)</f>
        <v>3.7456966301199296E-2</v>
      </c>
    </row>
    <row r="16" spans="1:8" ht="12.5">
      <c r="A16" s="9">
        <f>INDEX($G$11:$G$1227,MATCH(MIN($G$11:$G$1227),$G$11:$G$1227,0)+1,1)</f>
        <v>1.6003517496054369E-7</v>
      </c>
      <c r="B16" s="14" t="s">
        <v>39</v>
      </c>
      <c r="C16" s="27">
        <v>1010.0375625390624</v>
      </c>
      <c r="D16" s="26">
        <v>0.44566754616069948</v>
      </c>
      <c r="E16" s="26">
        <v>0.35482735825905004</v>
      </c>
      <c r="G16" s="9">
        <f>((D16-$D$3)^2+(E16-$E$3)^2)</f>
        <v>3.7231855823972447E-2</v>
      </c>
    </row>
    <row r="17" spans="1:7" ht="12.5">
      <c r="A17" s="9" t="b">
        <f>SET.VALUE(G7,A16)</f>
        <v>1</v>
      </c>
      <c r="B17" s="14" t="s">
        <v>40</v>
      </c>
      <c r="C17" s="27">
        <v>1012.56265644541</v>
      </c>
      <c r="D17" s="26">
        <v>0.44508323711209236</v>
      </c>
      <c r="E17" s="26">
        <v>0.35487757248802626</v>
      </c>
      <c r="G17" s="9">
        <f>((D17-$D$3)^2+(E17-$E$3)^2)</f>
        <v>3.7007475451668964E-2</v>
      </c>
    </row>
    <row r="18" spans="1:7" ht="12.5">
      <c r="A18" s="9">
        <f>INDEX($G$11:$G$1227,MATCH(MIN($G$11:$G$1227),$G$11:$G$1227,0)-1,1)</f>
        <v>3.1670966395082632E-8</v>
      </c>
      <c r="B18" s="14" t="s">
        <v>41</v>
      </c>
      <c r="C18" s="27">
        <v>1015.0940630865234</v>
      </c>
      <c r="D18" s="26">
        <v>0.4444990469031786</v>
      </c>
      <c r="E18" s="26">
        <v>0.35492767529265556</v>
      </c>
      <c r="G18" s="9">
        <f>((D18-$D$3)^2+(E18-$E$3)^2)</f>
        <v>3.6783827065988393E-2</v>
      </c>
    </row>
    <row r="19" spans="1:7" ht="12.5">
      <c r="A19" s="9" t="b">
        <f>SET.VALUE(G5,A18)</f>
        <v>1</v>
      </c>
      <c r="B19" s="14" t="s">
        <v>42</v>
      </c>
      <c r="C19" s="27">
        <v>1017.6317982442397</v>
      </c>
      <c r="D19" s="26">
        <v>0.4439149815898597</v>
      </c>
      <c r="E19" s="26">
        <v>0.35497766510671658</v>
      </c>
      <c r="G19" s="9">
        <f>((D19-$D$3)^2+(E19-$E$3)^2)</f>
        <v>3.6560912510887063E-2</v>
      </c>
    </row>
    <row r="20" spans="1:7" ht="12.5">
      <c r="A20" s="9">
        <f>MIN($G$11:$G$1227)</f>
        <v>1.2404460225431953E-8</v>
      </c>
      <c r="B20" s="14" t="s">
        <v>43</v>
      </c>
      <c r="C20" s="27">
        <v>1020.1758777398502</v>
      </c>
      <c r="D20" s="26">
        <v>0.44333104720485123</v>
      </c>
      <c r="E20" s="26">
        <v>0.35502754036086914</v>
      </c>
      <c r="G20" s="9">
        <f>((D20-$D$3)^2+(E20-$E$3)^2)</f>
        <v>3.6338733592689521E-2</v>
      </c>
    </row>
    <row r="21" spans="1:7" ht="12.5">
      <c r="A21" s="9" t="b">
        <f>SET.VALUE(G6,A20)</f>
        <v>1</v>
      </c>
      <c r="B21" s="14" t="s">
        <v>44</v>
      </c>
      <c r="C21" s="27">
        <v>1022.7263174341998</v>
      </c>
      <c r="D21" s="26">
        <v>0.44274724975756696</v>
      </c>
      <c r="E21" s="26">
        <v>0.35507729948268446</v>
      </c>
      <c r="G21" s="9">
        <f>((D21-$D$3)^2+(E21-$E$3)^2)</f>
        <v>3.6117292080197788E-2</v>
      </c>
    </row>
    <row r="22" spans="1:7" ht="12.5">
      <c r="A22" s="9">
        <f>SQRT(G6)</f>
        <v>1.1137531245941335E-4</v>
      </c>
      <c r="B22" s="14" t="s">
        <v>45</v>
      </c>
      <c r="C22" s="27">
        <v>1025.2831332277854</v>
      </c>
      <c r="D22" s="26">
        <v>0.44216359523401749</v>
      </c>
      <c r="E22" s="26">
        <v>0.35512694089667662</v>
      </c>
      <c r="G22" s="9">
        <f>((D22-$D$3)^2+(E22-$E$3)^2)</f>
        <v>3.5896589704807649E-2</v>
      </c>
    </row>
    <row r="23" spans="1:7" ht="12.5">
      <c r="A23" s="9" t="b">
        <f>SET.VALUE(E6,A22)</f>
        <v>1</v>
      </c>
      <c r="B23" s="14" t="s">
        <v>46</v>
      </c>
      <c r="C23" s="27">
        <v>1027.8463410608547</v>
      </c>
      <c r="D23" s="26">
        <v>0.44158008959670125</v>
      </c>
      <c r="E23" s="26">
        <v>0.3551764630243342</v>
      </c>
      <c r="G23" s="9">
        <f>((D23-$D$3)^2+(E23-$E$3)^2)</f>
        <v>3.5676628160623482E-2</v>
      </c>
    </row>
    <row r="24" spans="1:7" ht="12.5">
      <c r="A24" s="9">
        <f>SQRT(G5)</f>
        <v>1.77963384984335E-4</v>
      </c>
      <c r="B24" s="14" t="s">
        <v>47</v>
      </c>
      <c r="C24" s="27">
        <v>1030.4159569135068</v>
      </c>
      <c r="D24" s="26">
        <v>0.44099673878450729</v>
      </c>
      <c r="E24" s="26">
        <v>0.35522586428415226</v>
      </c>
      <c r="G24" s="9">
        <f>((D24-$D$3)^2+(E24-$E$3)^2)</f>
        <v>3.5457409104578938E-2</v>
      </c>
    </row>
    <row r="25" spans="1:7" ht="12.5">
      <c r="A25" s="9" t="b">
        <f>SET.VALUE(E5,A24)</f>
        <v>1</v>
      </c>
      <c r="B25" s="14" t="s">
        <v>48</v>
      </c>
      <c r="C25" s="27">
        <v>1032.9919968057904</v>
      </c>
      <c r="D25" s="26">
        <v>0.44041354871261246</v>
      </c>
      <c r="E25" s="26">
        <v>0.35527514309166547</v>
      </c>
      <c r="G25" s="9">
        <f>((D25-$D$3)^2+(E25-$E$3)^2)</f>
        <v>3.5238934156556975E-2</v>
      </c>
    </row>
    <row r="26" spans="1:7" ht="12.5">
      <c r="A26" s="9">
        <f>SQRT(G7)</f>
        <v>4.0004396628438692E-4</v>
      </c>
      <c r="B26" s="14" t="s">
        <v>49</v>
      </c>
      <c r="C26" s="27">
        <v>1035.5744767978049</v>
      </c>
      <c r="D26" s="26">
        <v>0.43983052527238375</v>
      </c>
      <c r="E26" s="26">
        <v>0.35532429785948078</v>
      </c>
      <c r="G26" s="9">
        <f>((D26-$D$3)^2+(E26-$E$3)^2)</f>
        <v>3.5021204899513152E-2</v>
      </c>
    </row>
    <row r="27" spans="1:7" ht="12.5">
      <c r="A27" s="9" t="b">
        <f>SET.VALUE(E7,A26)</f>
        <v>1</v>
      </c>
      <c r="B27" s="14" t="s">
        <v>50</v>
      </c>
      <c r="C27" s="27">
        <v>1038.1634129897993</v>
      </c>
      <c r="D27" s="26">
        <v>0.43924767433128192</v>
      </c>
      <c r="E27" s="26">
        <v>0.355373326997312</v>
      </c>
      <c r="G27" s="9">
        <f>((D27-$D$3)^2+(E27-$E$3)^2)</f>
        <v>3.4804222879600756E-2</v>
      </c>
    </row>
    <row r="28" spans="1:7" ht="12.5">
      <c r="A28" s="9">
        <f>E5/(D5-D6)/(D5-D7)</f>
        <v>1.6524998994665246E-6</v>
      </c>
      <c r="B28" s="9" t="s">
        <v>51</v>
      </c>
      <c r="C28" s="27">
        <v>1040.7588215222738</v>
      </c>
      <c r="D28" s="26">
        <v>0.43866500173277395</v>
      </c>
      <c r="E28" s="26">
        <v>0.35542222891201314</v>
      </c>
      <c r="G28" s="9">
        <f>((D28-$D$3)^2+(E28-$E$3)^2)</f>
        <v>3.4587989606300579E-2</v>
      </c>
    </row>
    <row r="29" spans="1:7" ht="12.5">
      <c r="A29" s="9">
        <f>E6/(D6-D5)/(D6-D7)</f>
        <v>-2.065798048934176E-6</v>
      </c>
      <c r="B29" s="14" t="s">
        <v>52</v>
      </c>
      <c r="C29" s="27">
        <v>1043.3607185760795</v>
      </c>
      <c r="D29" s="26">
        <v>0.43808251329623293</v>
      </c>
      <c r="E29" s="26">
        <v>0.355471002007614</v>
      </c>
      <c r="G29" s="9">
        <f>((D29-$D$3)^2+(E29-$E$3)^2)</f>
        <v>3.4372506552547331E-2</v>
      </c>
    </row>
    <row r="30" spans="1:7" ht="12.5">
      <c r="A30" s="9">
        <f>E7/(D7-D5)/(D7-D6)</f>
        <v>3.7053917242040199E-6</v>
      </c>
      <c r="B30" s="14" t="s">
        <v>53</v>
      </c>
      <c r="C30" s="27">
        <v>1045.9691203725197</v>
      </c>
      <c r="D30" s="26">
        <v>0.43750021481685963</v>
      </c>
      <c r="E30" s="26">
        <v>0.3555196446853548</v>
      </c>
      <c r="G30" s="9">
        <f>((D30-$D$3)^2+(E30-$E$3)^2)</f>
        <v>3.4157775154865282E-2</v>
      </c>
    </row>
    <row r="31" spans="1:7" ht="12.5">
      <c r="A31" s="9">
        <f>A28+A29+A30</f>
        <v>3.2920935747363685E-6</v>
      </c>
      <c r="B31" s="14" t="s">
        <v>54</v>
      </c>
      <c r="C31" s="27">
        <v>1048.5840431734509</v>
      </c>
      <c r="D31" s="26">
        <v>0.43691811206558523</v>
      </c>
      <c r="E31" s="26">
        <v>0.35556815534372294</v>
      </c>
      <c r="G31" s="9">
        <f>((D31-$D$3)^2+(E31-$E$3)^2)</f>
        <v>3.3943796813498281E-2</v>
      </c>
    </row>
    <row r="32" spans="1:7" ht="12.5">
      <c r="A32" s="9">
        <f>-(A28*(D7+D6)+A29*(D5+D7)+A30*(D6+D5))</f>
        <v>-1.9347145811634308E-2</v>
      </c>
      <c r="B32" s="14" t="s">
        <v>55</v>
      </c>
      <c r="C32" s="27">
        <v>1051.2055032813846</v>
      </c>
      <c r="D32" s="26">
        <v>0.43633621078899648</v>
      </c>
      <c r="E32" s="26">
        <v>0.35561653237848867</v>
      </c>
      <c r="G32" s="9">
        <f>((D32-$D$3)^2+(E32-$E$3)^2)</f>
        <v>3.373057289254925E-2</v>
      </c>
    </row>
    <row r="33" spans="1:7" ht="12.5">
      <c r="A33" s="9">
        <f>A28*D6*D7+A29*D5*D7+A30*D5*D6</f>
        <v>28.425170967673118</v>
      </c>
      <c r="B33" s="14" t="s">
        <v>56</v>
      </c>
      <c r="C33" s="27">
        <v>1053.8335170395881</v>
      </c>
      <c r="D33" s="26">
        <v>0.43575451670924759</v>
      </c>
      <c r="E33" s="26">
        <v>0.35566477418274228</v>
      </c>
      <c r="G33" s="9">
        <f>((D33-$D$3)^2+(E33-$E$3)^2)</f>
        <v>3.3518104720115918E-2</v>
      </c>
    </row>
    <row r="34" spans="1:7" ht="12.5">
      <c r="A34" s="9">
        <f>-A32/(2*A31)</f>
        <v>2938.4258637277089</v>
      </c>
      <c r="B34" s="14" t="s">
        <v>57</v>
      </c>
      <c r="C34" s="27">
        <v>1056.468100832187</v>
      </c>
      <c r="D34" s="26">
        <v>0.43517303552398451</v>
      </c>
      <c r="E34" s="26">
        <v>0.35571287914693139</v>
      </c>
      <c r="G34" s="9">
        <f>((D34-$D$3)^2+(E34-$E$3)^2)</f>
        <v>3.3306393588432383E-2</v>
      </c>
    </row>
    <row r="35" spans="1:7" ht="12.5">
      <c r="A35" s="9" t="b">
        <f>SET.VALUE(D8,A34)</f>
        <v>1</v>
      </c>
      <c r="B35" s="14" t="s">
        <v>58</v>
      </c>
      <c r="C35" s="27">
        <v>1059.1092710842674</v>
      </c>
      <c r="D35" s="26">
        <v>0.43459177290626361</v>
      </c>
      <c r="E35" s="26">
        <v>0.35576084565889948</v>
      </c>
      <c r="G35" s="9">
        <f>((D35-$D$3)^2+(E35-$E$3)^2)</f>
        <v>3.3095440754009657E-2</v>
      </c>
    </row>
    <row r="36" spans="1:7" ht="12.5">
      <c r="A36" s="9">
        <f>A31*A34^2+A32*A34+A33</f>
        <v>9.4146564382668885E-5</v>
      </c>
      <c r="B36" s="14" t="s">
        <v>59</v>
      </c>
      <c r="C36" s="27">
        <v>1061.7570442619781</v>
      </c>
      <c r="D36" s="26">
        <v>0.43401073450447669</v>
      </c>
      <c r="E36" s="26">
        <v>0.35580867210392403</v>
      </c>
      <c r="G36" s="9">
        <f>((D36-$D$3)^2+(E36-$E$3)^2)</f>
        <v>3.2885247437779749E-2</v>
      </c>
    </row>
    <row r="37" spans="1:7" ht="12.5">
      <c r="A37" s="9">
        <f>INDEX($E$11:$E$1227,MATCH(MIN($G$11:$G$1227),$G$11:$G$1227,0),1)</f>
        <v>0.34838744283172385</v>
      </c>
      <c r="B37" s="14" t="s">
        <v>60</v>
      </c>
      <c r="C37" s="27">
        <v>1064.411436872633</v>
      </c>
      <c r="D37" s="26">
        <v>0.43342992594228125</v>
      </c>
      <c r="E37" s="26">
        <v>0.35585635686475547</v>
      </c>
      <c r="G37" s="9">
        <f>((D37-$D$3)^2+(E37-$E$3)^2)</f>
        <v>3.2675814825242691E-2</v>
      </c>
    </row>
    <row r="38" spans="1:7" ht="12.5">
      <c r="A38" s="9">
        <f>IF(E3&gt;A37,1,-1)</f>
        <v>1</v>
      </c>
      <c r="B38" s="14" t="s">
        <v>61</v>
      </c>
      <c r="C38" s="27">
        <v>1067.0724654648145</v>
      </c>
      <c r="D38" s="26">
        <v>0.43284935281852538</v>
      </c>
      <c r="E38" s="26">
        <v>0.35590389832165764</v>
      </c>
      <c r="G38" s="9">
        <f>((D38-$D$3)^2+(E38-$E$3)^2)</f>
        <v>3.2467144066612663E-2</v>
      </c>
    </row>
    <row r="39" spans="1:7" ht="12.5">
      <c r="A39" s="9">
        <f>A36*A38</f>
        <v>9.4146564382668885E-5</v>
      </c>
      <c r="C39" s="27">
        <v>1069.7401466284764</v>
      </c>
      <c r="D39" s="26">
        <v>0.43226902070718193</v>
      </c>
      <c r="E39" s="26">
        <v>0.3559512948524467</v>
      </c>
      <c r="G39" s="9">
        <f>((D39-$D$3)^2+(E39-$E$3)^2)</f>
        <v>3.2259236276968549E-2</v>
      </c>
    </row>
    <row r="40" spans="1:7" ht="12.5">
      <c r="A40" s="9" t="b">
        <f>SET.VALUE(D9,A39)</f>
        <v>1</v>
      </c>
      <c r="B40" s="14" t="s">
        <v>62</v>
      </c>
      <c r="C40" s="27">
        <v>1072.4144969950476</v>
      </c>
      <c r="D40" s="26">
        <v>0.4316889351572758</v>
      </c>
      <c r="E40" s="26">
        <v>0.35599854483253335</v>
      </c>
      <c r="G40" s="9">
        <f>((D40-$D$3)^2+(E40-$E$3)^2)</f>
        <v>3.2052092536403044E-2</v>
      </c>
    </row>
    <row r="41" spans="1:7" ht="12.5">
      <c r="C41" s="27">
        <v>1075.0955332375352</v>
      </c>
      <c r="D41" s="26">
        <v>0.43110910169282912</v>
      </c>
      <c r="E41" s="26">
        <v>0.35604564663496302</v>
      </c>
      <c r="G41" s="9">
        <f>((D41-$D$3)^2+(E41-$E$3)^2)</f>
        <v>3.1845713890179185E-2</v>
      </c>
    </row>
    <row r="42" spans="1:7" ht="12.5">
      <c r="A42" s="9">
        <f>(D7-D5)</f>
        <v>14.685233974664698</v>
      </c>
      <c r="B42" s="14" t="s">
        <v>63</v>
      </c>
      <c r="C42" s="28">
        <v>1077.7866317441703</v>
      </c>
      <c r="D42" s="26">
        <v>0.43052952581278869</v>
      </c>
      <c r="E42" s="26">
        <v>0.35609259863045806</v>
      </c>
      <c r="G42" s="9">
        <f>((D42-$D$3)^2+(E42-$E$3)^2)</f>
        <v>3.16401013488814E-2</v>
      </c>
    </row>
    <row r="43" spans="1:7" ht="12.5">
      <c r="A43" s="9" t="b">
        <f>SET.VALUE(H5,A42)</f>
        <v>1</v>
      </c>
      <c r="B43" s="14" t="s">
        <v>64</v>
      </c>
      <c r="C43" s="27">
        <v>1080.4777302508055</v>
      </c>
      <c r="D43" s="26">
        <v>0.42995021299097164</v>
      </c>
      <c r="E43" s="26">
        <v>0.3561393991874604</v>
      </c>
      <c r="G43" s="9">
        <f>((D43-$D$3)^2+(E43-$E$3)^2)</f>
        <v>3.143525588857414E-2</v>
      </c>
    </row>
    <row r="44" spans="1:7" ht="12.5">
      <c r="A44" s="9">
        <f>INDEX($D$11:$D$1227,MATCH(MIN($G$11:$G$1227),$G$11:$G$1227,0)+1,1)</f>
        <v>0.25244228397043489</v>
      </c>
      <c r="B44" s="9" t="s">
        <v>65</v>
      </c>
      <c r="C44" s="27">
        <v>1083.1789245764326</v>
      </c>
      <c r="D44" s="26">
        <v>0.42937116867600694</v>
      </c>
      <c r="E44" s="26">
        <v>0.35618604667217424</v>
      </c>
      <c r="G44" s="9">
        <f>((D44-$D$3)^2+(E44-$E$3)^2)</f>
        <v>3.1231178450959903E-2</v>
      </c>
    </row>
    <row r="45" spans="1:7" ht="12.5">
      <c r="A45" s="9">
        <f>INDEX($E$11:$E$1227,MATCH(MIN($G$11:$G$1227),$G$11:$G$1227,0)+1,1)</f>
        <v>0.34828864791654379</v>
      </c>
      <c r="B45" s="9" t="s">
        <v>66</v>
      </c>
      <c r="C45" s="27">
        <v>1085.8868718878737</v>
      </c>
      <c r="D45" s="26">
        <v>0.42879239829127563</v>
      </c>
      <c r="E45" s="26">
        <v>0.35623253944860961</v>
      </c>
      <c r="G45" s="9">
        <f>((D45-$D$3)^2+(E45-$E$3)^2)</f>
        <v>3.1027869943537605E-2</v>
      </c>
    </row>
    <row r="46" spans="1:7" ht="12.5">
      <c r="A46" s="9">
        <f>INDEX($D$11:$D$1227,MATCH(MIN($G$11:$G$1227),$G$11:$G$1227,0)-1,1)</f>
        <v>0.25298558363001911</v>
      </c>
      <c r="B46" s="9" t="s">
        <v>67</v>
      </c>
      <c r="C46" s="27">
        <v>1088.6015890675933</v>
      </c>
      <c r="D46" s="26">
        <v>0.42821390723485803</v>
      </c>
      <c r="E46" s="26">
        <v>0.35627887587862661</v>
      </c>
      <c r="G46" s="9">
        <f>((D46-$D$3)^2+(E46-$E$3)^2)</f>
        <v>3.0825331239764459E-2</v>
      </c>
    </row>
    <row r="47" spans="1:7" ht="12.5">
      <c r="A47" s="9">
        <f>INDEX($E$11:$E$1227,MATCH(MIN($G$11:$G$1227),$G$11:$G$1227,0)-1,1)</f>
        <v>0.34848592306590925</v>
      </c>
      <c r="B47" s="9" t="s">
        <v>68</v>
      </c>
      <c r="C47" s="27">
        <v>1091.3230930402622</v>
      </c>
      <c r="D47" s="26">
        <v>0.42763570087948544</v>
      </c>
      <c r="E47" s="26">
        <v>0.35632505432197975</v>
      </c>
      <c r="G47" s="9">
        <f>((D47-$D$3)^2+(E47-$E$3)^2)</f>
        <v>3.0623563179220142E-2</v>
      </c>
    </row>
    <row r="48" spans="1:7" ht="12.5">
      <c r="A48" s="9">
        <f>SQRT((A44-A46)^2+(A45-A47)^2)</f>
        <v>5.7800692440618023E-4</v>
      </c>
      <c r="B48" s="9" t="s">
        <v>25</v>
      </c>
      <c r="C48" s="27">
        <v>1094.0514007728627</v>
      </c>
      <c r="D48" s="26">
        <v>0.42705778457248511</v>
      </c>
      <c r="E48" s="26">
        <v>0.35637107313636357</v>
      </c>
      <c r="G48" s="9">
        <f>((D48-$D$3)^2+(E48-$E$3)^2)</f>
        <v>3.0422566567769482E-2</v>
      </c>
    </row>
    <row r="49" spans="1:7" ht="12.5">
      <c r="A49" s="9" t="b">
        <f>SET.VALUE(H7,A48)</f>
        <v>1</v>
      </c>
      <c r="C49" s="27">
        <v>1096.7865292747949</v>
      </c>
      <c r="D49" s="26">
        <v>0.4264801636357356</v>
      </c>
      <c r="E49" s="26">
        <v>0.35641693067745794</v>
      </c>
      <c r="G49" s="9">
        <f>((D49-$D$3)^2+(E49-$E$3)^2)</f>
        <v>3.0222342177729553E-2</v>
      </c>
    </row>
    <row r="50" spans="1:7" ht="12.5">
      <c r="A50" s="9">
        <f>(A18+A48^2-A16)/(2*A48)</f>
        <v>1.7796308954895886E-4</v>
      </c>
      <c r="B50" s="9" t="s">
        <v>69</v>
      </c>
      <c r="C50" s="27">
        <v>1099.5284955979819</v>
      </c>
      <c r="D50" s="26">
        <v>0.42590284336561962</v>
      </c>
      <c r="E50" s="26">
        <v>0.35646262529897477</v>
      </c>
      <c r="G50" s="9">
        <f>((D50-$D$3)^2+(E50-$E$3)^2)</f>
        <v>3.0022890748036685E-2</v>
      </c>
    </row>
    <row r="51" spans="1:7" ht="12.5">
      <c r="A51" s="9">
        <f>D5+A50*A42/A48</f>
        <v>2937.901520192604</v>
      </c>
      <c r="B51" s="9" t="s">
        <v>70</v>
      </c>
      <c r="C51" s="27">
        <v>1102.2773168369768</v>
      </c>
      <c r="D51" s="26">
        <v>0.42532582903298077</v>
      </c>
      <c r="E51" s="26">
        <v>0.35650815535270464</v>
      </c>
      <c r="G51" s="9">
        <f>((D51-$D$3)^2+(E51-$E$3)^2)</f>
        <v>2.9824212984415555E-2</v>
      </c>
    </row>
    <row r="52" spans="1:7" ht="12.5">
      <c r="A52" s="9">
        <f>SQRT(A18-A50^2)</f>
        <v>3.2427345233004745E-7</v>
      </c>
      <c r="B52" s="9" t="s">
        <v>71</v>
      </c>
      <c r="C52" s="27">
        <v>1105.0330101290692</v>
      </c>
      <c r="D52" s="26">
        <v>0.42474912588308134</v>
      </c>
      <c r="E52" s="26">
        <v>0.35655351918856426</v>
      </c>
      <c r="G52" s="9">
        <f>((D52-$D$3)^2+(E52-$E$3)^2)</f>
        <v>2.9626309559549386E-2</v>
      </c>
    </row>
    <row r="53" spans="1:7" ht="12.5">
      <c r="A53" s="9">
        <f>A51*(1-0)</f>
        <v>2937.901520192604</v>
      </c>
      <c r="C53" s="27">
        <v>1107.7955926543918</v>
      </c>
      <c r="D53" s="26">
        <v>0.42417273913556258</v>
      </c>
      <c r="E53" s="26">
        <v>0.35659871515464481</v>
      </c>
      <c r="G53" s="9">
        <f>((D53-$D$3)^2+(E53-$E$3)^2)</f>
        <v>2.9429181113251716E-2</v>
      </c>
    </row>
    <row r="54" spans="1:7" ht="12.5">
      <c r="C54" s="27">
        <v>1110.5650816360278</v>
      </c>
      <c r="D54" s="26">
        <v>0.42359667398440765</v>
      </c>
      <c r="E54" s="26">
        <v>0.35664374159725998</v>
      </c>
      <c r="G54" s="9">
        <f>((D54-$D$3)^2+(E54-$E$3)^2)</f>
        <v>2.9232828252639696E-2</v>
      </c>
    </row>
    <row r="55" spans="1:7" ht="12.5">
      <c r="A55" s="9">
        <f>A53+(A34-A53)*A52*(1/0.001)</f>
        <v>2937.9016902232925</v>
      </c>
      <c r="B55" s="9" t="s">
        <v>72</v>
      </c>
      <c r="C55" s="27">
        <v>1113.3414943401178</v>
      </c>
      <c r="D55" s="26">
        <v>0.4230209355979056</v>
      </c>
      <c r="E55" s="26">
        <v>0.35668859686099552</v>
      </c>
      <c r="G55" s="9">
        <f>((D55-$D$3)^2+(E55-$E$3)^2)</f>
        <v>2.9037251552308515E-2</v>
      </c>
    </row>
    <row r="56" spans="1:7" ht="12.5">
      <c r="A56" s="9">
        <f>IF(A52&lt;0.001,A55,A34)</f>
        <v>2937.9016902232925</v>
      </c>
      <c r="C56" s="27">
        <v>1116.124848075968</v>
      </c>
      <c r="D56" s="26">
        <v>0.42244552911861688</v>
      </c>
      <c r="E56" s="26">
        <v>0.35673327928875881</v>
      </c>
      <c r="G56" s="9">
        <f>((D56-$D$3)^2+(E56-$E$3)^2)</f>
        <v>2.8842451554506834E-2</v>
      </c>
    </row>
    <row r="57" spans="1:7" ht="12.5">
      <c r="A57" s="9" t="b">
        <f>SET.VALUE(D8,A56)</f>
        <v>1</v>
      </c>
      <c r="C57" s="27">
        <v>1118.9151601961578</v>
      </c>
      <c r="D57" s="26">
        <v>0.42187045966334102</v>
      </c>
      <c r="E57" s="26">
        <v>0.35677778722182918</v>
      </c>
      <c r="G57" s="9">
        <f>((D57-$D$3)^2+(E57-$E$3)^2)</f>
        <v>2.8648428769313707E-2</v>
      </c>
    </row>
    <row r="58" spans="1:7" ht="12.5">
      <c r="A58" s="9">
        <f>A52*A38</f>
        <v>3.2427345233004745E-7</v>
      </c>
      <c r="B58" s="9" t="s">
        <v>73</v>
      </c>
      <c r="C58" s="27">
        <v>1121.7124480966481</v>
      </c>
      <c r="D58" s="26">
        <v>0.42129573232308992</v>
      </c>
      <c r="E58" s="26">
        <v>0.35682211899990851</v>
      </c>
      <c r="G58" s="9">
        <f>((D58-$D$3)^2+(E58-$E$3)^2)</f>
        <v>2.8455183674817884E-2</v>
      </c>
    </row>
    <row r="59" spans="1:7" ht="12.5">
      <c r="A59" s="9" t="b">
        <f>SET.VALUE(D9,A58)</f>
        <v>1</v>
      </c>
      <c r="C59" s="27">
        <v>1124.5167292168896</v>
      </c>
      <c r="D59" s="26">
        <v>0.42072135216305634</v>
      </c>
      <c r="E59" s="26">
        <v>0.35686627296117301</v>
      </c>
      <c r="G59" s="9">
        <f>((D59-$D$3)^2+(E59-$E$3)^2)</f>
        <v>2.8262716717296115E-2</v>
      </c>
    </row>
    <row r="60" spans="1:7" ht="12.5">
      <c r="A60" s="9" t="b">
        <f>RETURN(D8:D9)</f>
        <v>1</v>
      </c>
      <c r="C60" s="27">
        <v>1127.3280210399319</v>
      </c>
      <c r="D60" s="26">
        <v>0.42014732422258955</v>
      </c>
      <c r="E60" s="26">
        <v>0.35691024744232475</v>
      </c>
      <c r="G60" s="9">
        <f>((D60-$D$3)^2+(E60-$E$3)^2)</f>
        <v>2.8071028311394384E-2</v>
      </c>
    </row>
    <row r="61" spans="1:7" ht="12.5">
      <c r="C61" s="27">
        <v>1130.1463410925317</v>
      </c>
      <c r="D61" s="26">
        <v>0.41957365351517106</v>
      </c>
      <c r="E61" s="26">
        <v>0.35695404077864445</v>
      </c>
      <c r="G61" s="9">
        <f>((D61-$D$3)^2+(E61-$E$3)^2)</f>
        <v>2.7880118840309668E-2</v>
      </c>
    </row>
    <row r="62" spans="1:7" ht="12.5">
      <c r="C62" s="27">
        <v>1132.9717069452629</v>
      </c>
      <c r="D62" s="26">
        <v>0.41900034502839184</v>
      </c>
      <c r="E62" s="26">
        <v>0.35699765130404476</v>
      </c>
      <c r="G62" s="9">
        <f>((D62-$D$3)^2+(E62-$E$3)^2)</f>
        <v>2.7689988655972733E-2</v>
      </c>
    </row>
    <row r="63" spans="1:7" ht="12.5">
      <c r="C63" s="27">
        <v>1135.804136212626</v>
      </c>
      <c r="D63" s="26">
        <v>0.41842740372393183</v>
      </c>
      <c r="E63" s="26">
        <v>0.35704107735112334</v>
      </c>
      <c r="G63" s="9">
        <f>((D63-$D$3)^2+(E63-$E$3)^2)</f>
        <v>2.7500638079232146E-2</v>
      </c>
    </row>
    <row r="64" spans="1:7" ht="12.5">
      <c r="C64" s="27">
        <v>1138.6436465531574</v>
      </c>
      <c r="D64" s="26">
        <v>0.4178548345375438</v>
      </c>
      <c r="E64" s="26">
        <v>0.35708431725121731</v>
      </c>
      <c r="G64" s="9">
        <f>((D64-$D$3)^2+(E64-$E$3)^2)</f>
        <v>2.7312067400040135E-2</v>
      </c>
    </row>
    <row r="65" spans="3:7" ht="12.5">
      <c r="C65" s="27">
        <v>1141.4902556695401</v>
      </c>
      <c r="D65" s="26">
        <v>0.41728264237903295</v>
      </c>
      <c r="E65" s="26">
        <v>0.35712736933445838</v>
      </c>
      <c r="G65" s="9">
        <f>((D65-$D$3)^2+(E65-$E$3)^2)</f>
        <v>2.712427687763758E-2</v>
      </c>
    </row>
    <row r="66" spans="3:7" ht="12.5">
      <c r="C66" s="27">
        <v>1144.3439813087139</v>
      </c>
      <c r="D66" s="26">
        <v>0.41671083213224486</v>
      </c>
      <c r="E66" s="26">
        <v>0.35717023192982783</v>
      </c>
      <c r="G66" s="9">
        <f>((D66-$D$3)^2+(E66-$E$3)^2)</f>
        <v>2.6937266740742021E-2</v>
      </c>
    </row>
    <row r="67" spans="3:7" ht="12.5">
      <c r="C67" s="27">
        <v>1147.2048412619856</v>
      </c>
      <c r="D67" s="26">
        <v>0.41613940865505017</v>
      </c>
      <c r="E67" s="26">
        <v>0.357212903365212</v>
      </c>
      <c r="G67" s="9">
        <f>((D67-$D$3)^2+(E67-$E$3)^2)</f>
        <v>2.6751037187735107E-2</v>
      </c>
    </row>
    <row r="68" spans="3:7" ht="12.5">
      <c r="C68" s="27">
        <v>1150.0728533651404</v>
      </c>
      <c r="D68" s="26">
        <v>0.41556837677933667</v>
      </c>
      <c r="E68" s="26">
        <v>0.35725538196745982</v>
      </c>
      <c r="G68" s="9">
        <f>((D68-$D$3)^2+(E68-$E$3)^2)</f>
        <v>2.6565588386852763E-2</v>
      </c>
    </row>
    <row r="69" spans="3:7" ht="12.5">
      <c r="C69" s="27">
        <v>1152.9480354985533</v>
      </c>
      <c r="D69" s="26">
        <v>0.41499774131099637</v>
      </c>
      <c r="E69" s="26">
        <v>0.35729766606243857</v>
      </c>
      <c r="G69" s="9">
        <f>((D69-$D$3)^2+(E69-$E$3)^2)</f>
        <v>2.6380920476374057E-2</v>
      </c>
    </row>
    <row r="70" spans="3:7" ht="12.5">
      <c r="C70" s="27">
        <v>1155.8304055872995</v>
      </c>
      <c r="D70" s="26">
        <v>0.41442750702991904</v>
      </c>
      <c r="E70" s="26">
        <v>0.35733975397509238</v>
      </c>
      <c r="G70" s="9">
        <f>((D70-$D$3)^2+(E70-$E$3)^2)</f>
        <v>2.6197033564812539E-2</v>
      </c>
    </row>
    <row r="71" spans="3:7" ht="12.5">
      <c r="C71" s="27">
        <v>1158.7199816012678</v>
      </c>
      <c r="D71" s="26">
        <v>0.41385767868998585</v>
      </c>
      <c r="E71" s="26">
        <v>0.35738164402950007</v>
      </c>
      <c r="G71" s="9">
        <f>((D71-$D$3)^2+(E71-$E$3)^2)</f>
        <v>2.6013927731107882E-2</v>
      </c>
    </row>
    <row r="72" spans="3:7" ht="12.5">
      <c r="C72" s="27">
        <v>1161.616781555271</v>
      </c>
      <c r="D72" s="26">
        <v>0.41328826101906835</v>
      </c>
      <c r="E72" s="26">
        <v>0.35742333454893316</v>
      </c>
      <c r="G72" s="9">
        <f>((D72-$D$3)^2+(E72-$E$3)^2)</f>
        <v>2.5831603024819509E-2</v>
      </c>
    </row>
    <row r="73" spans="3:7" ht="12.5">
      <c r="C73" s="27">
        <v>1164.5208235091591</v>
      </c>
      <c r="D73" s="26">
        <v>0.41271925871902132</v>
      </c>
      <c r="E73" s="26">
        <v>0.35746482385591583</v>
      </c>
      <c r="G73" s="9">
        <f>((D73-$D$3)^2+(E73-$E$3)^2)</f>
        <v>2.565005946631856E-2</v>
      </c>
    </row>
    <row r="74" spans="3:7" ht="12.5">
      <c r="C74" s="27">
        <v>1167.432125567932</v>
      </c>
      <c r="D74" s="26">
        <v>0.4121506764656836</v>
      </c>
      <c r="E74" s="26">
        <v>0.35750611027228474</v>
      </c>
      <c r="G74" s="9">
        <f>((D74-$D$3)^2+(E74-$E$3)^2)</f>
        <v>2.5469297046982604E-2</v>
      </c>
    </row>
    <row r="75" spans="3:7" ht="12.5">
      <c r="C75" s="27">
        <v>1170.3507058818518</v>
      </c>
      <c r="D75" s="26">
        <v>0.41158251890888087</v>
      </c>
      <c r="E75" s="26">
        <v>0.35754719211924868</v>
      </c>
      <c r="G75" s="9">
        <f>((D75-$D$3)^2+(E75-$E$3)^2)</f>
        <v>2.5289315729391203E-2</v>
      </c>
    </row>
    <row r="76" spans="3:7" ht="12.5">
      <c r="C76" s="27">
        <v>1173.2765826465563</v>
      </c>
      <c r="D76" s="26">
        <v>0.41101479067242253</v>
      </c>
      <c r="E76" s="26">
        <v>0.35758806771745028</v>
      </c>
      <c r="G76" s="9">
        <f>((D76-$D$3)^2+(E76-$E$3)^2)</f>
        <v>2.5110115447519846E-2</v>
      </c>
    </row>
    <row r="77" spans="3:7" ht="12.5">
      <c r="C77" s="27">
        <v>1176.2097741031728</v>
      </c>
      <c r="D77" s="26">
        <v>0.41044749635411659</v>
      </c>
      <c r="E77" s="26">
        <v>0.35762873538702589</v>
      </c>
      <c r="G77" s="9">
        <f>((D77-$D$3)^2+(E77-$E$3)^2)</f>
        <v>2.4931696106939693E-2</v>
      </c>
    </row>
    <row r="78" spans="3:7" ht="12.5">
      <c r="C78" s="27">
        <v>1179.1502985384307</v>
      </c>
      <c r="D78" s="26">
        <v>0.40988064052576173</v>
      </c>
      <c r="E78" s="26">
        <v>0.35766919344766962</v>
      </c>
      <c r="G78" s="9">
        <f>((D78-$D$3)^2+(E78-$E$3)^2)</f>
        <v>2.4754057585010317E-2</v>
      </c>
    </row>
    <row r="79" spans="3:7" ht="12.5">
      <c r="C79" s="27">
        <v>1182.0981742847766</v>
      </c>
      <c r="D79" s="26">
        <v>0.40931422773316406</v>
      </c>
      <c r="E79" s="26">
        <v>0.35770944021869394</v>
      </c>
      <c r="G79" s="9">
        <f>((D79-$D$3)^2+(E79-$E$3)^2)</f>
        <v>2.4577199731080347E-2</v>
      </c>
    </row>
    <row r="80" spans="3:7" ht="12.5">
      <c r="C80" s="27">
        <v>1185.0534197204886</v>
      </c>
      <c r="D80" s="26">
        <v>0.40874826249614538</v>
      </c>
      <c r="E80" s="26">
        <v>0.35774947401909357</v>
      </c>
      <c r="G80" s="9">
        <f>((D80-$D$3)^2+(E80-$E$3)^2)</f>
        <v>2.4401122366685582E-2</v>
      </c>
    </row>
    <row r="81" spans="3:7" ht="12.5">
      <c r="C81" s="27">
        <v>1188.0160532697898</v>
      </c>
      <c r="D81" s="26">
        <v>0.40818274930854809</v>
      </c>
      <c r="E81" s="26">
        <v>0.3577892931676091</v>
      </c>
      <c r="G81" s="9">
        <f>((D81-$D$3)^2+(E81-$E$3)^2)</f>
        <v>2.4225825285746135E-2</v>
      </c>
    </row>
    <row r="82" spans="3:7" ht="12.5">
      <c r="C82" s="27">
        <v>1190.9860934029643</v>
      </c>
      <c r="D82" s="26">
        <v>0.40761769263825598</v>
      </c>
      <c r="E82" s="26">
        <v>0.35782889598279016</v>
      </c>
      <c r="G82" s="9">
        <f>((D82-$D$3)^2+(E82-$E$3)^2)</f>
        <v>2.4051308254768589E-2</v>
      </c>
    </row>
    <row r="83" spans="3:7" ht="12.5">
      <c r="C83" s="27">
        <v>1193.9635586364716</v>
      </c>
      <c r="D83" s="26">
        <v>0.40705309692719877</v>
      </c>
      <c r="E83" s="26">
        <v>0.3578682807830611</v>
      </c>
      <c r="G83" s="9">
        <f>((D83-$D$3)^2+(E83-$E$3)^2)</f>
        <v>2.3877571013043216E-2</v>
      </c>
    </row>
    <row r="84" spans="3:7" ht="12.5">
      <c r="C84" s="27">
        <v>1196.9484675330627</v>
      </c>
      <c r="D84" s="26">
        <v>0.40648896659136907</v>
      </c>
      <c r="E84" s="26">
        <v>0.35790744588678586</v>
      </c>
      <c r="G84" s="9">
        <f>((D84-$D$3)^2+(E84-$E$3)^2)</f>
        <v>2.3704613272845097E-2</v>
      </c>
    </row>
    <row r="85" spans="3:7" ht="12.5">
      <c r="C85" s="27">
        <v>1199.9408387018952</v>
      </c>
      <c r="D85" s="26">
        <v>0.40592530602085025</v>
      </c>
      <c r="E85" s="26">
        <v>0.35794638961233233</v>
      </c>
      <c r="G85" s="9">
        <f>((D85-$D$3)^2+(E85-$E$3)^2)</f>
        <v>2.353243471963851E-2</v>
      </c>
    </row>
    <row r="86" spans="3:7" ht="12.5">
      <c r="C86" s="27">
        <v>1202.9406907986499</v>
      </c>
      <c r="D86" s="26">
        <v>0.40536211957981483</v>
      </c>
      <c r="E86" s="26">
        <v>0.35798511027814045</v>
      </c>
      <c r="G86" s="9">
        <f>((D86-$D$3)^2+(E86-$E$3)^2)</f>
        <v>2.3361035012272449E-2</v>
      </c>
    </row>
    <row r="87" spans="3:7" ht="12.5">
      <c r="C87" s="27">
        <v>1205.9480425256465</v>
      </c>
      <c r="D87" s="26">
        <v>0.40479941160656313</v>
      </c>
      <c r="E87" s="26">
        <v>0.35802360620278723</v>
      </c>
      <c r="G87" s="9">
        <f>((D87-$D$3)^2+(E87-$E$3)^2)</f>
        <v>2.3190413783188302E-2</v>
      </c>
    </row>
    <row r="88" spans="3:7" ht="12.5">
      <c r="C88" s="27">
        <v>1208.9629126319605</v>
      </c>
      <c r="D88" s="26">
        <v>0.4042371864135299</v>
      </c>
      <c r="E88" s="26">
        <v>0.35806187570505482</v>
      </c>
      <c r="G88" s="9">
        <f>((D88-$D$3)^2+(E88-$E$3)^2)</f>
        <v>2.3020570638617815E-2</v>
      </c>
    </row>
    <row r="89" spans="3:7" ht="12.5">
      <c r="C89" s="27">
        <v>1211.9853199135405</v>
      </c>
      <c r="D89" s="26">
        <v>0.40367544828731589</v>
      </c>
      <c r="E89" s="26">
        <v>0.35809991710399797</v>
      </c>
      <c r="G89" s="9">
        <f>((D89-$D$3)^2+(E89-$E$3)^2)</f>
        <v>2.2851505158788577E-2</v>
      </c>
    </row>
    <row r="90" spans="3:7" ht="12.5">
      <c r="C90" s="27">
        <v>1215.0152832133242</v>
      </c>
      <c r="D90" s="26">
        <v>0.40311420148870636</v>
      </c>
      <c r="E90" s="26">
        <v>0.35813772871901217</v>
      </c>
      <c r="G90" s="9">
        <f>((D90-$D$3)^2+(E90-$E$3)^2)</f>
        <v>2.2683216898125479E-2</v>
      </c>
    </row>
    <row r="91" spans="3:7" ht="12.5">
      <c r="C91" s="27">
        <v>1218.0528214213575</v>
      </c>
      <c r="D91" s="26">
        <v>0.40255345025269951</v>
      </c>
      <c r="E91" s="26">
        <v>0.3581753088699019</v>
      </c>
      <c r="G91" s="9">
        <f>((D91-$D$3)^2+(E91-$E$3)^2)</f>
        <v>2.2515705385455075E-2</v>
      </c>
    </row>
    <row r="92" spans="3:7" ht="12.5">
      <c r="C92" s="27">
        <v>1221.0979534749108</v>
      </c>
      <c r="D92" s="26">
        <v>0.4019931987885314</v>
      </c>
      <c r="E92" s="26">
        <v>0.35821265587695045</v>
      </c>
      <c r="G92" s="9">
        <f>((D92-$D$3)^2+(E92-$E$3)^2)</f>
        <v>2.2348970124208827E-2</v>
      </c>
    </row>
    <row r="93" spans="3:7" ht="12.5">
      <c r="C93" s="27">
        <v>1224.150698358598</v>
      </c>
      <c r="D93" s="26">
        <v>0.40143345127970331</v>
      </c>
      <c r="E93" s="26">
        <v>0.35824976806098924</v>
      </c>
      <c r="G93" s="9">
        <f>((D93-$D$3)^2+(E93-$E$3)^2)</f>
        <v>2.2183010592626909E-2</v>
      </c>
    </row>
    <row r="94" spans="3:7" ht="12.5">
      <c r="C94" s="27">
        <v>1227.2110751044945</v>
      </c>
      <c r="D94" s="26">
        <v>0.40087421188401273</v>
      </c>
      <c r="E94" s="26">
        <v>0.35828664374346769</v>
      </c>
      <c r="G94" s="9">
        <f>((D94-$D$3)^2+(E94-$E$3)^2)</f>
        <v>2.2017826243963031E-2</v>
      </c>
    </row>
    <row r="95" spans="3:7" ht="12.5">
      <c r="C95" s="27">
        <v>1230.2791027922556</v>
      </c>
      <c r="D95" s="26">
        <v>0.40031548473358214</v>
      </c>
      <c r="E95" s="26">
        <v>0.35832328124652468</v>
      </c>
      <c r="G95" s="9">
        <f>((D95-$D$3)^2+(E95-$E$3)^2)</f>
        <v>2.1853416506688407E-2</v>
      </c>
    </row>
    <row r="96" spans="3:7" ht="12.5">
      <c r="C96" s="27">
        <v>1233.3548005492362</v>
      </c>
      <c r="D96" s="26">
        <v>0.39975727393489208</v>
      </c>
      <c r="E96" s="26">
        <v>0.35835967889305848</v>
      </c>
      <c r="G96" s="9">
        <f>((D96-$D$3)^2+(E96-$E$3)^2)</f>
        <v>2.1689780784696855E-2</v>
      </c>
    </row>
    <row r="97" spans="3:7" ht="12.5">
      <c r="C97" s="27">
        <v>1236.4381875506092</v>
      </c>
      <c r="D97" s="26">
        <v>0.39919958356881374</v>
      </c>
      <c r="E97" s="26">
        <v>0.35839583500679906</v>
      </c>
      <c r="G97" s="9">
        <f>((D97-$D$3)^2+(E97-$E$3)^2)</f>
        <v>2.1526918457509561E-2</v>
      </c>
    </row>
    <row r="98" spans="3:7" ht="12.5">
      <c r="C98" s="27">
        <v>1239.5292830194855</v>
      </c>
      <c r="D98" s="26">
        <v>0.39864241769064301</v>
      </c>
      <c r="E98" s="26">
        <v>0.35843174791238014</v>
      </c>
      <c r="G98" s="9">
        <f>((D98-$D$3)^2+(E98-$E$3)^2)</f>
        <v>2.1364828880480094E-2</v>
      </c>
    </row>
    <row r="99" spans="3:7" ht="12.5">
      <c r="C99" s="27">
        <v>1242.6281062270341</v>
      </c>
      <c r="D99" s="26">
        <v>0.39808578033013609</v>
      </c>
      <c r="E99" s="26">
        <v>0.35846741593541137</v>
      </c>
      <c r="G99" s="9">
        <f>((D99-$D$3)^2+(E99-$E$3)^2)</f>
        <v>2.1203511384999651E-2</v>
      </c>
    </row>
    <row r="100" spans="3:7" ht="12.5">
      <c r="C100" s="27">
        <v>1245.7346764926017</v>
      </c>
      <c r="D100" s="26">
        <v>0.39752967549154744</v>
      </c>
      <c r="E100" s="26">
        <v>0.35850283740255118</v>
      </c>
      <c r="G100" s="9">
        <f>((D100-$D$3)^2+(E100-$E$3)^2)</f>
        <v>2.1042965278702787E-2</v>
      </c>
    </row>
    <row r="101" spans="3:7" ht="12.5">
      <c r="C101" s="27">
        <v>1248.8490131838332</v>
      </c>
      <c r="D101" s="26">
        <v>0.39697410715366405</v>
      </c>
      <c r="E101" s="26">
        <v>0.35853801064158075</v>
      </c>
      <c r="G101" s="9">
        <f>((D101-$D$3)^2+(E101-$E$3)^2)</f>
        <v>2.0883189845671779E-2</v>
      </c>
    </row>
    <row r="102" spans="3:7" ht="12.5">
      <c r="C102" s="27">
        <v>1251.9711357167928</v>
      </c>
      <c r="D102" s="26">
        <v>0.39641907926985043</v>
      </c>
      <c r="E102" s="26">
        <v>0.35857293398147705</v>
      </c>
      <c r="G102" s="9">
        <f>((D102-$D$3)^2+(E102-$E$3)^2)</f>
        <v>2.0724184346643904E-2</v>
      </c>
    </row>
    <row r="103" spans="3:7" ht="12.5">
      <c r="C103" s="27">
        <v>1255.1010635560847</v>
      </c>
      <c r="D103" s="26">
        <v>0.39586459576808292</v>
      </c>
      <c r="E103" s="26">
        <v>0.35860760575248796</v>
      </c>
      <c r="G103" s="9">
        <f>((D103-$D$3)^2+(E103-$E$3)^2)</f>
        <v>2.0565948019215324E-2</v>
      </c>
    </row>
    <row r="104" spans="3:7" ht="12.5">
      <c r="C104" s="27">
        <v>1258.2388162149748</v>
      </c>
      <c r="D104" s="26">
        <v>0.39531066055099506</v>
      </c>
      <c r="E104" s="26">
        <v>0.35864202428620673</v>
      </c>
      <c r="G104" s="9">
        <f>((D104-$D$3)^2+(E104-$E$3)^2)</f>
        <v>2.040848007804788E-2</v>
      </c>
    </row>
    <row r="105" spans="3:7" ht="12.5">
      <c r="C105" s="27">
        <v>1261.3844132555121</v>
      </c>
      <c r="D105" s="26">
        <v>0.39475727749591832</v>
      </c>
      <c r="E105" s="26">
        <v>0.35867618791564637</v>
      </c>
      <c r="G105" s="9">
        <f>((D105-$D$3)^2+(E105-$E$3)^2)</f>
        <v>2.0251779715074227E-2</v>
      </c>
    </row>
    <row r="106" spans="3:7" ht="12.5">
      <c r="C106" s="27">
        <v>1264.5378742886508</v>
      </c>
      <c r="D106" s="26">
        <v>0.39420445045492769</v>
      </c>
      <c r="E106" s="26">
        <v>0.35871009497531625</v>
      </c>
      <c r="G106" s="9">
        <f>((D106-$D$3)^2+(E106-$E$3)^2)</f>
        <v>2.0095846099704086E-2</v>
      </c>
    </row>
    <row r="107" spans="3:7" ht="12.5">
      <c r="C107" s="27">
        <v>1267.6992189743723</v>
      </c>
      <c r="D107" s="26">
        <v>0.39365218325488222</v>
      </c>
      <c r="E107" s="26">
        <v>0.35874374380129775</v>
      </c>
      <c r="G107" s="9">
        <f>((D107-$D$3)^2+(E107-$E$3)^2)</f>
        <v>1.9940678379028715E-2</v>
      </c>
    </row>
    <row r="108" spans="3:7" ht="12.5">
      <c r="C108" s="27">
        <v>1270.8684670218081</v>
      </c>
      <c r="D108" s="26">
        <v>0.3931004796974753</v>
      </c>
      <c r="E108" s="26">
        <v>0.35877713273132061</v>
      </c>
      <c r="G108" s="9">
        <f>((D108-$D$3)^2+(E108-$E$3)^2)</f>
        <v>1.97862756780278E-2</v>
      </c>
    </row>
    <row r="109" spans="3:7" ht="12.5">
      <c r="C109" s="27">
        <v>1274.0456381893625</v>
      </c>
      <c r="D109" s="26">
        <v>0.39254934355927779</v>
      </c>
      <c r="E109" s="26">
        <v>0.3588102601048398</v>
      </c>
      <c r="G109" s="9">
        <f>((D109-$D$3)^2+(E109-$E$3)^2)</f>
        <v>1.9632637099773927E-2</v>
      </c>
    </row>
    <row r="110" spans="3:7" ht="12.5">
      <c r="C110" s="27">
        <v>1277.2307522848359</v>
      </c>
      <c r="D110" s="26">
        <v>0.39199877859178972</v>
      </c>
      <c r="E110" s="26">
        <v>0.35884312426311249</v>
      </c>
      <c r="G110" s="9">
        <f>((D110-$D$3)^2+(E110-$E$3)^2)</f>
        <v>1.9479761725639179E-2</v>
      </c>
    </row>
    <row r="111" spans="3:7" ht="12.5">
      <c r="C111" s="27">
        <v>1280.4238291655479</v>
      </c>
      <c r="D111" s="26">
        <v>0.3914487885214849</v>
      </c>
      <c r="E111" s="26">
        <v>0.3588757235492761</v>
      </c>
      <c r="G111" s="9">
        <f>((D111-$D$3)^2+(E111-$E$3)^2)</f>
        <v>1.9327648615499293E-2</v>
      </c>
    </row>
    <row r="112" spans="3:7" ht="12.5">
      <c r="C112" s="27">
        <v>1283.6248887384618</v>
      </c>
      <c r="D112" s="26">
        <v>0.39089937704986266</v>
      </c>
      <c r="E112" s="26">
        <v>0.35890805630842632</v>
      </c>
      <c r="G112" s="9">
        <f>((D112-$D$3)^2+(E112-$E$3)^2)</f>
        <v>1.9176296807939457E-2</v>
      </c>
    </row>
    <row r="113" spans="3:7" ht="12.5">
      <c r="C113" s="27">
        <v>1286.8339509603079</v>
      </c>
      <c r="D113" s="26">
        <v>0.39035054785349915</v>
      </c>
      <c r="E113" s="26">
        <v>0.35894012088769472</v>
      </c>
      <c r="G113" s="9">
        <f>((D113-$D$3)^2+(E113-$E$3)^2)</f>
        <v>1.9025705320459534E-2</v>
      </c>
    </row>
    <row r="114" spans="3:7" ht="12.5">
      <c r="C114" s="27">
        <v>1290.0510358377087</v>
      </c>
      <c r="D114" s="26">
        <v>0.38980230458409909</v>
      </c>
      <c r="E114" s="26">
        <v>0.35897191563632863</v>
      </c>
      <c r="G114" s="9">
        <f>((D114-$D$3)^2+(E114-$E$3)^2)</f>
        <v>1.8875873149679024E-2</v>
      </c>
    </row>
    <row r="115" spans="3:7" ht="12.5">
      <c r="C115" s="27">
        <v>1293.2761634273029</v>
      </c>
      <c r="D115" s="26">
        <v>0.38925465086854588</v>
      </c>
      <c r="E115" s="26">
        <v>0.35900343890576947</v>
      </c>
      <c r="G115" s="9">
        <f>((D115-$D$3)^2+(E115-$E$3)^2)</f>
        <v>1.8726799271541139E-2</v>
      </c>
    </row>
    <row r="116" spans="3:7" ht="12.5">
      <c r="C116" s="27">
        <v>1296.509353835871</v>
      </c>
      <c r="D116" s="26">
        <v>0.38870759030895585</v>
      </c>
      <c r="E116" s="26">
        <v>0.35903468904973279</v>
      </c>
      <c r="G116" s="9">
        <f>((D116-$D$3)^2+(E116-$E$3)^2)</f>
        <v>1.8578482641517548E-2</v>
      </c>
    </row>
    <row r="117" spans="3:7" ht="12.5">
      <c r="C117" s="27">
        <v>1299.7506272204607</v>
      </c>
      <c r="D117" s="26">
        <v>0.38816112648273754</v>
      </c>
      <c r="E117" s="26">
        <v>0.35906566442428717</v>
      </c>
      <c r="G117" s="9">
        <f>((D117-$D$3)^2+(E117-$E$3)^2)</f>
        <v>1.8430922194814046E-2</v>
      </c>
    </row>
    <row r="118" spans="3:7" ht="12.5">
      <c r="C118" s="27">
        <v>1303.0000037885118</v>
      </c>
      <c r="D118" s="26">
        <v>0.38761526294263826</v>
      </c>
      <c r="E118" s="26">
        <v>0.35909636338793599</v>
      </c>
      <c r="G118" s="9">
        <f>((D118-$D$3)^2+(E118-$E$3)^2)</f>
        <v>1.8284116846572322E-2</v>
      </c>
    </row>
    <row r="119" spans="3:7" ht="12.5">
      <c r="C119" s="27">
        <v>1306.257503797983</v>
      </c>
      <c r="D119" s="26">
        <v>0.38707000321680701</v>
      </c>
      <c r="E119" s="26">
        <v>0.35912678430169653</v>
      </c>
      <c r="G119" s="9">
        <f>((D119-$D$3)^2+(E119-$E$3)^2)</f>
        <v>1.8138065492075642E-2</v>
      </c>
    </row>
    <row r="120" spans="3:7" ht="12.5">
      <c r="C120" s="27">
        <v>1309.5231475574778</v>
      </c>
      <c r="D120" s="26">
        <v>0.38652535080884981</v>
      </c>
      <c r="E120" s="26">
        <v>0.35915692552918171</v>
      </c>
      <c r="G120" s="9">
        <f>((D120-$D$3)^2+(E120-$E$3)^2)</f>
        <v>1.7992767006951998E-2</v>
      </c>
    </row>
    <row r="121" spans="3:7" ht="12.5">
      <c r="C121" s="27">
        <v>1312.7969554263714</v>
      </c>
      <c r="D121" s="26">
        <v>0.38598130919788487</v>
      </c>
      <c r="E121" s="26">
        <v>0.35918678543668092</v>
      </c>
      <c r="G121" s="9">
        <f>((D121-$D$3)^2+(E121-$E$3)^2)</f>
        <v>1.7848220247376732E-2</v>
      </c>
    </row>
    <row r="122" spans="3:7" ht="12.5">
      <c r="C122" s="27">
        <v>1316.0789478149372</v>
      </c>
      <c r="D122" s="26">
        <v>0.38543788183860345</v>
      </c>
      <c r="E122" s="26">
        <v>0.3592163623932414</v>
      </c>
      <c r="G122" s="9">
        <f>((D122-$D$3)^2+(E122-$E$3)^2)</f>
        <v>1.7704424050276144E-2</v>
      </c>
    </row>
    <row r="123" spans="3:7" ht="12.5">
      <c r="C123" s="27">
        <v>1319.3691451844745</v>
      </c>
      <c r="D123" s="26">
        <v>0.38489507216132801</v>
      </c>
      <c r="E123" s="26">
        <v>0.35924565477075104</v>
      </c>
      <c r="G123" s="9">
        <f>((D123-$D$3)^2+(E123-$E$3)^2)</f>
        <v>1.75613772335299E-2</v>
      </c>
    </row>
    <row r="124" spans="3:7" ht="12.5">
      <c r="C124" s="27">
        <v>1322.6675680474357</v>
      </c>
      <c r="D124" s="26">
        <v>0.38435288357207525</v>
      </c>
      <c r="E124" s="26">
        <v>0.35927466094401889</v>
      </c>
      <c r="G124" s="9">
        <f>((D124-$D$3)^2+(E124-$E$3)^2)</f>
        <v>1.7419078596174115E-2</v>
      </c>
    </row>
    <row r="125" spans="3:7" ht="12.5">
      <c r="C125" s="27">
        <v>1325.9742369675541</v>
      </c>
      <c r="D125" s="26">
        <v>0.38381131945261138</v>
      </c>
      <c r="E125" s="26">
        <v>0.35930337929085926</v>
      </c>
      <c r="G125" s="9">
        <f>((D125-$D$3)^2+(E125-$E$3)^2)</f>
        <v>1.7277526918601915E-2</v>
      </c>
    </row>
    <row r="126" spans="3:7" ht="12.5">
      <c r="C126" s="27">
        <v>1329.2891725599729</v>
      </c>
      <c r="D126" s="26">
        <v>0.38327038316051748</v>
      </c>
      <c r="E126" s="26">
        <v>0.35933180819217347</v>
      </c>
      <c r="G126" s="9">
        <f>((D126-$D$3)^2+(E126-$E$3)^2)</f>
        <v>1.713672096276609E-2</v>
      </c>
    </row>
    <row r="127" spans="3:7" ht="12.5">
      <c r="C127" s="27">
        <v>1332.6123954913728</v>
      </c>
      <c r="D127" s="26">
        <v>0.38273007802925019</v>
      </c>
      <c r="E127" s="26">
        <v>0.35935994603203358</v>
      </c>
      <c r="G127" s="9">
        <f>((D127-$D$3)^2+(E127-$E$3)^2)</f>
        <v>1.699665947237991E-2</v>
      </c>
    </row>
    <row r="128" spans="3:7" ht="12.5">
      <c r="C128" s="27">
        <v>1335.9439264801013</v>
      </c>
      <c r="D128" s="26">
        <v>0.38219040736820659</v>
      </c>
      <c r="E128" s="26">
        <v>0.35938779119776432</v>
      </c>
      <c r="G128" s="9">
        <f>((D128-$D$3)^2+(E128-$E$3)^2)</f>
        <v>1.68573411731185E-2</v>
      </c>
    </row>
    <row r="129" spans="3:7" ht="12.5">
      <c r="C129" s="27">
        <v>1339.2837862963015</v>
      </c>
      <c r="D129" s="26">
        <v>0.38165137446278263</v>
      </c>
      <c r="E129" s="26">
        <v>0.35941534208002879</v>
      </c>
      <c r="G129" s="9">
        <f>((D129-$D$3)^2+(E129-$E$3)^2)</f>
        <v>1.6718764772817942E-2</v>
      </c>
    </row>
    <row r="130" spans="3:7" ht="12.5">
      <c r="C130" s="27">
        <v>1342.6319957620422</v>
      </c>
      <c r="D130" s="26">
        <v>0.38111298257444609</v>
      </c>
      <c r="E130" s="26">
        <v>0.35944259707291015</v>
      </c>
      <c r="G130" s="9">
        <f>((D130-$D$3)^2+(E130-$E$3)^2)</f>
        <v>1.6580928961677531E-2</v>
      </c>
    </row>
    <row r="131" spans="3:7" ht="12.5">
      <c r="C131" s="27">
        <v>1345.9885757514471</v>
      </c>
      <c r="D131" s="26">
        <v>0.38057523494079099</v>
      </c>
      <c r="E131" s="26">
        <v>0.35946955457399715</v>
      </c>
      <c r="G131" s="9">
        <f>((D131-$D$3)^2+(E131-$E$3)^2)</f>
        <v>1.6443832412456647E-2</v>
      </c>
    </row>
    <row r="132" spans="3:7" ht="12.5">
      <c r="C132" s="27">
        <v>1349.3535471908256</v>
      </c>
      <c r="D132" s="26">
        <v>0.38003813477561027</v>
      </c>
      <c r="E132" s="26">
        <v>0.35949621298446771</v>
      </c>
      <c r="G132" s="9">
        <f>((D132-$D$3)^2+(E132-$E$3)^2)</f>
        <v>1.6307473780675739E-2</v>
      </c>
    </row>
    <row r="133" spans="3:7" ht="12.5">
      <c r="C133" s="27">
        <v>1352.7269310588026</v>
      </c>
      <c r="D133" s="26">
        <v>0.3795016852689605</v>
      </c>
      <c r="E133" s="26">
        <v>0.35952257070917382</v>
      </c>
      <c r="G133" s="9">
        <f>((D133-$D$3)^2+(E133-$E$3)^2)</f>
        <v>1.6171851704814576E-2</v>
      </c>
    </row>
    <row r="134" spans="3:7" ht="12.5">
      <c r="C134" s="27">
        <v>1356.1087483864496</v>
      </c>
      <c r="D134" s="26">
        <v>0.37896588958722299</v>
      </c>
      <c r="E134" s="26">
        <v>0.35954862615672634</v>
      </c>
      <c r="G134" s="9">
        <f>((D134-$D$3)^2+(E134-$E$3)^2)</f>
        <v>1.6036964806509027E-2</v>
      </c>
    </row>
    <row r="135" spans="3:7" ht="12.5">
      <c r="C135" s="27">
        <v>1359.4990202574156</v>
      </c>
      <c r="D135" s="26">
        <v>0.37843075087317929</v>
      </c>
      <c r="E135" s="26">
        <v>0.35957437773957951</v>
      </c>
      <c r="G135" s="9">
        <f>((D135-$D$3)^2+(E135-$E$3)^2)</f>
        <v>1.5902811690750782E-2</v>
      </c>
    </row>
    <row r="136" spans="3:7" ht="12.5">
      <c r="C136" s="27">
        <v>1362.8977678080591</v>
      </c>
      <c r="D136" s="26">
        <v>0.37789627224607353</v>
      </c>
      <c r="E136" s="26">
        <v>0.35959982387411676</v>
      </c>
      <c r="G136" s="9">
        <f>((D136-$D$3)^2+(E136-$E$3)^2)</f>
        <v>1.5769390946083157E-2</v>
      </c>
    </row>
    <row r="137" spans="3:7" ht="12.5">
      <c r="C137" s="27">
        <v>1366.3050122275793</v>
      </c>
      <c r="D137" s="26">
        <v>0.37736245680168146</v>
      </c>
      <c r="E137" s="26">
        <v>0.35962496298073576</v>
      </c>
      <c r="G137" s="9">
        <f>((D137-$D$3)^2+(E137-$E$3)^2)</f>
        <v>1.5636701144797878E-2</v>
      </c>
    </row>
    <row r="138" spans="3:7" ht="12.5">
      <c r="C138" s="27">
        <v>1369.7207747581481</v>
      </c>
      <c r="D138" s="26">
        <v>0.37682930761237921</v>
      </c>
      <c r="E138" s="26">
        <v>0.35964979348393411</v>
      </c>
      <c r="G138" s="9">
        <f>((D138-$D$3)^2+(E138-$E$3)^2)</f>
        <v>1.5504740843131151E-2</v>
      </c>
    </row>
    <row r="139" spans="3:7" ht="12.5">
      <c r="C139" s="27">
        <v>1373.1450766950434</v>
      </c>
      <c r="D139" s="26">
        <v>0.37629682772721262</v>
      </c>
      <c r="E139" s="26">
        <v>0.35967431381239501</v>
      </c>
      <c r="G139" s="9">
        <f>((D139-$D$3)^2+(E139-$E$3)^2)</f>
        <v>1.537350858145922E-2</v>
      </c>
    </row>
    <row r="140" spans="3:7" ht="12.5">
      <c r="C140" s="27">
        <v>1376.5779393867808</v>
      </c>
      <c r="D140" s="26">
        <v>0.37576502017196883</v>
      </c>
      <c r="E140" s="26">
        <v>0.35969852239907346</v>
      </c>
      <c r="G140" s="9">
        <f>((D140-$D$3)^2+(E140-$E$3)^2)</f>
        <v>1.5243002884493749E-2</v>
      </c>
    </row>
    <row r="141" spans="3:7" ht="12.5">
      <c r="C141" s="27">
        <v>1380.0193842352478</v>
      </c>
      <c r="D141" s="26">
        <v>0.37523388794923973</v>
      </c>
      <c r="E141" s="26">
        <v>0.35972241768128244</v>
      </c>
      <c r="G141" s="9">
        <f>((D141-$D$3)^2+(E141-$E$3)^2)</f>
        <v>1.5113222261474567E-2</v>
      </c>
    </row>
    <row r="142" spans="3:7" ht="12.5">
      <c r="C142" s="27">
        <v>1383.4694326958358</v>
      </c>
      <c r="D142" s="26">
        <v>0.37470343403850231</v>
      </c>
      <c r="E142" s="26">
        <v>0.35974599810077829</v>
      </c>
      <c r="G142" s="9">
        <f>((D142-$D$3)^2+(E142-$E$3)^2)</f>
        <v>1.4984165206365811E-2</v>
      </c>
    </row>
    <row r="143" spans="3:7" ht="12.5">
      <c r="C143" s="27">
        <v>1386.9281062775754</v>
      </c>
      <c r="D143" s="26">
        <v>0.37417366139618025</v>
      </c>
      <c r="E143" s="26">
        <v>0.3597692621038483</v>
      </c>
      <c r="G143" s="9">
        <f>((D143-$D$3)^2+(E143-$E$3)^2)</f>
        <v>1.4855830198046821E-2</v>
      </c>
    </row>
    <row r="144" spans="3:7" ht="12.5">
      <c r="C144" s="27">
        <v>1390.3954265432692</v>
      </c>
      <c r="D144" s="26">
        <v>0.37364457295572084</v>
      </c>
      <c r="E144" s="26">
        <v>0.35979220814139673</v>
      </c>
      <c r="G144" s="9">
        <f>((D144-$D$3)^2+(E144-$E$3)^2)</f>
        <v>1.4728215700506048E-2</v>
      </c>
    </row>
    <row r="145" spans="3:7" ht="12.5">
      <c r="C145" s="27">
        <v>1393.8714151096274</v>
      </c>
      <c r="D145" s="26">
        <v>0.37311617162766658</v>
      </c>
      <c r="E145" s="26">
        <v>0.35981483466903147</v>
      </c>
      <c r="G145" s="9">
        <f>((D145-$D$3)^2+(E145-$E$3)^2)</f>
        <v>1.4601320163032911E-2</v>
      </c>
    </row>
    <row r="146" spans="3:7" ht="12.5">
      <c r="C146" s="27">
        <v>1397.3560936474014</v>
      </c>
      <c r="D146" s="26">
        <v>0.37258846029972431</v>
      </c>
      <c r="E146" s="26">
        <v>0.35983714014715051</v>
      </c>
      <c r="G146" s="9">
        <f>((D146-$D$3)^2+(E146-$E$3)^2)</f>
        <v>1.4475142020408378E-2</v>
      </c>
    </row>
    <row r="147" spans="3:7" ht="12.5">
      <c r="C147" s="27">
        <v>1400.8494838815197</v>
      </c>
      <c r="D147" s="26">
        <v>0.37206144183683876</v>
      </c>
      <c r="E147" s="26">
        <v>0.35985912304103002</v>
      </c>
      <c r="G147" s="9">
        <f>((D147-$D$3)^2+(E147-$E$3)^2)</f>
        <v>1.4349679693095889E-2</v>
      </c>
    </row>
    <row r="148" spans="3:7" ht="12.5">
      <c r="C148" s="27">
        <v>1404.3516075912235</v>
      </c>
      <c r="D148" s="26">
        <v>0.37153511908126674</v>
      </c>
      <c r="E148" s="26">
        <v>0.35988078182090966</v>
      </c>
      <c r="G148" s="9">
        <f>((D148-$D$3)^2+(E148-$E$3)^2)</f>
        <v>1.4224931587431615E-2</v>
      </c>
    </row>
    <row r="149" spans="3:7" ht="12.5">
      <c r="C149" s="27">
        <v>1407.8624866102014</v>
      </c>
      <c r="D149" s="26">
        <v>0.37100949485265</v>
      </c>
      <c r="E149" s="26">
        <v>0.35990211496208113</v>
      </c>
      <c r="G149" s="9">
        <f>((D149-$D$3)^2+(E149-$E$3)^2)</f>
        <v>1.4100896095813751E-2</v>
      </c>
    </row>
    <row r="150" spans="3:7" ht="12.5">
      <c r="C150" s="27">
        <v>1411.3821428267267</v>
      </c>
      <c r="D150" s="26">
        <v>0.37048457194808693</v>
      </c>
      <c r="E150" s="26">
        <v>0.35992312094497464</v>
      </c>
      <c r="G150" s="9">
        <f>((D150-$D$3)^2+(E150-$E$3)^2)</f>
        <v>1.3977571596890706E-2</v>
      </c>
    </row>
    <row r="151" spans="3:7" ht="12.5">
      <c r="C151" s="27">
        <v>1414.9105981837936</v>
      </c>
      <c r="D151" s="26">
        <v>0.36996035314220815</v>
      </c>
      <c r="E151" s="26">
        <v>0.35994379825524619</v>
      </c>
      <c r="G151" s="9">
        <f>((D151-$D$3)^2+(E151-$E$3)^2)</f>
        <v>1.3854956455749495E-2</v>
      </c>
    </row>
    <row r="152" spans="3:7" ht="12.5">
      <c r="C152" s="27">
        <v>1418.4478746792529</v>
      </c>
      <c r="D152" s="26">
        <v>0.36943684118724857</v>
      </c>
      <c r="E152" s="26">
        <v>0.35996414538386518</v>
      </c>
      <c r="G152" s="9">
        <f>((D152-$D$3)^2+(E152-$E$3)^2)</f>
        <v>1.3733049024102523E-2</v>
      </c>
    </row>
    <row r="153" spans="3:7" ht="12.5">
      <c r="C153" s="27">
        <v>1421.993994365951</v>
      </c>
      <c r="D153" s="26">
        <v>0.36891403881312346</v>
      </c>
      <c r="E153" s="26">
        <v>0.35998416082720158</v>
      </c>
      <c r="G153" s="9">
        <f>((D153-$D$3)^2+(E153-$E$3)^2)</f>
        <v>1.3611847640474548E-2</v>
      </c>
    </row>
    <row r="154" spans="3:7" ht="12.5">
      <c r="C154" s="27">
        <v>1425.5489793518659</v>
      </c>
      <c r="D154" s="26">
        <v>0.36839194872750514</v>
      </c>
      <c r="E154" s="26">
        <v>0.36000384308711303</v>
      </c>
      <c r="G154" s="9">
        <f>((D154-$D$3)^2+(E154-$E$3)^2)</f>
        <v>1.349135063038898E-2</v>
      </c>
    </row>
    <row r="155" spans="3:7" ht="12.5">
      <c r="C155" s="27">
        <v>1429.1128518002456</v>
      </c>
      <c r="D155" s="26">
        <v>0.36787057361589132</v>
      </c>
      <c r="E155" s="26">
        <v>0.36002319067103283</v>
      </c>
      <c r="G155" s="9">
        <f>((D155-$D$3)^2+(E155-$E$3)^2)</f>
        <v>1.3371556306551491E-2</v>
      </c>
    </row>
    <row r="156" spans="3:7" ht="12.5">
      <c r="C156" s="27">
        <v>1432.6856339297462</v>
      </c>
      <c r="D156" s="26">
        <v>0.36734991614168355</v>
      </c>
      <c r="E156" s="26">
        <v>0.36004220209205723</v>
      </c>
      <c r="G156" s="9">
        <f>((D156-$D$3)^2+(E156-$E$3)^2)</f>
        <v>1.3252462969035188E-2</v>
      </c>
    </row>
    <row r="157" spans="3:7" ht="12.5">
      <c r="C157" s="27">
        <v>1436.2673480145706</v>
      </c>
      <c r="D157" s="26">
        <v>0.36682997894626751</v>
      </c>
      <c r="E157" s="26">
        <v>0.36006087586903252</v>
      </c>
      <c r="G157" s="9">
        <f>((D157-$D$3)^2+(E157-$E$3)^2)</f>
        <v>1.3134068905465365E-2</v>
      </c>
    </row>
    <row r="158" spans="3:7" ht="12.5">
      <c r="C158" s="27">
        <v>1439.858016384607</v>
      </c>
      <c r="D158" s="26">
        <v>0.36631076464907947</v>
      </c>
      <c r="E158" s="26">
        <v>0.36007921052664288</v>
      </c>
      <c r="G158" s="9">
        <f>((D158-$D$3)^2+(E158-$E$3)^2)</f>
        <v>1.3016372391200329E-2</v>
      </c>
    </row>
    <row r="159" spans="3:7" ht="12.5">
      <c r="C159" s="27">
        <v>1443.4576614255684</v>
      </c>
      <c r="D159" s="26">
        <v>0.36579227584768698</v>
      </c>
      <c r="E159" s="26">
        <v>0.36009720459549788</v>
      </c>
      <c r="G159" s="9">
        <f>((D159-$D$3)^2+(E159-$E$3)^2)</f>
        <v>1.2899371689514666E-2</v>
      </c>
    </row>
    <row r="160" spans="3:7" ht="12.5">
      <c r="C160" s="27">
        <v>1447.0663055791322</v>
      </c>
      <c r="D160" s="26">
        <v>0.36527451511786624</v>
      </c>
      <c r="E160" s="26">
        <v>0.36011485661221965</v>
      </c>
      <c r="G160" s="9">
        <f>((D160-$D$3)^2+(E160-$E$3)^2)</f>
        <v>1.278306505178093E-2</v>
      </c>
    </row>
    <row r="161" spans="3:7" ht="12.5">
      <c r="C161" s="27">
        <v>1450.68397134308</v>
      </c>
      <c r="D161" s="26">
        <v>0.36475748501367244</v>
      </c>
      <c r="E161" s="26">
        <v>0.3601321651195305</v>
      </c>
      <c r="G161" s="9">
        <f>((D161-$D$3)^2+(E161-$E$3)^2)</f>
        <v>1.2667450717648923E-2</v>
      </c>
    </row>
    <row r="162" spans="3:7" ht="12.5">
      <c r="C162" s="27">
        <v>1454.3106812714375</v>
      </c>
      <c r="D162" s="26">
        <v>0.36424118806752004</v>
      </c>
      <c r="E162" s="26">
        <v>0.36014912866634019</v>
      </c>
      <c r="G162" s="9">
        <f>((D162-$D$3)^2+(E162-$E$3)^2)</f>
        <v>1.2552526915226439E-2</v>
      </c>
    </row>
    <row r="163" spans="3:7" ht="12.5">
      <c r="C163" s="27">
        <v>1457.9464579746159</v>
      </c>
      <c r="D163" s="26">
        <v>0.36372562679025972</v>
      </c>
      <c r="E163" s="26">
        <v>0.36016574580783317</v>
      </c>
      <c r="G163" s="9">
        <f>((D163-$D$3)^2+(E163-$E$3)^2)</f>
        <v>1.2438291861258383E-2</v>
      </c>
    </row>
    <row r="164" spans="3:7" ht="12.5">
      <c r="C164" s="27">
        <v>1461.5913241195524</v>
      </c>
      <c r="D164" s="26">
        <v>0.36321080367125025</v>
      </c>
      <c r="E164" s="26">
        <v>0.36018201510555631</v>
      </c>
      <c r="G164" s="9">
        <f>((D164-$D$3)^2+(E164-$E$3)^2)</f>
        <v>1.2324743761303979E-2</v>
      </c>
    </row>
    <row r="165" spans="3:7" ht="12.5">
      <c r="C165" s="27">
        <v>1465.2453024298511</v>
      </c>
      <c r="D165" s="26">
        <v>0.36269672117844087</v>
      </c>
      <c r="E165" s="26">
        <v>0.36019793512750531</v>
      </c>
      <c r="G165" s="9">
        <f>((D165-$D$3)^2+(E165-$E$3)^2)</f>
        <v>1.2211880809915436E-2</v>
      </c>
    </row>
    <row r="166" spans="3:7" ht="12.5">
      <c r="C166" s="27">
        <v>1468.9084156859255</v>
      </c>
      <c r="D166" s="26">
        <v>0.36218338175844206</v>
      </c>
      <c r="E166" s="26">
        <v>0.36021350444821265</v>
      </c>
      <c r="G166" s="9">
        <f>((D166-$D$3)^2+(E166-$E$3)^2)</f>
        <v>1.2099701190813246E-2</v>
      </c>
    </row>
    <row r="167" spans="3:7" ht="12.5">
      <c r="C167" s="27">
        <v>1472.5806867251404</v>
      </c>
      <c r="D167" s="26">
        <v>0.36167078783660639</v>
      </c>
      <c r="E167" s="26">
        <v>0.36022872164883402</v>
      </c>
      <c r="G167" s="9">
        <f>((D167-$D$3)^2+(E167-$E$3)^2)</f>
        <v>1.1988203077062859E-2</v>
      </c>
    </row>
    <row r="168" spans="3:7" ht="12.5">
      <c r="C168" s="27">
        <v>1476.2621384419531</v>
      </c>
      <c r="D168" s="26">
        <v>0.3611589418171039</v>
      </c>
      <c r="E168" s="26">
        <v>0.36024358531723538</v>
      </c>
      <c r="G168" s="9">
        <f>((D168-$D$3)^2+(E168-$E$3)^2)</f>
        <v>1.1877384631249288E-2</v>
      </c>
    </row>
    <row r="169" spans="3:7" ht="12.5">
      <c r="C169" s="27">
        <v>1479.952793788058</v>
      </c>
      <c r="D169" s="26">
        <v>0.36064784608299533</v>
      </c>
      <c r="E169" s="26">
        <v>0.36025809404808046</v>
      </c>
      <c r="G169" s="9">
        <f>((D169-$D$3)^2+(E169-$E$3)^2)</f>
        <v>1.1767244005650452E-2</v>
      </c>
    </row>
    <row r="170" spans="3:7" ht="12.5">
      <c r="C170" s="27">
        <v>1483.652675772528</v>
      </c>
      <c r="D170" s="26">
        <v>0.36013750299631714</v>
      </c>
      <c r="E170" s="26">
        <v>0.36027224644291606</v>
      </c>
      <c r="G170" s="9">
        <f>((D170-$D$3)^2+(E170-$E$3)^2)</f>
        <v>1.1657779342412154E-2</v>
      </c>
    </row>
    <row r="171" spans="3:7" ht="12.5">
      <c r="C171" s="27">
        <v>1487.3618074619592</v>
      </c>
      <c r="D171" s="26">
        <v>0.35962791489815038</v>
      </c>
      <c r="E171" s="26">
        <v>0.36028604111025975</v>
      </c>
      <c r="G171" s="9">
        <f>((D171-$D$3)^2+(E171-$E$3)^2)</f>
        <v>1.1548988773718783E-2</v>
      </c>
    </row>
    <row r="172" spans="3:7" ht="12.5">
      <c r="C172" s="27">
        <v>1491.080211980614</v>
      </c>
      <c r="D172" s="26">
        <v>0.3591190841087018</v>
      </c>
      <c r="E172" s="26">
        <v>0.36029947666568612</v>
      </c>
      <c r="G172" s="9">
        <f>((D172-$D$3)^2+(E172-$E$3)^2)</f>
        <v>1.1440870421965758E-2</v>
      </c>
    </row>
    <row r="173" spans="3:7" ht="12.5">
      <c r="C173" s="27">
        <v>1494.8079125105655</v>
      </c>
      <c r="D173" s="26">
        <v>0.35861101292737824</v>
      </c>
      <c r="E173" s="26">
        <v>0.3603125517319129</v>
      </c>
      <c r="G173" s="9">
        <f>((D173-$D$3)^2+(E173-$E$3)^2)</f>
        <v>1.1333422399929672E-2</v>
      </c>
    </row>
    <row r="174" spans="3:7" ht="12.5">
      <c r="C174" s="27">
        <v>1498.5449322918419</v>
      </c>
      <c r="D174" s="26">
        <v>0.35810370363286631</v>
      </c>
      <c r="E174" s="26">
        <v>0.36032526493888689</v>
      </c>
      <c r="G174" s="9">
        <f>((D174-$D$3)^2+(E174-$E$3)^2)</f>
        <v>1.1226642810938721E-2</v>
      </c>
    </row>
    <row r="175" spans="3:7" ht="12.5">
      <c r="C175" s="27">
        <v>1502.2912946225713</v>
      </c>
      <c r="D175" s="26">
        <v>0.35759715848320728</v>
      </c>
      <c r="E175" s="26">
        <v>0.36033761492387001</v>
      </c>
      <c r="G175" s="9">
        <f>((D175-$D$3)^2+(E175-$E$3)^2)</f>
        <v>1.1120529749041205E-2</v>
      </c>
    </row>
    <row r="176" spans="3:7" ht="12.5">
      <c r="C176" s="27">
        <v>1506.0470228591275</v>
      </c>
      <c r="D176" s="26">
        <v>0.35709137971587485</v>
      </c>
      <c r="E176" s="26">
        <v>0.36034960033152541</v>
      </c>
      <c r="G176" s="9">
        <f>((D176-$D$3)^2+(E176-$E$3)^2)</f>
        <v>1.1015081299173824E-2</v>
      </c>
    </row>
    <row r="177" spans="3:7" ht="12.5">
      <c r="C177" s="27">
        <v>1509.8121404162753</v>
      </c>
      <c r="D177" s="26">
        <v>0.35658636954785128</v>
      </c>
      <c r="E177" s="26">
        <v>0.3603612198140026</v>
      </c>
      <c r="G177" s="9">
        <f>((D177-$D$3)^2+(E177-$E$3)^2)</f>
        <v>1.0910295537328715E-2</v>
      </c>
    </row>
    <row r="178" spans="3:7" ht="12.5">
      <c r="C178" s="27">
        <v>1513.5866707673158</v>
      </c>
      <c r="D178" s="26">
        <v>0.35608213017570362</v>
      </c>
      <c r="E178" s="26">
        <v>0.36037247203102307</v>
      </c>
      <c r="G178" s="9">
        <f>((D178-$D$3)^2+(E178-$E$3)^2)</f>
        <v>1.0806170530719644E-2</v>
      </c>
    </row>
    <row r="179" spans="3:7" ht="12.5">
      <c r="C179" s="27">
        <v>1517.370637444234</v>
      </c>
      <c r="D179" s="26">
        <v>0.35557866377566327</v>
      </c>
      <c r="E179" s="26">
        <v>0.36038335564996504</v>
      </c>
      <c r="G179" s="9">
        <f>((D179-$D$3)^2+(E179-$E$3)^2)</f>
        <v>1.0702704337948019E-2</v>
      </c>
    </row>
    <row r="180" spans="3:7" ht="12.5">
      <c r="C180" s="27">
        <v>1521.1640640378446</v>
      </c>
      <c r="D180" s="26">
        <v>0.35507597250370071</v>
      </c>
      <c r="E180" s="26">
        <v>0.36039386934594891</v>
      </c>
      <c r="G180" s="9">
        <f>((D180-$D$3)^2+(E180-$E$3)^2)</f>
        <v>1.0599895009167005E-2</v>
      </c>
    </row>
    <row r="181" spans="3:7" ht="12.5">
      <c r="C181" s="27">
        <v>1524.9669741979392</v>
      </c>
      <c r="D181" s="26">
        <v>0.35457405849559964</v>
      </c>
      <c r="E181" s="26">
        <v>0.36040401180192183</v>
      </c>
      <c r="G181" s="9">
        <f>((D181-$D$3)^2+(E181-$E$3)^2)</f>
        <v>1.0497740586244669E-2</v>
      </c>
    </row>
    <row r="182" spans="3:7" ht="12.5">
      <c r="C182" s="27">
        <v>1528.779391633434</v>
      </c>
      <c r="D182" s="26">
        <v>0.35407292386703976</v>
      </c>
      <c r="E182" s="26">
        <v>0.36041378170874144</v>
      </c>
      <c r="G182" s="9">
        <f>((D182-$D$3)^2+(E182-$E$3)^2)</f>
        <v>1.0396239102927951E-2</v>
      </c>
    </row>
    <row r="183" spans="3:7" ht="12.5">
      <c r="C183" s="27">
        <v>1532.6013401125174</v>
      </c>
      <c r="D183" s="26">
        <v>0.35357257071366671</v>
      </c>
      <c r="E183" s="26">
        <v>0.36042317776526128</v>
      </c>
      <c r="G183" s="9">
        <f>((D183-$D$3)^2+(E183-$E$3)^2)</f>
        <v>1.0295388585003191E-2</v>
      </c>
    </row>
    <row r="184" spans="3:7" ht="12.5">
      <c r="C184" s="27">
        <v>1536.4328434627987</v>
      </c>
      <c r="D184" s="26">
        <v>0.35307300111117262</v>
      </c>
      <c r="E184" s="26">
        <v>0.36043219867841358</v>
      </c>
      <c r="G184" s="9">
        <f>((D184-$D$3)^2+(E184-$E$3)^2)</f>
        <v>1.0195187050457867E-2</v>
      </c>
    </row>
    <row r="185" spans="3:7" ht="12.5">
      <c r="C185" s="27">
        <v>1540.2739255714557</v>
      </c>
      <c r="D185" s="26">
        <v>0.35257421711537112</v>
      </c>
      <c r="E185" s="26">
        <v>0.36044084316329345</v>
      </c>
      <c r="G185" s="9">
        <f>((D185-$D$3)^2+(E185-$E$3)^2)</f>
        <v>1.0095632509640353E-2</v>
      </c>
    </row>
    <row r="186" spans="3:7" ht="12.5">
      <c r="C186" s="27">
        <v>1544.1246103853844</v>
      </c>
      <c r="D186" s="26">
        <v>0.35207622076227357</v>
      </c>
      <c r="E186" s="26">
        <v>0.36044910994324214</v>
      </c>
      <c r="G186" s="9">
        <f>((D186-$D$3)^2+(E186-$E$3)^2)</f>
        <v>9.9967229654190099E-3</v>
      </c>
    </row>
    <row r="187" spans="3:7" ht="12.5">
      <c r="C187" s="27">
        <v>1547.9849219113478</v>
      </c>
      <c r="D187" s="26">
        <v>0.35157901406816489</v>
      </c>
      <c r="E187" s="26">
        <v>0.3604569977499299</v>
      </c>
      <c r="G187" s="9">
        <f>((D187-$D$3)^2+(E187-$E$3)^2)</f>
        <v>9.8984564133403011E-3</v>
      </c>
    </row>
    <row r="188" spans="3:7" ht="12.5">
      <c r="C188" s="27">
        <v>1551.854884216126</v>
      </c>
      <c r="D188" s="26">
        <v>0.3510825990296782</v>
      </c>
      <c r="E188" s="26">
        <v>0.36046450532343943</v>
      </c>
      <c r="G188" s="9">
        <f>((D188-$D$3)^2+(E188-$E$3)^2)</f>
        <v>9.800830841785799E-3</v>
      </c>
    </row>
    <row r="189" spans="3:7" ht="12.5">
      <c r="C189" s="27">
        <v>1555.7345214266663</v>
      </c>
      <c r="D189" s="26">
        <v>0.35058697762387436</v>
      </c>
      <c r="E189" s="26">
        <v>0.360471631412347</v>
      </c>
      <c r="G189" s="9">
        <f>((D189-$D$3)^2+(E189-$E$3)^2)</f>
        <v>9.7038442321291905E-3</v>
      </c>
    </row>
    <row r="190" spans="3:7" ht="12.5">
      <c r="C190" s="27">
        <v>1559.6238577302329</v>
      </c>
      <c r="D190" s="26">
        <v>0.35009215180831538</v>
      </c>
      <c r="E190" s="26">
        <v>0.36047837477380573</v>
      </c>
      <c r="G190" s="9">
        <f>((D190-$D$3)^2+(E190-$E$3)^2)</f>
        <v>9.6074945588912521E-3</v>
      </c>
    </row>
    <row r="191" spans="3:7" ht="12.5">
      <c r="C191" s="27">
        <v>1563.5229173745583</v>
      </c>
      <c r="D191" s="26">
        <v>0.34959812352113678</v>
      </c>
      <c r="E191" s="26">
        <v>0.36048473417362686</v>
      </c>
      <c r="G191" s="9">
        <f>((D191-$D$3)^2+(E191-$E$3)^2)</f>
        <v>9.511779789893678E-3</v>
      </c>
    </row>
    <row r="192" spans="3:7" ht="12.5">
      <c r="C192" s="27">
        <v>1567.4317246679946</v>
      </c>
      <c r="D192" s="26">
        <v>0.34910489468112782</v>
      </c>
      <c r="E192" s="26">
        <v>0.36049070838636121</v>
      </c>
      <c r="G192" s="9">
        <f>((D192-$D$3)^2+(E192-$E$3)^2)</f>
        <v>9.4166978864135224E-3</v>
      </c>
    </row>
    <row r="193" spans="3:7" ht="12.5">
      <c r="C193" s="27">
        <v>1571.3503039796644</v>
      </c>
      <c r="D193" s="26">
        <v>0.34861246718780581</v>
      </c>
      <c r="E193" s="26">
        <v>0.36049629619537998</v>
      </c>
      <c r="G193" s="9">
        <f>((D193-$D$3)^2+(E193-$E$3)^2)</f>
        <v>9.3222468033356144E-3</v>
      </c>
    </row>
    <row r="194" spans="3:7" ht="12.5">
      <c r="C194" s="27">
        <v>1575.2786797396136</v>
      </c>
      <c r="D194" s="26">
        <v>0.34812084292148804</v>
      </c>
      <c r="E194" s="26">
        <v>0.36050149639295587</v>
      </c>
      <c r="G194" s="9">
        <f>((D194-$D$3)^2+(E194-$E$3)^2)</f>
        <v>9.2284244893035879E-3</v>
      </c>
    </row>
    <row r="195" spans="3:7" ht="12.5">
      <c r="C195" s="27">
        <v>1579.2168764389626</v>
      </c>
      <c r="D195" s="26">
        <v>0.34763002374336915</v>
      </c>
      <c r="E195" s="26">
        <v>0.36050630778034282</v>
      </c>
      <c r="G195" s="9">
        <f>((D195-$D$3)^2+(E195-$E$3)^2)</f>
        <v>9.1352288868710458E-3</v>
      </c>
    </row>
    <row r="196" spans="3:7" ht="12.5">
      <c r="C196" s="27">
        <v>1583.1649186300599</v>
      </c>
      <c r="D196" s="26">
        <v>0.34714001149559615</v>
      </c>
      <c r="E196" s="26">
        <v>0.36051072916785687</v>
      </c>
      <c r="G196" s="9">
        <f>((D196-$D$3)^2+(E196-$E$3)^2)</f>
        <v>9.0426579326513788E-3</v>
      </c>
    </row>
    <row r="197" spans="3:7" ht="12.5">
      <c r="C197" s="27">
        <v>1587.1228309266351</v>
      </c>
      <c r="D197" s="26">
        <v>0.34665080800134074</v>
      </c>
      <c r="E197" s="26">
        <v>0.36051475937495409</v>
      </c>
      <c r="G197" s="9">
        <f>((D197-$D$3)^2+(E197-$E$3)^2)</f>
        <v>8.950709557466123E-3</v>
      </c>
    </row>
    <row r="198" spans="3:7" ht="12.5">
      <c r="C198" s="27">
        <v>1591.0906380039517</v>
      </c>
      <c r="D198" s="26">
        <v>0.34616241506487477</v>
      </c>
      <c r="E198" s="26">
        <v>0.36051839723031137</v>
      </c>
      <c r="G198" s="9">
        <f>((D198-$D$3)^2+(E198-$E$3)^2)</f>
        <v>8.8593816864930511E-3</v>
      </c>
    </row>
    <row r="199" spans="3:7" ht="12.5">
      <c r="C199" s="27">
        <v>1595.0683645989614</v>
      </c>
      <c r="D199" s="26">
        <v>0.34567483447164365</v>
      </c>
      <c r="E199" s="26">
        <v>0.36052164157190375</v>
      </c>
      <c r="G199" s="9">
        <f>((D199-$D$3)^2+(E199-$E$3)^2)</f>
        <v>8.7686722394129044E-3</v>
      </c>
    </row>
    <row r="200" spans="3:7" ht="12.5">
      <c r="C200" s="27">
        <v>1599.0560355104587</v>
      </c>
      <c r="D200" s="26">
        <v>0.34518806798834228</v>
      </c>
      <c r="E200" s="26">
        <v>0.36052449124708347</v>
      </c>
      <c r="G200" s="9">
        <f>((D200-$D$3)^2+(E200-$E$3)^2)</f>
        <v>8.6785791305557299E-3</v>
      </c>
    </row>
    <row r="201" spans="3:7" ht="12.5">
      <c r="C201" s="27">
        <v>1603.0536755992348</v>
      </c>
      <c r="D201" s="26">
        <v>0.34470211736298562</v>
      </c>
      <c r="E201" s="26">
        <v>0.36052694511265732</v>
      </c>
      <c r="G201" s="9">
        <f>((D201-$D$3)^2+(E201-$E$3)^2)</f>
        <v>8.5891002690452641E-3</v>
      </c>
    </row>
    <row r="202" spans="3:7" ht="12.5">
      <c r="C202" s="27">
        <v>1607.0613097882328</v>
      </c>
      <c r="D202" s="26">
        <v>0.34421698432498349</v>
      </c>
      <c r="E202" s="26">
        <v>0.36052900203496419</v>
      </c>
      <c r="G202" s="9">
        <f>((D202-$D$3)^2+(E202-$E$3)^2)</f>
        <v>8.5002335589432106E-3</v>
      </c>
    </row>
    <row r="203" spans="3:7" ht="12.5">
      <c r="C203" s="27">
        <v>1611.0789630627035</v>
      </c>
      <c r="D203" s="26">
        <v>0.34373267058521484</v>
      </c>
      <c r="E203" s="26">
        <v>0.36053066088995167</v>
      </c>
      <c r="G203" s="9">
        <f>((D203-$D$3)^2+(E203-$E$3)^2)</f>
        <v>8.4119768993924822E-3</v>
      </c>
    </row>
    <row r="204" spans="3:7" ht="12.5">
      <c r="C204" s="27">
        <v>1615.1066604703601</v>
      </c>
      <c r="D204" s="26">
        <v>0.34324917783609843</v>
      </c>
      <c r="E204" s="26">
        <v>0.36053192056325273</v>
      </c>
      <c r="G204" s="9">
        <f>((D204-$D$3)^2+(E204-$E$3)^2)</f>
        <v>8.3243281847588703E-3</v>
      </c>
    </row>
    <row r="205" spans="3:7" ht="12.5">
      <c r="C205" s="27">
        <v>1619.144427121536</v>
      </c>
      <c r="D205" s="26">
        <v>0.34276650775166556</v>
      </c>
      <c r="E205" s="26">
        <v>0.36053277995026173</v>
      </c>
      <c r="G205" s="9">
        <f>((D205-$D$3)^2+(E205-$E$3)^2)</f>
        <v>8.2372853047721923E-3</v>
      </c>
    </row>
    <row r="206" spans="3:7" ht="12.5">
      <c r="C206" s="27">
        <v>1623.1922881893397</v>
      </c>
      <c r="D206" s="26">
        <v>0.34228466198763402</v>
      </c>
      <c r="E206" s="26">
        <v>0.36053323795620962</v>
      </c>
      <c r="G206" s="9">
        <f>((D206-$D$3)^2+(E206-$E$3)^2)</f>
        <v>8.1508461446667037E-3</v>
      </c>
    </row>
    <row r="207" spans="3:7" ht="12.5">
      <c r="C207" s="27">
        <v>1627.250268909813</v>
      </c>
      <c r="D207" s="26">
        <v>0.34180364218148196</v>
      </c>
      <c r="E207" s="26">
        <v>0.36053329349623864</v>
      </c>
      <c r="G207" s="9">
        <f>((D207-$D$3)^2+(E207-$E$3)^2)</f>
        <v>8.0650085853205856E-3</v>
      </c>
    </row>
    <row r="208" spans="3:7" ht="12.5">
      <c r="C208" s="27">
        <v>1631.3183945820874</v>
      </c>
      <c r="D208" s="26">
        <v>0.34132344995251435</v>
      </c>
      <c r="E208" s="26">
        <v>0.36053294549547726</v>
      </c>
      <c r="G208" s="9">
        <f>((D208-$D$3)^2+(E208-$E$3)^2)</f>
        <v>7.9797705033931958E-3</v>
      </c>
    </row>
    <row r="209" spans="3:7" ht="12.5">
      <c r="C209" s="27">
        <v>1635.3966905685425</v>
      </c>
      <c r="D209" s="26">
        <v>0.34084408690194024</v>
      </c>
      <c r="E209" s="26">
        <v>0.36053219288911342</v>
      </c>
      <c r="G209" s="9">
        <f>((D209-$D$3)^2+(E209-$E$3)^2)</f>
        <v>7.8951297714633054E-3</v>
      </c>
    </row>
    <row r="210" spans="3:7" ht="12.5">
      <c r="C210" s="27">
        <v>1639.4851822949638</v>
      </c>
      <c r="D210" s="26">
        <v>0.34036555461293888</v>
      </c>
      <c r="E210" s="26">
        <v>0.3605310346224691</v>
      </c>
      <c r="G210" s="9">
        <f>((D210-$D$3)^2+(E210-$E$3)^2)</f>
        <v>7.8110842581644779E-3</v>
      </c>
    </row>
    <row r="211" spans="3:7" ht="12.5">
      <c r="C211" s="27">
        <v>1643.5838952507011</v>
      </c>
      <c r="D211" s="26">
        <v>0.3398878546507369</v>
      </c>
      <c r="E211" s="26">
        <v>0.36052946965107135</v>
      </c>
      <c r="G211" s="9">
        <f>((D211-$D$3)^2+(E211-$E$3)^2)</f>
        <v>7.727631828321398E-3</v>
      </c>
    </row>
    <row r="212" spans="3:7" ht="12.5">
      <c r="C212" s="27">
        <v>1647.6928549888278</v>
      </c>
      <c r="D212" s="26">
        <v>0.33941098856267432</v>
      </c>
      <c r="E212" s="26">
        <v>0.36052749694072633</v>
      </c>
      <c r="G212" s="9">
        <f>((D212-$D$3)^2+(E212-$E$3)^2)</f>
        <v>7.6447703430834084E-3</v>
      </c>
    </row>
    <row r="213" spans="3:7" ht="12.5">
      <c r="C213" s="27">
        <v>1651.8120871262997</v>
      </c>
      <c r="D213" s="26">
        <v>0.33893495787827571</v>
      </c>
      <c r="E213" s="26">
        <v>0.36052511546758964</v>
      </c>
      <c r="G213" s="9">
        <f>((D213-$D$3)^2+(E213-$E$3)^2)</f>
        <v>7.5624976600579541E-3</v>
      </c>
    </row>
    <row r="214" spans="3:7" ht="12.5">
      <c r="C214" s="27">
        <v>1655.9416173441155</v>
      </c>
      <c r="D214" s="26">
        <v>0.33845976410932438</v>
      </c>
      <c r="E214" s="26">
        <v>0.36052232421823843</v>
      </c>
      <c r="G214" s="9">
        <f>((D214-$D$3)^2+(E214-$E$3)^2)</f>
        <v>7.4808116334436781E-3</v>
      </c>
    </row>
    <row r="215" spans="3:7" ht="12.5">
      <c r="C215" s="27">
        <v>1660.0814713874756</v>
      </c>
      <c r="D215" s="26">
        <v>0.33798540874992783</v>
      </c>
      <c r="E215" s="26">
        <v>0.36051912218974141</v>
      </c>
      <c r="G215" s="9">
        <f>((D215-$D$3)^2+(E215-$E$3)^2)</f>
        <v>7.3997101141610446E-3</v>
      </c>
    </row>
    <row r="216" spans="3:7" ht="12.5">
      <c r="C216" s="27">
        <v>1664.2316750659443</v>
      </c>
      <c r="D216" s="26">
        <v>0.33751189327658881</v>
      </c>
      <c r="E216" s="26">
        <v>0.36051550838972929</v>
      </c>
      <c r="G216" s="9">
        <f>((D216-$D$3)^2+(E216-$E$3)^2)</f>
        <v>7.3191909499830425E-3</v>
      </c>
    </row>
    <row r="217" spans="3:7" ht="12.5">
      <c r="C217" s="27">
        <v>1668.3922542536091</v>
      </c>
      <c r="D217" s="26">
        <v>0.33703921914827645</v>
      </c>
      <c r="E217" s="26">
        <v>0.36051148183646364</v>
      </c>
      <c r="G217" s="9">
        <f>((D217-$D$3)^2+(E217-$E$3)^2)</f>
        <v>7.2392519856649363E-3</v>
      </c>
    </row>
    <row r="218" spans="3:7" ht="12.5">
      <c r="C218" s="27">
        <v>1672.5632348892429</v>
      </c>
      <c r="D218" s="26">
        <v>0.33656738780649348</v>
      </c>
      <c r="E218" s="26">
        <v>0.36050704155890612</v>
      </c>
      <c r="G218" s="9">
        <f>((D218-$D$3)^2+(E218-$E$3)^2)</f>
        <v>7.1598910630724794E-3</v>
      </c>
    </row>
    <row r="219" spans="3:7" ht="12.5">
      <c r="C219" s="27">
        <v>1676.7446429764659</v>
      </c>
      <c r="D219" s="26">
        <v>0.33609640067534702</v>
      </c>
      <c r="E219" s="26">
        <v>0.36050218659678607</v>
      </c>
      <c r="G219" s="9">
        <f>((D219-$D$3)^2+(E219-$E$3)^2)</f>
        <v>7.0811060213097476E-3</v>
      </c>
    </row>
    <row r="220" spans="3:7" ht="12.5">
      <c r="C220" s="27">
        <v>1680.936504583907</v>
      </c>
      <c r="D220" s="26">
        <v>0.33562625916161387</v>
      </c>
      <c r="E220" s="26">
        <v>0.36049691600066897</v>
      </c>
      <c r="G220" s="9">
        <f>((D220-$D$3)^2+(E220-$E$3)^2)</f>
        <v>7.0028946968451961E-3</v>
      </c>
    </row>
    <row r="221" spans="3:7" ht="12.5">
      <c r="C221" s="27">
        <v>1685.1388458453666</v>
      </c>
      <c r="D221" s="26">
        <v>0.33515696465481382</v>
      </c>
      <c r="E221" s="26">
        <v>0.36049122883202278</v>
      </c>
      <c r="G221" s="9">
        <f>((D221-$D$3)^2+(E221-$E$3)^2)</f>
        <v>6.9252549236380797E-3</v>
      </c>
    </row>
    <row r="222" spans="3:7" ht="12.5">
      <c r="C222" s="27">
        <v>1689.35169295998</v>
      </c>
      <c r="D222" s="26">
        <v>0.33468851852727255</v>
      </c>
      <c r="E222" s="26">
        <v>0.36048512416328388</v>
      </c>
      <c r="G222" s="9">
        <f>((D222-$D$3)^2+(E222-$E$3)^2)</f>
        <v>6.8481845332622358E-3</v>
      </c>
    </row>
    <row r="223" spans="3:7" ht="12.5">
      <c r="C223" s="27">
        <v>1693.5750721923798</v>
      </c>
      <c r="D223" s="26">
        <v>0.33422092213419252</v>
      </c>
      <c r="E223" s="26">
        <v>0.36047860107792362</v>
      </c>
      <c r="G223" s="9">
        <f>((D223-$D$3)^2+(E223-$E$3)^2)</f>
        <v>6.7716813550302915E-3</v>
      </c>
    </row>
    <row r="224" spans="3:7" ht="12.5">
      <c r="C224" s="27">
        <v>1697.8090098728608</v>
      </c>
      <c r="D224" s="26">
        <v>0.33375417681371844</v>
      </c>
      <c r="E224" s="26">
        <v>0.36047165867051256</v>
      </c>
      <c r="G224" s="9">
        <f>((D224-$D$3)^2+(E224-$E$3)^2)</f>
        <v>6.6957432161160284E-3</v>
      </c>
    </row>
    <row r="225" spans="3:7" ht="12.5">
      <c r="C225" s="27">
        <v>1702.0535323975428</v>
      </c>
      <c r="D225" s="26">
        <v>0.33328828388700737</v>
      </c>
      <c r="E225" s="26">
        <v>0.3604642960467847</v>
      </c>
      <c r="G225" s="9">
        <f>((D225-$D$3)^2+(E225-$E$3)^2)</f>
        <v>6.6203679416765929E-3</v>
      </c>
    </row>
    <row r="226" spans="3:7" ht="12.5">
      <c r="C226" s="27">
        <v>1706.3086662285366</v>
      </c>
      <c r="D226" s="26">
        <v>0.33282324465829133</v>
      </c>
      <c r="E226" s="26">
        <v>0.36045651232370185</v>
      </c>
      <c r="G226" s="9">
        <f>((D226-$D$3)^2+(E226-$E$3)^2)</f>
        <v>6.5455533549725834E-3</v>
      </c>
    </row>
    <row r="227" spans="3:7" ht="12.5">
      <c r="C227" s="27">
        <v>1710.5744378941079</v>
      </c>
      <c r="D227" s="26">
        <v>0.33235906041494701</v>
      </c>
      <c r="E227" s="26">
        <v>0.3604483066295161</v>
      </c>
      <c r="G227" s="9">
        <f>((D227-$D$3)^2+(E227-$E$3)^2)</f>
        <v>6.4712972774883595E-3</v>
      </c>
    </row>
    <row r="228" spans="3:7" ht="12.5">
      <c r="C228" s="27">
        <v>1714.850873988843</v>
      </c>
      <c r="D228" s="26">
        <v>0.33189573242756143</v>
      </c>
      <c r="E228" s="26">
        <v>0.36043967810383187</v>
      </c>
      <c r="G228" s="9">
        <f>((D228-$D$3)^2+(E228-$E$3)^2)</f>
        <v>6.3975975290507569E-3</v>
      </c>
    </row>
    <row r="229" spans="3:7" ht="12.5">
      <c r="C229" s="27">
        <v>1719.1380011738149</v>
      </c>
      <c r="D229" s="26">
        <v>0.33143326194999451</v>
      </c>
      <c r="E229" s="26">
        <v>0.36043062589766806</v>
      </c>
      <c r="G229" s="9">
        <f>((D229-$D$3)^2+(E229-$E$3)^2)</f>
        <v>6.3244519279464385E-3</v>
      </c>
    </row>
    <row r="230" spans="3:7" ht="12.5">
      <c r="C230" s="27">
        <v>1723.4358461767495</v>
      </c>
      <c r="D230" s="26">
        <v>0.33097165021945013</v>
      </c>
      <c r="E230" s="26">
        <v>0.36042114917351814</v>
      </c>
      <c r="G230" s="9">
        <f>((D230-$D$3)^2+(E230-$E$3)^2)</f>
        <v>6.2518582910396367E-3</v>
      </c>
    </row>
    <row r="231" spans="3:7" ht="12.5">
      <c r="C231" s="27">
        <v>1727.7444357921913</v>
      </c>
      <c r="D231" s="26">
        <v>0.33051089845653875</v>
      </c>
      <c r="E231" s="26">
        <v>0.36041124710541111</v>
      </c>
      <c r="G231" s="9">
        <f>((D231-$D$3)^2+(E231-$E$3)^2)</f>
        <v>6.1798144338876633E-3</v>
      </c>
    </row>
    <row r="232" spans="3:7" ht="12.5">
      <c r="C232" s="27">
        <v>1732.0637968816718</v>
      </c>
      <c r="D232" s="26">
        <v>0.33005100786533925</v>
      </c>
      <c r="E232" s="26">
        <v>0.36040091887897052</v>
      </c>
      <c r="G232" s="9">
        <f>((D232-$D$3)^2+(E232-$E$3)^2)</f>
        <v>6.1083181708553869E-3</v>
      </c>
    </row>
    <row r="233" spans="3:7" ht="12.5">
      <c r="C233" s="27">
        <v>1736.3939563738759</v>
      </c>
      <c r="D233" s="26">
        <v>0.32959197963346898</v>
      </c>
      <c r="E233" s="26">
        <v>0.36039016369147314</v>
      </c>
      <c r="G233" s="9">
        <f>((D233-$D$3)^2+(E233-$E$3)^2)</f>
        <v>6.0373673152300696E-3</v>
      </c>
    </row>
    <row r="234" spans="3:7" ht="12.5">
      <c r="C234" s="27">
        <v>1740.7349412648105</v>
      </c>
      <c r="D234" s="26">
        <v>0.32913381493214416</v>
      </c>
      <c r="E234" s="26">
        <v>0.36037898075190689</v>
      </c>
      <c r="G234" s="9">
        <f>((D234-$D$3)^2+(E234-$E$3)^2)</f>
        <v>5.9669596793337836E-3</v>
      </c>
    </row>
    <row r="235" spans="3:7" ht="12.5">
      <c r="C235" s="27">
        <v>1745.0867786179724</v>
      </c>
      <c r="D235" s="26">
        <v>0.32867651491624555</v>
      </c>
      <c r="E235" s="26">
        <v>0.36036736928102808</v>
      </c>
      <c r="G235" s="9">
        <f>((D235-$D$3)^2+(E235-$E$3)^2)</f>
        <v>5.8970930746357524E-3</v>
      </c>
    </row>
    <row r="236" spans="3:7" ht="12.5">
      <c r="C236" s="27">
        <v>1749.4494955645173</v>
      </c>
      <c r="D236" s="26">
        <v>0.32822008072438247</v>
      </c>
      <c r="E236" s="26">
        <v>0.36035532851141822</v>
      </c>
      <c r="G236" s="9">
        <f>((D236-$D$3)^2+(E236-$E$3)^2)</f>
        <v>5.8277653118635059E-3</v>
      </c>
    </row>
    <row r="237" spans="3:7" ht="12.5">
      <c r="C237" s="27">
        <v>1753.8231193034285</v>
      </c>
      <c r="D237" s="26">
        <v>0.32776451347895441</v>
      </c>
      <c r="E237" s="26">
        <v>0.36034285768753904</v>
      </c>
      <c r="G237" s="9">
        <f>((D237-$D$3)^2+(E237-$E$3)^2)</f>
        <v>5.7589742011127671E-3</v>
      </c>
    </row>
    <row r="238" spans="3:7" ht="12.5">
      <c r="C238" s="27">
        <v>1758.2076771016871</v>
      </c>
      <c r="D238" s="26">
        <v>0.32730981428621519</v>
      </c>
      <c r="E238" s="26">
        <v>0.36032995606578822</v>
      </c>
      <c r="G238" s="9">
        <f>((D238-$D$3)^2+(E238-$E$3)^2)</f>
        <v>5.6907175519568176E-3</v>
      </c>
    </row>
    <row r="239" spans="3:7" ht="12.5">
      <c r="C239" s="27">
        <v>1762.6031962944412</v>
      </c>
      <c r="D239" s="26">
        <v>0.32685598423633577</v>
      </c>
      <c r="E239" s="26">
        <v>0.36031662291455263</v>
      </c>
      <c r="G239" s="9">
        <f>((D239-$D$3)^2+(E239-$E$3)^2)</f>
        <v>5.6229931735547328E-3</v>
      </c>
    </row>
    <row r="240" spans="3:7" ht="12.5">
      <c r="C240" s="27">
        <v>1767.0097042851771</v>
      </c>
      <c r="D240" s="26">
        <v>0.32640302440346664</v>
      </c>
      <c r="E240" s="26">
        <v>0.36030285751426266</v>
      </c>
      <c r="G240" s="9">
        <f>((D240-$D$3)^2+(E240-$E$3)^2)</f>
        <v>5.5557988747586898E-3</v>
      </c>
    </row>
    <row r="241" spans="3:7" ht="12.5">
      <c r="C241" s="27">
        <v>1771.4272285458899</v>
      </c>
      <c r="D241" s="26">
        <v>0.32595093584579893</v>
      </c>
      <c r="E241" s="26">
        <v>0.36028865915744424</v>
      </c>
      <c r="G241" s="9">
        <f>((D241-$D$3)^2+(E241-$E$3)^2)</f>
        <v>5.4891324642201257E-3</v>
      </c>
    </row>
    <row r="242" spans="3:7" ht="12.5">
      <c r="C242" s="27">
        <v>1775.8557966172546</v>
      </c>
      <c r="D242" s="26">
        <v>0.32549971960562796</v>
      </c>
      <c r="E242" s="26">
        <v>0.36027402714877071</v>
      </c>
      <c r="G242" s="9">
        <f>((D242-$D$3)^2+(E242-$E$3)^2)</f>
        <v>5.4229917504953866E-3</v>
      </c>
    </row>
    <row r="243" spans="3:7" ht="12.5">
      <c r="C243" s="27">
        <v>1780.2954361087975</v>
      </c>
      <c r="D243" s="26">
        <v>0.32504937670941375</v>
      </c>
      <c r="E243" s="26">
        <v>0.36025896080511383</v>
      </c>
      <c r="G243" s="9">
        <f>((D243-$D$3)^2+(E243-$E$3)^2)</f>
        <v>5.3573745421500113E-3</v>
      </c>
    </row>
    <row r="244" spans="3:7" ht="12.5">
      <c r="C244" s="27">
        <v>1784.7461746990693</v>
      </c>
      <c r="D244" s="26">
        <v>0.3245999081678409</v>
      </c>
      <c r="E244" s="26">
        <v>0.36024345945559405</v>
      </c>
      <c r="G244" s="9">
        <f>((D244-$D$3)^2+(E244-$E$3)^2)</f>
        <v>5.292278647862028E-3</v>
      </c>
    </row>
    <row r="245" spans="3:7" ht="12.5">
      <c r="C245" s="27">
        <v>1789.2080401358169</v>
      </c>
      <c r="D245" s="26">
        <v>0.32415131497588218</v>
      </c>
      <c r="E245" s="26">
        <v>0.36022752244163009</v>
      </c>
      <c r="G245" s="9">
        <f>((D245-$D$3)^2+(E245-$E$3)^2)</f>
        <v>5.2277018765248973E-3</v>
      </c>
    </row>
    <row r="246" spans="3:7" ht="12.5">
      <c r="C246" s="27">
        <v>1793.6810602361563</v>
      </c>
      <c r="D246" s="26">
        <v>0.32370359811285609</v>
      </c>
      <c r="E246" s="26">
        <v>0.36021114911698698</v>
      </c>
      <c r="G246" s="9">
        <f>((D246-$D$3)^2+(E246-$E$3)^2)</f>
        <v>5.1636420373486567E-3</v>
      </c>
    </row>
    <row r="247" spans="3:7" ht="12.5">
      <c r="C247" s="27">
        <v>1798.1652628867466</v>
      </c>
      <c r="D247" s="26">
        <v>0.32325675854248925</v>
      </c>
      <c r="E247" s="26">
        <v>0.36019433884782415</v>
      </c>
      <c r="G247" s="9">
        <f>((D247-$D$3)^2+(E247-$E$3)^2)</f>
        <v>5.100096939960881E-3</v>
      </c>
    </row>
    <row r="248" spans="3:7" ht="12.5">
      <c r="C248" s="27">
        <v>1802.6606760439633</v>
      </c>
      <c r="D248" s="26">
        <v>0.32281079721297723</v>
      </c>
      <c r="E248" s="26">
        <v>0.36017709101274203</v>
      </c>
      <c r="G248" s="9">
        <f>((D248-$D$3)^2+(E248-$E$3)^2)</f>
        <v>5.0370643945065177E-3</v>
      </c>
    </row>
    <row r="249" spans="3:7" ht="12.5">
      <c r="C249" s="27">
        <v>1807.1673277340731</v>
      </c>
      <c r="D249" s="26">
        <v>0.32236571505703898</v>
      </c>
      <c r="E249" s="26">
        <v>0.36015940500282906</v>
      </c>
      <c r="G249" s="9">
        <f>((D249-$D$3)^2+(E249-$E$3)^2)</f>
        <v>4.974542211745943E-3</v>
      </c>
    </row>
    <row r="250" spans="3:7" ht="12.5">
      <c r="C250" s="27">
        <v>1811.6852460534083</v>
      </c>
      <c r="D250" s="26">
        <v>0.32192151299198291</v>
      </c>
      <c r="E250" s="26">
        <v>0.36014128022170533</v>
      </c>
      <c r="G250" s="9">
        <f>((D250-$D$3)^2+(E250-$E$3)^2)</f>
        <v>4.9125282031537076E-3</v>
      </c>
    </row>
    <row r="251" spans="3:7" ht="12.5">
      <c r="C251" s="27">
        <v>1816.2144591685417</v>
      </c>
      <c r="D251" s="26">
        <v>0.32147819191976135</v>
      </c>
      <c r="E251" s="26">
        <v>0.36012271608556834</v>
      </c>
      <c r="G251" s="9">
        <f>((D251-$D$3)^2+(E251-$E$3)^2)</f>
        <v>4.8510201810148239E-3</v>
      </c>
    </row>
    <row r="252" spans="3:7" ht="12.5">
      <c r="C252" s="27">
        <v>1820.754995316463</v>
      </c>
      <c r="D252" s="26">
        <v>0.32103575272702989</v>
      </c>
      <c r="E252" s="26">
        <v>0.36010371202323588</v>
      </c>
      <c r="G252" s="9">
        <f>((D252-$D$3)^2+(E252-$E$3)^2)</f>
        <v>4.7900159585208104E-3</v>
      </c>
    </row>
    <row r="253" spans="3:7" ht="12.5">
      <c r="C253" s="27">
        <v>1825.306882804754</v>
      </c>
      <c r="D253" s="26">
        <v>0.32059419628520791</v>
      </c>
      <c r="E253" s="26">
        <v>0.36008426747618866</v>
      </c>
      <c r="G253" s="9">
        <f>((D253-$D$3)^2+(E253-$E$3)^2)</f>
        <v>4.7295133498650114E-3</v>
      </c>
    </row>
    <row r="254" spans="3:7" ht="12.5">
      <c r="C254" s="27">
        <v>1829.8701500117656</v>
      </c>
      <c r="D254" s="26">
        <v>0.32015352345053494</v>
      </c>
      <c r="E254" s="26">
        <v>0.36006438189861223</v>
      </c>
      <c r="G254" s="9">
        <f>((D254-$D$3)^2+(E254-$E$3)^2)</f>
        <v>4.6695101703364619E-3</v>
      </c>
    </row>
    <row r="255" spans="3:7" ht="12.5">
      <c r="C255" s="27">
        <v>1834.4448253867949</v>
      </c>
      <c r="D255" s="26">
        <v>0.31971373506412681</v>
      </c>
      <c r="E255" s="26">
        <v>0.36004405475743834</v>
      </c>
      <c r="G255" s="9">
        <f>((D255-$D$3)^2+(E255-$E$3)^2)</f>
        <v>4.6100042364128563E-3</v>
      </c>
    </row>
    <row r="256" spans="3:7" ht="12.5">
      <c r="C256" s="27">
        <v>1839.0309374502619</v>
      </c>
      <c r="D256" s="26">
        <v>0.31927483195203787</v>
      </c>
      <c r="E256" s="26">
        <v>0.36002328553238355</v>
      </c>
      <c r="G256" s="9">
        <f>((D256-$D$3)^2+(E256-$E$3)^2)</f>
        <v>4.5509933658534002E-3</v>
      </c>
    </row>
    <row r="257" spans="3:7" ht="12.5">
      <c r="C257" s="27">
        <v>1843.6285147938875</v>
      </c>
      <c r="D257" s="26">
        <v>0.31883681492531424</v>
      </c>
      <c r="E257" s="26">
        <v>0.36000207371599047</v>
      </c>
      <c r="G257" s="9">
        <f>((D257-$D$3)^2+(E257-$E$3)^2)</f>
        <v>4.492475377789646E-3</v>
      </c>
    </row>
    <row r="258" spans="3:7" ht="12.5">
      <c r="C258" s="27">
        <v>1848.237586080872</v>
      </c>
      <c r="D258" s="26">
        <v>0.31839968478005226</v>
      </c>
      <c r="E258" s="26">
        <v>0.35998041881366433</v>
      </c>
      <c r="G258" s="9">
        <f>((D258-$D$3)^2+(E258-$E$3)^2)</f>
        <v>4.4344480928160826E-3</v>
      </c>
    </row>
    <row r="259" spans="3:7" ht="12.5">
      <c r="C259" s="27">
        <v>1852.858180046074</v>
      </c>
      <c r="D259" s="26">
        <v>0.31796344229745194</v>
      </c>
      <c r="E259" s="26">
        <v>0.35995832034371117</v>
      </c>
      <c r="G259" s="9">
        <f>((D259-$D$3)^2+(E259-$E$3)^2)</f>
        <v>4.3769093330792127E-3</v>
      </c>
    </row>
    <row r="260" spans="3:7" ht="12.5">
      <c r="C260" s="27">
        <v>1857.4903254961891</v>
      </c>
      <c r="D260" s="26">
        <v>0.31752808824388079</v>
      </c>
      <c r="E260" s="26">
        <v>0.35993577783737413</v>
      </c>
      <c r="G260" s="9">
        <f>((D260-$D$3)^2+(E260-$E$3)^2)</f>
        <v>4.3198569223671171E-3</v>
      </c>
    </row>
    <row r="261" spans="3:7" ht="12.5">
      <c r="C261" s="27">
        <v>1862.1340513099294</v>
      </c>
      <c r="D261" s="26">
        <v>0.31709362337092195</v>
      </c>
      <c r="E261" s="26">
        <v>0.35991279083886907</v>
      </c>
      <c r="G261" s="9">
        <f>((D261-$D$3)^2+(E261-$E$3)^2)</f>
        <v>4.2632886861960718E-3</v>
      </c>
    </row>
    <row r="262" spans="3:7" ht="12.5">
      <c r="C262" s="27">
        <v>1866.7893864382042</v>
      </c>
      <c r="D262" s="26">
        <v>0.3166600484154351</v>
      </c>
      <c r="E262" s="26">
        <v>0.35988935890541901</v>
      </c>
      <c r="G262" s="9">
        <f>((D262-$D$3)^2+(E262-$E$3)^2)</f>
        <v>4.2072024518979671E-3</v>
      </c>
    </row>
    <row r="263" spans="3:7" ht="12.5">
      <c r="C263" s="27">
        <v>1871.4563599042997</v>
      </c>
      <c r="D263" s="26">
        <v>0.31622736409960844</v>
      </c>
      <c r="E263" s="26">
        <v>0.35986548160728854</v>
      </c>
      <c r="G263" s="9">
        <f>((D263-$D$3)^2+(E263-$E$3)^2)</f>
        <v>4.1515960487057179E-3</v>
      </c>
    </row>
    <row r="264" spans="3:7" ht="12.5">
      <c r="C264" s="27">
        <v>1876.1350008040604</v>
      </c>
      <c r="D264" s="26">
        <v>0.31579557113101714</v>
      </c>
      <c r="E264" s="26">
        <v>0.35984115852781612</v>
      </c>
      <c r="G264" s="9">
        <f>((D264-$D$3)^2+(E264-$E$3)^2)</f>
        <v>4.0964673078385918E-3</v>
      </c>
    </row>
    <row r="265" spans="3:7" ht="12.5">
      <c r="C265" s="27">
        <v>1880.8253383060705</v>
      </c>
      <c r="D265" s="26">
        <v>0.31536467020267361</v>
      </c>
      <c r="E265" s="26">
        <v>0.3598163892634465</v>
      </c>
      <c r="G265" s="9">
        <f>((D265-$D$3)^2+(E265-$E$3)^2)</f>
        <v>4.0418140625856792E-3</v>
      </c>
    </row>
    <row r="266" spans="3:7" ht="12.5">
      <c r="C266" s="27">
        <v>1885.5274016518356</v>
      </c>
      <c r="D266" s="26">
        <v>0.31493466199309028</v>
      </c>
      <c r="E266" s="26">
        <v>0.35979117342376082</v>
      </c>
      <c r="G266" s="9">
        <f>((D266-$D$3)^2+(E266-$E$3)^2)</f>
        <v>3.9876341483900159E-3</v>
      </c>
    </row>
    <row r="267" spans="3:7" ht="12.5">
      <c r="C267" s="27">
        <v>1890.241220155965</v>
      </c>
      <c r="D267" s="26">
        <v>0.31450554716632506</v>
      </c>
      <c r="E267" s="26">
        <v>0.35976551063150791</v>
      </c>
      <c r="G267" s="9">
        <f>((D267-$D$3)^2+(E267-$E$3)^2)</f>
        <v>3.93392540292973E-3</v>
      </c>
    </row>
    <row r="268" spans="3:7" ht="12.5">
      <c r="C268" s="27">
        <v>1894.9668232063548</v>
      </c>
      <c r="D268" s="26">
        <v>0.31407732637204105</v>
      </c>
      <c r="E268" s="26">
        <v>0.35973940052263298</v>
      </c>
      <c r="G268" s="9">
        <f>((D268-$D$3)^2+(E268-$E$3)^2)</f>
        <v>3.880685666200073E-3</v>
      </c>
    </row>
    <row r="269" spans="3:7" ht="12.5">
      <c r="C269" s="27">
        <v>1899.7042402643706</v>
      </c>
      <c r="D269" s="26">
        <v>0.31365000024555717</v>
      </c>
      <c r="E269" s="26">
        <v>0.35971284274630561</v>
      </c>
      <c r="G269" s="9">
        <f>((D269-$D$3)^2+(E269-$E$3)^2)</f>
        <v>3.8279127805934607E-3</v>
      </c>
    </row>
    <row r="270" spans="3:7" ht="12.5">
      <c r="C270" s="27">
        <v>1904.4535008650314</v>
      </c>
      <c r="D270" s="26">
        <v>0.31322356940790613</v>
      </c>
      <c r="E270" s="26">
        <v>0.35968583696494755</v>
      </c>
      <c r="G270" s="9">
        <f>((D270-$D$3)^2+(E270-$E$3)^2)</f>
        <v>3.7756045909795814E-3</v>
      </c>
    </row>
    <row r="271" spans="3:7" ht="12.5">
      <c r="C271" s="27">
        <v>1909.214634617194</v>
      </c>
      <c r="D271" s="26">
        <v>0.31279803446588272</v>
      </c>
      <c r="E271" s="26">
        <v>0.35965838285425866</v>
      </c>
      <c r="G271" s="9">
        <f>((D271-$D$3)^2+(E271-$E$3)^2)</f>
        <v>3.7237589447834366E-3</v>
      </c>
    </row>
    <row r="272" spans="3:7" ht="12.5">
      <c r="C272" s="27">
        <v>1913.9876712037369</v>
      </c>
      <c r="D272" s="26">
        <v>0.31237339601209996</v>
      </c>
      <c r="E272" s="26">
        <v>0.35963048010324306</v>
      </c>
      <c r="G272" s="9">
        <f>((D272-$D$3)^2+(E272-$E$3)^2)</f>
        <v>3.6723736920635207E-3</v>
      </c>
    </row>
    <row r="273" spans="3:7" ht="12.5">
      <c r="C273" s="27">
        <v>1918.7726403817462</v>
      </c>
      <c r="D273" s="26">
        <v>0.3119496546250411</v>
      </c>
      <c r="E273" s="26">
        <v>0.35960212841423245</v>
      </c>
      <c r="G273" s="9">
        <f>((D273-$D$3)^2+(E273-$E$3)^2)</f>
        <v>3.6214466855886028E-3</v>
      </c>
    </row>
    <row r="274" spans="3:7" ht="12.5">
      <c r="C274" s="27">
        <v>1923.5695719827004</v>
      </c>
      <c r="D274" s="26">
        <v>0.31152681086911371</v>
      </c>
      <c r="E274" s="26">
        <v>0.35957332750291104</v>
      </c>
      <c r="G274" s="9">
        <f>((D274-$D$3)^2+(E274-$E$3)^2)</f>
        <v>3.5709757809139599E-3</v>
      </c>
    </row>
    <row r="275" spans="3:7" ht="12.5">
      <c r="C275" s="27">
        <v>1928.3784959126569</v>
      </c>
      <c r="D275" s="26">
        <v>0.31110486529469777</v>
      </c>
      <c r="E275" s="26">
        <v>0.35954407709833741</v>
      </c>
      <c r="G275" s="9">
        <f>((D275-$D$3)^2+(E275-$E$3)^2)</f>
        <v>3.520958836456005E-3</v>
      </c>
    </row>
    <row r="276" spans="3:7" ht="12.5">
      <c r="C276" s="27">
        <v>1933.1994421524385</v>
      </c>
      <c r="D276" s="26">
        <v>0.31068381843820453</v>
      </c>
      <c r="E276" s="26">
        <v>0.35951437694296612</v>
      </c>
      <c r="G276" s="9">
        <f>((D276-$D$3)^2+(E276-$E$3)^2)</f>
        <v>3.471393713567369E-3</v>
      </c>
    </row>
    <row r="277" spans="3:7" ht="12.5">
      <c r="C277" s="27">
        <v>1938.0324407578194</v>
      </c>
      <c r="D277" s="26">
        <v>0.31026367082211975</v>
      </c>
      <c r="E277" s="26">
        <v>0.35948422679266917</v>
      </c>
      <c r="G277" s="9">
        <f>((D277-$D$3)^2+(E277-$E$3)^2)</f>
        <v>3.4222782766093174E-3</v>
      </c>
    </row>
    <row r="278" spans="3:7" ht="12.5">
      <c r="C278" s="27">
        <v>1942.8775218597139</v>
      </c>
      <c r="D278" s="26">
        <v>0.30984442295506476</v>
      </c>
      <c r="E278" s="26">
        <v>0.35945362641675449</v>
      </c>
      <c r="G278" s="9">
        <f>((D278-$D$3)^2+(E278-$E$3)^2)</f>
        <v>3.3736103930253557E-3</v>
      </c>
    </row>
    <row r="279" spans="3:7" ht="12.5">
      <c r="C279" s="27">
        <v>1947.734715664363</v>
      </c>
      <c r="D279" s="26">
        <v>0.30942607533184152</v>
      </c>
      <c r="E279" s="26">
        <v>0.35942257559798607</v>
      </c>
      <c r="G279" s="9">
        <f>((D279-$D$3)^2+(E279-$E$3)^2)</f>
        <v>3.3253879334122073E-3</v>
      </c>
    </row>
    <row r="280" spans="3:7" ht="12.5">
      <c r="C280" s="27">
        <v>1952.6040524535238</v>
      </c>
      <c r="D280" s="26">
        <v>0.3090086284334847</v>
      </c>
      <c r="E280" s="26">
        <v>0.3593910741326013</v>
      </c>
      <c r="G280" s="9">
        <f>((D280-$D$3)^2+(E280-$E$3)^2)</f>
        <v>3.2776087715907223E-3</v>
      </c>
    </row>
    <row r="281" spans="3:7" ht="12.5">
      <c r="C281" s="27">
        <v>1957.4855625846574</v>
      </c>
      <c r="D281" s="26">
        <v>0.30859208272731498</v>
      </c>
      <c r="E281" s="26">
        <v>0.35935912183032742</v>
      </c>
      <c r="G281" s="9">
        <f>((D281-$D$3)^2+(E281-$E$3)^2)</f>
        <v>3.2302707846760992E-3</v>
      </c>
    </row>
    <row r="282" spans="3:7" ht="12.5">
      <c r="C282" s="27">
        <v>1962.3792764911188</v>
      </c>
      <c r="D282" s="26">
        <v>0.3081764386669868</v>
      </c>
      <c r="E282" s="26">
        <v>0.35932671851439857</v>
      </c>
      <c r="G282" s="9">
        <f>((D282-$D$3)^2+(E282-$E$3)^2)</f>
        <v>3.1833718531466765E-3</v>
      </c>
    </row>
    <row r="283" spans="3:7" ht="12.5">
      <c r="C283" s="27">
        <v>1967.2852246823466</v>
      </c>
      <c r="D283" s="26">
        <v>0.30776169669254144</v>
      </c>
      <c r="E283" s="26">
        <v>0.35929386402156943</v>
      </c>
      <c r="G283" s="9">
        <f>((D283-$D$3)^2+(E283-$E$3)^2)</f>
        <v>3.1369098609124457E-3</v>
      </c>
    </row>
    <row r="284" spans="3:7" ht="12.5">
      <c r="C284" s="27">
        <v>1972.2034377440523</v>
      </c>
      <c r="D284" s="26">
        <v>0.30734785723045605</v>
      </c>
      <c r="E284" s="26">
        <v>0.35926055820213049</v>
      </c>
      <c r="G284" s="9">
        <f>((D284-$D$3)^2+(E284-$E$3)^2)</f>
        <v>3.0908826953823347E-3</v>
      </c>
    </row>
    <row r="285" spans="3:7" ht="12.5">
      <c r="C285" s="27">
        <v>1977.1339463384122</v>
      </c>
      <c r="D285" s="26">
        <v>0.30693492069369405</v>
      </c>
      <c r="E285" s="26">
        <v>0.35922680091992021</v>
      </c>
      <c r="G285" s="9">
        <f>((D285-$D$3)^2+(E285-$E$3)^2)</f>
        <v>3.0452882475307929E-3</v>
      </c>
    </row>
    <row r="286" spans="3:7" ht="12.5">
      <c r="C286" s="27">
        <v>1982.0767812042582</v>
      </c>
      <c r="D286" s="26">
        <v>0.3065228874817546</v>
      </c>
      <c r="E286" s="26">
        <v>0.35919259205233744</v>
      </c>
      <c r="G286" s="9">
        <f>((D286-$D$3)^2+(E286-$E$3)^2)</f>
        <v>3.0001244119634615E-3</v>
      </c>
    </row>
    <row r="287" spans="3:7" ht="12.5">
      <c r="C287" s="27">
        <v>1987.0319731572688</v>
      </c>
      <c r="D287" s="26">
        <v>0.30611175798072299</v>
      </c>
      <c r="E287" s="26">
        <v>0.35915793149035302</v>
      </c>
      <c r="G287" s="9">
        <f>((D287-$D$3)^2+(E287-$E$3)^2)</f>
        <v>2.9553890869821369E-3</v>
      </c>
    </row>
    <row r="288" spans="3:7" ht="12.5">
      <c r="C288" s="27">
        <v>1991.999553090162</v>
      </c>
      <c r="D288" s="26">
        <v>0.30570153256331895</v>
      </c>
      <c r="E288" s="26">
        <v>0.35912281913851901</v>
      </c>
      <c r="G288" s="9">
        <f>((D288-$D$3)^2+(E288-$E$3)^2)</f>
        <v>2.9110801746486739E-3</v>
      </c>
    </row>
    <row r="289" spans="3:7" ht="12.5">
      <c r="C289" s="27">
        <v>1996.9795519728873</v>
      </c>
      <c r="D289" s="26">
        <v>0.30529221158894837</v>
      </c>
      <c r="E289" s="26">
        <v>0.35908725491497873</v>
      </c>
      <c r="G289" s="9">
        <f>((D289-$D$3)^2+(E289-$E$3)^2)</f>
        <v>2.8671955808484625E-3</v>
      </c>
    </row>
    <row r="290" spans="3:7" ht="12.5">
      <c r="C290" s="27">
        <v>2001.9720008528193</v>
      </c>
      <c r="D290" s="26">
        <v>0.30488379540374949</v>
      </c>
      <c r="E290" s="26">
        <v>0.35905123875147438</v>
      </c>
      <c r="G290" s="9">
        <f>((D290-$D$3)^2+(E290-$E$3)^2)</f>
        <v>2.8237332153524882E-3</v>
      </c>
    </row>
    <row r="291" spans="3:7" ht="12.5">
      <c r="C291" s="27">
        <v>2006.9769308549512</v>
      </c>
      <c r="D291" s="26">
        <v>0.30447628434064328</v>
      </c>
      <c r="E291" s="26">
        <v>0.35901477059335485</v>
      </c>
      <c r="G291" s="9">
        <f>((D291-$D$3)^2+(E291-$E$3)^2)</f>
        <v>2.7806909918790495E-3</v>
      </c>
    </row>
    <row r="292" spans="3:7" ht="12.5">
      <c r="C292" s="27">
        <v>2011.9943731820886</v>
      </c>
      <c r="D292" s="26">
        <v>0.30406967871938256</v>
      </c>
      <c r="E292" s="26">
        <v>0.35897785039958163</v>
      </c>
      <c r="G292" s="9">
        <f>((D292-$D$3)^2+(E292-$E$3)^2)</f>
        <v>2.7380668281545245E-3</v>
      </c>
    </row>
    <row r="293" spans="3:7" ht="12.5">
      <c r="C293" s="27">
        <v>2017.0243591150436</v>
      </c>
      <c r="D293" s="26">
        <v>0.3036639788465989</v>
      </c>
      <c r="E293" s="26">
        <v>0.35894047814273439</v>
      </c>
      <c r="G293" s="9">
        <f>((D293-$D$3)^2+(E293-$E$3)^2)</f>
        <v>2.6958586459731046E-3</v>
      </c>
    </row>
    <row r="294" spans="3:7" ht="12.5">
      <c r="C294" s="27">
        <v>2022.0669200128311</v>
      </c>
      <c r="D294" s="26">
        <v>0.30325918501585281</v>
      </c>
      <c r="E294" s="26">
        <v>0.35890265380901526</v>
      </c>
      <c r="G294" s="9">
        <f>((D294-$D$3)^2+(E294-$E$3)^2)</f>
        <v>2.654064371256083E-3</v>
      </c>
    </row>
    <row r="295" spans="3:7" ht="12.5">
      <c r="C295" s="27">
        <v>2027.1220873128632</v>
      </c>
      <c r="D295" s="26">
        <v>0.30285529750768164</v>
      </c>
      <c r="E295" s="26">
        <v>0.35886437739825228</v>
      </c>
      <c r="G295" s="9">
        <f>((D295-$D$3)^2+(E295-$E$3)^2)</f>
        <v>2.6126819341100974E-3</v>
      </c>
    </row>
    <row r="296" spans="3:7" ht="12.5">
      <c r="C296" s="27">
        <v>2032.1898925311452</v>
      </c>
      <c r="D296" s="26">
        <v>0.30245231658964633</v>
      </c>
      <c r="E296" s="26">
        <v>0.3588256489239014</v>
      </c>
      <c r="G296" s="9">
        <f>((D296-$D$3)^2+(E296-$E$3)^2)</f>
        <v>2.5717092688844604E-3</v>
      </c>
    </row>
    <row r="297" spans="3:7" ht="12.5">
      <c r="C297" s="27">
        <v>2037.270367262473</v>
      </c>
      <c r="D297" s="26">
        <v>0.30205024251637924</v>
      </c>
      <c r="E297" s="26">
        <v>0.35878646841304929</v>
      </c>
      <c r="G297" s="9">
        <f>((D297-$D$3)^2+(E297-$E$3)^2)</f>
        <v>2.5311443142278529E-3</v>
      </c>
    </row>
    <row r="298" spans="3:7" ht="12.5">
      <c r="C298" s="27">
        <v>2042.363543180629</v>
      </c>
      <c r="D298" s="26">
        <v>0.30164907552963505</v>
      </c>
      <c r="E298" s="26">
        <v>0.35874683590641182</v>
      </c>
      <c r="G298" s="9">
        <f>((D298-$D$3)^2+(E298-$E$3)^2)</f>
        <v>2.4909850131444541E-3</v>
      </c>
    </row>
    <row r="299" spans="3:7" ht="12.5">
      <c r="C299" s="27">
        <v>2047.4694520385804</v>
      </c>
      <c r="D299" s="26">
        <v>0.30124881585833385</v>
      </c>
      <c r="E299" s="26">
        <v>0.35870675145833558</v>
      </c>
      <c r="G299" s="9">
        <f>((D299-$D$3)^2+(E299-$E$3)^2)</f>
        <v>2.4512293130486058E-3</v>
      </c>
    </row>
    <row r="300" spans="3:7" ht="12.5">
      <c r="C300" s="27">
        <v>2052.5881256686766</v>
      </c>
      <c r="D300" s="26">
        <v>0.30084946371861182</v>
      </c>
      <c r="E300" s="26">
        <v>0.35866621513679503</v>
      </c>
      <c r="G300" s="9">
        <f>((D300-$D$3)^2+(E300-$E$3)^2)</f>
        <v>2.4118751658193638E-3</v>
      </c>
    </row>
    <row r="301" spans="3:7" ht="12.5">
      <c r="C301" s="27">
        <v>2057.7195959828482</v>
      </c>
      <c r="D301" s="26">
        <v>0.30045101931386597</v>
      </c>
      <c r="E301" s="26">
        <v>0.35862522702339122</v>
      </c>
      <c r="G301" s="9">
        <f>((D301-$D$3)^2+(E301-$E$3)^2)</f>
        <v>2.3729205278537569E-3</v>
      </c>
    </row>
    <row r="302" spans="3:7" ht="12.5">
      <c r="C302" s="27">
        <v>2062.8638949728052</v>
      </c>
      <c r="D302" s="26">
        <v>0.3000534828348026</v>
      </c>
      <c r="E302" s="26">
        <v>0.35858378721334794</v>
      </c>
      <c r="G302" s="9">
        <f>((D302-$D$3)^2+(E302-$E$3)^2)</f>
        <v>2.3343633601195825E-3</v>
      </c>
    </row>
    <row r="303" spans="3:7" ht="12.5">
      <c r="C303" s="27">
        <v>2068.021054710237</v>
      </c>
      <c r="D303" s="26">
        <v>0.29965685445948592</v>
      </c>
      <c r="E303" s="26">
        <v>0.35854189581550688</v>
      </c>
      <c r="G303" s="9">
        <f>((D303-$D$3)^2+(E303-$E$3)^2)</f>
        <v>2.2962016282074586E-3</v>
      </c>
    </row>
    <row r="304" spans="3:7" ht="12.5">
      <c r="C304" s="27">
        <v>2073.1911073470123</v>
      </c>
      <c r="D304" s="26">
        <v>0.2992611343533812</v>
      </c>
      <c r="E304" s="26">
        <v>0.35849955295232355</v>
      </c>
      <c r="G304" s="9">
        <f>((D304-$D$3)^2+(E304-$E$3)^2)</f>
        <v>2.2584333023816009E-3</v>
      </c>
    </row>
    <row r="305" spans="3:7" ht="12.5">
      <c r="C305" s="27">
        <v>2078.3740851153798</v>
      </c>
      <c r="D305" s="26">
        <v>0.29886632266940349</v>
      </c>
      <c r="E305" s="26">
        <v>0.35845675875986038</v>
      </c>
      <c r="G305" s="9">
        <f>((D305-$D$3)^2+(E305-$E$3)^2)</f>
        <v>2.2210563576303497E-3</v>
      </c>
    </row>
    <row r="306" spans="3:7" ht="12.5">
      <c r="C306" s="27">
        <v>2083.5700203281681</v>
      </c>
      <c r="D306" s="26">
        <v>0.29847241954796477</v>
      </c>
      <c r="E306" s="26">
        <v>0.35841351338777955</v>
      </c>
      <c r="G306" s="9">
        <f>((D306-$D$3)^2+(E306-$E$3)^2)</f>
        <v>2.1840687737157772E-3</v>
      </c>
    </row>
    <row r="307" spans="3:7" ht="12.5">
      <c r="C307" s="27">
        <v>2088.7789453789883</v>
      </c>
      <c r="D307" s="26">
        <v>0.29807942511701763</v>
      </c>
      <c r="E307" s="26">
        <v>0.35836981699933534</v>
      </c>
      <c r="G307" s="9">
        <f>((D307-$D$3)^2+(E307-$E$3)^2)</f>
        <v>2.1474685352222364E-3</v>
      </c>
    </row>
    <row r="308" spans="3:7" ht="12.5">
      <c r="C308" s="27">
        <v>2094.0008927424356</v>
      </c>
      <c r="D308" s="26">
        <v>0.29768733949210596</v>
      </c>
      <c r="E308" s="26">
        <v>0.35832566977136437</v>
      </c>
      <c r="G308" s="9">
        <f>((D308-$D$3)^2+(E308-$E$3)^2)</f>
        <v>2.1112536316047702E-3</v>
      </c>
    </row>
    <row r="309" spans="3:7" ht="12.5">
      <c r="C309" s="27">
        <v>2099.2358949742916</v>
      </c>
      <c r="D309" s="26">
        <v>0.29729616277640586</v>
      </c>
      <c r="E309" s="26">
        <v>0.35828107189427644</v>
      </c>
      <c r="G309" s="9">
        <f>((D309-$D$3)^2+(E309-$E$3)^2)</f>
        <v>2.0754220572358996E-3</v>
      </c>
    </row>
    <row r="310" spans="3:7" ht="12.5">
      <c r="C310" s="27">
        <v>2104.4839847117273</v>
      </c>
      <c r="D310" s="26">
        <v>0.29690589506077819</v>
      </c>
      <c r="E310" s="26">
        <v>0.35823602357204271</v>
      </c>
      <c r="G310" s="9">
        <f>((D310-$D$3)^2+(E310-$E$3)^2)</f>
        <v>2.0399718114526943E-3</v>
      </c>
    </row>
    <row r="311" spans="3:7" ht="12.5">
      <c r="C311" s="27">
        <v>2109.7451946735064</v>
      </c>
      <c r="D311" s="26">
        <v>0.29651653642380471</v>
      </c>
      <c r="E311" s="26">
        <v>0.35819052502218496</v>
      </c>
      <c r="G311" s="9">
        <f>((D311-$D$3)^2+(E311-$E$3)^2)</f>
        <v>2.0049008986016514E-3</v>
      </c>
    </row>
    <row r="312" spans="3:7" ht="12.5">
      <c r="C312" s="27">
        <v>2115.01955766019</v>
      </c>
      <c r="D312" s="26">
        <v>0.29612808693184511</v>
      </c>
      <c r="E312" s="26">
        <v>0.35814457647576142</v>
      </c>
      <c r="G312" s="9">
        <f>((D312-$D$3)^2+(E312-$E$3)^2)</f>
        <v>1.9702073280846544E-3</v>
      </c>
    </row>
    <row r="313" spans="3:7" ht="12.5">
      <c r="C313" s="27">
        <v>2120.3071065543404</v>
      </c>
      <c r="D313" s="26">
        <v>0.29574054663907473</v>
      </c>
      <c r="E313" s="26">
        <v>0.35809817817735434</v>
      </c>
      <c r="G313" s="9">
        <f>((D313-$D$3)^2+(E313-$E$3)^2)</f>
        <v>1.9358891144025201E-3</v>
      </c>
    </row>
    <row r="314" spans="3:7" ht="12.5">
      <c r="C314" s="27">
        <v>2125.6078743207263</v>
      </c>
      <c r="D314" s="26">
        <v>0.29535391558753477</v>
      </c>
      <c r="E314" s="26">
        <v>0.35805133038505388</v>
      </c>
      <c r="G314" s="9">
        <f t="shared" ref="G314:G377" si="0">((D314-$D$3)^2+(E314-$E$3)^2)</f>
        <v>1.9019442771988646E-3</v>
      </c>
    </row>
    <row r="315" spans="3:7" ht="12.5">
      <c r="C315" s="27">
        <v>2130.921894006528</v>
      </c>
      <c r="D315" s="26">
        <v>0.2949681938071736</v>
      </c>
      <c r="E315" s="26">
        <v>0.35800403337044412</v>
      </c>
      <c r="G315" s="9">
        <f t="shared" si="0"/>
        <v>1.8683708413025179E-3</v>
      </c>
    </row>
    <row r="316" spans="3:7" ht="12.5">
      <c r="C316" s="27">
        <v>2136.2491987415442</v>
      </c>
      <c r="D316" s="26">
        <v>0.2945833813158954</v>
      </c>
      <c r="E316" s="26">
        <v>0.35795628741858532</v>
      </c>
      <c r="G316" s="9">
        <f t="shared" si="0"/>
        <v>1.8351668367697842E-3</v>
      </c>
    </row>
    <row r="317" spans="3:7" ht="12.5">
      <c r="C317" s="27">
        <v>2141.5898217383979</v>
      </c>
      <c r="D317" s="26">
        <v>0.29419947811960551</v>
      </c>
      <c r="E317" s="26">
        <v>0.35790809282799652</v>
      </c>
      <c r="G317" s="9">
        <f t="shared" si="0"/>
        <v>1.8023302989257129E-3</v>
      </c>
    </row>
    <row r="318" spans="3:7" ht="12.5">
      <c r="C318" s="27">
        <v>2146.9437962927436</v>
      </c>
      <c r="D318" s="26">
        <v>0.29381648421225304</v>
      </c>
      <c r="E318" s="26">
        <v>0.35785944991063801</v>
      </c>
      <c r="G318" s="9">
        <f t="shared" si="0"/>
        <v>1.7698592684044401E-3</v>
      </c>
    </row>
    <row r="319" spans="3:7" ht="12.5">
      <c r="C319" s="27">
        <v>2152.3111557834754</v>
      </c>
      <c r="D319" s="26">
        <v>0.29343439957587791</v>
      </c>
      <c r="E319" s="26">
        <v>0.35781035899189112</v>
      </c>
      <c r="G319" s="9">
        <f t="shared" si="0"/>
        <v>1.7377517911891425E-3</v>
      </c>
    </row>
    <row r="320" spans="3:7" ht="12.5">
      <c r="C320" s="27">
        <v>2157.6919336729338</v>
      </c>
      <c r="D320" s="26">
        <v>0.29305322418065699</v>
      </c>
      <c r="E320" s="26">
        <v>0.35776082041053842</v>
      </c>
      <c r="G320" s="9">
        <f t="shared" si="0"/>
        <v>1.7060059186512191E-3</v>
      </c>
    </row>
    <row r="321" spans="3:7" ht="12.5">
      <c r="C321" s="27">
        <v>2163.086163507116</v>
      </c>
      <c r="D321" s="26">
        <v>0.2926729579849458</v>
      </c>
      <c r="E321" s="26">
        <v>0.35771083451874275</v>
      </c>
      <c r="G321" s="9">
        <f t="shared" si="0"/>
        <v>1.6746197075884017E-3</v>
      </c>
    </row>
    <row r="322" spans="3:7" ht="12.5">
      <c r="C322" s="27">
        <v>2168.4938789158837</v>
      </c>
      <c r="D322" s="26">
        <v>0.29229360093532675</v>
      </c>
      <c r="E322" s="26">
        <v>0.35766040168202456</v>
      </c>
      <c r="G322" s="9">
        <f t="shared" si="0"/>
        <v>1.6435912202626623E-3</v>
      </c>
    </row>
    <row r="323" spans="3:7" ht="12.5">
      <c r="C323" s="27">
        <v>2173.9151136131732</v>
      </c>
      <c r="D323" s="26">
        <v>0.29191515296665033</v>
      </c>
      <c r="E323" s="26">
        <v>0.35760952227924009</v>
      </c>
      <c r="G323" s="9">
        <f t="shared" si="0"/>
        <v>1.61291852443689E-3</v>
      </c>
    </row>
    <row r="324" spans="3:7" ht="12.5">
      <c r="C324" s="27">
        <v>2179.3499013972059</v>
      </c>
      <c r="D324" s="26">
        <v>0.29153761400208578</v>
      </c>
      <c r="E324" s="26">
        <v>0.3575581967025559</v>
      </c>
      <c r="G324" s="9">
        <f t="shared" si="0"/>
        <v>1.582599693411557E-3</v>
      </c>
    </row>
    <row r="325" spans="3:7" ht="12.5">
      <c r="C325" s="27">
        <v>2184.7982761506987</v>
      </c>
      <c r="D325" s="26">
        <v>0.29116098395315804</v>
      </c>
      <c r="E325" s="26">
        <v>0.35750642535742594</v>
      </c>
      <c r="G325" s="9">
        <f t="shared" si="0"/>
        <v>1.5526328060596751E-3</v>
      </c>
    </row>
    <row r="326" spans="3:7" ht="12.5">
      <c r="C326" s="27">
        <v>2190.2602718410753</v>
      </c>
      <c r="D326" s="26">
        <v>0.29078526271979904</v>
      </c>
      <c r="E326" s="26">
        <v>0.35745420866256483</v>
      </c>
      <c r="G326" s="9">
        <f t="shared" si="0"/>
        <v>1.5230159468621238E-3</v>
      </c>
    </row>
    <row r="327" spans="3:7" ht="12.5">
      <c r="C327" s="27">
        <v>2195.7359225206778</v>
      </c>
      <c r="D327" s="26">
        <v>0.29041045019038864</v>
      </c>
      <c r="E327" s="26">
        <v>0.3574015470499215</v>
      </c>
      <c r="G327" s="9">
        <f t="shared" si="0"/>
        <v>1.4937472059415016E-3</v>
      </c>
    </row>
    <row r="328" spans="3:7" ht="12.5">
      <c r="C328" s="27">
        <v>2201.2252623269792</v>
      </c>
      <c r="D328" s="26">
        <v>0.29003654624179964</v>
      </c>
      <c r="E328" s="26">
        <v>0.35734844096465213</v>
      </c>
      <c r="G328" s="9">
        <f t="shared" si="0"/>
        <v>1.4648246790956172E-3</v>
      </c>
    </row>
    <row r="329" spans="3:7" ht="12.5">
      <c r="C329" s="27">
        <v>2206.7283254827967</v>
      </c>
      <c r="D329" s="26">
        <v>0.28966355073944389</v>
      </c>
      <c r="E329" s="26">
        <v>0.35729489086509159</v>
      </c>
      <c r="G329" s="9">
        <f t="shared" si="0"/>
        <v>1.4362464678303515E-3</v>
      </c>
    </row>
    <row r="330" spans="3:7" ht="12.5">
      <c r="C330" s="27">
        <v>2212.2451462965037</v>
      </c>
      <c r="D330" s="26">
        <v>0.28929146353731489</v>
      </c>
      <c r="E330" s="26">
        <v>0.35724089722272473</v>
      </c>
      <c r="G330" s="9">
        <f t="shared" si="0"/>
        <v>1.4080106793916028E-3</v>
      </c>
    </row>
    <row r="331" spans="3:7" ht="12.5">
      <c r="C331" s="27">
        <v>2217.7757591622449</v>
      </c>
      <c r="D331" s="26">
        <v>0.28892028447803314</v>
      </c>
      <c r="E331" s="26">
        <v>0.35718646052215608</v>
      </c>
      <c r="G331" s="9">
        <f t="shared" si="0"/>
        <v>1.3801154267967363E-3</v>
      </c>
    </row>
    <row r="332" spans="3:7" ht="12.5">
      <c r="C332" s="27">
        <v>2223.3201985601504</v>
      </c>
      <c r="D332" s="26">
        <v>0.28855001339288944</v>
      </c>
      <c r="E332" s="26">
        <v>0.35713158126107886</v>
      </c>
      <c r="G332" s="9">
        <f t="shared" si="0"/>
        <v>1.352558828865218E-3</v>
      </c>
    </row>
    <row r="333" spans="3:7" ht="12.5">
      <c r="C333" s="27">
        <v>2228.8784990565505</v>
      </c>
      <c r="D333" s="26">
        <v>0.28818065010189103</v>
      </c>
      <c r="E333" s="26">
        <v>0.3570762599502435</v>
      </c>
      <c r="G333" s="9">
        <f t="shared" si="0"/>
        <v>1.325339010248794E-3</v>
      </c>
    </row>
    <row r="334" spans="3:7" ht="12.5">
      <c r="C334" s="27">
        <v>2234.4506953041919</v>
      </c>
      <c r="D334" s="26">
        <v>0.28781219441380307</v>
      </c>
      <c r="E334" s="26">
        <v>0.35702049711342548</v>
      </c>
      <c r="G334" s="9">
        <f t="shared" si="0"/>
        <v>1.2984541014606622E-3</v>
      </c>
    </row>
    <row r="335" spans="3:7" ht="12.5">
      <c r="C335" s="27">
        <v>2240.0368220424521</v>
      </c>
      <c r="D335" s="26">
        <v>0.2874446461261953</v>
      </c>
      <c r="E335" s="26">
        <v>0.35696429328739127</v>
      </c>
      <c r="G335" s="9">
        <f t="shared" si="0"/>
        <v>1.271902238904348E-3</v>
      </c>
    </row>
    <row r="336" spans="3:7" ht="12.5">
      <c r="C336" s="27">
        <v>2245.636914097558</v>
      </c>
      <c r="D336" s="26">
        <v>0.28707800502548714</v>
      </c>
      <c r="E336" s="26">
        <v>0.35690764902186417</v>
      </c>
      <c r="G336" s="9">
        <f t="shared" si="0"/>
        <v>1.2456815649018035E-3</v>
      </c>
    </row>
    <row r="337" spans="3:7" ht="12.5">
      <c r="C337" s="27">
        <v>2251.2510063828017</v>
      </c>
      <c r="D337" s="26">
        <v>0.28671227088698714</v>
      </c>
      <c r="E337" s="26">
        <v>0.35685056487949007</v>
      </c>
      <c r="G337" s="9">
        <f t="shared" si="0"/>
        <v>1.2197902277204901E-3</v>
      </c>
    </row>
    <row r="338" spans="3:7" ht="12.5">
      <c r="C338" s="27">
        <v>2256.8791338987585</v>
      </c>
      <c r="D338" s="26">
        <v>0.28634744347494218</v>
      </c>
      <c r="E338" s="26">
        <v>0.35679304143580032</v>
      </c>
      <c r="G338" s="9">
        <f t="shared" si="0"/>
        <v>1.1942263816004386E-3</v>
      </c>
    </row>
    <row r="339" spans="3:7" ht="12.5">
      <c r="C339" s="27">
        <v>2262.5213317335051</v>
      </c>
      <c r="D339" s="26">
        <v>0.28598352254257858</v>
      </c>
      <c r="E339" s="26">
        <v>0.3567350792791758</v>
      </c>
      <c r="G339" s="9">
        <f t="shared" si="0"/>
        <v>1.1689881867801501E-3</v>
      </c>
    </row>
    <row r="340" spans="3:7" ht="12.5">
      <c r="C340" s="27">
        <v>2268.1776350628388</v>
      </c>
      <c r="D340" s="26">
        <v>0.28562050783214693</v>
      </c>
      <c r="E340" s="26">
        <v>0.35667667901080979</v>
      </c>
      <c r="G340" s="9">
        <f t="shared" si="0"/>
        <v>1.1440738095220919E-3</v>
      </c>
    </row>
    <row r="341" spans="3:7" ht="12.5">
      <c r="C341" s="27">
        <v>2273.8480791504958</v>
      </c>
      <c r="D341" s="26">
        <v>0.28525839907496742</v>
      </c>
      <c r="E341" s="26">
        <v>0.35661784124466839</v>
      </c>
      <c r="G341" s="9">
        <f t="shared" si="0"/>
        <v>1.1194814221375691E-3</v>
      </c>
    </row>
    <row r="342" spans="3:7" ht="12.5">
      <c r="C342" s="27">
        <v>2279.5326993483718</v>
      </c>
      <c r="D342" s="26">
        <v>0.28489719599147062</v>
      </c>
      <c r="E342" s="26">
        <v>0.35655856660745244</v>
      </c>
      <c r="G342" s="9">
        <f t="shared" si="0"/>
        <v>1.0952092030106935E-3</v>
      </c>
    </row>
    <row r="343" spans="3:7" ht="12.5">
      <c r="C343" s="27">
        <v>2285.2315310967424</v>
      </c>
      <c r="D343" s="26">
        <v>0.28453689829124723</v>
      </c>
      <c r="E343" s="26">
        <v>0.35649885573855689</v>
      </c>
      <c r="G343" s="9">
        <f t="shared" si="0"/>
        <v>1.0712553366222775E-3</v>
      </c>
    </row>
    <row r="344" spans="3:7" ht="12.5">
      <c r="C344" s="27">
        <v>2290.9446099244842</v>
      </c>
      <c r="D344" s="26">
        <v>0.28417750567308597</v>
      </c>
      <c r="E344" s="26">
        <v>0.35643870929003074</v>
      </c>
      <c r="G344" s="9">
        <f t="shared" si="0"/>
        <v>1.0476180135723587E-3</v>
      </c>
    </row>
    <row r="345" spans="3:7" ht="12.5">
      <c r="C345" s="27">
        <v>2296.6719714492951</v>
      </c>
      <c r="D345" s="26">
        <v>0.28381901782501939</v>
      </c>
      <c r="E345" s="26">
        <v>0.35637812792653523</v>
      </c>
      <c r="G345" s="9">
        <f t="shared" si="0"/>
        <v>1.0242954306025989E-3</v>
      </c>
    </row>
    <row r="346" spans="3:7" ht="12.5">
      <c r="C346" s="27">
        <v>2302.4136513779181</v>
      </c>
      <c r="D346" s="26">
        <v>0.28346143442437149</v>
      </c>
      <c r="E346" s="26">
        <v>0.35631711232530094</v>
      </c>
      <c r="G346" s="9">
        <f t="shared" si="0"/>
        <v>1.0012857906181662E-3</v>
      </c>
    </row>
    <row r="347" spans="3:7" ht="12.5">
      <c r="C347" s="27">
        <v>2308.1696855063628</v>
      </c>
      <c r="D347" s="26">
        <v>0.28310475513779748</v>
      </c>
      <c r="E347" s="26">
        <v>0.35625566317608581</v>
      </c>
      <c r="G347" s="9">
        <f t="shared" si="0"/>
        <v>9.7858730270853418E-4</v>
      </c>
    </row>
    <row r="348" spans="3:7" ht="12.5">
      <c r="C348" s="27">
        <v>2313.9401097201285</v>
      </c>
      <c r="D348" s="26">
        <v>0.28274897962132872</v>
      </c>
      <c r="E348" s="26">
        <v>0.35619378118113065</v>
      </c>
      <c r="G348" s="9">
        <f t="shared" si="0"/>
        <v>9.5619818216797548E-4</v>
      </c>
    </row>
    <row r="349" spans="3:7" ht="12.5">
      <c r="C349" s="27">
        <v>2319.7249599944289</v>
      </c>
      <c r="D349" s="26">
        <v>0.28239410752041944</v>
      </c>
      <c r="E349" s="26">
        <v>0.35613146705511423</v>
      </c>
      <c r="G349" s="9">
        <f t="shared" si="0"/>
        <v>9.3411665051554955E-4</v>
      </c>
    </row>
    <row r="350" spans="3:7" ht="12.5">
      <c r="C350" s="27">
        <v>2325.5242723944148</v>
      </c>
      <c r="D350" s="26">
        <v>0.28204013846998593</v>
      </c>
      <c r="E350" s="26">
        <v>0.35606872152510899</v>
      </c>
      <c r="G350" s="9">
        <f t="shared" si="0"/>
        <v>9.1234093551406626E-4</v>
      </c>
    </row>
    <row r="351" spans="3:7" ht="12.5">
      <c r="C351" s="27">
        <v>2331.3380830754008</v>
      </c>
      <c r="D351" s="26">
        <v>0.28168707209445415</v>
      </c>
      <c r="E351" s="26">
        <v>0.35600554533053386</v>
      </c>
      <c r="G351" s="9">
        <f t="shared" si="0"/>
        <v>8.9086927118891179E-4</v>
      </c>
    </row>
    <row r="352" spans="3:7" ht="12.5">
      <c r="C352" s="27">
        <v>2337.1664282830893</v>
      </c>
      <c r="D352" s="26">
        <v>0.28133490800780397</v>
      </c>
      <c r="E352" s="26">
        <v>0.35594193922310802</v>
      </c>
      <c r="G352" s="9">
        <f t="shared" si="0"/>
        <v>8.6969989784611422E-4</v>
      </c>
    </row>
    <row r="353" spans="3:7" ht="12.5">
      <c r="C353" s="27">
        <v>2343.0093443537971</v>
      </c>
      <c r="D353" s="26">
        <v>0.28098364581361329</v>
      </c>
      <c r="E353" s="26">
        <v>0.3558779039668028</v>
      </c>
      <c r="G353" s="9">
        <f t="shared" si="0"/>
        <v>8.4883106208978013E-4</v>
      </c>
    </row>
    <row r="354" spans="3:7" ht="12.5">
      <c r="C354" s="27">
        <v>2348.8668677146816</v>
      </c>
      <c r="D354" s="26">
        <v>0.28063328510509605</v>
      </c>
      <c r="E354" s="26">
        <v>0.35581344033779477</v>
      </c>
      <c r="G354" s="9">
        <f t="shared" si="0"/>
        <v>8.2826101683864349E-4</v>
      </c>
    </row>
    <row r="355" spans="3:7" ht="12.5">
      <c r="C355" s="27">
        <v>2354.7390348839681</v>
      </c>
      <c r="D355" s="26">
        <v>0.2802838254651564</v>
      </c>
      <c r="E355" s="26">
        <v>0.35574854912441445</v>
      </c>
      <c r="G355" s="9">
        <f t="shared" si="0"/>
        <v>8.079880213428854E-4</v>
      </c>
    </row>
    <row r="356" spans="3:7" ht="12.5">
      <c r="C356" s="27">
        <v>2360.6258824711781</v>
      </c>
      <c r="D356" s="26">
        <v>0.2799352664664253</v>
      </c>
      <c r="E356" s="26">
        <v>0.35568323112709888</v>
      </c>
      <c r="G356" s="9">
        <f t="shared" si="0"/>
        <v>7.8801034119945314E-4</v>
      </c>
    </row>
    <row r="357" spans="3:7" ht="12.5">
      <c r="C357" s="27">
        <v>2366.527447177356</v>
      </c>
      <c r="D357" s="26">
        <v>0.27958760767130625</v>
      </c>
      <c r="E357" s="26">
        <v>0.35561748715833946</v>
      </c>
      <c r="G357" s="9">
        <f t="shared" si="0"/>
        <v>7.683262483672616E-4</v>
      </c>
    </row>
    <row r="358" spans="3:7" ht="12.5">
      <c r="C358" s="27">
        <v>2372.4437657952994</v>
      </c>
      <c r="D358" s="26">
        <v>0.27924084863202142</v>
      </c>
      <c r="E358" s="26">
        <v>0.35555131804263201</v>
      </c>
      <c r="G358" s="9">
        <f t="shared" si="0"/>
        <v>7.4893402118188864E-4</v>
      </c>
    </row>
    <row r="359" spans="3:7" ht="12.5">
      <c r="C359" s="27">
        <v>2378.3748752097877</v>
      </c>
      <c r="D359" s="26">
        <v>0.27889498889065478</v>
      </c>
      <c r="E359" s="26">
        <v>0.35548472461642416</v>
      </c>
      <c r="G359" s="9">
        <f t="shared" si="0"/>
        <v>7.2983194436950568E-4</v>
      </c>
    </row>
    <row r="360" spans="3:7" ht="12.5">
      <c r="C360" s="27">
        <v>2384.320812397812</v>
      </c>
      <c r="D360" s="26">
        <v>0.27855002797919387</v>
      </c>
      <c r="E360" s="26">
        <v>0.35541770772806341</v>
      </c>
      <c r="G360" s="9">
        <f t="shared" si="0"/>
        <v>7.1101830906020657E-4</v>
      </c>
    </row>
    <row r="361" spans="3:7" ht="12.5">
      <c r="C361" s="27">
        <v>2390.2816144288063</v>
      </c>
      <c r="D361" s="26">
        <v>0.27820596541957865</v>
      </c>
      <c r="E361" s="26">
        <v>0.35535026823774385</v>
      </c>
      <c r="G361" s="9">
        <f t="shared" si="0"/>
        <v>6.9249141280113696E-4</v>
      </c>
    </row>
    <row r="362" spans="3:7" ht="12.5">
      <c r="C362" s="27">
        <v>2396.2573184648782</v>
      </c>
      <c r="D362" s="26">
        <v>0.27786280072374209</v>
      </c>
      <c r="E362" s="26">
        <v>0.35528240701745145</v>
      </c>
      <c r="G362" s="9">
        <f t="shared" si="0"/>
        <v>6.7424955956862898E-4</v>
      </c>
    </row>
    <row r="363" spans="3:7" ht="12.5">
      <c r="C363" s="27">
        <v>2402.2479617610402</v>
      </c>
      <c r="D363" s="26">
        <v>0.27752053339365362</v>
      </c>
      <c r="E363" s="26">
        <v>0.35521412495091154</v>
      </c>
      <c r="G363" s="9">
        <f t="shared" si="0"/>
        <v>6.5629105977998362E-4</v>
      </c>
    </row>
    <row r="364" spans="3:7" ht="12.5">
      <c r="C364" s="27">
        <v>2408.2535816654427</v>
      </c>
      <c r="D364" s="26">
        <v>0.27717916292136857</v>
      </c>
      <c r="E364" s="26">
        <v>0.35514542293353152</v>
      </c>
      <c r="G364" s="9">
        <f t="shared" si="0"/>
        <v>6.3861423030494679E-4</v>
      </c>
    </row>
    <row r="365" spans="3:7" ht="12.5">
      <c r="C365" s="27">
        <v>2414.2742156196059</v>
      </c>
      <c r="D365" s="26">
        <v>0.27683868878906814</v>
      </c>
      <c r="E365" s="26">
        <v>0.35507630187234585</v>
      </c>
      <c r="G365" s="9">
        <f t="shared" si="0"/>
        <v>6.2121739447621393E-4</v>
      </c>
    </row>
    <row r="366" spans="3:7" ht="12.5">
      <c r="C366" s="27">
        <v>2420.3099011586546</v>
      </c>
      <c r="D366" s="26">
        <v>0.27649911046910408</v>
      </c>
      <c r="E366" s="26">
        <v>0.3550067626859606</v>
      </c>
      <c r="G366" s="9">
        <f t="shared" si="0"/>
        <v>6.0409888209963798E-4</v>
      </c>
    </row>
    <row r="367" spans="3:7" ht="12.5">
      <c r="C367" s="27">
        <v>2426.360675911551</v>
      </c>
      <c r="D367" s="26">
        <v>0.27616042742404295</v>
      </c>
      <c r="E367" s="26">
        <v>0.35493680630449492</v>
      </c>
      <c r="G367" s="9">
        <f t="shared" si="0"/>
        <v>5.8725702946385724E-4</v>
      </c>
    </row>
    <row r="368" spans="3:7" ht="12.5">
      <c r="C368" s="27">
        <v>2432.4265776013299</v>
      </c>
      <c r="D368" s="26">
        <v>0.27582263910671295</v>
      </c>
      <c r="E368" s="26">
        <v>0.35486643366952408</v>
      </c>
      <c r="G368" s="9">
        <f t="shared" si="0"/>
        <v>5.7069017934954129E-4</v>
      </c>
    </row>
    <row r="369" spans="3:7" ht="12.5">
      <c r="C369" s="27">
        <v>2438.5076440453331</v>
      </c>
      <c r="D369" s="26">
        <v>0.27548574496024592</v>
      </c>
      <c r="E369" s="26">
        <v>0.35479564573402156</v>
      </c>
      <c r="G369" s="9">
        <f t="shared" si="0"/>
        <v>5.5439668103788491E-4</v>
      </c>
    </row>
    <row r="370" spans="3:7" ht="12.5">
      <c r="C370" s="27">
        <v>2444.6039131554462</v>
      </c>
      <c r="D370" s="26">
        <v>0.27514974441812501</v>
      </c>
      <c r="E370" s="26">
        <v>0.3547244434622987</v>
      </c>
      <c r="G370" s="9">
        <f t="shared" si="0"/>
        <v>5.3837489031882343E-4</v>
      </c>
    </row>
    <row r="371" spans="3:7" ht="12.5">
      <c r="C371" s="27">
        <v>2450.7154229383345</v>
      </c>
      <c r="D371" s="26">
        <v>0.27481463690422203</v>
      </c>
      <c r="E371" s="26">
        <v>0.35465282782994734</v>
      </c>
      <c r="G371" s="9">
        <f t="shared" si="0"/>
        <v>5.2262316949831041E-4</v>
      </c>
    </row>
    <row r="372" spans="3:7" ht="12.5">
      <c r="C372" s="27">
        <v>2456.8422114956802</v>
      </c>
      <c r="D372" s="26">
        <v>0.27448042183285126</v>
      </c>
      <c r="E372" s="26">
        <v>0.3545807998237776</v>
      </c>
      <c r="G372" s="9">
        <f t="shared" si="0"/>
        <v>5.071398874057797E-4</v>
      </c>
    </row>
    <row r="373" spans="3:7" ht="12.5">
      <c r="C373" s="27">
        <v>2462.9843170244194</v>
      </c>
      <c r="D373" s="26">
        <v>0.27414709860880804</v>
      </c>
      <c r="E373" s="26">
        <v>0.35450836044175899</v>
      </c>
      <c r="G373" s="9">
        <f t="shared" si="0"/>
        <v>4.9192341940046218E-4</v>
      </c>
    </row>
    <row r="374" spans="3:7" ht="12.5">
      <c r="C374" s="27">
        <v>2469.1417778169803</v>
      </c>
      <c r="D374" s="26">
        <v>0.27381466662741449</v>
      </c>
      <c r="E374" s="26">
        <v>0.35443551069295798</v>
      </c>
      <c r="G374" s="9">
        <f t="shared" si="0"/>
        <v>4.7697214737749236E-4</v>
      </c>
    </row>
    <row r="375" spans="3:7" ht="12.5">
      <c r="C375" s="27">
        <v>2475.3146322615225</v>
      </c>
      <c r="D375" s="26">
        <v>0.27348312527456536</v>
      </c>
      <c r="E375" s="26">
        <v>0.35436225159747681</v>
      </c>
      <c r="G375" s="9">
        <f t="shared" si="0"/>
        <v>4.6228445977353753E-4</v>
      </c>
    </row>
    <row r="376" spans="3:7" ht="12.5">
      <c r="C376" s="27">
        <v>2481.5029188421763</v>
      </c>
      <c r="D376" s="26">
        <v>0.27315247392677156</v>
      </c>
      <c r="E376" s="26">
        <v>0.35428858418639053</v>
      </c>
      <c r="G376" s="9">
        <f t="shared" si="0"/>
        <v>4.4785875157182846E-4</v>
      </c>
    </row>
    <row r="377" spans="3:7" ht="12.5">
      <c r="C377" s="27">
        <v>2487.7066761392816</v>
      </c>
      <c r="D377" s="26">
        <v>0.27282271195120616</v>
      </c>
      <c r="E377" s="26">
        <v>0.3542145095016852</v>
      </c>
      <c r="G377" s="9">
        <f t="shared" si="0"/>
        <v>4.3369342430682456E-4</v>
      </c>
    </row>
    <row r="378" spans="3:7" ht="12.5">
      <c r="C378" s="27">
        <v>2493.9259428296295</v>
      </c>
      <c r="D378" s="26">
        <v>0.27249383870574723</v>
      </c>
      <c r="E378" s="26">
        <v>0.35414002859619331</v>
      </c>
      <c r="G378" s="9">
        <f t="shared" ref="G378:G441" si="1">((D378-$D$3)^2+(E378-$E$3)^2)</f>
        <v>4.1978688606823724E-4</v>
      </c>
    </row>
    <row r="379" spans="3:7" ht="12.5">
      <c r="C379" s="27">
        <v>2500.1607576867036</v>
      </c>
      <c r="D379" s="26">
        <v>0.27216585353902456</v>
      </c>
      <c r="E379" s="26">
        <v>0.35406514253353044</v>
      </c>
      <c r="G379" s="9">
        <f t="shared" si="1"/>
        <v>4.0613755150476345E-4</v>
      </c>
    </row>
    <row r="380" spans="3:7" ht="12.5">
      <c r="C380" s="27">
        <v>2506.4111595809204</v>
      </c>
      <c r="D380" s="26">
        <v>0.27183875579046513</v>
      </c>
      <c r="E380" s="26">
        <v>0.35398985238803027</v>
      </c>
      <c r="G380" s="9">
        <f t="shared" si="1"/>
        <v>3.9274384182726765E-4</v>
      </c>
    </row>
    <row r="381" spans="3:7" ht="12.5">
      <c r="C381" s="27">
        <v>2512.6771874798724</v>
      </c>
      <c r="D381" s="26">
        <v>0.27151254479033515</v>
      </c>
      <c r="E381" s="26">
        <v>0.35391415924468017</v>
      </c>
      <c r="G381" s="9">
        <f t="shared" si="1"/>
        <v>3.7960418481138578E-4</v>
      </c>
    </row>
    <row r="382" spans="3:7" ht="12.5">
      <c r="C382" s="27">
        <v>2518.958880448572</v>
      </c>
      <c r="D382" s="26">
        <v>0.27118721985978628</v>
      </c>
      <c r="E382" s="26">
        <v>0.35383806419905539</v>
      </c>
      <c r="G382" s="9">
        <f t="shared" si="1"/>
        <v>3.66717014799812E-4</v>
      </c>
    </row>
    <row r="383" spans="3:7" ht="12.5">
      <c r="C383" s="27">
        <v>2525.2562776496934</v>
      </c>
      <c r="D383" s="26">
        <v>0.27086278031090272</v>
      </c>
      <c r="E383" s="26">
        <v>0.35376156835725309</v>
      </c>
      <c r="G383" s="9">
        <f t="shared" si="1"/>
        <v>3.5408077270416286E-4</v>
      </c>
    </row>
    <row r="384" spans="3:7" ht="12.5">
      <c r="C384" s="27">
        <v>2531.5694183438177</v>
      </c>
      <c r="D384" s="26">
        <v>0.27053922544674369</v>
      </c>
      <c r="E384" s="26">
        <v>0.35368467283582561</v>
      </c>
      <c r="G384" s="9">
        <f t="shared" si="1"/>
        <v>3.4169390600620686E-4</v>
      </c>
    </row>
    <row r="385" spans="3:7" ht="12.5">
      <c r="C385" s="27">
        <v>2537.8983418896769</v>
      </c>
      <c r="D385" s="26">
        <v>0.27021655456138888</v>
      </c>
      <c r="E385" s="26">
        <v>0.35360737876171366</v>
      </c>
      <c r="G385" s="9">
        <f t="shared" si="1"/>
        <v>3.2955486875876195E-4</v>
      </c>
    </row>
    <row r="386" spans="3:7" ht="12.5">
      <c r="C386" s="27">
        <v>2544.2430877444008</v>
      </c>
      <c r="D386" s="26">
        <v>0.26989476693998632</v>
      </c>
      <c r="E386" s="26">
        <v>0.35352968727217909</v>
      </c>
      <c r="G386" s="9">
        <f t="shared" si="1"/>
        <v>3.1766212158623069E-4</v>
      </c>
    </row>
    <row r="387" spans="3:7" ht="12.5">
      <c r="C387" s="27">
        <v>2550.6036954637616</v>
      </c>
      <c r="D387" s="26">
        <v>0.26957386185879284</v>
      </c>
      <c r="E387" s="26">
        <v>0.35345159951473665</v>
      </c>
      <c r="G387" s="9">
        <f t="shared" si="1"/>
        <v>3.0601413168442548E-4</v>
      </c>
    </row>
    <row r="388" spans="3:7" ht="12.5">
      <c r="C388" s="27">
        <v>2556.9802047024209</v>
      </c>
      <c r="D388" s="26">
        <v>0.26925383858522423</v>
      </c>
      <c r="E388" s="26">
        <v>0.35337311664708537</v>
      </c>
      <c r="G388" s="9">
        <f t="shared" si="1"/>
        <v>2.9460937282029703E-4</v>
      </c>
    </row>
    <row r="389" spans="3:7" ht="12.5">
      <c r="C389" s="27">
        <v>2563.372655214177</v>
      </c>
      <c r="D389" s="26">
        <v>0.2689346963778968</v>
      </c>
      <c r="E389" s="26">
        <v>0.35329423983704067</v>
      </c>
      <c r="G389" s="9">
        <f t="shared" si="1"/>
        <v>2.8344632533094472E-4</v>
      </c>
    </row>
    <row r="390" spans="3:7" ht="12.5">
      <c r="C390" s="27">
        <v>2569.7810868522124</v>
      </c>
      <c r="D390" s="26">
        <v>0.26861643448667344</v>
      </c>
      <c r="E390" s="26">
        <v>0.35321497026246407</v>
      </c>
      <c r="G390" s="9">
        <f t="shared" si="1"/>
        <v>2.7252347612233453E-4</v>
      </c>
    </row>
    <row r="391" spans="3:7" ht="12.5">
      <c r="C391" s="27">
        <v>2576.2055395693428</v>
      </c>
      <c r="D391" s="26">
        <v>0.26829905215271277</v>
      </c>
      <c r="E391" s="26">
        <v>0.35313530911119395</v>
      </c>
      <c r="G391" s="9">
        <f t="shared" si="1"/>
        <v>2.6183931866770207E-4</v>
      </c>
    </row>
    <row r="392" spans="3:7" ht="12.5">
      <c r="C392" s="27">
        <v>2582.6460534182661</v>
      </c>
      <c r="D392" s="26">
        <v>0.26798254860850845</v>
      </c>
      <c r="E392" s="26">
        <v>0.3530552575809755</v>
      </c>
      <c r="G392" s="9">
        <f t="shared" si="1"/>
        <v>2.5139235300521872E-4</v>
      </c>
    </row>
    <row r="393" spans="3:7" ht="12.5">
      <c r="C393" s="27">
        <v>2589.1026685518118</v>
      </c>
      <c r="D393" s="26">
        <v>0.26766692307793943</v>
      </c>
      <c r="E393" s="26">
        <v>0.35297481687939014</v>
      </c>
      <c r="G393" s="9">
        <f t="shared" si="1"/>
        <v>2.4118108573558945E-4</v>
      </c>
    </row>
    <row r="394" spans="3:7" ht="12.5">
      <c r="C394" s="27">
        <v>2595.5754252231914</v>
      </c>
      <c r="D394" s="26">
        <v>0.26735217477631362</v>
      </c>
      <c r="E394" s="26">
        <v>0.35289398822378432</v>
      </c>
      <c r="G394" s="9">
        <f t="shared" si="1"/>
        <v>2.3120403001902962E-4</v>
      </c>
    </row>
    <row r="395" spans="3:7" ht="12.5">
      <c r="C395" s="27">
        <v>2602.064363786249</v>
      </c>
      <c r="D395" s="26">
        <v>0.26703830291041281</v>
      </c>
      <c r="E395" s="26">
        <v>0.35281277284119866</v>
      </c>
      <c r="G395" s="9">
        <f t="shared" si="1"/>
        <v>2.2145970557188482E-4</v>
      </c>
    </row>
    <row r="396" spans="3:7" ht="12.5">
      <c r="C396" s="27">
        <v>2608.5695246957143</v>
      </c>
      <c r="D396" s="26">
        <v>0.26672530667854022</v>
      </c>
      <c r="E396" s="26">
        <v>0.35273117196829568</v>
      </c>
      <c r="G396" s="9">
        <f t="shared" si="1"/>
        <v>2.119466386629153E-4</v>
      </c>
    </row>
    <row r="397" spans="3:7" ht="12.5">
      <c r="C397" s="27">
        <v>2615.0909485074535</v>
      </c>
      <c r="D397" s="26">
        <v>0.26641318527056462</v>
      </c>
      <c r="E397" s="26">
        <v>0.35264918685128815</v>
      </c>
      <c r="G397" s="9">
        <f t="shared" si="1"/>
        <v>2.0266336210909155E-4</v>
      </c>
    </row>
    <row r="398" spans="3:7" ht="12.5">
      <c r="C398" s="27">
        <v>2621.6286758787219</v>
      </c>
      <c r="D398" s="26">
        <v>0.26610193786796749</v>
      </c>
      <c r="E398" s="26">
        <v>0.35256681874586632</v>
      </c>
      <c r="G398" s="9">
        <f t="shared" si="1"/>
        <v>1.936084152710773E-4</v>
      </c>
    </row>
    <row r="399" spans="3:7" ht="12.5">
      <c r="C399" s="27">
        <v>2628.1827475684186</v>
      </c>
      <c r="D399" s="26">
        <v>0.26579156364388606</v>
      </c>
      <c r="E399" s="26">
        <v>0.35248406891712541</v>
      </c>
      <c r="G399" s="9">
        <f t="shared" si="1"/>
        <v>1.8478034404821979E-4</v>
      </c>
    </row>
    <row r="400" spans="3:7" ht="12.5">
      <c r="C400" s="27">
        <v>2634.7532044373393</v>
      </c>
      <c r="D400" s="26">
        <v>0.26548206176316025</v>
      </c>
      <c r="E400" s="26">
        <v>0.35240093863949251</v>
      </c>
      <c r="G400" s="9">
        <f t="shared" si="1"/>
        <v>1.7617770087325756E-4</v>
      </c>
    </row>
    <row r="401" spans="3:7" ht="12.5">
      <c r="C401" s="27">
        <v>2641.3400874484323</v>
      </c>
      <c r="D401" s="26">
        <v>0.26517343138238347</v>
      </c>
      <c r="E401" s="26">
        <v>0.35231742919665193</v>
      </c>
      <c r="G401" s="9">
        <f t="shared" si="1"/>
        <v>1.6779904470673787E-4</v>
      </c>
    </row>
    <row r="402" spans="3:7" ht="12.5">
      <c r="C402" s="27">
        <v>2647.9434376670533</v>
      </c>
      <c r="D402" s="26">
        <v>0.26486567164993891</v>
      </c>
      <c r="E402" s="26">
        <v>0.35223354188147293</v>
      </c>
      <c r="G402" s="9">
        <f t="shared" si="1"/>
        <v>1.5964294103070674E-4</v>
      </c>
    </row>
    <row r="403" spans="3:7" ht="12.5">
      <c r="C403" s="27">
        <v>2654.5632962612208</v>
      </c>
      <c r="D403" s="26">
        <v>0.26455878170605385</v>
      </c>
      <c r="E403" s="26">
        <v>0.35214927799593471</v>
      </c>
      <c r="G403" s="9">
        <f t="shared" si="1"/>
        <v>1.5170796184247308E-4</v>
      </c>
    </row>
    <row r="404" spans="3:7" ht="12.5">
      <c r="C404" s="27">
        <v>2661.1997045018738</v>
      </c>
      <c r="D404" s="26">
        <v>0.26425276068284204</v>
      </c>
      <c r="E404" s="26">
        <v>0.35206463885105144</v>
      </c>
      <c r="G404" s="9">
        <f t="shared" si="1"/>
        <v>1.4399268564770269E-4</v>
      </c>
    </row>
    <row r="405" spans="3:7" ht="12.5">
      <c r="C405" s="27">
        <v>2667.8527037631284</v>
      </c>
      <c r="D405" s="26">
        <v>0.26394760770434872</v>
      </c>
      <c r="E405" s="26">
        <v>0.3519796257667987</v>
      </c>
      <c r="G405" s="9">
        <f t="shared" si="1"/>
        <v>1.3649569745323854E-4</v>
      </c>
    </row>
    <row r="406" spans="3:7" ht="12.5">
      <c r="C406" s="27">
        <v>2674.5223355225362</v>
      </c>
      <c r="D406" s="26">
        <v>0.26364332188659978</v>
      </c>
      <c r="E406" s="26">
        <v>0.35189424007203707</v>
      </c>
      <c r="G406" s="9">
        <f t="shared" si="1"/>
        <v>1.2921558875963663E-4</v>
      </c>
    </row>
    <row r="407" spans="3:7" ht="12.5">
      <c r="C407" s="27">
        <v>2681.2086413613424</v>
      </c>
      <c r="D407" s="26">
        <v>0.26333990233764548</v>
      </c>
      <c r="E407" s="26">
        <v>0.3518084831044373</v>
      </c>
      <c r="G407" s="9">
        <f t="shared" si="1"/>
        <v>1.2215095755323905E-4</v>
      </c>
    </row>
    <row r="408" spans="3:7" ht="12.5">
      <c r="C408" s="27">
        <v>2687.9116629647456</v>
      </c>
      <c r="D408" s="26">
        <v>0.26303734815760654</v>
      </c>
      <c r="E408" s="26">
        <v>0.35172235621040465</v>
      </c>
      <c r="G408" s="9">
        <f t="shared" si="1"/>
        <v>1.1530040829795106E-4</v>
      </c>
    </row>
    <row r="409" spans="3:7" ht="12.5">
      <c r="C409" s="27">
        <v>2694.6314421221573</v>
      </c>
      <c r="D409" s="26">
        <v>0.26273565843872287</v>
      </c>
      <c r="E409" s="26">
        <v>0.35163586074500303</v>
      </c>
      <c r="G409" s="9">
        <f t="shared" si="1"/>
        <v>1.0866255192672761E-4</v>
      </c>
    </row>
    <row r="410" spans="3:7" ht="12.5">
      <c r="C410" s="27">
        <v>2701.3680207274624</v>
      </c>
      <c r="D410" s="26">
        <v>0.26243483226539654</v>
      </c>
      <c r="E410" s="26">
        <v>0.35154899807187823</v>
      </c>
      <c r="G410" s="9">
        <f t="shared" si="1"/>
        <v>1.0223600583259755E-4</v>
      </c>
    </row>
    <row r="411" spans="3:7" ht="12.5">
      <c r="C411" s="27">
        <v>2708.1214407792809</v>
      </c>
      <c r="D411" s="26">
        <v>0.26213486871423836</v>
      </c>
      <c r="E411" s="26">
        <v>0.3514617695631817</v>
      </c>
      <c r="G411" s="9">
        <f t="shared" si="1"/>
        <v>9.6019393859436103E-5</v>
      </c>
    </row>
    <row r="412" spans="3:7" ht="12.5">
      <c r="C412" s="27">
        <v>2714.8917443812288</v>
      </c>
      <c r="D412" s="26">
        <v>0.26183576685411725</v>
      </c>
      <c r="E412" s="26">
        <v>0.35137417659949394</v>
      </c>
      <c r="G412" s="9">
        <f t="shared" si="1"/>
        <v>9.0011346292456708E-5</v>
      </c>
    </row>
    <row r="413" spans="3:7" ht="12.5">
      <c r="C413" s="27">
        <v>2721.6789737421818</v>
      </c>
      <c r="D413" s="26">
        <v>0.26153752574620326</v>
      </c>
      <c r="E413" s="26">
        <v>0.35128622056974712</v>
      </c>
      <c r="G413" s="9">
        <f t="shared" si="1"/>
        <v>8.4210499848250445E-5</v>
      </c>
    </row>
    <row r="414" spans="3:7" ht="12.5">
      <c r="C414" s="27">
        <v>2728.4831711765373</v>
      </c>
      <c r="D414" s="26">
        <v>0.26124014444401583</v>
      </c>
      <c r="E414" s="26">
        <v>0.35119790287114833</v>
      </c>
      <c r="G414" s="9">
        <f t="shared" si="1"/>
        <v>7.8615497664610062E-5</v>
      </c>
    </row>
    <row r="415" spans="3:7" ht="12.5">
      <c r="C415" s="27">
        <v>2735.3043791044784</v>
      </c>
      <c r="D415" s="26">
        <v>0.26094362199346904</v>
      </c>
      <c r="E415" s="26">
        <v>0.3511092249091014</v>
      </c>
      <c r="G415" s="9">
        <f t="shared" si="1"/>
        <v>7.3224989289974419E-5</v>
      </c>
    </row>
    <row r="416" spans="3:7" ht="12.5">
      <c r="C416" s="27">
        <v>2742.1426400522396</v>
      </c>
      <c r="D416" s="26">
        <v>0.26064795743291808</v>
      </c>
      <c r="E416" s="26">
        <v>0.35102018809713009</v>
      </c>
      <c r="G416" s="9">
        <f t="shared" si="1"/>
        <v>6.8037630672591407E-5</v>
      </c>
    </row>
    <row r="417" spans="3:7" ht="12.5">
      <c r="C417" s="27">
        <v>2748.9979966523701</v>
      </c>
      <c r="D417" s="26">
        <v>0.2603531497932064</v>
      </c>
      <c r="E417" s="26">
        <v>0.35093079385679948</v>
      </c>
      <c r="G417" s="9">
        <f t="shared" si="1"/>
        <v>6.3052084149375177E-5</v>
      </c>
    </row>
    <row r="418" spans="3:7" ht="12.5">
      <c r="C418" s="27">
        <v>2755.870491644001</v>
      </c>
      <c r="D418" s="26">
        <v>0.26005919809771222</v>
      </c>
      <c r="E418" s="26">
        <v>0.3508410436176379</v>
      </c>
      <c r="G418" s="9">
        <f t="shared" si="1"/>
        <v>5.8267018434449933E-5</v>
      </c>
    </row>
    <row r="419" spans="3:7" ht="12.5">
      <c r="C419" s="27">
        <v>2762.7601678731107</v>
      </c>
      <c r="D419" s="26">
        <v>0.25976610136239342</v>
      </c>
      <c r="E419" s="26">
        <v>0.3507509388170591</v>
      </c>
      <c r="G419" s="9">
        <f t="shared" si="1"/>
        <v>5.3681108607374894E-5</v>
      </c>
    </row>
    <row r="420" spans="3:7" ht="12.5">
      <c r="C420" s="27">
        <v>2769.6670682927934</v>
      </c>
      <c r="D420" s="26">
        <v>0.25947385859583572</v>
      </c>
      <c r="E420" s="26">
        <v>0.3506604809002834</v>
      </c>
      <c r="G420" s="9">
        <f t="shared" si="1"/>
        <v>4.9293036101118762E-5</v>
      </c>
    </row>
    <row r="421" spans="3:7" ht="12.5">
      <c r="C421" s="27">
        <v>2776.5912359635254</v>
      </c>
      <c r="D421" s="26">
        <v>0.25918246879929874</v>
      </c>
      <c r="E421" s="26">
        <v>0.35056967132025929</v>
      </c>
      <c r="G421" s="9">
        <f t="shared" si="1"/>
        <v>4.5101488689713439E-5</v>
      </c>
    </row>
    <row r="422" spans="3:7" ht="12.5">
      <c r="C422" s="27">
        <v>2783.5327140534341</v>
      </c>
      <c r="D422" s="26">
        <v>0.25889193096676261</v>
      </c>
      <c r="E422" s="26">
        <v>0.35047851153758397</v>
      </c>
      <c r="G422" s="9">
        <f t="shared" si="1"/>
        <v>4.110516047562501E-5</v>
      </c>
    </row>
    <row r="423" spans="3:7" ht="12.5">
      <c r="C423" s="27">
        <v>2790.4915458385676</v>
      </c>
      <c r="D423" s="26">
        <v>0.25860224408497345</v>
      </c>
      <c r="E423" s="26">
        <v>0.35038700302042525</v>
      </c>
      <c r="G423" s="9">
        <f t="shared" si="1"/>
        <v>3.7302751876836686E-5</v>
      </c>
    </row>
    <row r="424" spans="3:7" ht="12.5">
      <c r="C424" s="27">
        <v>2797.4677747031637</v>
      </c>
      <c r="D424" s="26">
        <v>0.25831340713349299</v>
      </c>
      <c r="E424" s="26">
        <v>0.3502951472444415</v>
      </c>
      <c r="G424" s="9">
        <f t="shared" si="1"/>
        <v>3.3692969613694214E-5</v>
      </c>
    </row>
    <row r="425" spans="3:7" ht="12.5">
      <c r="C425" s="27">
        <v>2804.4614441399217</v>
      </c>
      <c r="D425" s="26">
        <v>0.2580254190847408</v>
      </c>
      <c r="E425" s="26">
        <v>0.35020294569270322</v>
      </c>
      <c r="G425" s="9">
        <f t="shared" si="1"/>
        <v>3.0274526695398573E-5</v>
      </c>
    </row>
    <row r="426" spans="3:7" ht="12.5">
      <c r="C426" s="27">
        <v>2811.4725977502712</v>
      </c>
      <c r="D426" s="26">
        <v>0.25773827890404427</v>
      </c>
      <c r="E426" s="26">
        <v>0.35011039985561265</v>
      </c>
      <c r="G426" s="9">
        <f t="shared" si="1"/>
        <v>2.7046142406311988E-5</v>
      </c>
    </row>
    <row r="427" spans="3:7" ht="12.5">
      <c r="C427" s="27">
        <v>2818.5012792446469</v>
      </c>
      <c r="D427" s="26">
        <v>0.25745198554968451</v>
      </c>
      <c r="E427" s="26">
        <v>0.35001751123082531</v>
      </c>
      <c r="G427" s="9">
        <f t="shared" si="1"/>
        <v>2.4006542291958145E-5</v>
      </c>
    </row>
    <row r="428" spans="3:7" ht="12.5">
      <c r="C428" s="27">
        <v>2825.5475324427584</v>
      </c>
      <c r="D428" s="26">
        <v>0.25716653797294153</v>
      </c>
      <c r="E428" s="26">
        <v>0.34992428132316916</v>
      </c>
      <c r="G428" s="9">
        <f t="shared" si="1"/>
        <v>2.1154458144748868E-5</v>
      </c>
    </row>
    <row r="429" spans="3:7" ht="12.5">
      <c r="C429" s="27">
        <v>2832.6114012738653</v>
      </c>
      <c r="D429" s="26">
        <v>0.25688193511814411</v>
      </c>
      <c r="E429" s="26">
        <v>0.34983071164456553</v>
      </c>
      <c r="G429" s="9">
        <f t="shared" si="1"/>
        <v>1.8488627989503972E-5</v>
      </c>
    </row>
    <row r="430" spans="3:7" ht="12.5">
      <c r="C430" s="27">
        <v>2839.6929297770498</v>
      </c>
      <c r="D430" s="26">
        <v>0.2565981759227125</v>
      </c>
      <c r="E430" s="26">
        <v>0.349736803713949</v>
      </c>
      <c r="G430" s="9">
        <f t="shared" si="1"/>
        <v>1.6007796068650125E-5</v>
      </c>
    </row>
    <row r="431" spans="3:7" ht="12.5">
      <c r="C431" s="27">
        <v>2846.7921621014921</v>
      </c>
      <c r="D431" s="26">
        <v>0.25631525931720806</v>
      </c>
      <c r="E431" s="26">
        <v>0.34964255905718739</v>
      </c>
      <c r="G431" s="9">
        <f t="shared" si="1"/>
        <v>1.3710712827233696E-5</v>
      </c>
    </row>
    <row r="432" spans="3:7" ht="12.5">
      <c r="C432" s="27">
        <v>2853.9091425067459</v>
      </c>
      <c r="D432" s="26">
        <v>0.25603318422537874</v>
      </c>
      <c r="E432" s="26">
        <v>0.34954797920700137</v>
      </c>
      <c r="G432" s="9">
        <f t="shared" si="1"/>
        <v>1.1596134897652416E-5</v>
      </c>
    </row>
    <row r="433" spans="3:7" ht="12.5">
      <c r="C433" s="27">
        <v>2861.0439153630127</v>
      </c>
      <c r="D433" s="26">
        <v>0.25575194956420511</v>
      </c>
      <c r="E433" s="26">
        <v>0.34945306570288509</v>
      </c>
      <c r="G433" s="9">
        <f t="shared" si="1"/>
        <v>9.6628250841560031E-6</v>
      </c>
    </row>
    <row r="434" spans="3:7" ht="12.5">
      <c r="C434" s="27">
        <v>2868.1965251514202</v>
      </c>
      <c r="D434" s="26">
        <v>0.25547155424395046</v>
      </c>
      <c r="E434" s="26">
        <v>0.34935782009102473</v>
      </c>
      <c r="G434" s="9">
        <f t="shared" si="1"/>
        <v>7.9095523471310136E-6</v>
      </c>
    </row>
    <row r="435" spans="3:7" ht="12.5">
      <c r="C435" s="27">
        <v>2875.3670164642986</v>
      </c>
      <c r="D435" s="26">
        <v>0.25519199716820268</v>
      </c>
      <c r="E435" s="26">
        <v>0.34926224392421912</v>
      </c>
      <c r="G435" s="9">
        <f t="shared" si="1"/>
        <v>6.3350917871071688E-6</v>
      </c>
    </row>
    <row r="436" spans="3:7" ht="12.5">
      <c r="C436" s="27">
        <v>2882.5554340054591</v>
      </c>
      <c r="D436" s="26">
        <v>0.25491327723392471</v>
      </c>
      <c r="E436" s="26">
        <v>0.34916633876179859</v>
      </c>
      <c r="G436" s="9">
        <f t="shared" si="1"/>
        <v>4.93822462858524E-6</v>
      </c>
    </row>
    <row r="437" spans="3:7" ht="12.5">
      <c r="C437" s="27">
        <v>2889.7618225904725</v>
      </c>
      <c r="D437" s="26">
        <v>0.25463539333149871</v>
      </c>
      <c r="E437" s="26">
        <v>0.34907010616954537</v>
      </c>
      <c r="G437" s="9">
        <f t="shared" si="1"/>
        <v>3.7177382036081627E-6</v>
      </c>
    </row>
    <row r="438" spans="3:7" ht="12.5">
      <c r="C438" s="27">
        <v>2896.9862271469487</v>
      </c>
      <c r="D438" s="26">
        <v>0.25435834434477478</v>
      </c>
      <c r="E438" s="26">
        <v>0.34897354771961225</v>
      </c>
      <c r="G438" s="9">
        <f t="shared" si="1"/>
        <v>2.672425935132463E-6</v>
      </c>
    </row>
    <row r="439" spans="3:7" ht="12.5">
      <c r="C439" s="27">
        <v>2904.2286927148161</v>
      </c>
      <c r="D439" s="26">
        <v>0.25408212915111678</v>
      </c>
      <c r="E439" s="26">
        <v>0.34887666499044251</v>
      </c>
      <c r="G439" s="9">
        <f t="shared" si="1"/>
        <v>1.8010873201719144E-6</v>
      </c>
    </row>
    <row r="440" spans="3:7" ht="12.5">
      <c r="C440" s="27">
        <v>2911.4892644466031</v>
      </c>
      <c r="D440" s="26">
        <v>0.25380674662144931</v>
      </c>
      <c r="E440" s="26">
        <v>0.3487794595666891</v>
      </c>
      <c r="G440" s="9">
        <f t="shared" si="1"/>
        <v>1.1025279127340462E-6</v>
      </c>
    </row>
    <row r="441" spans="3:7" ht="12.5">
      <c r="C441" s="27">
        <v>2918.7679876077195</v>
      </c>
      <c r="D441" s="26">
        <v>0.25353219562030349</v>
      </c>
      <c r="E441" s="26">
        <v>0.34868193303913397</v>
      </c>
      <c r="G441" s="9">
        <f t="shared" si="1"/>
        <v>5.7555930654642087E-7</v>
      </c>
    </row>
    <row r="442" spans="3:7" ht="12.5">
      <c r="C442" s="27">
        <v>2926.0649075767387</v>
      </c>
      <c r="D442" s="26">
        <v>0.25325847500586463</v>
      </c>
      <c r="E442" s="26">
        <v>0.34858408700460797</v>
      </c>
      <c r="G442" s="9">
        <f t="shared" ref="G442:G505" si="2">((D442-$D$3)^2+(E442-$E$3)^2)</f>
        <v>2.1899911758443165E-7</v>
      </c>
    </row>
    <row r="443" spans="3:7" ht="12.5">
      <c r="C443" s="27">
        <v>2933.3800698456803</v>
      </c>
      <c r="D443" s="26">
        <v>0.25298558363001911</v>
      </c>
      <c r="E443" s="26">
        <v>0.34848592306590925</v>
      </c>
      <c r="G443" s="9">
        <f t="shared" si="2"/>
        <v>3.1670966395082632E-8</v>
      </c>
    </row>
    <row r="444" spans="3:7" ht="12.5">
      <c r="C444" s="27">
        <v>2940.7135200202943</v>
      </c>
      <c r="D444" s="26">
        <v>0.25271352033840017</v>
      </c>
      <c r="E444" s="26">
        <v>0.34838744283172385</v>
      </c>
      <c r="G444" s="9">
        <f t="shared" si="2"/>
        <v>1.2404460225431953E-8</v>
      </c>
    </row>
    <row r="445" spans="3:7" ht="12.5">
      <c r="C445" s="27">
        <v>2948.065303820345</v>
      </c>
      <c r="D445" s="26">
        <v>0.25244228397043489</v>
      </c>
      <c r="E445" s="26">
        <v>0.34828864791654379</v>
      </c>
      <c r="G445" s="9">
        <f t="shared" si="2"/>
        <v>1.6003517496054369E-7</v>
      </c>
    </row>
    <row r="446" spans="3:7" ht="12.5">
      <c r="C446" s="27">
        <v>2955.4354670798957</v>
      </c>
      <c r="D446" s="26">
        <v>0.25217187335939117</v>
      </c>
      <c r="E446" s="26">
        <v>0.34818953994058699</v>
      </c>
      <c r="G446" s="9">
        <f t="shared" si="2"/>
        <v>4.734046368729985E-7</v>
      </c>
    </row>
    <row r="447" spans="3:7" ht="12.5">
      <c r="C447" s="27">
        <v>2962.8240557475951</v>
      </c>
      <c r="D447" s="26">
        <v>0.25190228733242442</v>
      </c>
      <c r="E447" s="26">
        <v>0.34809012052971683</v>
      </c>
      <c r="G447" s="9">
        <f t="shared" si="2"/>
        <v>9.5136030418739991E-7</v>
      </c>
    </row>
    <row r="448" spans="3:7" ht="12.5">
      <c r="C448" s="27">
        <v>2970.2311158869638</v>
      </c>
      <c r="D448" s="26">
        <v>0.251633524710623</v>
      </c>
      <c r="E448" s="26">
        <v>0.34799039131536147</v>
      </c>
      <c r="G448" s="9">
        <f t="shared" si="2"/>
        <v>1.5927555484673944E-6</v>
      </c>
    </row>
    <row r="449" spans="3:7" ht="12.5">
      <c r="C449" s="27">
        <v>2977.6566936766812</v>
      </c>
      <c r="D449" s="26">
        <v>0.2513655843090567</v>
      </c>
      <c r="E449" s="26">
        <v>0.34789035393443291</v>
      </c>
      <c r="G449" s="9">
        <f t="shared" si="2"/>
        <v>2.3964496358216895E-6</v>
      </c>
    </row>
    <row r="450" spans="3:7" ht="12.5">
      <c r="C450" s="27">
        <v>2985.1008354108726</v>
      </c>
      <c r="D450" s="26">
        <v>0.25109846493682114</v>
      </c>
      <c r="E450" s="26">
        <v>0.34779001002924659</v>
      </c>
      <c r="G450" s="9">
        <f t="shared" si="2"/>
        <v>3.3613077079451846E-6</v>
      </c>
    </row>
    <row r="451" spans="3:7" ht="12.5">
      <c r="C451" s="27">
        <v>2992.5635874993995</v>
      </c>
      <c r="D451" s="26">
        <v>0.25083216539708564</v>
      </c>
      <c r="E451" s="26">
        <v>0.34768936124744126</v>
      </c>
      <c r="G451" s="9">
        <f t="shared" si="2"/>
        <v>4.4862007629841154E-6</v>
      </c>
    </row>
    <row r="452" spans="3:7" ht="12.5">
      <c r="C452" s="27">
        <v>3000.0449964681479</v>
      </c>
      <c r="D452" s="26">
        <v>0.25056668448714015</v>
      </c>
      <c r="E452" s="26">
        <v>0.34758840924189804</v>
      </c>
      <c r="G452" s="9">
        <f t="shared" si="2"/>
        <v>5.7700056362369493E-6</v>
      </c>
    </row>
    <row r="453" spans="3:7" ht="12.5">
      <c r="C453" s="27">
        <v>3007.545108959318</v>
      </c>
      <c r="D453" s="26">
        <v>0.25030202099844079</v>
      </c>
      <c r="E453" s="26">
        <v>0.34748715567066024</v>
      </c>
      <c r="G453" s="9">
        <f t="shared" si="2"/>
        <v>7.211604980699099E-6</v>
      </c>
    </row>
    <row r="454" spans="3:7" ht="12.5">
      <c r="C454" s="27">
        <v>3015.0639717317163</v>
      </c>
      <c r="D454" s="26">
        <v>0.25003817371665549</v>
      </c>
      <c r="E454" s="26">
        <v>0.34738560219685283</v>
      </c>
      <c r="G454" s="9">
        <f t="shared" si="2"/>
        <v>8.8098872474531839E-6</v>
      </c>
    </row>
    <row r="455" spans="3:7" ht="12.5">
      <c r="C455" s="27">
        <v>3022.6016316610453</v>
      </c>
      <c r="D455" s="26">
        <v>0.24977514142171384</v>
      </c>
      <c r="E455" s="26">
        <v>0.34728375048860244</v>
      </c>
      <c r="G455" s="9">
        <f t="shared" si="2"/>
        <v>1.0563746665881359E-5</v>
      </c>
    </row>
    <row r="456" spans="3:7" ht="12.5">
      <c r="C456" s="27">
        <v>3030.1581357401978</v>
      </c>
      <c r="D456" s="26">
        <v>0.24951292288784863</v>
      </c>
      <c r="E456" s="26">
        <v>0.34718160221895694</v>
      </c>
      <c r="G456" s="9">
        <f t="shared" si="2"/>
        <v>1.2472083223772741E-5</v>
      </c>
    </row>
    <row r="457" spans="3:7" ht="12.5">
      <c r="C457" s="27">
        <v>3037.7335310795484</v>
      </c>
      <c r="D457" s="26">
        <v>0.24925151688364633</v>
      </c>
      <c r="E457" s="26">
        <v>0.34707915906580533</v>
      </c>
      <c r="G457" s="9">
        <f t="shared" si="2"/>
        <v>1.4533802647235304E-5</v>
      </c>
    </row>
    <row r="458" spans="3:7" ht="12.5">
      <c r="C458" s="27">
        <v>3045.3278649072472</v>
      </c>
      <c r="D458" s="26">
        <v>0.24899092217209046</v>
      </c>
      <c r="E458" s="26">
        <v>0.34697642271179807</v>
      </c>
      <c r="G458" s="9">
        <f t="shared" si="2"/>
        <v>1.6747816380505445E-5</v>
      </c>
    </row>
    <row r="459" spans="3:7" ht="12.5">
      <c r="C459" s="27">
        <v>3052.9411845695154</v>
      </c>
      <c r="D459" s="26">
        <v>0.2487311375106103</v>
      </c>
      <c r="E459" s="26">
        <v>0.34687339484426616</v>
      </c>
      <c r="G459" s="9">
        <f t="shared" si="2"/>
        <v>1.9113041565587308E-5</v>
      </c>
    </row>
    <row r="460" spans="3:7" ht="12.5">
      <c r="C460" s="27">
        <v>3060.5735375309391</v>
      </c>
      <c r="D460" s="26">
        <v>0.24847216165112507</v>
      </c>
      <c r="E460" s="26">
        <v>0.34677007715514246</v>
      </c>
      <c r="G460" s="9">
        <f t="shared" si="2"/>
        <v>2.1628401021782517E-5</v>
      </c>
    </row>
    <row r="461" spans="3:7" ht="12.5">
      <c r="C461" s="27">
        <v>3068.2249713747665</v>
      </c>
      <c r="D461" s="26">
        <v>0.24821399334009112</v>
      </c>
      <c r="E461" s="26">
        <v>0.34666647134088113</v>
      </c>
      <c r="G461" s="9">
        <f t="shared" si="2"/>
        <v>2.4292823225072113E-5</v>
      </c>
    </row>
    <row r="462" spans="3:7" ht="12.5">
      <c r="C462" s="27">
        <v>3075.8955338032033</v>
      </c>
      <c r="D462" s="26">
        <v>0.24795663131854906</v>
      </c>
      <c r="E462" s="26">
        <v>0.34656257910237798</v>
      </c>
      <c r="G462" s="9">
        <f t="shared" si="2"/>
        <v>2.7105242287364778E-5</v>
      </c>
    </row>
    <row r="463" spans="3:7" ht="12.5">
      <c r="C463" s="27">
        <v>3083.5852726377111</v>
      </c>
      <c r="D463" s="26">
        <v>0.24770007432216673</v>
      </c>
      <c r="E463" s="26">
        <v>0.34645840214489176</v>
      </c>
      <c r="G463" s="9">
        <f t="shared" si="2"/>
        <v>3.0064597935656929E-5</v>
      </c>
    </row>
    <row r="464" spans="3:7" ht="12.5">
      <c r="C464" s="27">
        <v>3091.2942358193054</v>
      </c>
      <c r="D464" s="26">
        <v>0.24744432108128847</v>
      </c>
      <c r="E464" s="26">
        <v>0.34635394217796384</v>
      </c>
      <c r="G464" s="9">
        <f t="shared" si="2"/>
        <v>3.3169835491019E-5</v>
      </c>
    </row>
    <row r="465" spans="3:7" ht="12.5">
      <c r="C465" s="27">
        <v>3099.0224714088536</v>
      </c>
      <c r="D465" s="26">
        <v>0.24718937032097915</v>
      </c>
      <c r="E465" s="26">
        <v>0.34624920091533906</v>
      </c>
      <c r="G465" s="9">
        <f t="shared" si="2"/>
        <v>3.6419905847508858E-5</v>
      </c>
    </row>
    <row r="466" spans="3:7" ht="12.5">
      <c r="C466" s="27">
        <v>3106.7700275873754</v>
      </c>
      <c r="D466" s="26">
        <v>0.24693522076107213</v>
      </c>
      <c r="E466" s="26">
        <v>0.3461441800748869</v>
      </c>
      <c r="G466" s="9">
        <f t="shared" si="2"/>
        <v>3.981376545093003E-5</v>
      </c>
    </row>
    <row r="467" spans="3:7" ht="12.5">
      <c r="C467" s="27">
        <v>3114.5369526563436</v>
      </c>
      <c r="D467" s="26">
        <v>0.24668187111621251</v>
      </c>
      <c r="E467" s="26">
        <v>0.34603888137852223</v>
      </c>
      <c r="G467" s="9">
        <f t="shared" si="2"/>
        <v>4.3350376277531685E-5</v>
      </c>
    </row>
    <row r="468" spans="3:7" ht="12.5">
      <c r="C468" s="27">
        <v>3122.3232950379843</v>
      </c>
      <c r="D468" s="26">
        <v>0.24642932009590407</v>
      </c>
      <c r="E468" s="26">
        <v>0.34593330655212656</v>
      </c>
      <c r="G468" s="9">
        <f t="shared" si="2"/>
        <v>4.7028705812560495E-5</v>
      </c>
    </row>
    <row r="469" spans="3:7" ht="12.5">
      <c r="C469" s="27">
        <v>3130.1291032755789</v>
      </c>
      <c r="D469" s="26">
        <v>0.24617756640455649</v>
      </c>
      <c r="E469" s="26">
        <v>0.34582745732546916</v>
      </c>
      <c r="G469" s="9">
        <f t="shared" si="2"/>
        <v>5.0847727028702137E-5</v>
      </c>
    </row>
    <row r="470" spans="3:7" ht="12.5">
      <c r="C470" s="27">
        <v>3137.9544260337675</v>
      </c>
      <c r="D470" s="26">
        <v>0.24592660874152805</v>
      </c>
      <c r="E470" s="26">
        <v>0.34572133543212852</v>
      </c>
      <c r="G470" s="9">
        <f t="shared" si="2"/>
        <v>5.4806418364477871E-5</v>
      </c>
    </row>
    <row r="471" spans="3:7" ht="12.5">
      <c r="C471" s="27">
        <v>3145.7993120988517</v>
      </c>
      <c r="D471" s="26">
        <v>0.24567644580117404</v>
      </c>
      <c r="E471" s="26">
        <v>0.34561494260941378</v>
      </c>
      <c r="G471" s="9">
        <f t="shared" si="2"/>
        <v>5.8903763702473231E-5</v>
      </c>
    </row>
    <row r="472" spans="3:7" ht="12.5">
      <c r="C472" s="27">
        <v>3153.6638103790988</v>
      </c>
      <c r="D472" s="26">
        <v>0.24542707627289195</v>
      </c>
      <c r="E472" s="26">
        <v>0.34550828059828664</v>
      </c>
      <c r="G472" s="9">
        <f t="shared" si="2"/>
        <v>6.3138752347507282E-5</v>
      </c>
    </row>
    <row r="473" spans="3:7" ht="12.5">
      <c r="C473" s="27">
        <v>3161.5479699050466</v>
      </c>
      <c r="D473" s="26">
        <v>0.24517849884116458</v>
      </c>
      <c r="E473" s="26">
        <v>0.34540135114328319</v>
      </c>
      <c r="G473" s="9">
        <f t="shared" si="2"/>
        <v>6.7510379004747477E-5</v>
      </c>
    </row>
    <row r="474" spans="3:7" ht="12.5">
      <c r="C474" s="27">
        <v>3169.4518398298092</v>
      </c>
      <c r="D474" s="26">
        <v>0.24493071218560816</v>
      </c>
      <c r="E474" s="26">
        <v>0.34529415599243601</v>
      </c>
      <c r="G474" s="9">
        <f t="shared" si="2"/>
        <v>7.2017643757660662E-5</v>
      </c>
    </row>
    <row r="475" spans="3:7" ht="12.5">
      <c r="C475" s="27">
        <v>3177.3754694293834</v>
      </c>
      <c r="D475" s="26">
        <v>0.24468371498101618</v>
      </c>
      <c r="E475" s="26">
        <v>0.34518669689719639</v>
      </c>
      <c r="G475" s="9">
        <f t="shared" si="2"/>
        <v>7.6659552045944845E-5</v>
      </c>
    </row>
    <row r="476" spans="3:7" ht="12.5">
      <c r="C476" s="27">
        <v>3185.3189081029568</v>
      </c>
      <c r="D476" s="26">
        <v>0.24443750589740604</v>
      </c>
      <c r="E476" s="26">
        <v>0.34507897561235651</v>
      </c>
      <c r="G476" s="9">
        <f t="shared" si="2"/>
        <v>8.1435114643334345E-5</v>
      </c>
    </row>
    <row r="477" spans="3:7" ht="12.5">
      <c r="C477" s="27">
        <v>3193.2822053732139</v>
      </c>
      <c r="D477" s="26">
        <v>0.24419208360006292</v>
      </c>
      <c r="E477" s="26">
        <v>0.3449709938959723</v>
      </c>
      <c r="G477" s="9">
        <f t="shared" si="2"/>
        <v>8.6343347635369557E-5</v>
      </c>
    </row>
    <row r="478" spans="3:7" ht="12.5">
      <c r="C478" s="27">
        <v>3201.2654108866468</v>
      </c>
      <c r="D478" s="26">
        <v>0.24394744674958496</v>
      </c>
      <c r="E478" s="26">
        <v>0.34486275350928636</v>
      </c>
      <c r="G478" s="9">
        <f t="shared" si="2"/>
        <v>9.1383272397071752E-5</v>
      </c>
    </row>
    <row r="479" spans="3:7" ht="12.5">
      <c r="C479" s="27">
        <v>3209.2685744138635</v>
      </c>
      <c r="D479" s="26">
        <v>0.24370359400193042</v>
      </c>
      <c r="E479" s="26">
        <v>0.34475425621665057</v>
      </c>
      <c r="G479" s="9">
        <f t="shared" si="2"/>
        <v>9.6553915570512182E-5</v>
      </c>
    </row>
    <row r="480" spans="3:7" ht="12.5">
      <c r="C480" s="27">
        <v>3217.2917458498978</v>
      </c>
      <c r="D480" s="26">
        <v>0.24346052400845924</v>
      </c>
      <c r="E480" s="26">
        <v>0.34464550378544961</v>
      </c>
      <c r="G480" s="9">
        <f t="shared" si="2"/>
        <v>1.0185430904240617E-4</v>
      </c>
    </row>
    <row r="481" spans="3:7" ht="12.5">
      <c r="C481" s="27">
        <v>3225.3349752145223</v>
      </c>
      <c r="D481" s="26">
        <v>0.24321823541598128</v>
      </c>
      <c r="E481" s="26">
        <v>0.34453649798602376</v>
      </c>
      <c r="G481" s="9">
        <f t="shared" si="2"/>
        <v>1.0728348992152922E-4</v>
      </c>
    </row>
    <row r="482" spans="3:7" ht="12.5">
      <c r="C482" s="27">
        <v>3233.3983126525586</v>
      </c>
      <c r="D482" s="26">
        <v>0.24297672686679814</v>
      </c>
      <c r="E482" s="26">
        <v>0.34442724059159352</v>
      </c>
      <c r="G482" s="9">
        <f t="shared" si="2"/>
        <v>1.1284050051617353E-4</v>
      </c>
    </row>
    <row r="483" spans="3:7" ht="12.5">
      <c r="C483" s="27">
        <v>3241.48180843419</v>
      </c>
      <c r="D483" s="26">
        <v>0.24273599699875156</v>
      </c>
      <c r="E483" s="26">
        <v>0.34431773337818244</v>
      </c>
      <c r="G483" s="9">
        <f t="shared" si="2"/>
        <v>1.1852438831143596E-4</v>
      </c>
    </row>
    <row r="484" spans="3:7" ht="12.5">
      <c r="C484" s="27">
        <v>3249.5855129552751</v>
      </c>
      <c r="D484" s="26">
        <v>0.24249604444526376</v>
      </c>
      <c r="E484" s="26">
        <v>0.34420797812454162</v>
      </c>
      <c r="G484" s="9">
        <f t="shared" si="2"/>
        <v>1.2433420594659377E-4</v>
      </c>
    </row>
    <row r="485" spans="3:7" ht="12.5">
      <c r="C485" s="27">
        <v>3257.709476737663</v>
      </c>
      <c r="D485" s="26">
        <v>0.2422568678353848</v>
      </c>
      <c r="E485" s="26">
        <v>0.3440979766120737</v>
      </c>
      <c r="G485" s="9">
        <f t="shared" si="2"/>
        <v>1.3026901119229389E-4</v>
      </c>
    </row>
    <row r="486" spans="3:7" ht="12.5">
      <c r="C486" s="27">
        <v>3265.8537504295068</v>
      </c>
      <c r="D486" s="26">
        <v>0.24201846579383735</v>
      </c>
      <c r="E486" s="26">
        <v>0.34398773062475774</v>
      </c>
      <c r="G486" s="9">
        <f t="shared" si="2"/>
        <v>1.3632786692773424E-4</v>
      </c>
    </row>
    <row r="487" spans="3:7" ht="12.5">
      <c r="C487" s="27">
        <v>3274.0183848055804</v>
      </c>
      <c r="D487" s="26">
        <v>0.24178083694106015</v>
      </c>
      <c r="E487" s="26">
        <v>0.34387724194907326</v>
      </c>
      <c r="G487" s="9">
        <f t="shared" si="2"/>
        <v>1.4250984111783264E-4</v>
      </c>
    </row>
    <row r="488" spans="3:7" ht="12.5">
      <c r="C488" s="27">
        <v>3282.203430767594</v>
      </c>
      <c r="D488" s="26">
        <v>0.24154397989325077</v>
      </c>
      <c r="E488" s="26">
        <v>0.34376651237392608</v>
      </c>
      <c r="G488" s="9">
        <f t="shared" si="2"/>
        <v>1.488140067903557E-4</v>
      </c>
    </row>
    <row r="489" spans="3:7" ht="12.5">
      <c r="C489" s="27">
        <v>3290.4089393445129</v>
      </c>
      <c r="D489" s="26">
        <v>0.24130789326241267</v>
      </c>
      <c r="E489" s="26">
        <v>0.34365554369057216</v>
      </c>
      <c r="G489" s="9">
        <f t="shared" si="2"/>
        <v>1.5523944201292823E-4</v>
      </c>
    </row>
    <row r="490" spans="3:7" ht="12.5">
      <c r="C490" s="27">
        <v>3298.6349616928742</v>
      </c>
      <c r="D490" s="26">
        <v>0.24107257565639825</v>
      </c>
      <c r="E490" s="26">
        <v>0.34354433769254433</v>
      </c>
      <c r="G490" s="9">
        <f t="shared" si="2"/>
        <v>1.6178522987006483E-4</v>
      </c>
    </row>
    <row r="491" spans="3:7" ht="12.5">
      <c r="C491" s="27">
        <v>3306.881549097106</v>
      </c>
      <c r="D491" s="26">
        <v>0.24083802567895157</v>
      </c>
      <c r="E491" s="26">
        <v>0.34343289617557737</v>
      </c>
      <c r="G491" s="9">
        <f t="shared" si="2"/>
        <v>1.6845045844019244E-4</v>
      </c>
    </row>
    <row r="492" spans="3:7" ht="12.5">
      <c r="C492" s="27">
        <v>3315.1487529698488</v>
      </c>
      <c r="D492" s="26">
        <v>0.24060424192975396</v>
      </c>
      <c r="E492" s="26">
        <v>0.34332122093753331</v>
      </c>
      <c r="G492" s="9">
        <f t="shared" si="2"/>
        <v>1.7523422077257077E-4</v>
      </c>
    </row>
    <row r="493" spans="3:7" ht="12.5">
      <c r="C493" s="27">
        <v>3323.4366248522733</v>
      </c>
      <c r="D493" s="26">
        <v>0.24037122300446687</v>
      </c>
      <c r="E493" s="26">
        <v>0.34320931377832881</v>
      </c>
      <c r="G493" s="9">
        <f t="shared" si="2"/>
        <v>1.8213561486422739E-4</v>
      </c>
    </row>
    <row r="494" spans="3:7" ht="12.5">
      <c r="C494" s="27">
        <v>3331.7452164144038</v>
      </c>
      <c r="D494" s="26">
        <v>0.24013896749477653</v>
      </c>
      <c r="E494" s="26">
        <v>0.3430971764998606</v>
      </c>
      <c r="G494" s="9">
        <f t="shared" si="2"/>
        <v>1.891537436368391E-4</v>
      </c>
    </row>
    <row r="495" spans="3:7" ht="12.5">
      <c r="C495" s="27">
        <v>3340.0745794554396</v>
      </c>
      <c r="D495" s="26">
        <v>0.23990747398843681</v>
      </c>
      <c r="E495" s="26">
        <v>0.34298481090593202</v>
      </c>
      <c r="G495" s="9">
        <f t="shared" si="2"/>
        <v>1.9628771491362674E-4</v>
      </c>
    </row>
    <row r="496" spans="3:7" ht="12.5">
      <c r="C496" s="27">
        <v>3348.424765904078</v>
      </c>
      <c r="D496" s="26">
        <v>0.23967674106931175</v>
      </c>
      <c r="E496" s="26">
        <v>0.34287221880218099</v>
      </c>
      <c r="G496" s="9">
        <f t="shared" si="2"/>
        <v>2.0353664139621837E-4</v>
      </c>
    </row>
    <row r="497" spans="3:7" ht="12.5">
      <c r="C497" s="27">
        <v>3356.795827818838</v>
      </c>
      <c r="D497" s="26">
        <v>0.23944676731742143</v>
      </c>
      <c r="E497" s="26">
        <v>0.34275940199600574</v>
      </c>
      <c r="G497" s="9">
        <f t="shared" si="2"/>
        <v>2.1089964064143369E-4</v>
      </c>
    </row>
    <row r="498" spans="3:7" ht="12.5">
      <c r="C498" s="27">
        <v>3365.1878173883847</v>
      </c>
      <c r="D498" s="26">
        <v>0.2392175513089827</v>
      </c>
      <c r="E498" s="26">
        <v>0.34264636229649353</v>
      </c>
      <c r="G498" s="9">
        <f t="shared" si="2"/>
        <v>2.1837583503815205E-4</v>
      </c>
    </row>
    <row r="499" spans="3:7" ht="12.5">
      <c r="C499" s="27">
        <v>3373.6007869318555</v>
      </c>
      <c r="D499" s="26">
        <v>0.23898909161645418</v>
      </c>
      <c r="E499" s="26">
        <v>0.34253310151434752</v>
      </c>
      <c r="G499" s="9">
        <f t="shared" si="2"/>
        <v>2.2596435178407655E-4</v>
      </c>
    </row>
    <row r="500" spans="3:7" ht="12.5">
      <c r="C500" s="27">
        <v>3382.0347888991851</v>
      </c>
      <c r="D500" s="26">
        <v>0.23876138680857928</v>
      </c>
      <c r="E500" s="26">
        <v>0.34241962146181487</v>
      </c>
      <c r="G500" s="9">
        <f t="shared" si="2"/>
        <v>2.336643228625217E-4</v>
      </c>
    </row>
    <row r="501" spans="3:7" ht="12.5">
      <c r="C501" s="27">
        <v>3390.489875871433</v>
      </c>
      <c r="D501" s="26">
        <v>0.23853443545042691</v>
      </c>
      <c r="E501" s="26">
        <v>0.34230592395261539</v>
      </c>
      <c r="G501" s="9">
        <f t="shared" si="2"/>
        <v>2.4147488501925481E-4</v>
      </c>
    </row>
    <row r="502" spans="3:7" ht="12.5">
      <c r="C502" s="27">
        <v>3398.9661005611115</v>
      </c>
      <c r="D502" s="26">
        <v>0.23830823610343715</v>
      </c>
      <c r="E502" s="26">
        <v>0.34219201080186967</v>
      </c>
      <c r="G502" s="9">
        <f t="shared" si="2"/>
        <v>2.4939517973919658E-4</v>
      </c>
    </row>
    <row r="503" spans="3:7" ht="12.5">
      <c r="C503" s="27">
        <v>3407.4635158125143</v>
      </c>
      <c r="D503" s="26">
        <v>0.23808278732546226</v>
      </c>
      <c r="E503" s="26">
        <v>0.34207788382602783</v>
      </c>
      <c r="G503" s="9">
        <f t="shared" si="2"/>
        <v>2.5742435322324424E-4</v>
      </c>
    </row>
    <row r="504" spans="3:7" ht="12.5">
      <c r="C504" s="27">
        <v>3415.9821746020452</v>
      </c>
      <c r="D504" s="26">
        <v>0.23785808767081065</v>
      </c>
      <c r="E504" s="26">
        <v>0.34196354484279923</v>
      </c>
      <c r="G504" s="9">
        <f t="shared" si="2"/>
        <v>2.6556155636499177E-4</v>
      </c>
    </row>
    <row r="505" spans="3:7" ht="12.5">
      <c r="C505" s="27">
        <v>3424.5221300385501</v>
      </c>
      <c r="D505" s="26">
        <v>0.23763413569028674</v>
      </c>
      <c r="E505" s="26">
        <v>0.34184899567108085</v>
      </c>
      <c r="G505" s="9">
        <f t="shared" si="2"/>
        <v>2.7380594472759592E-4</v>
      </c>
    </row>
    <row r="506" spans="3:7" ht="12.5">
      <c r="C506" s="27">
        <v>3433.0834353636465</v>
      </c>
      <c r="D506" s="26">
        <v>0.2374109299312375</v>
      </c>
      <c r="E506" s="26">
        <v>0.34173423813088788</v>
      </c>
      <c r="G506" s="9">
        <f t="shared" ref="G506:G569" si="3">((D506-$D$3)^2+(E506-$E$3)^2)</f>
        <v>2.8215667852041351E-4</v>
      </c>
    </row>
    <row r="507" spans="3:7" ht="12.5">
      <c r="C507" s="27">
        <v>3441.6661439520553</v>
      </c>
      <c r="D507" s="26">
        <v>0.23718846893758999</v>
      </c>
      <c r="E507" s="26">
        <v>0.34161927404328291</v>
      </c>
      <c r="G507" s="9">
        <f t="shared" si="3"/>
        <v>2.9061292257593594E-4</v>
      </c>
    </row>
    <row r="508" spans="3:7" ht="12.5">
      <c r="C508" s="27">
        <v>3450.2703093119353</v>
      </c>
      <c r="D508" s="26">
        <v>0.23696675124989755</v>
      </c>
      <c r="E508" s="26">
        <v>0.341504105230307</v>
      </c>
      <c r="G508" s="9">
        <f t="shared" si="3"/>
        <v>2.9917384632644514E-4</v>
      </c>
    </row>
    <row r="509" spans="3:7" ht="12.5">
      <c r="C509" s="27">
        <v>3458.8959850852148</v>
      </c>
      <c r="D509" s="26">
        <v>0.23674577540537828</v>
      </c>
      <c r="E509" s="26">
        <v>0.34138873351490934</v>
      </c>
      <c r="G509" s="9">
        <f t="shared" si="3"/>
        <v>3.0783862378093549E-4</v>
      </c>
    </row>
    <row r="510" spans="3:7" ht="12.5">
      <c r="C510" s="27">
        <v>3467.5432250479275</v>
      </c>
      <c r="D510" s="26">
        <v>0.2365255399379608</v>
      </c>
      <c r="E510" s="26">
        <v>0.34127316072087877</v>
      </c>
      <c r="G510" s="9">
        <f t="shared" si="3"/>
        <v>3.1660643350179537E-4</v>
      </c>
    </row>
    <row r="511" spans="3:7" ht="12.5">
      <c r="C511" s="27">
        <v>3476.2120831105472</v>
      </c>
      <c r="D511" s="26">
        <v>0.2363060433783227</v>
      </c>
      <c r="E511" s="26">
        <v>0.34115738867277456</v>
      </c>
      <c r="G511" s="9">
        <f t="shared" si="3"/>
        <v>3.2547645858174652E-4</v>
      </c>
    </row>
    <row r="512" spans="3:7" ht="12.5">
      <c r="C512" s="27">
        <v>3484.9026133183233</v>
      </c>
      <c r="D512" s="26">
        <v>0.23608728425393319</v>
      </c>
      <c r="E512" s="26">
        <v>0.34104141919585812</v>
      </c>
      <c r="G512" s="9">
        <f t="shared" si="3"/>
        <v>3.344478866206554E-4</v>
      </c>
    </row>
    <row r="513" spans="3:7" ht="12.5">
      <c r="C513" s="27">
        <v>3493.614869851619</v>
      </c>
      <c r="D513" s="26">
        <v>0.23586926108909506</v>
      </c>
      <c r="E513" s="26">
        <v>0.34092525411602415</v>
      </c>
      <c r="G513" s="9">
        <f t="shared" si="3"/>
        <v>3.4351990970239173E-4</v>
      </c>
    </row>
    <row r="514" spans="3:7" ht="12.5">
      <c r="C514" s="27">
        <v>3502.3489070262481</v>
      </c>
      <c r="D514" s="26">
        <v>0.23565197240498631</v>
      </c>
      <c r="E514" s="26">
        <v>0.34080889525973357</v>
      </c>
      <c r="G514" s="9">
        <f t="shared" si="3"/>
        <v>3.5269172437169547E-4</v>
      </c>
    </row>
    <row r="515" spans="3:7" ht="12.5">
      <c r="C515" s="27">
        <v>3511.1047792938134</v>
      </c>
      <c r="D515" s="26">
        <v>0.23543541671970009</v>
      </c>
      <c r="E515" s="26">
        <v>0.34069234445394536</v>
      </c>
      <c r="G515" s="9">
        <f t="shared" si="3"/>
        <v>3.6196253161113989E-4</v>
      </c>
    </row>
    <row r="516" spans="3:7" ht="12.5">
      <c r="C516" s="27">
        <v>3519.8825412420479</v>
      </c>
      <c r="D516" s="26">
        <v>0.23521959254828767</v>
      </c>
      <c r="E516" s="26">
        <v>0.3405756035260491</v>
      </c>
      <c r="G516" s="9">
        <f t="shared" si="3"/>
        <v>3.7133153681800788E-4</v>
      </c>
    </row>
    <row r="517" spans="3:7" ht="12.5">
      <c r="C517" s="27">
        <v>3528.6822475951526</v>
      </c>
      <c r="D517" s="26">
        <v>0.23500449840279655</v>
      </c>
      <c r="E517" s="26">
        <v>0.34045867430379834</v>
      </c>
      <c r="G517" s="9">
        <f t="shared" si="3"/>
        <v>3.8079794978135301E-4</v>
      </c>
    </row>
    <row r="518" spans="3:7" ht="12.5">
      <c r="C518" s="27">
        <v>3537.5039532141404</v>
      </c>
      <c r="D518" s="26">
        <v>0.23479013279231473</v>
      </c>
      <c r="E518" s="26">
        <v>0.34034155861524384</v>
      </c>
      <c r="G518" s="9">
        <f t="shared" si="3"/>
        <v>3.9036098465887632E-4</v>
      </c>
    </row>
    <row r="519" spans="3:7" ht="12.5">
      <c r="C519" s="27">
        <v>3546.3477130971755</v>
      </c>
      <c r="D519" s="26">
        <v>0.234576494223009</v>
      </c>
      <c r="E519" s="26">
        <v>0.34022425828866681</v>
      </c>
      <c r="G519" s="9">
        <f t="shared" si="3"/>
        <v>4.0001985995404617E-4</v>
      </c>
    </row>
    <row r="520" spans="3:7" ht="12.5">
      <c r="C520" s="27">
        <v>3555.2135823799181</v>
      </c>
      <c r="D520" s="26">
        <v>0.23436358119816683</v>
      </c>
      <c r="E520" s="26">
        <v>0.34010677515251342</v>
      </c>
      <c r="G520" s="9">
        <f t="shared" si="3"/>
        <v>4.097737984931054E-4</v>
      </c>
    </row>
    <row r="521" spans="3:7" ht="12.5">
      <c r="C521" s="27">
        <v>3564.1016163358677</v>
      </c>
      <c r="D521" s="26">
        <v>0.23415139221823555</v>
      </c>
      <c r="E521" s="26">
        <v>0.33998911103532847</v>
      </c>
      <c r="G521" s="9">
        <f t="shared" si="3"/>
        <v>4.1962202740222608E-4</v>
      </c>
    </row>
    <row r="522" spans="3:7" ht="12.5">
      <c r="C522" s="27">
        <v>3573.0118703767071</v>
      </c>
      <c r="D522" s="26">
        <v>0.233939925780865</v>
      </c>
      <c r="E522" s="26">
        <v>0.33987126776569032</v>
      </c>
      <c r="G522" s="9">
        <f t="shared" si="3"/>
        <v>4.2956377808455425E-4</v>
      </c>
    </row>
    <row r="523" spans="3:7" ht="12.5">
      <c r="C523" s="27">
        <v>3581.9444000526487</v>
      </c>
      <c r="D523" s="26">
        <v>0.23372918038094398</v>
      </c>
      <c r="E523" s="26">
        <v>0.33975324717214606</v>
      </c>
      <c r="G523" s="9">
        <f t="shared" si="3"/>
        <v>4.395982861975209E-4</v>
      </c>
    </row>
    <row r="524" spans="3:7" ht="12.5">
      <c r="C524" s="27">
        <v>3590.8992610527803</v>
      </c>
      <c r="D524" s="26">
        <v>0.23351915451064387</v>
      </c>
      <c r="E524" s="26">
        <v>0.33963505108314596</v>
      </c>
      <c r="G524" s="9">
        <f t="shared" si="3"/>
        <v>4.4972479162993991E-4</v>
      </c>
    </row>
    <row r="525" spans="3:7" ht="12.5">
      <c r="C525" s="27">
        <v>3599.8765092054118</v>
      </c>
      <c r="D525" s="26">
        <v>0.23330984665945628</v>
      </c>
      <c r="E525" s="26">
        <v>0.33951668132697982</v>
      </c>
      <c r="G525" s="9">
        <f t="shared" si="3"/>
        <v>4.5994253847934301E-4</v>
      </c>
    </row>
    <row r="526" spans="3:7" ht="12.5">
      <c r="C526" s="27">
        <v>3608.8762004784253</v>
      </c>
      <c r="D526" s="26">
        <v>0.2331012553142344</v>
      </c>
      <c r="E526" s="26">
        <v>0.33939813973171212</v>
      </c>
      <c r="G526" s="9">
        <f t="shared" si="3"/>
        <v>4.702507750292404E-4</v>
      </c>
    </row>
    <row r="527" spans="3:7" ht="12.5">
      <c r="C527" s="27">
        <v>3617.8983909796211</v>
      </c>
      <c r="D527" s="26">
        <v>0.23289337895923098</v>
      </c>
      <c r="E527" s="26">
        <v>0.33927942812511919</v>
      </c>
      <c r="G527" s="9">
        <f t="shared" si="3"/>
        <v>4.8064875372652057E-4</v>
      </c>
    </row>
    <row r="528" spans="3:7" ht="12.5">
      <c r="C528" s="27">
        <v>3626.9431369570698</v>
      </c>
      <c r="D528" s="26">
        <v>0.23268621607613943</v>
      </c>
      <c r="E528" s="26">
        <v>0.3391605483346245</v>
      </c>
      <c r="G528" s="9">
        <f t="shared" si="3"/>
        <v>4.9113573115881792E-4</v>
      </c>
    </row>
    <row r="529" spans="3:7" ht="12.5">
      <c r="C529" s="27">
        <v>3636.0104947994623</v>
      </c>
      <c r="D529" s="26">
        <v>0.23247976514413193</v>
      </c>
      <c r="E529" s="26">
        <v>0.33904150218723672</v>
      </c>
      <c r="G529" s="9">
        <f t="shared" si="3"/>
        <v>5.0171096803199185E-4</v>
      </c>
    </row>
    <row r="530" spans="3:7" ht="12.5">
      <c r="C530" s="27">
        <v>3645.1005210364606</v>
      </c>
      <c r="D530" s="26">
        <v>0.23227402463989891</v>
      </c>
      <c r="E530" s="26">
        <v>0.33892229150948605</v>
      </c>
      <c r="G530" s="9">
        <f t="shared" si="3"/>
        <v>5.1237372914764395E-4</v>
      </c>
    </row>
    <row r="531" spans="3:7" ht="12.5">
      <c r="C531" s="27">
        <v>3654.2132723390514</v>
      </c>
      <c r="D531" s="26">
        <v>0.23206899303768797</v>
      </c>
      <c r="E531" s="26">
        <v>0.33880291812736268</v>
      </c>
      <c r="G531" s="9">
        <f t="shared" si="3"/>
        <v>5.2312328338066671E-4</v>
      </c>
    </row>
    <row r="532" spans="3:7" ht="12.5">
      <c r="C532" s="27">
        <v>3663.3488055198986</v>
      </c>
      <c r="D532" s="26">
        <v>0.23186466880934398</v>
      </c>
      <c r="E532" s="26">
        <v>0.33868338386625341</v>
      </c>
      <c r="G532" s="9">
        <f t="shared" si="3"/>
        <v>5.3395890365683877E-4</v>
      </c>
    </row>
    <row r="533" spans="3:7" ht="12.5">
      <c r="C533" s="27">
        <v>3672.5071775336983</v>
      </c>
      <c r="D533" s="26">
        <v>0.23166105042434565</v>
      </c>
      <c r="E533" s="26">
        <v>0.33856369055088065</v>
      </c>
      <c r="G533" s="9">
        <f t="shared" si="3"/>
        <v>5.4487986693057665E-4</v>
      </c>
    </row>
    <row r="534" spans="3:7" ht="12.5">
      <c r="C534" s="27">
        <v>3681.6884454775322</v>
      </c>
      <c r="D534" s="26">
        <v>0.23145813634984647</v>
      </c>
      <c r="E534" s="26">
        <v>0.33844384000524153</v>
      </c>
      <c r="G534" s="9">
        <f t="shared" si="3"/>
        <v>5.5588545416256378E-4</v>
      </c>
    </row>
    <row r="535" spans="3:7" ht="12.5">
      <c r="C535" s="27">
        <v>3690.8926665912259</v>
      </c>
      <c r="D535" s="26">
        <v>0.23125592505071135</v>
      </c>
      <c r="E535" s="26">
        <v>0.33832383405254535</v>
      </c>
      <c r="G535" s="9">
        <f t="shared" si="3"/>
        <v>5.6697495029765072E-4</v>
      </c>
    </row>
    <row r="536" spans="3:7" ht="12.5">
      <c r="C536" s="27">
        <v>3700.1198982577039</v>
      </c>
      <c r="D536" s="26">
        <v>0.23105441498955603</v>
      </c>
      <c r="E536" s="26">
        <v>0.33820367451515398</v>
      </c>
      <c r="G536" s="9">
        <f t="shared" si="3"/>
        <v>5.7814764424264739E-4</v>
      </c>
    </row>
    <row r="537" spans="3:7" ht="12.5">
      <c r="C537" s="27">
        <v>3709.3701980033479</v>
      </c>
      <c r="D537" s="26">
        <v>0.23085360462678428</v>
      </c>
      <c r="E537" s="26">
        <v>0.33808336321452093</v>
      </c>
      <c r="G537" s="9">
        <f t="shared" si="3"/>
        <v>5.8940282884429771E-4</v>
      </c>
    </row>
    <row r="538" spans="3:7" ht="12.5">
      <c r="C538" s="27">
        <v>3718.6436234983562</v>
      </c>
      <c r="D538" s="26">
        <v>0.23065349242062713</v>
      </c>
      <c r="E538" s="26">
        <v>0.33796290197113132</v>
      </c>
      <c r="G538" s="9">
        <f t="shared" si="3"/>
        <v>6.0073980086721281E-4</v>
      </c>
    </row>
    <row r="539" spans="3:7" ht="12.5">
      <c r="C539" s="27">
        <v>3727.9402325571018</v>
      </c>
      <c r="D539" s="26">
        <v>0.230454076827179</v>
      </c>
      <c r="E539" s="26">
        <v>0.33784229260444204</v>
      </c>
      <c r="G539" s="9">
        <f t="shared" si="3"/>
        <v>6.1215786097200962E-4</v>
      </c>
    </row>
    <row r="540" spans="3:7" ht="12.5">
      <c r="C540" s="27">
        <v>3737.2600831384943</v>
      </c>
      <c r="D540" s="26">
        <v>0.23025535630043825</v>
      </c>
      <c r="E540" s="26">
        <v>0.3377215369328227</v>
      </c>
      <c r="G540" s="9">
        <f t="shared" si="3"/>
        <v>6.2365631369329854E-4</v>
      </c>
    </row>
    <row r="541" spans="3:7" ht="12.5">
      <c r="C541" s="27">
        <v>3746.6032333463404</v>
      </c>
      <c r="D541" s="26">
        <v>0.23005732929234182</v>
      </c>
      <c r="E541" s="26">
        <v>0.33760063677349589</v>
      </c>
      <c r="G541" s="9">
        <f t="shared" si="3"/>
        <v>6.3523446741802435E-4</v>
      </c>
    </row>
    <row r="542" spans="3:7" ht="12.5">
      <c r="C542" s="27">
        <v>3755.9697414297061</v>
      </c>
      <c r="D542" s="26">
        <v>0.22985999425280373</v>
      </c>
      <c r="E542" s="26">
        <v>0.33747959394247934</v>
      </c>
      <c r="G542" s="9">
        <f t="shared" si="3"/>
        <v>6.4689163436366449E-4</v>
      </c>
    </row>
    <row r="543" spans="3:7" ht="12.5">
      <c r="C543" s="27">
        <v>3765.35966578328</v>
      </c>
      <c r="D543" s="26">
        <v>0.22966334962975291</v>
      </c>
      <c r="E543" s="26">
        <v>0.33735841025452662</v>
      </c>
      <c r="G543" s="9">
        <f t="shared" si="3"/>
        <v>6.5862713055656248E-4</v>
      </c>
    </row>
    <row r="544" spans="3:7" ht="12.5">
      <c r="C544" s="27">
        <v>3774.773064947738</v>
      </c>
      <c r="D544" s="26">
        <v>0.22946739386916978</v>
      </c>
      <c r="E544" s="26">
        <v>0.3372370875230698</v>
      </c>
      <c r="G544" s="9">
        <f t="shared" si="3"/>
        <v>6.7044027581034647E-4</v>
      </c>
    </row>
    <row r="545" spans="3:7" ht="12.5">
      <c r="C545" s="27">
        <v>3784.2099976101072</v>
      </c>
      <c r="D545" s="26">
        <v>0.2292721254151231</v>
      </c>
      <c r="E545" s="26">
        <v>0.33711562756016134</v>
      </c>
      <c r="G545" s="9">
        <f t="shared" si="3"/>
        <v>6.8233039370443611E-4</v>
      </c>
    </row>
    <row r="546" spans="3:7" ht="12.5">
      <c r="C546" s="27">
        <v>3793.6705226041322</v>
      </c>
      <c r="D546" s="26">
        <v>0.22907754270980718</v>
      </c>
      <c r="E546" s="26">
        <v>0.33699403217641699</v>
      </c>
      <c r="G546" s="9">
        <f t="shared" si="3"/>
        <v>6.9429681156257599E-4</v>
      </c>
    </row>
    <row r="547" spans="3:7" ht="12.5">
      <c r="C547" s="27">
        <v>3803.1546989106423</v>
      </c>
      <c r="D547" s="26">
        <v>0.22888364419357793</v>
      </c>
      <c r="E547" s="26">
        <v>0.33687230318095873</v>
      </c>
      <c r="G547" s="9">
        <f t="shared" si="3"/>
        <v>7.0633886043151438E-4</v>
      </c>
    </row>
    <row r="548" spans="3:7" ht="12.5">
      <c r="C548" s="27">
        <v>3812.6625856579185</v>
      </c>
      <c r="D548" s="26">
        <v>0.22869042830499042</v>
      </c>
      <c r="E548" s="26">
        <v>0.33675044238135776</v>
      </c>
      <c r="G548" s="9">
        <f t="shared" si="3"/>
        <v>7.1845587505967718E-4</v>
      </c>
    </row>
    <row r="549" spans="3:7" ht="12.5">
      <c r="C549" s="27">
        <v>3822.1942421220633</v>
      </c>
      <c r="D549" s="26">
        <v>0.22849789348083427</v>
      </c>
      <c r="E549" s="26">
        <v>0.33662845158357857</v>
      </c>
      <c r="G549" s="9">
        <f t="shared" si="3"/>
        <v>7.3064719387600852E-4</v>
      </c>
    </row>
    <row r="550" spans="3:7" ht="12.5">
      <c r="C550" s="27">
        <v>3831.7497277273683</v>
      </c>
      <c r="D550" s="26">
        <v>0.22830603815616995</v>
      </c>
      <c r="E550" s="26">
        <v>0.33650633259192336</v>
      </c>
      <c r="G550" s="9">
        <f t="shared" si="3"/>
        <v>7.4291215896883775E-4</v>
      </c>
    </row>
    <row r="551" spans="3:7" ht="12.5">
      <c r="C551" s="27">
        <v>3841.3291020466863</v>
      </c>
      <c r="D551" s="26">
        <v>0.22811486076436507</v>
      </c>
      <c r="E551" s="26">
        <v>0.33638408720897545</v>
      </c>
      <c r="G551" s="9">
        <f t="shared" si="3"/>
        <v>7.5525011606485928E-4</v>
      </c>
    </row>
    <row r="552" spans="3:7" ht="12.5">
      <c r="C552" s="27">
        <v>3850.9324248018029</v>
      </c>
      <c r="D552" s="26">
        <v>0.2279243597371311</v>
      </c>
      <c r="E552" s="26">
        <v>0.33626171723554471</v>
      </c>
      <c r="G552" s="9">
        <f t="shared" si="3"/>
        <v>7.6766041450811954E-4</v>
      </c>
    </row>
    <row r="553" spans="3:7" ht="12.5">
      <c r="C553" s="27">
        <v>3860.5597558638074</v>
      </c>
      <c r="D553" s="26">
        <v>0.22773453350455725</v>
      </c>
      <c r="E553" s="26">
        <v>0.33613922447061217</v>
      </c>
      <c r="G553" s="9">
        <f t="shared" si="3"/>
        <v>7.8014240723925626E-4</v>
      </c>
    </row>
    <row r="554" spans="3:7" ht="12.5">
      <c r="C554" s="27">
        <v>3870.2111552534666</v>
      </c>
      <c r="D554" s="26">
        <v>0.22754538049514725</v>
      </c>
      <c r="E554" s="26">
        <v>0.33601661071127642</v>
      </c>
      <c r="G554" s="9">
        <f t="shared" si="3"/>
        <v>7.9269545077463469E-4</v>
      </c>
    </row>
    <row r="555" spans="3:7" ht="12.5">
      <c r="C555" s="27">
        <v>3879.8866831415999</v>
      </c>
      <c r="D555" s="26">
        <v>0.22735689913585469</v>
      </c>
      <c r="E555" s="26">
        <v>0.33589387775269786</v>
      </c>
      <c r="G555" s="9">
        <f t="shared" si="3"/>
        <v>8.0531890518569633E-4</v>
      </c>
    </row>
    <row r="556" spans="3:7" ht="12.5">
      <c r="C556" s="27">
        <v>3889.5863998494538</v>
      </c>
      <c r="D556" s="26">
        <v>0.22716908785211953</v>
      </c>
      <c r="E556" s="26">
        <v>0.33577102738804598</v>
      </c>
      <c r="G556" s="9">
        <f t="shared" si="3"/>
        <v>8.1801213407826034E-4</v>
      </c>
    </row>
    <row r="557" spans="3:7" ht="12.5">
      <c r="C557" s="27">
        <v>3899.3103658490772</v>
      </c>
      <c r="D557" s="26">
        <v>0.22698194506789932</v>
      </c>
      <c r="E557" s="26">
        <v>0.33564806140844577</v>
      </c>
      <c r="G557" s="9">
        <f t="shared" si="3"/>
        <v>8.3077450457220959E-4</v>
      </c>
    </row>
    <row r="558" spans="3:7" ht="12.5">
      <c r="C558" s="27">
        <v>3909.0586417636996</v>
      </c>
      <c r="D558" s="26">
        <v>0.22679546920570898</v>
      </c>
      <c r="E558" s="26">
        <v>0.33552498160292377</v>
      </c>
      <c r="G558" s="9">
        <f t="shared" si="3"/>
        <v>8.4360538728083423E-4</v>
      </c>
    </row>
    <row r="559" spans="3:7" ht="12.5">
      <c r="C559" s="27">
        <v>3918.8312883681087</v>
      </c>
      <c r="D559" s="26">
        <v>0.22660965868665345</v>
      </c>
      <c r="E559" s="26">
        <v>0.33540178975835594</v>
      </c>
      <c r="G559" s="9">
        <f t="shared" si="3"/>
        <v>8.5650415629059029E-4</v>
      </c>
    </row>
    <row r="560" spans="3:7" ht="12.5">
      <c r="C560" s="27">
        <v>3928.6283665890287</v>
      </c>
      <c r="D560" s="26">
        <v>0.2264245119304602</v>
      </c>
      <c r="E560" s="26">
        <v>0.33527848765941515</v>
      </c>
      <c r="G560" s="9">
        <f t="shared" si="3"/>
        <v>8.6947018914096852E-4</v>
      </c>
    </row>
    <row r="561" spans="3:7" ht="12.5">
      <c r="C561" s="27">
        <v>3938.4499375055011</v>
      </c>
      <c r="D561" s="26">
        <v>0.22624002735551865</v>
      </c>
      <c r="E561" s="26">
        <v>0.33515507708851833</v>
      </c>
      <c r="G561" s="9">
        <f t="shared" si="3"/>
        <v>8.8250286680410545E-4</v>
      </c>
    </row>
    <row r="562" spans="3:7" ht="12.5">
      <c r="C562" s="27">
        <v>3948.2960623492645</v>
      </c>
      <c r="D562" s="26">
        <v>0.22605620337890978</v>
      </c>
      <c r="E562" s="26">
        <v>0.33503155982577576</v>
      </c>
      <c r="G562" s="9">
        <f t="shared" si="3"/>
        <v>8.9560157366494388E-4</v>
      </c>
    </row>
    <row r="563" spans="3:7" ht="12.5">
      <c r="C563" s="27">
        <v>3958.1668025051376</v>
      </c>
      <c r="D563" s="26">
        <v>0.22587303841644266</v>
      </c>
      <c r="E563" s="26">
        <v>0.33490793764893878</v>
      </c>
      <c r="G563" s="9">
        <f t="shared" si="3"/>
        <v>9.0876569750117083E-4</v>
      </c>
    </row>
    <row r="564" spans="3:7" ht="12.5">
      <c r="C564" s="27">
        <v>3968.0622195114001</v>
      </c>
      <c r="D564" s="26">
        <v>0.2256905308826892</v>
      </c>
      <c r="E564" s="26">
        <v>0.33478421233334887</v>
      </c>
      <c r="G564" s="9">
        <f t="shared" si="3"/>
        <v>9.2199462946330698E-4</v>
      </c>
    </row>
    <row r="565" spans="3:7" ht="12.5">
      <c r="C565" s="27">
        <v>3977.9823750601786</v>
      </c>
      <c r="D565" s="26">
        <v>0.22550867919101578</v>
      </c>
      <c r="E565" s="26">
        <v>0.33466038565188744</v>
      </c>
      <c r="G565" s="9">
        <f t="shared" si="3"/>
        <v>9.3528776405504149E-4</v>
      </c>
    </row>
    <row r="566" spans="3:7" ht="12.5">
      <c r="C566" s="27">
        <v>3987.9273309978289</v>
      </c>
      <c r="D566" s="26">
        <v>0.2253274817536185</v>
      </c>
      <c r="E566" s="26">
        <v>0.33453645937492454</v>
      </c>
      <c r="G566" s="9">
        <f t="shared" si="3"/>
        <v>9.4864449911349772E-4</v>
      </c>
    </row>
    <row r="567" spans="3:7" ht="12.5">
      <c r="C567" s="27">
        <v>3997.8971493253234</v>
      </c>
      <c r="D567" s="26">
        <v>0.22514693698155741</v>
      </c>
      <c r="E567" s="26">
        <v>0.33441243527026948</v>
      </c>
      <c r="G567" s="9">
        <f t="shared" si="3"/>
        <v>9.620642357896042E-4</v>
      </c>
    </row>
    <row r="568" spans="3:7" ht="12.5">
      <c r="C568" s="27">
        <v>4007.8918921986365</v>
      </c>
      <c r="D568" s="26">
        <v>0.22496704328478781</v>
      </c>
      <c r="E568" s="26">
        <v>0.33428831510312101</v>
      </c>
      <c r="G568" s="9">
        <f t="shared" si="3"/>
        <v>9.7554637852873417E-4</v>
      </c>
    </row>
    <row r="569" spans="3:7" ht="12.5">
      <c r="C569" s="27">
        <v>4017.9116219291327</v>
      </c>
      <c r="D569" s="26">
        <v>0.22478779907219515</v>
      </c>
      <c r="E569" s="26">
        <v>0.33416410063601731</v>
      </c>
      <c r="G569" s="9">
        <f t="shared" si="3"/>
        <v>9.8909033505125495E-4</v>
      </c>
    </row>
    <row r="570" spans="3:7" ht="12.5">
      <c r="C570" s="27">
        <v>4027.9564009839555</v>
      </c>
      <c r="D570" s="26">
        <v>0.22460920275162838</v>
      </c>
      <c r="E570" s="26">
        <v>0.33403979362878855</v>
      </c>
      <c r="G570" s="9">
        <f t="shared" ref="G570:G633" si="4">((D570-$D$3)^2+(E570-$E$3)^2)</f>
        <v>1.0026955163331894E-3</v>
      </c>
    </row>
    <row r="571" spans="3:7" ht="12.5">
      <c r="C571" s="27">
        <v>4038.0262919864153</v>
      </c>
      <c r="D571" s="26">
        <v>0.22443125272993125</v>
      </c>
      <c r="E571" s="26">
        <v>0.33391539583850627</v>
      </c>
      <c r="G571" s="9">
        <f t="shared" si="4"/>
        <v>1.0163613365871858E-3</v>
      </c>
    </row>
    <row r="572" spans="3:7" ht="12.5">
      <c r="C572" s="27">
        <v>4048.1213577163812</v>
      </c>
      <c r="D572" s="26">
        <v>0.22425394741297638</v>
      </c>
      <c r="E572" s="26">
        <v>0.33379090901943653</v>
      </c>
      <c r="G572" s="9">
        <f t="shared" si="4"/>
        <v>1.0300872132433271E-3</v>
      </c>
    </row>
    <row r="573" spans="3:7" ht="12.5">
      <c r="C573" s="27">
        <v>4058.2416611106719</v>
      </c>
      <c r="D573" s="26">
        <v>0.22407728520569895</v>
      </c>
      <c r="E573" s="26">
        <v>0.33366633492299097</v>
      </c>
      <c r="G573" s="9">
        <f t="shared" si="4"/>
        <v>1.0438725669301245E-3</v>
      </c>
    </row>
    <row r="574" spans="3:7" ht="12.5">
      <c r="C574" s="27">
        <v>4068.3872652634482</v>
      </c>
      <c r="D574" s="26">
        <v>0.22390126451212608</v>
      </c>
      <c r="E574" s="26">
        <v>0.33354167529768014</v>
      </c>
      <c r="G574" s="9">
        <f t="shared" si="4"/>
        <v>1.0577168214557882E-3</v>
      </c>
    </row>
    <row r="575" spans="3:7" ht="12.5">
      <c r="C575" s="27">
        <v>4078.5582334266064</v>
      </c>
      <c r="D575" s="26">
        <v>0.22372588373541227</v>
      </c>
      <c r="E575" s="26">
        <v>0.3334169318890654</v>
      </c>
      <c r="G575" s="9">
        <f t="shared" si="4"/>
        <v>1.0716194037893101E-3</v>
      </c>
    </row>
    <row r="576" spans="3:7" ht="12.5">
      <c r="C576" s="27">
        <v>4088.7546290101727</v>
      </c>
      <c r="D576" s="26">
        <v>0.22355114127787018</v>
      </c>
      <c r="E576" s="26">
        <v>0.3332921064397123</v>
      </c>
      <c r="G576" s="9">
        <f t="shared" si="4"/>
        <v>1.0855797440418647E-3</v>
      </c>
    </row>
    <row r="577" spans="3:7" ht="12.5">
      <c r="C577" s="27">
        <v>4098.9765155826981</v>
      </c>
      <c r="D577" s="26">
        <v>0.22337703554100233</v>
      </c>
      <c r="E577" s="26">
        <v>0.33316720068914396</v>
      </c>
      <c r="G577" s="9">
        <f t="shared" si="4"/>
        <v>1.0995972754482648E-3</v>
      </c>
    </row>
    <row r="578" spans="3:7" ht="12.5">
      <c r="C578" s="27">
        <v>4109.223956871655</v>
      </c>
      <c r="D578" s="26">
        <v>0.223203564925535</v>
      </c>
      <c r="E578" s="26">
        <v>0.333042216373795</v>
      </c>
      <c r="G578" s="9">
        <f t="shared" si="4"/>
        <v>1.1136714343483827E-3</v>
      </c>
    </row>
    <row r="579" spans="3:7" ht="12.5">
      <c r="C579" s="27">
        <v>4119.4970167638339</v>
      </c>
      <c r="D579" s="26">
        <v>0.22303072783144776</v>
      </c>
      <c r="E579" s="26">
        <v>0.33291715522696502</v>
      </c>
      <c r="G579" s="9">
        <f t="shared" si="4"/>
        <v>1.1278016601689424E-3</v>
      </c>
    </row>
    <row r="580" spans="3:7" ht="12.5">
      <c r="C580" s="27">
        <v>4129.7957593057436</v>
      </c>
      <c r="D580" s="26">
        <v>0.22285852265800477</v>
      </c>
      <c r="E580" s="26">
        <v>0.33279201897877425</v>
      </c>
      <c r="G580" s="9">
        <f t="shared" si="4"/>
        <v>1.1419873954052516E-3</v>
      </c>
    </row>
    <row r="581" spans="3:7" ht="12.5">
      <c r="C581" s="27">
        <v>4140.1202487040073</v>
      </c>
      <c r="D581" s="26">
        <v>0.22268694780378964</v>
      </c>
      <c r="E581" s="26">
        <v>0.33266680935611659</v>
      </c>
      <c r="G581" s="9">
        <f t="shared" si="4"/>
        <v>1.1562280856029098E-3</v>
      </c>
    </row>
    <row r="582" spans="3:7" ht="12.5">
      <c r="C582" s="27">
        <v>4150.470549325767</v>
      </c>
      <c r="D582" s="26">
        <v>0.22251600166673252</v>
      </c>
      <c r="E582" s="26">
        <v>0.33254152808261656</v>
      </c>
      <c r="G582" s="9">
        <f t="shared" si="4"/>
        <v>1.1705231793399662E-3</v>
      </c>
    </row>
    <row r="583" spans="3:7" ht="12.5">
      <c r="C583" s="27">
        <v>4160.8467256990816</v>
      </c>
      <c r="D583" s="26">
        <v>0.22234568264414339</v>
      </c>
      <c r="E583" s="26">
        <v>0.33241617687858338</v>
      </c>
      <c r="G583" s="9">
        <f t="shared" si="4"/>
        <v>1.1848721282089027E-3</v>
      </c>
    </row>
    <row r="584" spans="3:7" ht="12.5">
      <c r="C584" s="27">
        <v>4171.2488425133288</v>
      </c>
      <c r="D584" s="26">
        <v>0.22217598913274472</v>
      </c>
      <c r="E584" s="26">
        <v>0.33229075746096742</v>
      </c>
      <c r="G584" s="9">
        <f t="shared" si="4"/>
        <v>1.1992743867986922E-3</v>
      </c>
    </row>
    <row r="585" spans="3:7" ht="12.5">
      <c r="C585" s="27">
        <v>4181.6769646196117</v>
      </c>
      <c r="D585" s="26">
        <v>0.22200691952869755</v>
      </c>
      <c r="E585" s="26">
        <v>0.33216527154331638</v>
      </c>
      <c r="G585" s="9">
        <f t="shared" si="4"/>
        <v>1.2137294126773697E-3</v>
      </c>
    </row>
    <row r="586" spans="3:7" ht="12.5">
      <c r="C586" s="27">
        <v>4192.1311570311609</v>
      </c>
      <c r="D586" s="26">
        <v>0.2218384722276375</v>
      </c>
      <c r="E586" s="26">
        <v>0.33203972083573141</v>
      </c>
      <c r="G586" s="9">
        <f t="shared" si="4"/>
        <v>1.2282366663741136E-3</v>
      </c>
    </row>
    <row r="587" spans="3:7" ht="12.5">
      <c r="C587" s="27">
        <v>4202.6114849237383</v>
      </c>
      <c r="D587" s="26">
        <v>0.22167064562470118</v>
      </c>
      <c r="E587" s="26">
        <v>0.33191410704482421</v>
      </c>
      <c r="G587" s="9">
        <f t="shared" si="4"/>
        <v>1.2427956113619913E-3</v>
      </c>
    </row>
    <row r="588" spans="3:7" ht="12.5">
      <c r="C588" s="27">
        <v>4213.1180136360472</v>
      </c>
      <c r="D588" s="26">
        <v>0.22150343811455897</v>
      </c>
      <c r="E588" s="26">
        <v>0.33178843187367424</v>
      </c>
      <c r="G588" s="9">
        <f t="shared" si="4"/>
        <v>1.2574057140404206E-3</v>
      </c>
    </row>
    <row r="589" spans="3:7" ht="12.5">
      <c r="C589" s="27">
        <v>4223.6508086701369</v>
      </c>
      <c r="D589" s="26">
        <v>0.22133684809144441</v>
      </c>
      <c r="E589" s="26">
        <v>0.33166269702178597</v>
      </c>
      <c r="G589" s="9">
        <f t="shared" si="4"/>
        <v>1.2720664437179494E-3</v>
      </c>
    </row>
    <row r="590" spans="3:7" ht="12.5">
      <c r="C590" s="27">
        <v>4234.2099356918125</v>
      </c>
      <c r="D590" s="26">
        <v>0.22117087394918519</v>
      </c>
      <c r="E590" s="26">
        <v>0.33153690418504683</v>
      </c>
      <c r="G590" s="9">
        <f t="shared" si="4"/>
        <v>1.286777272595024E-3</v>
      </c>
    </row>
    <row r="591" spans="3:7" ht="12.5">
      <c r="C591" s="27">
        <v>4244.7954605310415</v>
      </c>
      <c r="D591" s="26">
        <v>0.22100551408123056</v>
      </c>
      <c r="E591" s="26">
        <v>0.33141105505568558</v>
      </c>
      <c r="G591" s="9">
        <f t="shared" si="4"/>
        <v>1.3015376757470807E-3</v>
      </c>
    </row>
    <row r="592" spans="3:7" ht="12.5">
      <c r="C592" s="27">
        <v>4255.4074491823685</v>
      </c>
      <c r="D592" s="26">
        <v>0.22084076688068635</v>
      </c>
      <c r="E592" s="26">
        <v>0.3312851513222303</v>
      </c>
      <c r="G592" s="9">
        <f t="shared" si="4"/>
        <v>1.3163471311072781E-3</v>
      </c>
    </row>
    <row r="593" spans="3:7" ht="12.5">
      <c r="C593" s="27">
        <v>4266.0459678053239</v>
      </c>
      <c r="D593" s="26">
        <v>0.22067663074033672</v>
      </c>
      <c r="E593" s="26">
        <v>0.33115919466946819</v>
      </c>
      <c r="G593" s="9">
        <f t="shared" si="4"/>
        <v>1.3312051194501249E-3</v>
      </c>
    </row>
    <row r="594" spans="3:7" ht="12.5">
      <c r="C594" s="27">
        <v>4276.7110827248371</v>
      </c>
      <c r="D594" s="26">
        <v>0.22051310405268151</v>
      </c>
      <c r="E594" s="26">
        <v>0.33103318677840371</v>
      </c>
      <c r="G594" s="9">
        <f t="shared" si="4"/>
        <v>1.3461111243742842E-3</v>
      </c>
    </row>
    <row r="595" spans="3:7" ht="12.5">
      <c r="C595" s="27">
        <v>4287.4028604316491</v>
      </c>
      <c r="D595" s="26">
        <v>0.22035018520996166</v>
      </c>
      <c r="E595" s="26">
        <v>0.33090712932621863</v>
      </c>
      <c r="G595" s="9">
        <f t="shared" si="4"/>
        <v>1.3610646322861821E-3</v>
      </c>
    </row>
    <row r="596" spans="3:7" ht="12.5">
      <c r="C596" s="27">
        <v>4298.1213675827275</v>
      </c>
      <c r="D596" s="26">
        <v>0.22018787260418829</v>
      </c>
      <c r="E596" s="26">
        <v>0.33078102398623183</v>
      </c>
      <c r="G596" s="9">
        <f t="shared" si="4"/>
        <v>1.3760651323835066E-3</v>
      </c>
    </row>
    <row r="597" spans="3:7" ht="12.5">
      <c r="C597" s="27">
        <v>4308.8666710016842</v>
      </c>
      <c r="D597" s="26">
        <v>0.2200261646271727</v>
      </c>
      <c r="E597" s="26">
        <v>0.33065487242785951</v>
      </c>
      <c r="G597" s="9">
        <f t="shared" si="4"/>
        <v>1.3911121166387444E-3</v>
      </c>
    </row>
    <row r="598" spans="3:7" ht="12.5">
      <c r="C598" s="27">
        <v>4319.6388376791883</v>
      </c>
      <c r="D598" s="26">
        <v>0.21986505967055531</v>
      </c>
      <c r="E598" s="26">
        <v>0.33052867631657573</v>
      </c>
      <c r="G598" s="9">
        <f t="shared" si="4"/>
        <v>1.4062050797828912E-3</v>
      </c>
    </row>
    <row r="599" spans="3:7" ht="12.5">
      <c r="C599" s="27">
        <v>4330.4379347733857</v>
      </c>
      <c r="D599" s="26">
        <v>0.2197045561258342</v>
      </c>
      <c r="E599" s="26">
        <v>0.3304024373138732</v>
      </c>
      <c r="G599" s="9">
        <f t="shared" si="4"/>
        <v>1.4213435192892854E-3</v>
      </c>
    </row>
    <row r="600" spans="3:7" ht="12.5">
      <c r="C600" s="27">
        <v>4341.2640296103191</v>
      </c>
      <c r="D600" s="26">
        <v>0.2195446523843943</v>
      </c>
      <c r="E600" s="26">
        <v>0.33027615707722435</v>
      </c>
      <c r="G600" s="9">
        <f t="shared" si="4"/>
        <v>1.4365269353575078E-3</v>
      </c>
    </row>
    <row r="601" spans="3:7" ht="12.5">
      <c r="C601" s="27">
        <v>4352.1171896843443</v>
      </c>
      <c r="D601" s="26">
        <v>0.21938534683753499</v>
      </c>
      <c r="E601" s="26">
        <v>0.33014983726004282</v>
      </c>
      <c r="G601" s="9">
        <f t="shared" si="4"/>
        <v>1.451754830897483E-3</v>
      </c>
    </row>
    <row r="602" spans="3:7" ht="12.5">
      <c r="C602" s="27">
        <v>4362.9974826585549</v>
      </c>
      <c r="D602" s="26">
        <v>0.21922663787649882</v>
      </c>
      <c r="E602" s="26">
        <v>0.3300234795116459</v>
      </c>
      <c r="G602" s="9">
        <f t="shared" si="4"/>
        <v>1.4670267115135861E-3</v>
      </c>
    </row>
    <row r="603" spans="3:7" ht="12.5">
      <c r="C603" s="27">
        <v>4373.904976365201</v>
      </c>
      <c r="D603" s="26">
        <v>0.21906852389249987</v>
      </c>
      <c r="E603" s="26">
        <v>0.32989708547721597</v>
      </c>
      <c r="G603" s="9">
        <f t="shared" si="4"/>
        <v>1.4823420854889217E-3</v>
      </c>
    </row>
    <row r="604" spans="3:7" ht="12.5">
      <c r="C604" s="27">
        <v>4384.8397388061139</v>
      </c>
      <c r="D604" s="26">
        <v>0.21891100327675156</v>
      </c>
      <c r="E604" s="26">
        <v>0.32977065679776341</v>
      </c>
      <c r="G604" s="9">
        <f t="shared" si="4"/>
        <v>1.4977004637697019E-3</v>
      </c>
    </row>
    <row r="605" spans="3:7" ht="12.5">
      <c r="C605" s="27">
        <v>4395.8018381531292</v>
      </c>
      <c r="D605" s="26">
        <v>0.21875407442049527</v>
      </c>
      <c r="E605" s="26">
        <v>0.32964419511008913</v>
      </c>
      <c r="G605" s="9">
        <f t="shared" si="4"/>
        <v>1.5131013599496968E-3</v>
      </c>
    </row>
    <row r="606" spans="3:7" ht="12.5">
      <c r="C606" s="27">
        <v>4406.7913427485119</v>
      </c>
      <c r="D606" s="26">
        <v>0.21859773571502639</v>
      </c>
      <c r="E606" s="26">
        <v>0.32951770204674852</v>
      </c>
      <c r="G606" s="9">
        <f t="shared" si="4"/>
        <v>1.5285442902549192E-3</v>
      </c>
    </row>
    <row r="607" spans="3:7" ht="12.5">
      <c r="C607" s="27">
        <v>4417.8083211053827</v>
      </c>
      <c r="D607" s="26">
        <v>0.21844198555172517</v>
      </c>
      <c r="E607" s="26">
        <v>0.32939117923601341</v>
      </c>
      <c r="G607" s="9">
        <f t="shared" si="4"/>
        <v>1.5440287735281688E-3</v>
      </c>
    </row>
    <row r="608" spans="3:7" ht="12.5">
      <c r="C608" s="27">
        <v>4428.8528419081458</v>
      </c>
      <c r="D608" s="26">
        <v>0.21828682232208063</v>
      </c>
      <c r="E608" s="26">
        <v>0.32926462830183767</v>
      </c>
      <c r="G608" s="9">
        <f t="shared" si="4"/>
        <v>1.5595543312140335E-3</v>
      </c>
    </row>
    <row r="609" spans="3:7" ht="12.5">
      <c r="C609" s="27">
        <v>4439.9249740129162</v>
      </c>
      <c r="D609" s="26">
        <v>0.21813224441771983</v>
      </c>
      <c r="E609" s="26">
        <v>0.32913805086382025</v>
      </c>
      <c r="G609" s="9">
        <f t="shared" si="4"/>
        <v>1.575120487343727E-3</v>
      </c>
    </row>
    <row r="610" spans="3:7" ht="12.5">
      <c r="C610" s="27">
        <v>4451.0247864479479</v>
      </c>
      <c r="D610" s="26">
        <v>0.21797825023043513</v>
      </c>
      <c r="E610" s="26">
        <v>0.32901144853716968</v>
      </c>
      <c r="G610" s="9">
        <f t="shared" si="4"/>
        <v>1.5907267685201275E-3</v>
      </c>
    </row>
    <row r="611" spans="3:7" ht="12.5">
      <c r="C611" s="27">
        <v>4462.152348414068</v>
      </c>
      <c r="D611" s="26">
        <v>0.21782483815221126</v>
      </c>
      <c r="E611" s="26">
        <v>0.32888482293266935</v>
      </c>
      <c r="G611" s="9">
        <f t="shared" si="4"/>
        <v>1.6063727039029095E-3</v>
      </c>
    </row>
    <row r="612" spans="3:7" ht="12.5">
      <c r="C612" s="27">
        <v>4473.3077292851031</v>
      </c>
      <c r="D612" s="26">
        <v>0.21767200657525065</v>
      </c>
      <c r="E612" s="26">
        <v>0.32875817565664267</v>
      </c>
      <c r="G612" s="9">
        <f t="shared" si="4"/>
        <v>1.6220578251939202E-3</v>
      </c>
    </row>
    <row r="613" spans="3:7" ht="12.5">
      <c r="C613" s="27">
        <v>4484.4909986083157</v>
      </c>
      <c r="D613" s="26">
        <v>0.21751975389200379</v>
      </c>
      <c r="E613" s="26">
        <v>0.32863150831091731</v>
      </c>
      <c r="G613" s="9">
        <f t="shared" si="4"/>
        <v>1.6377816666223479E-3</v>
      </c>
    </row>
    <row r="614" spans="3:7" ht="12.5">
      <c r="C614" s="27">
        <v>4495.702226104836</v>
      </c>
      <c r="D614" s="26">
        <v>0.21736807849519163</v>
      </c>
      <c r="E614" s="26">
        <v>0.32850482249279284</v>
      </c>
      <c r="G614" s="9">
        <f t="shared" si="4"/>
        <v>1.6535437649304301E-3</v>
      </c>
    </row>
    <row r="615" spans="3:7" ht="12.5">
      <c r="C615" s="27">
        <v>4506.9414816700983</v>
      </c>
      <c r="D615" s="26">
        <v>0.21721697877783541</v>
      </c>
      <c r="E615" s="26">
        <v>0.32837811979500536</v>
      </c>
      <c r="G615" s="9">
        <f t="shared" si="4"/>
        <v>1.669343659358878E-3</v>
      </c>
    </row>
    <row r="616" spans="3:7" ht="12.5">
      <c r="C616" s="27">
        <v>4518.2088353742729</v>
      </c>
      <c r="D616" s="26">
        <v>0.21706645313328082</v>
      </c>
      <c r="E616" s="26">
        <v>0.32825140180569468</v>
      </c>
      <c r="G616" s="9">
        <f t="shared" si="4"/>
        <v>1.6851808916327044E-3</v>
      </c>
    </row>
    <row r="617" spans="3:7" ht="12.5">
      <c r="C617" s="27">
        <v>4529.504357462708</v>
      </c>
      <c r="D617" s="26">
        <v>0.21691649995522669</v>
      </c>
      <c r="E617" s="26">
        <v>0.32812467010837049</v>
      </c>
      <c r="G617" s="9">
        <f t="shared" si="4"/>
        <v>1.7010550059468851E-3</v>
      </c>
    </row>
    <row r="618" spans="3:7" ht="12.5">
      <c r="C618" s="27">
        <v>4540.8281183563649</v>
      </c>
      <c r="D618" s="26">
        <v>0.2167671176377485</v>
      </c>
      <c r="E618" s="26">
        <v>0.32799792628187968</v>
      </c>
      <c r="G618" s="9">
        <f t="shared" si="4"/>
        <v>1.7169655489524618E-3</v>
      </c>
    </row>
    <row r="619" spans="3:7" ht="12.5">
      <c r="C619" s="27">
        <v>4552.1801886522553</v>
      </c>
      <c r="D619" s="26">
        <v>0.21661830457532677</v>
      </c>
      <c r="E619" s="26">
        <v>0.32787117190037407</v>
      </c>
      <c r="G619" s="9">
        <f t="shared" si="4"/>
        <v>1.7329120697423895E-3</v>
      </c>
    </row>
    <row r="620" spans="3:7" ht="12.5">
      <c r="C620" s="27">
        <v>4563.5606391238853</v>
      </c>
      <c r="D620" s="26">
        <v>0.2164700591628706</v>
      </c>
      <c r="E620" s="26">
        <v>0.32774440853327746</v>
      </c>
      <c r="G620" s="9">
        <f t="shared" si="4"/>
        <v>1.7488941198378668E-3</v>
      </c>
    </row>
    <row r="621" spans="3:7" ht="12.5">
      <c r="C621" s="27">
        <v>4574.969540721695</v>
      </c>
      <c r="D621" s="26">
        <v>0.21632237979574495</v>
      </c>
      <c r="E621" s="26">
        <v>0.32761763774525388</v>
      </c>
      <c r="G621" s="9">
        <f t="shared" si="4"/>
        <v>1.7649112531744717E-3</v>
      </c>
    </row>
    <row r="622" spans="3:7" ht="12.5">
      <c r="C622" s="27">
        <v>4586.406964573499</v>
      </c>
      <c r="D622" s="26">
        <v>0.21617526486979718</v>
      </c>
      <c r="E622" s="26">
        <v>0.32749086109617614</v>
      </c>
      <c r="G622" s="9">
        <f t="shared" si="4"/>
        <v>1.780963026088438E-3</v>
      </c>
    </row>
    <row r="623" spans="3:7" ht="12.5">
      <c r="C623" s="27">
        <v>4597.8729819849323</v>
      </c>
      <c r="D623" s="26">
        <v>0.21602871278137886</v>
      </c>
      <c r="E623" s="26">
        <v>0.32736408014109425</v>
      </c>
      <c r="G623" s="9">
        <f t="shared" si="4"/>
        <v>1.7970489973034055E-3</v>
      </c>
    </row>
    <row r="624" spans="3:7" ht="12.5">
      <c r="C624" s="27">
        <v>4609.3676644398947</v>
      </c>
      <c r="D624" s="26">
        <v>0.21588272192737631</v>
      </c>
      <c r="E624" s="26">
        <v>0.32723729643020416</v>
      </c>
      <c r="G624" s="9">
        <f t="shared" si="4"/>
        <v>1.8131687279166193E-3</v>
      </c>
    </row>
    <row r="625" spans="3:7" ht="12.5">
      <c r="C625" s="27">
        <v>4620.8910836009945</v>
      </c>
      <c r="D625" s="26">
        <v>0.21573729070523032</v>
      </c>
      <c r="E625" s="26">
        <v>0.3271105115088177</v>
      </c>
      <c r="G625" s="9">
        <f t="shared" si="4"/>
        <v>1.829321781385995E-3</v>
      </c>
    </row>
    <row r="626" spans="3:7" ht="12.5">
      <c r="C626" s="27">
        <v>4632.4433113099967</v>
      </c>
      <c r="D626" s="26">
        <v>0.21559241751296593</v>
      </c>
      <c r="E626" s="26">
        <v>0.32698372691733146</v>
      </c>
      <c r="G626" s="9">
        <f t="shared" si="4"/>
        <v>1.8455077235165897E-3</v>
      </c>
    </row>
    <row r="627" spans="3:7" ht="12.5">
      <c r="C627" s="27">
        <v>4644.0244195882715</v>
      </c>
      <c r="D627" s="26">
        <v>0.21544810074921447</v>
      </c>
      <c r="E627" s="26">
        <v>0.32685694419119687</v>
      </c>
      <c r="G627" s="9">
        <f t="shared" si="4"/>
        <v>1.8617261224477136E-3</v>
      </c>
    </row>
    <row r="628" spans="3:7" ht="12.5">
      <c r="C628" s="27">
        <v>4655.6344806372417</v>
      </c>
      <c r="D628" s="26">
        <v>0.2153043388132394</v>
      </c>
      <c r="E628" s="26">
        <v>0.32673016486089079</v>
      </c>
      <c r="G628" s="9">
        <f t="shared" si="4"/>
        <v>1.8779765486398442E-3</v>
      </c>
    </row>
    <row r="629" spans="3:7" ht="12.5">
      <c r="C629" s="27">
        <v>4667.273566838835</v>
      </c>
      <c r="D629" s="26">
        <v>0.21516113010496013</v>
      </c>
      <c r="E629" s="26">
        <v>0.3266033904518858</v>
      </c>
      <c r="G629" s="9">
        <f t="shared" si="4"/>
        <v>1.8942585748618159E-3</v>
      </c>
    </row>
    <row r="630" spans="3:7" ht="12.5">
      <c r="C630" s="27">
        <v>4678.9417507559319</v>
      </c>
      <c r="D630" s="26">
        <v>0.21501847302497951</v>
      </c>
      <c r="E630" s="26">
        <v>0.32647662248462073</v>
      </c>
      <c r="G630" s="9">
        <f t="shared" si="4"/>
        <v>1.9105717761778319E-3</v>
      </c>
    </row>
    <row r="631" spans="3:7" ht="12.5">
      <c r="C631" s="27">
        <v>4690.6391051328219</v>
      </c>
      <c r="D631" s="26">
        <v>0.21487636597460388</v>
      </c>
      <c r="E631" s="26">
        <v>0.32634986247447217</v>
      </c>
      <c r="G631" s="9">
        <f t="shared" si="4"/>
        <v>1.9269157299351058E-3</v>
      </c>
    </row>
    <row r="632" spans="3:7" ht="12.5">
      <c r="C632" s="27">
        <v>4702.3657028956541</v>
      </c>
      <c r="D632" s="26">
        <v>0.21473480735587039</v>
      </c>
      <c r="E632" s="26">
        <v>0.32622311193172593</v>
      </c>
      <c r="G632" s="9">
        <f t="shared" si="4"/>
        <v>1.9432900157510741E-3</v>
      </c>
    </row>
    <row r="633" spans="3:7" ht="12.5">
      <c r="C633" s="27">
        <v>4714.1216171528931</v>
      </c>
      <c r="D633" s="26">
        <v>0.21459379557157071</v>
      </c>
      <c r="E633" s="26">
        <v>0.3260963723615487</v>
      </c>
      <c r="G633" s="9">
        <f t="shared" si="4"/>
        <v>1.9596942155009609E-3</v>
      </c>
    </row>
    <row r="634" spans="3:7" ht="12.5">
      <c r="C634" s="27">
        <v>4725.9069211957749</v>
      </c>
      <c r="D634" s="26">
        <v>0.21445332902527464</v>
      </c>
      <c r="E634" s="26">
        <v>0.32596964526396016</v>
      </c>
      <c r="G634" s="9">
        <f t="shared" ref="G634:G697" si="5">((D634-$D$3)^2+(E634-$E$3)^2)</f>
        <v>1.9761279133054667E-3</v>
      </c>
    </row>
    <row r="635" spans="3:7" ht="12.5">
      <c r="C635" s="27">
        <v>4737.7216884987638</v>
      </c>
      <c r="D635" s="26">
        <v>0.21431340612135355</v>
      </c>
      <c r="E635" s="26">
        <v>0.32584293213380555</v>
      </c>
      <c r="G635" s="9">
        <f t="shared" si="5"/>
        <v>1.9925906955185362E-3</v>
      </c>
    </row>
    <row r="636" spans="3:7" ht="12.5">
      <c r="C636" s="27">
        <v>4749.5659927200104</v>
      </c>
      <c r="D636" s="26">
        <v>0.21417402526500637</v>
      </c>
      <c r="E636" s="26">
        <v>0.32571623446072762</v>
      </c>
      <c r="G636" s="9">
        <f t="shared" si="5"/>
        <v>2.0090821507150799E-3</v>
      </c>
    </row>
    <row r="637" spans="3:7" ht="12.5">
      <c r="C637" s="27">
        <v>4761.4399077018106</v>
      </c>
      <c r="D637" s="26">
        <v>0.21403518486227943</v>
      </c>
      <c r="E637" s="26">
        <v>0.32558955372914095</v>
      </c>
      <c r="G637" s="9">
        <f t="shared" si="5"/>
        <v>2.0256018696791643E-3</v>
      </c>
    </row>
    <row r="638" spans="3:7" ht="12.5">
      <c r="C638" s="27">
        <v>4773.3435074710651</v>
      </c>
      <c r="D638" s="26">
        <v>0.21389688332009427</v>
      </c>
      <c r="E638" s="26">
        <v>0.325462891418204</v>
      </c>
      <c r="G638" s="9">
        <f t="shared" si="5"/>
        <v>2.0421494453918029E-3</v>
      </c>
    </row>
    <row r="639" spans="3:7" ht="12.5">
      <c r="C639" s="27">
        <v>4785.276866239743</v>
      </c>
      <c r="D639" s="26">
        <v>0.21375911904626849</v>
      </c>
      <c r="E639" s="26">
        <v>0.32533624900179342</v>
      </c>
      <c r="G639" s="9">
        <f t="shared" si="5"/>
        <v>2.0587244730192814E-3</v>
      </c>
    </row>
    <row r="640" spans="3:7" ht="12.5">
      <c r="C640" s="27">
        <v>4797.2400584053421</v>
      </c>
      <c r="D640" s="26">
        <v>0.2136218904495393</v>
      </c>
      <c r="E640" s="26">
        <v>0.32520962794847819</v>
      </c>
      <c r="G640" s="9">
        <f t="shared" si="5"/>
        <v>2.0753265499013963E-3</v>
      </c>
    </row>
    <row r="641" spans="3:7" ht="12.5">
      <c r="C641" s="27">
        <v>4809.2331585513548</v>
      </c>
      <c r="D641" s="26">
        <v>0.2134851959395874</v>
      </c>
      <c r="E641" s="26">
        <v>0.32508302972149278</v>
      </c>
      <c r="G641" s="9">
        <f t="shared" si="5"/>
        <v>2.0919552755398175E-3</v>
      </c>
    </row>
    <row r="642" spans="3:7" ht="12.5">
      <c r="C642" s="27">
        <v>4821.2562414477334</v>
      </c>
      <c r="D642" s="26">
        <v>0.21334903392706092</v>
      </c>
      <c r="E642" s="26">
        <v>0.32495645577871274</v>
      </c>
      <c r="G642" s="9">
        <f t="shared" si="5"/>
        <v>2.1086102515864339E-3</v>
      </c>
    </row>
    <row r="643" spans="3:7" ht="12.5">
      <c r="C643" s="27">
        <v>4833.3093820513523</v>
      </c>
      <c r="D643" s="26">
        <v>0.21321340282359466</v>
      </c>
      <c r="E643" s="26">
        <v>0.32482990757262942</v>
      </c>
      <c r="G643" s="9">
        <f t="shared" si="5"/>
        <v>2.125291081832226E-3</v>
      </c>
    </row>
    <row r="644" spans="3:7" ht="12.5">
      <c r="C644" s="27">
        <v>4845.39265550648</v>
      </c>
      <c r="D644" s="26">
        <v>0.21307830104183792</v>
      </c>
      <c r="E644" s="26">
        <v>0.3247033865503246</v>
      </c>
      <c r="G644" s="9">
        <f t="shared" si="5"/>
        <v>2.1419973721955574E-3</v>
      </c>
    </row>
    <row r="645" spans="3:7" ht="12.5">
      <c r="C645" s="27">
        <v>4857.5061371452457</v>
      </c>
      <c r="D645" s="26">
        <v>0.21294372699547276</v>
      </c>
      <c r="E645" s="26">
        <v>0.32457689415344632</v>
      </c>
      <c r="G645" s="9">
        <f t="shared" si="5"/>
        <v>2.1587287307112831E-3</v>
      </c>
    </row>
    <row r="646" spans="3:7" ht="12.5">
      <c r="C646" s="27">
        <v>4869.6499024881086</v>
      </c>
      <c r="D646" s="26">
        <v>0.21280967909924023</v>
      </c>
      <c r="E646" s="26">
        <v>0.32445043181818445</v>
      </c>
      <c r="G646" s="9">
        <f t="shared" si="5"/>
        <v>2.1754847675193333E-3</v>
      </c>
    </row>
    <row r="647" spans="3:7" ht="12.5">
      <c r="C647" s="27">
        <v>4881.824027244329</v>
      </c>
      <c r="D647" s="26">
        <v>0.21267615576896004</v>
      </c>
      <c r="E647" s="26">
        <v>0.32432400097524733</v>
      </c>
      <c r="G647" s="9">
        <f t="shared" si="5"/>
        <v>2.1922650948538796E-3</v>
      </c>
    </row>
    <row r="648" spans="3:7" ht="12.5">
      <c r="C648" s="27">
        <v>4894.0285873124394</v>
      </c>
      <c r="D648" s="26">
        <v>0.21254315542155505</v>
      </c>
      <c r="E648" s="26">
        <v>0.32419760304983691</v>
      </c>
      <c r="G648" s="9">
        <f t="shared" si="5"/>
        <v>2.2090693270322851E-3</v>
      </c>
    </row>
    <row r="649" spans="3:7" ht="12.5">
      <c r="C649" s="27">
        <v>4906.2636587807201</v>
      </c>
      <c r="D649" s="26">
        <v>0.21241067647507142</v>
      </c>
      <c r="E649" s="26">
        <v>0.32407123946162658</v>
      </c>
      <c r="G649" s="9">
        <f t="shared" si="5"/>
        <v>2.2258970804443809E-3</v>
      </c>
    </row>
    <row r="650" spans="3:7" ht="12.5">
      <c r="C650" s="27">
        <v>4918.5293179276714</v>
      </c>
      <c r="D650" s="26">
        <v>0.21227871734870199</v>
      </c>
      <c r="E650" s="26">
        <v>0.32394491162473782</v>
      </c>
      <c r="G650" s="9">
        <f t="shared" si="5"/>
        <v>2.2427479735416386E-3</v>
      </c>
    </row>
    <row r="651" spans="3:7" ht="12.5">
      <c r="C651" s="27">
        <v>4930.82564122249</v>
      </c>
      <c r="D651" s="26">
        <v>0.21214727646280865</v>
      </c>
      <c r="E651" s="26">
        <v>0.32381862094771718</v>
      </c>
      <c r="G651" s="9">
        <f t="shared" si="5"/>
        <v>2.2596216268265142E-3</v>
      </c>
    </row>
    <row r="652" spans="3:7" ht="12.5">
      <c r="C652" s="27">
        <v>4943.1527053255459</v>
      </c>
      <c r="D652" s="26">
        <v>0.21201635223894333</v>
      </c>
      <c r="E652" s="26">
        <v>0.3236923688335136</v>
      </c>
      <c r="G652" s="9">
        <f t="shared" si="5"/>
        <v>2.276517662841984E-3</v>
      </c>
    </row>
    <row r="653" spans="3:7" ht="12.5">
      <c r="C653" s="27">
        <v>4955.5105870888592</v>
      </c>
      <c r="D653" s="26">
        <v>0.21188594309986983</v>
      </c>
      <c r="E653" s="26">
        <v>0.32356615667945748</v>
      </c>
      <c r="G653" s="9">
        <f t="shared" si="5"/>
        <v>2.2934357061610319E-3</v>
      </c>
    </row>
    <row r="654" spans="3:7" ht="12.5">
      <c r="C654" s="27">
        <v>4967.8993635565812</v>
      </c>
      <c r="D654" s="26">
        <v>0.21175604746958587</v>
      </c>
      <c r="E654" s="26">
        <v>0.32343998587723738</v>
      </c>
      <c r="G654" s="9">
        <f t="shared" si="5"/>
        <v>2.3103753833763328E-3</v>
      </c>
    </row>
    <row r="655" spans="3:7" ht="12.5">
      <c r="C655" s="27">
        <v>4980.3191119654721</v>
      </c>
      <c r="D655" s="26">
        <v>0.21162666377334477</v>
      </c>
      <c r="E655" s="26">
        <v>0.3233138578128793</v>
      </c>
      <c r="G655" s="9">
        <f t="shared" si="5"/>
        <v>2.3273363230899395E-3</v>
      </c>
    </row>
    <row r="656" spans="3:7" ht="12.5">
      <c r="C656" s="27">
        <v>4992.7699097453851</v>
      </c>
      <c r="D656" s="26">
        <v>0.21149779043767467</v>
      </c>
      <c r="E656" s="26">
        <v>0.32318777386672576</v>
      </c>
      <c r="G656" s="9">
        <f t="shared" si="5"/>
        <v>2.3443181559032822E-3</v>
      </c>
    </row>
    <row r="657" spans="3:7" ht="12.5">
      <c r="C657" s="27">
        <v>5005.2518345197486</v>
      </c>
      <c r="D657" s="26">
        <v>0.21136942589040489</v>
      </c>
      <c r="E657" s="26">
        <v>0.32306173541341343</v>
      </c>
      <c r="G657" s="9">
        <f t="shared" si="5"/>
        <v>2.3613205144067469E-3</v>
      </c>
    </row>
    <row r="658" spans="3:7" ht="12.5">
      <c r="C658" s="27">
        <v>5017.764964106048</v>
      </c>
      <c r="D658" s="26">
        <v>0.21124156856068099</v>
      </c>
      <c r="E658" s="26">
        <v>0.3229357438218538</v>
      </c>
      <c r="G658" s="9">
        <f t="shared" si="5"/>
        <v>2.3783430331701405E-3</v>
      </c>
    </row>
    <row r="659" spans="3:7" ht="12.5">
      <c r="C659" s="27">
        <v>5030.309376516313</v>
      </c>
      <c r="D659" s="26">
        <v>0.21111421687899026</v>
      </c>
      <c r="E659" s="26">
        <v>0.32280980045521296</v>
      </c>
      <c r="G659" s="9">
        <f t="shared" si="5"/>
        <v>2.3953853487324287E-3</v>
      </c>
    </row>
    <row r="660" spans="3:7" ht="12.5">
      <c r="C660" s="27">
        <v>5042.885149957604</v>
      </c>
      <c r="D660" s="26">
        <v>0.21098736927717981</v>
      </c>
      <c r="E660" s="26">
        <v>0.32268390667088992</v>
      </c>
      <c r="G660" s="9">
        <f t="shared" si="5"/>
        <v>2.4124470995922562E-3</v>
      </c>
    </row>
    <row r="661" spans="3:7" ht="12.5">
      <c r="C661" s="27">
        <v>5055.4923628324977</v>
      </c>
      <c r="D661" s="26">
        <v>0.21086102418848066</v>
      </c>
      <c r="E661" s="26">
        <v>0.32255806382049879</v>
      </c>
      <c r="G661" s="9">
        <f t="shared" si="5"/>
        <v>2.4295279261978822E-3</v>
      </c>
    </row>
    <row r="662" spans="3:7" ht="12.5">
      <c r="C662" s="27">
        <v>5068.1310937395783</v>
      </c>
      <c r="D662" s="26">
        <v>0.21073518004752453</v>
      </c>
      <c r="E662" s="26">
        <v>0.32243227324984824</v>
      </c>
      <c r="G662" s="9">
        <f t="shared" si="5"/>
        <v>2.446627470937936E-3</v>
      </c>
    </row>
    <row r="663" spans="3:7" ht="12.5">
      <c r="C663" s="27">
        <v>5080.8014214739269</v>
      </c>
      <c r="D663" s="26">
        <v>0.2106098352903677</v>
      </c>
      <c r="E663" s="26">
        <v>0.32230653629892225</v>
      </c>
      <c r="G663" s="9">
        <f t="shared" si="5"/>
        <v>2.4637453781316439E-3</v>
      </c>
    </row>
    <row r="664" spans="3:7" ht="12.5">
      <c r="C664" s="27">
        <v>5093.5034250276112</v>
      </c>
      <c r="D664" s="26">
        <v>0.21048498835450924</v>
      </c>
      <c r="E664" s="26">
        <v>0.32218085430186177</v>
      </c>
      <c r="G664" s="9">
        <f t="shared" si="5"/>
        <v>2.480881294019536E-3</v>
      </c>
    </row>
    <row r="665" spans="3:7" ht="12.5">
      <c r="C665" s="27">
        <v>5106.2371835901804</v>
      </c>
      <c r="D665" s="26">
        <v>0.21036063767891339</v>
      </c>
      <c r="E665" s="26">
        <v>0.32205522858694563</v>
      </c>
      <c r="G665" s="9">
        <f t="shared" si="5"/>
        <v>2.4980348667539773E-3</v>
      </c>
    </row>
    <row r="666" spans="3:7" ht="12.5">
      <c r="C666" s="27">
        <v>5119.0027765491559</v>
      </c>
      <c r="D666" s="26">
        <v>0.21023678170402749</v>
      </c>
      <c r="E666" s="26">
        <v>0.32192966047657262</v>
      </c>
      <c r="G666" s="9">
        <f t="shared" si="5"/>
        <v>2.515205746390073E-3</v>
      </c>
    </row>
    <row r="667" spans="3:7" ht="12.5">
      <c r="C667" s="27">
        <v>5131.8002834905283</v>
      </c>
      <c r="D667" s="26">
        <v>0.21011341887180451</v>
      </c>
      <c r="E667" s="26">
        <v>0.32180415128724355</v>
      </c>
      <c r="G667" s="9">
        <f t="shared" si="5"/>
        <v>2.5323935848763036E-3</v>
      </c>
    </row>
    <row r="668" spans="3:7" ht="12.5">
      <c r="C668" s="27">
        <v>5144.6297841992546</v>
      </c>
      <c r="D668" s="26">
        <v>0.209990547625723</v>
      </c>
      <c r="E668" s="26">
        <v>0.32167870232954232</v>
      </c>
      <c r="G668" s="9">
        <f t="shared" si="5"/>
        <v>2.5495980360455083E-3</v>
      </c>
    </row>
    <row r="669" spans="3:7" ht="12.5">
      <c r="C669" s="27">
        <v>5157.4913586597522</v>
      </c>
      <c r="D669" s="26">
        <v>0.2098681664108025</v>
      </c>
      <c r="E669" s="26">
        <v>0.32155331490812084</v>
      </c>
      <c r="G669" s="9">
        <f t="shared" si="5"/>
        <v>2.5668187556061512E-3</v>
      </c>
    </row>
    <row r="670" spans="3:7" ht="12.5">
      <c r="C670" s="27">
        <v>5170.3850870564011</v>
      </c>
      <c r="D670" s="26">
        <v>0.20974627367363044</v>
      </c>
      <c r="E670" s="26">
        <v>0.32142799032167968</v>
      </c>
      <c r="G670" s="9">
        <f t="shared" si="5"/>
        <v>2.5840554011329186E-3</v>
      </c>
    </row>
    <row r="671" spans="3:7" ht="12.5">
      <c r="C671" s="27">
        <v>5183.3110497740417</v>
      </c>
      <c r="D671" s="26">
        <v>0.20962486786237661</v>
      </c>
      <c r="E671" s="26">
        <v>0.32130272986295205</v>
      </c>
      <c r="G671" s="9">
        <f t="shared" si="5"/>
        <v>2.6013076320583026E-3</v>
      </c>
    </row>
    <row r="672" spans="3:7" ht="12.5">
      <c r="C672" s="27">
        <v>5196.2693273984769</v>
      </c>
      <c r="D672" s="26">
        <v>0.20950394742681588</v>
      </c>
      <c r="E672" s="26">
        <v>0.32117753481868772</v>
      </c>
      <c r="G672" s="9">
        <f t="shared" si="5"/>
        <v>2.6185751096635566E-3</v>
      </c>
    </row>
    <row r="673" spans="3:7" ht="12.5">
      <c r="C673" s="27">
        <v>5209.2600007169731</v>
      </c>
      <c r="D673" s="26">
        <v>0.20938351081834319</v>
      </c>
      <c r="E673" s="26">
        <v>0.32105240646963595</v>
      </c>
      <c r="G673" s="9">
        <f t="shared" si="5"/>
        <v>2.6358574970704726E-3</v>
      </c>
    </row>
    <row r="674" spans="3:7" ht="12.5">
      <c r="C674" s="27">
        <v>5222.2831507187657</v>
      </c>
      <c r="D674" s="26">
        <v>0.20926355649000011</v>
      </c>
      <c r="E674" s="26">
        <v>0.32092734609052997</v>
      </c>
      <c r="G674" s="9">
        <f t="shared" si="5"/>
        <v>2.6531544592321558E-3</v>
      </c>
    </row>
    <row r="675" spans="3:7" ht="12.5">
      <c r="C675" s="27">
        <v>5235.3388585955627</v>
      </c>
      <c r="D675" s="26">
        <v>0.20914408289648623</v>
      </c>
      <c r="E675" s="26">
        <v>0.32080235495007126</v>
      </c>
      <c r="G675" s="9">
        <f t="shared" si="5"/>
        <v>2.6704656629252138E-3</v>
      </c>
    </row>
    <row r="676" spans="3:7" ht="12.5">
      <c r="C676" s="27">
        <v>5248.4272057420512</v>
      </c>
      <c r="D676" s="26">
        <v>0.20902508849418472</v>
      </c>
      <c r="E676" s="26">
        <v>0.320677434310914</v>
      </c>
      <c r="G676" s="9">
        <f t="shared" si="5"/>
        <v>2.6877907767407921E-3</v>
      </c>
    </row>
    <row r="677" spans="3:7" ht="12.5">
      <c r="C677" s="27">
        <v>5261.5482737564062</v>
      </c>
      <c r="D677" s="26">
        <v>0.20890657174117744</v>
      </c>
      <c r="E677" s="26">
        <v>0.32055258542965015</v>
      </c>
      <c r="G677" s="9">
        <f t="shared" si="5"/>
        <v>2.7051294710765785E-3</v>
      </c>
    </row>
    <row r="678" spans="3:7" ht="12.5">
      <c r="C678" s="27">
        <v>5274.7021444407965</v>
      </c>
      <c r="D678" s="26">
        <v>0.20878853109726575</v>
      </c>
      <c r="E678" s="26">
        <v>0.32042780955679423</v>
      </c>
      <c r="G678" s="9">
        <f t="shared" si="5"/>
        <v>2.7224814181284022E-3</v>
      </c>
    </row>
    <row r="679" spans="3:7" ht="12.5">
      <c r="C679" s="27">
        <v>5287.8888998018983</v>
      </c>
      <c r="D679" s="26">
        <v>0.20867096502398813</v>
      </c>
      <c r="E679" s="26">
        <v>0.32030310793676925</v>
      </c>
      <c r="G679" s="9">
        <f t="shared" si="5"/>
        <v>2.7398462918821458E-3</v>
      </c>
    </row>
    <row r="680" spans="3:7" ht="12.5">
      <c r="C680" s="27">
        <v>5301.1086220514026</v>
      </c>
      <c r="D680" s="26">
        <v>0.20855387198464012</v>
      </c>
      <c r="E680" s="26">
        <v>0.32017848180789216</v>
      </c>
      <c r="G680" s="9">
        <f t="shared" si="5"/>
        <v>2.7572237681055514E-3</v>
      </c>
    </row>
    <row r="681" spans="3:7" ht="12.5">
      <c r="C681" s="27">
        <v>5314.3613936065312</v>
      </c>
      <c r="D681" s="26">
        <v>0.20843725044429215</v>
      </c>
      <c r="E681" s="26">
        <v>0.32005393240236008</v>
      </c>
      <c r="G681" s="9">
        <f t="shared" si="5"/>
        <v>2.7746135243402669E-3</v>
      </c>
    </row>
    <row r="682" spans="3:7" ht="12.5">
      <c r="C682" s="27">
        <v>5327.647297090547</v>
      </c>
      <c r="D682" s="26">
        <v>0.20832109886980751</v>
      </c>
      <c r="E682" s="26">
        <v>0.31992946094623664</v>
      </c>
      <c r="G682" s="9">
        <f t="shared" si="5"/>
        <v>2.7920152398939473E-3</v>
      </c>
    </row>
    <row r="683" spans="3:7" ht="12.5">
      <c r="C683" s="27">
        <v>5340.9664153332733</v>
      </c>
      <c r="D683" s="26">
        <v>0.20820541572986331</v>
      </c>
      <c r="E683" s="26">
        <v>0.31980506865943792</v>
      </c>
      <c r="G683" s="9">
        <f t="shared" si="5"/>
        <v>2.8094285958322036E-3</v>
      </c>
    </row>
    <row r="684" spans="3:7" ht="12.5">
      <c r="C684" s="27">
        <v>5354.3188313716064</v>
      </c>
      <c r="D684" s="26">
        <v>0.20809019949496496</v>
      </c>
      <c r="E684" s="26">
        <v>0.31968075675572033</v>
      </c>
      <c r="G684" s="9">
        <f t="shared" si="5"/>
        <v>2.8268532749710922E-3</v>
      </c>
    </row>
    <row r="685" spans="3:7" ht="12.5">
      <c r="C685" s="27">
        <v>5367.7046284500348</v>
      </c>
      <c r="D685" s="26">
        <v>0.2079754486374672</v>
      </c>
      <c r="E685" s="26">
        <v>0.31955652644266724</v>
      </c>
      <c r="G685" s="9">
        <f t="shared" si="5"/>
        <v>2.844288961869181E-3</v>
      </c>
    </row>
    <row r="686" spans="3:7" ht="12.5">
      <c r="C686" s="27">
        <v>5381.1238900211592</v>
      </c>
      <c r="D686" s="26">
        <v>0.20786116163159163</v>
      </c>
      <c r="E686" s="26">
        <v>0.31943237892167631</v>
      </c>
      <c r="G686" s="9">
        <f t="shared" si="5"/>
        <v>2.8617353428199641E-3</v>
      </c>
    </row>
    <row r="687" spans="3:7" ht="12.5">
      <c r="C687" s="27">
        <v>5394.5766997462115</v>
      </c>
      <c r="D687" s="26">
        <v>0.20774733695344341</v>
      </c>
      <c r="E687" s="26">
        <v>0.31930831538794735</v>
      </c>
      <c r="G687" s="9">
        <f t="shared" si="5"/>
        <v>2.8791921058444027E-3</v>
      </c>
    </row>
    <row r="688" spans="3:7" ht="12.5">
      <c r="C688" s="27">
        <v>5408.0631414955769</v>
      </c>
      <c r="D688" s="26">
        <v>0.20763397308103088</v>
      </c>
      <c r="E688" s="26">
        <v>0.31918433703047083</v>
      </c>
      <c r="G688" s="9">
        <f t="shared" si="5"/>
        <v>2.8966589406832451E-3</v>
      </c>
    </row>
    <row r="689" spans="3:7" ht="12.5">
      <c r="C689" s="27">
        <v>5421.5832993493159</v>
      </c>
      <c r="D689" s="26">
        <v>0.2075210684942819</v>
      </c>
      <c r="E689" s="26">
        <v>0.31906044503201525</v>
      </c>
      <c r="G689" s="9">
        <f t="shared" si="5"/>
        <v>2.9141355387897858E-3</v>
      </c>
    </row>
    <row r="690" spans="3:7" ht="12.5">
      <c r="C690" s="27">
        <v>5435.1372575976893</v>
      </c>
      <c r="D690" s="26">
        <v>0.20740862167506274</v>
      </c>
      <c r="E690" s="26">
        <v>0.31893664056911636</v>
      </c>
      <c r="G690" s="9">
        <f t="shared" si="5"/>
        <v>2.9316215933223666E-3</v>
      </c>
    </row>
    <row r="691" spans="3:7" ht="12.5">
      <c r="C691" s="27">
        <v>5448.7251007416835</v>
      </c>
      <c r="D691" s="26">
        <v>0.2072966311071939</v>
      </c>
      <c r="E691" s="26">
        <v>0.31881292481206586</v>
      </c>
      <c r="G691" s="9">
        <f t="shared" si="5"/>
        <v>2.9491167991372662E-3</v>
      </c>
    </row>
    <row r="692" spans="3:7" ht="12.5">
      <c r="C692" s="27">
        <v>5462.3469134935376</v>
      </c>
      <c r="D692" s="26">
        <v>0.20718509527646969</v>
      </c>
      <c r="E692" s="26">
        <v>0.31868929892490055</v>
      </c>
      <c r="G692" s="9">
        <f t="shared" si="5"/>
        <v>2.9666208527812871E-3</v>
      </c>
    </row>
    <row r="693" spans="3:7" ht="12.5">
      <c r="C693" s="27">
        <v>5476.0027807772713</v>
      </c>
      <c r="D693" s="26">
        <v>0.20707401267067282</v>
      </c>
      <c r="E693" s="26">
        <v>0.31856576406539189</v>
      </c>
      <c r="G693" s="9">
        <f t="shared" si="5"/>
        <v>2.9841334524848676E-3</v>
      </c>
    </row>
    <row r="694" spans="3:7" ht="12.5">
      <c r="C694" s="27">
        <v>5489.6927877292137</v>
      </c>
      <c r="D694" s="26">
        <v>0.20696338177959617</v>
      </c>
      <c r="E694" s="26">
        <v>0.31844232138503481</v>
      </c>
      <c r="G694" s="9">
        <f t="shared" si="5"/>
        <v>3.0016542981546376E-3</v>
      </c>
    </row>
    <row r="695" spans="3:7" ht="12.5">
      <c r="C695" s="27">
        <v>5503.417019698536</v>
      </c>
      <c r="D695" s="26">
        <v>0.2068532010950534</v>
      </c>
      <c r="E695" s="26">
        <v>0.31831897202903936</v>
      </c>
      <c r="G695" s="9">
        <f t="shared" si="5"/>
        <v>3.0191830913669161E-3</v>
      </c>
    </row>
    <row r="696" spans="3:7" ht="12.5">
      <c r="C696" s="27">
        <v>5517.1755622477822</v>
      </c>
      <c r="D696" s="26">
        <v>0.20674346911090236</v>
      </c>
      <c r="E696" s="26">
        <v>0.31819571713631933</v>
      </c>
      <c r="G696" s="9">
        <f t="shared" si="5"/>
        <v>3.0367195353602841E-3</v>
      </c>
    </row>
    <row r="697" spans="3:7" ht="12.5">
      <c r="C697" s="27">
        <v>5530.9685011534011</v>
      </c>
      <c r="D697" s="26">
        <v>0.20663418432305694</v>
      </c>
      <c r="E697" s="26">
        <v>0.31807255783948374</v>
      </c>
      <c r="G697" s="9">
        <f t="shared" si="5"/>
        <v>3.0542633350291223E-3</v>
      </c>
    </row>
    <row r="698" spans="3:7" ht="12.5">
      <c r="C698" s="27">
        <v>5544.7959224062843</v>
      </c>
      <c r="D698" s="26">
        <v>0.20652534522950811</v>
      </c>
      <c r="E698" s="26">
        <v>0.31794949526482719</v>
      </c>
      <c r="G698" s="9">
        <f t="shared" ref="G698:G761" si="6">((D698-$D$3)^2+(E698-$E$3)^2)</f>
        <v>3.071814196916441E-3</v>
      </c>
    </row>
    <row r="699" spans="3:7" ht="12.5">
      <c r="C699" s="27">
        <v>5558.6579122122994</v>
      </c>
      <c r="D699" s="26">
        <v>0.2064169503303373</v>
      </c>
      <c r="E699" s="26">
        <v>0.31782653053232124</v>
      </c>
      <c r="G699" s="9">
        <f t="shared" si="6"/>
        <v>3.089371829207428E-3</v>
      </c>
    </row>
    <row r="700" spans="3:7" ht="12.5">
      <c r="C700" s="27">
        <v>5572.5545569928299</v>
      </c>
      <c r="D700" s="26">
        <v>0.20630899812773437</v>
      </c>
      <c r="E700" s="26">
        <v>0.31770366475560557</v>
      </c>
      <c r="G700" s="9">
        <f t="shared" si="6"/>
        <v>3.1069359417226607E-3</v>
      </c>
    </row>
    <row r="701" spans="3:7" ht="12.5">
      <c r="C701" s="27">
        <v>5586.4859433853117</v>
      </c>
      <c r="D701" s="26">
        <v>0.20620148712601347</v>
      </c>
      <c r="E701" s="26">
        <v>0.31758089904198</v>
      </c>
      <c r="G701" s="9">
        <f t="shared" si="6"/>
        <v>3.1245062459115259E-3</v>
      </c>
    </row>
    <row r="702" spans="3:7" ht="12.5">
      <c r="C702" s="27">
        <v>5600.4521582437746</v>
      </c>
      <c r="D702" s="26">
        <v>0.20609441583163213</v>
      </c>
      <c r="E702" s="26">
        <v>0.31745823449239507</v>
      </c>
      <c r="G702" s="9">
        <f t="shared" si="6"/>
        <v>3.1420824548454938E-3</v>
      </c>
    </row>
    <row r="703" spans="3:7" ht="12.5">
      <c r="C703" s="27">
        <v>5614.4532886393836</v>
      </c>
      <c r="D703" s="26">
        <v>0.20598778275320168</v>
      </c>
      <c r="E703" s="26">
        <v>0.31733567220144676</v>
      </c>
      <c r="G703" s="9">
        <f t="shared" si="6"/>
        <v>3.1596642832120297E-3</v>
      </c>
    </row>
    <row r="704" spans="3:7" ht="12.5">
      <c r="C704" s="27">
        <v>5628.4894218609816</v>
      </c>
      <c r="D704" s="26">
        <v>0.20588158640151</v>
      </c>
      <c r="E704" s="26">
        <v>0.31721321325736601</v>
      </c>
      <c r="G704" s="9">
        <f t="shared" si="6"/>
        <v>3.177251447307725E-3</v>
      </c>
    </row>
    <row r="705" spans="3:7" ht="12.5">
      <c r="C705" s="27">
        <v>5642.5606454156341</v>
      </c>
      <c r="D705" s="26">
        <v>0.20577582528953339</v>
      </c>
      <c r="E705" s="26">
        <v>0.31709085874201365</v>
      </c>
      <c r="G705" s="9">
        <f t="shared" si="6"/>
        <v>3.1948436650321909E-3</v>
      </c>
    </row>
    <row r="706" spans="3:7" ht="12.5">
      <c r="C706" s="27">
        <v>5656.6670470291729</v>
      </c>
      <c r="D706" s="26">
        <v>0.20567049793245404</v>
      </c>
      <c r="E706" s="26">
        <v>0.31696860973087254</v>
      </c>
      <c r="G706" s="9">
        <f t="shared" si="6"/>
        <v>3.2124406558816645E-3</v>
      </c>
    </row>
    <row r="707" spans="3:7" ht="12.5">
      <c r="C707" s="27">
        <v>5670.8087146467451</v>
      </c>
      <c r="D707" s="26">
        <v>0.2055656028476745</v>
      </c>
      <c r="E707" s="26">
        <v>0.31684646729304056</v>
      </c>
      <c r="G707" s="9">
        <f t="shared" si="6"/>
        <v>3.2300421409429052E-3</v>
      </c>
    </row>
    <row r="708" spans="3:7" ht="12.5">
      <c r="C708" s="27">
        <v>5684.985736433362</v>
      </c>
      <c r="D708" s="26">
        <v>0.20546113855483591</v>
      </c>
      <c r="E708" s="26">
        <v>0.31672443249122501</v>
      </c>
      <c r="G708" s="9">
        <f t="shared" si="6"/>
        <v>3.2476478428867207E-3</v>
      </c>
    </row>
    <row r="709" spans="3:7" ht="12.5">
      <c r="C709" s="27">
        <v>5699.1982007744455</v>
      </c>
      <c r="D709" s="26">
        <v>0.20535710357583087</v>
      </c>
      <c r="E709" s="26">
        <v>0.31660250638173543</v>
      </c>
      <c r="G709" s="9">
        <f t="shared" si="6"/>
        <v>3.2652574859621608E-3</v>
      </c>
    </row>
    <row r="710" spans="3:7" ht="12.5">
      <c r="C710" s="27">
        <v>5713.4461962763817</v>
      </c>
      <c r="D710" s="26">
        <v>0.20525349643482138</v>
      </c>
      <c r="E710" s="26">
        <v>0.3164806900144787</v>
      </c>
      <c r="G710" s="9">
        <f t="shared" si="6"/>
        <v>3.2828707959901456E-3</v>
      </c>
    </row>
    <row r="711" spans="3:7" ht="12.5">
      <c r="C711" s="27">
        <v>5727.7298117670725</v>
      </c>
      <c r="D711" s="26">
        <v>0.2051503156582517</v>
      </c>
      <c r="E711" s="26">
        <v>0.31635898443295268</v>
      </c>
      <c r="G711" s="9">
        <f t="shared" si="6"/>
        <v>3.3004875003577443E-3</v>
      </c>
    </row>
    <row r="712" spans="3:7" ht="12.5">
      <c r="C712" s="27">
        <v>5742.0491362964904</v>
      </c>
      <c r="D712" s="26">
        <v>0.20504755977486658</v>
      </c>
      <c r="E712" s="26">
        <v>0.31623739067424078</v>
      </c>
      <c r="G712" s="9">
        <f t="shared" si="6"/>
        <v>3.3181073280119325E-3</v>
      </c>
    </row>
    <row r="713" spans="3:7" ht="12.5">
      <c r="C713" s="27">
        <v>5756.4042591372308</v>
      </c>
      <c r="D713" s="26">
        <v>0.20494522731572432</v>
      </c>
      <c r="E713" s="26">
        <v>0.31611590976900772</v>
      </c>
      <c r="G713" s="9">
        <f t="shared" si="6"/>
        <v>3.3357300094538338E-3</v>
      </c>
    </row>
    <row r="714" spans="3:7" ht="12.5">
      <c r="C714" s="27">
        <v>5770.7952697850733</v>
      </c>
      <c r="D714" s="26">
        <v>0.2048433168142112</v>
      </c>
      <c r="E714" s="26">
        <v>0.31599454274149369</v>
      </c>
      <c r="G714" s="9">
        <f t="shared" si="6"/>
        <v>3.3533552767330008E-3</v>
      </c>
    </row>
    <row r="715" spans="3:7" ht="12.5">
      <c r="C715" s="27">
        <v>5785.2222579595355</v>
      </c>
      <c r="D715" s="26">
        <v>0.20474182680605957</v>
      </c>
      <c r="E715" s="26">
        <v>0.31587329060951047</v>
      </c>
      <c r="G715" s="9">
        <f t="shared" si="6"/>
        <v>3.3709828634412697E-3</v>
      </c>
    </row>
    <row r="716" spans="3:7" ht="12.5">
      <c r="C716" s="27">
        <v>5799.6853136044338</v>
      </c>
      <c r="D716" s="26">
        <v>0.20464075582936092</v>
      </c>
      <c r="E716" s="26">
        <v>0.31575215438443666</v>
      </c>
      <c r="G716" s="9">
        <f t="shared" si="6"/>
        <v>3.3886125047072188E-3</v>
      </c>
    </row>
    <row r="717" spans="3:7" ht="12.5">
      <c r="C717" s="27">
        <v>5814.1845268884445</v>
      </c>
      <c r="D717" s="26">
        <v>0.20454010242457932</v>
      </c>
      <c r="E717" s="26">
        <v>0.31563113507121388</v>
      </c>
      <c r="G717" s="9">
        <f t="shared" si="6"/>
        <v>3.4062439371905845E-3</v>
      </c>
    </row>
    <row r="718" spans="3:7" ht="12.5">
      <c r="C718" s="27">
        <v>5828.7199882056657</v>
      </c>
      <c r="D718" s="26">
        <v>0.20443986513456802</v>
      </c>
      <c r="E718" s="26">
        <v>0.31551023366834341</v>
      </c>
      <c r="G718" s="9">
        <f t="shared" si="6"/>
        <v>3.4238768990764077E-3</v>
      </c>
    </row>
    <row r="719" spans="3:7" ht="12.5">
      <c r="C719" s="27">
        <v>5843.2917881761796</v>
      </c>
      <c r="D719" s="26">
        <v>0.2043400425045839</v>
      </c>
      <c r="E719" s="26">
        <v>0.31538945116788158</v>
      </c>
      <c r="G719" s="9">
        <f t="shared" si="6"/>
        <v>3.4415111300695215E-3</v>
      </c>
    </row>
    <row r="720" spans="3:7" ht="12.5">
      <c r="C720" s="27">
        <v>5857.9000176466197</v>
      </c>
      <c r="D720" s="26">
        <v>0.20424063308230112</v>
      </c>
      <c r="E720" s="26">
        <v>0.31526878855543783</v>
      </c>
      <c r="G720" s="9">
        <f t="shared" si="6"/>
        <v>3.4591463713890035E-3</v>
      </c>
    </row>
    <row r="721" spans="3:7" ht="12.5">
      <c r="C721" s="27">
        <v>5872.5447676907361</v>
      </c>
      <c r="D721" s="26">
        <v>0.20414163541782535</v>
      </c>
      <c r="E721" s="26">
        <v>0.31514824681017101</v>
      </c>
      <c r="G721" s="9">
        <f t="shared" si="6"/>
        <v>3.476782365762732E-3</v>
      </c>
    </row>
    <row r="722" spans="3:7" ht="12.5">
      <c r="C722" s="27">
        <v>5887.2261296099623</v>
      </c>
      <c r="D722" s="26">
        <v>0.20404304806370921</v>
      </c>
      <c r="E722" s="26">
        <v>0.31502782690478648</v>
      </c>
      <c r="G722" s="9">
        <f t="shared" si="6"/>
        <v>3.4944188574218453E-3</v>
      </c>
    </row>
    <row r="723" spans="3:7" ht="12.5">
      <c r="C723" s="27">
        <v>5901.9441949339871</v>
      </c>
      <c r="D723" s="26">
        <v>0.20394486957496563</v>
      </c>
      <c r="E723" s="26">
        <v>0.31490752980553444</v>
      </c>
      <c r="G723" s="9">
        <f t="shared" si="6"/>
        <v>3.5120555920953632E-3</v>
      </c>
    </row>
    <row r="724" spans="3:7" ht="12.5">
      <c r="C724" s="27">
        <v>5916.6990554213216</v>
      </c>
      <c r="D724" s="26">
        <v>0.20384709850908131</v>
      </c>
      <c r="E724" s="26">
        <v>0.31478735647220696</v>
      </c>
      <c r="G724" s="9">
        <f t="shared" si="6"/>
        <v>3.5296923170049397E-3</v>
      </c>
    </row>
    <row r="725" spans="3:7" ht="12.5">
      <c r="C725" s="27">
        <v>5931.4908030598745</v>
      </c>
      <c r="D725" s="26">
        <v>0.20374973342603198</v>
      </c>
      <c r="E725" s="26">
        <v>0.31466730785813662</v>
      </c>
      <c r="G725" s="9">
        <f t="shared" si="6"/>
        <v>3.5473287808593934E-3</v>
      </c>
    </row>
    <row r="726" spans="3:7" ht="12.5">
      <c r="C726" s="27">
        <v>5946.3195300675234</v>
      </c>
      <c r="D726" s="26">
        <v>0.20365277288829495</v>
      </c>
      <c r="E726" s="26">
        <v>0.31454738491019452</v>
      </c>
      <c r="G726" s="9">
        <f t="shared" si="6"/>
        <v>3.5649647338495908E-3</v>
      </c>
    </row>
    <row r="727" spans="3:7" ht="12.5">
      <c r="C727" s="27">
        <v>5961.1853288926923</v>
      </c>
      <c r="D727" s="26">
        <v>0.20355621546086372</v>
      </c>
      <c r="E727" s="26">
        <v>0.31442758856878916</v>
      </c>
      <c r="G727" s="9">
        <f t="shared" si="6"/>
        <v>3.5825999276431226E-3</v>
      </c>
    </row>
    <row r="728" spans="3:7" ht="12.5">
      <c r="C728" s="27">
        <v>5976.088292214924</v>
      </c>
      <c r="D728" s="26">
        <v>0.20346005971126138</v>
      </c>
      <c r="E728" s="26">
        <v>0.31430791976786471</v>
      </c>
      <c r="G728" s="9">
        <f t="shared" si="6"/>
        <v>3.6002341153791948E-3</v>
      </c>
    </row>
    <row r="729" spans="3:7" ht="12.5">
      <c r="C729" s="27">
        <v>5991.0285129454605</v>
      </c>
      <c r="D729" s="26">
        <v>0.20336430420955404</v>
      </c>
      <c r="E729" s="26">
        <v>0.31418837943490102</v>
      </c>
      <c r="G729" s="9">
        <f t="shared" si="6"/>
        <v>3.6178670516634429E-3</v>
      </c>
    </row>
    <row r="730" spans="3:7" ht="12.5">
      <c r="C730" s="27">
        <v>6006.0060842278235</v>
      </c>
      <c r="D730" s="26">
        <v>0.2032689475283638</v>
      </c>
      <c r="E730" s="26">
        <v>0.31406896849091237</v>
      </c>
      <c r="G730" s="9">
        <f t="shared" si="6"/>
        <v>3.6354984925629306E-3</v>
      </c>
    </row>
    <row r="731" spans="3:7" ht="12.5">
      <c r="C731" s="27">
        <v>6021.0210994383924</v>
      </c>
      <c r="D731" s="26">
        <v>0.20317398824288269</v>
      </c>
      <c r="E731" s="26">
        <v>0.3139496878504473</v>
      </c>
      <c r="G731" s="9">
        <f t="shared" si="6"/>
        <v>3.653128195601033E-3</v>
      </c>
    </row>
    <row r="732" spans="3:7" ht="12.5">
      <c r="C732" s="27">
        <v>6036.0736521869885</v>
      </c>
      <c r="D732" s="26">
        <v>0.20307942493088543</v>
      </c>
      <c r="E732" s="26">
        <v>0.31383053842158809</v>
      </c>
      <c r="G732" s="9">
        <f t="shared" si="6"/>
        <v>3.6707559197524959E-3</v>
      </c>
    </row>
    <row r="733" spans="3:7" ht="12.5">
      <c r="C733" s="27">
        <v>6051.1638363174552</v>
      </c>
      <c r="D733" s="26">
        <v>0.20298525617274296</v>
      </c>
      <c r="E733" s="26">
        <v>0.31371152110595191</v>
      </c>
      <c r="G733" s="9">
        <f t="shared" si="6"/>
        <v>3.6883814254383661E-3</v>
      </c>
    </row>
    <row r="734" spans="3:7" ht="12.5">
      <c r="C734" s="27">
        <v>6066.2917459082482</v>
      </c>
      <c r="D734" s="26">
        <v>0.20289148055143497</v>
      </c>
      <c r="E734" s="26">
        <v>0.31359263679869004</v>
      </c>
      <c r="G734" s="9">
        <f t="shared" si="6"/>
        <v>3.7060044745211907E-3</v>
      </c>
    </row>
    <row r="735" spans="3:7" ht="12.5">
      <c r="C735" s="27">
        <v>6081.4574752730186</v>
      </c>
      <c r="D735" s="26">
        <v>0.20279809665256307</v>
      </c>
      <c r="E735" s="26">
        <v>0.31347388638848944</v>
      </c>
      <c r="G735" s="9">
        <f t="shared" si="6"/>
        <v>3.723624830300038E-3</v>
      </c>
    </row>
    <row r="736" spans="3:7" ht="12.5">
      <c r="C736" s="27">
        <v>6096.6611189612013</v>
      </c>
      <c r="D736" s="26">
        <v>0.20270510306436296</v>
      </c>
      <c r="E736" s="26">
        <v>0.31335527075757325</v>
      </c>
      <c r="G736" s="9">
        <f t="shared" si="6"/>
        <v>3.7412422575057469E-3</v>
      </c>
    </row>
    <row r="737" spans="3:7" ht="12.5">
      <c r="C737" s="27">
        <v>6111.9027717586041</v>
      </c>
      <c r="D737" s="26">
        <v>0.20261249837771805</v>
      </c>
      <c r="E737" s="26">
        <v>0.31323679078170169</v>
      </c>
      <c r="G737" s="9">
        <f t="shared" si="6"/>
        <v>3.7588565222960329E-3</v>
      </c>
    </row>
    <row r="738" spans="3:7" ht="12.5">
      <c r="C738" s="27">
        <v>6127.1825286880003</v>
      </c>
      <c r="D738" s="26">
        <v>0.20252028118617135</v>
      </c>
      <c r="E738" s="26">
        <v>0.31311844733017413</v>
      </c>
      <c r="G738" s="9">
        <f t="shared" si="6"/>
        <v>3.7764673922507479E-3</v>
      </c>
    </row>
    <row r="739" spans="3:7" ht="12.5">
      <c r="C739" s="27">
        <v>6142.5004850097203</v>
      </c>
      <c r="D739" s="26">
        <v>0.20242845008593766</v>
      </c>
      <c r="E739" s="26">
        <v>0.31300024126583026</v>
      </c>
      <c r="G739" s="9">
        <f t="shared" si="6"/>
        <v>3.7940746363671974E-3</v>
      </c>
    </row>
    <row r="740" spans="3:7" ht="12.5">
      <c r="C740" s="27">
        <v>6157.8567362222439</v>
      </c>
      <c r="D740" s="26">
        <v>0.20233700367591703</v>
      </c>
      <c r="E740" s="26">
        <v>0.31288217344505198</v>
      </c>
      <c r="G740" s="9">
        <f t="shared" si="6"/>
        <v>3.8116780250553352E-3</v>
      </c>
    </row>
    <row r="741" spans="3:7" ht="12.5">
      <c r="C741" s="27">
        <v>6173.2513780627987</v>
      </c>
      <c r="D741" s="26">
        <v>0.20224594055770581</v>
      </c>
      <c r="E741" s="26">
        <v>0.31276424471776582</v>
      </c>
      <c r="G741" s="9">
        <f t="shared" si="6"/>
        <v>3.8292773301332062E-3</v>
      </c>
    </row>
    <row r="742" spans="3:7" ht="12.5">
      <c r="C742" s="27">
        <v>6188.6845065079551</v>
      </c>
      <c r="D742" s="26">
        <v>0.20215525933560777</v>
      </c>
      <c r="E742" s="26">
        <v>0.31264645592744589</v>
      </c>
      <c r="G742" s="9">
        <f t="shared" si="6"/>
        <v>3.8468723248223755E-3</v>
      </c>
    </row>
    <row r="743" spans="3:7" ht="12.5">
      <c r="C743" s="27">
        <v>6204.1562177742244</v>
      </c>
      <c r="D743" s="26">
        <v>0.20206495861665025</v>
      </c>
      <c r="E743" s="26">
        <v>0.31252880791111487</v>
      </c>
      <c r="G743" s="9">
        <f t="shared" si="6"/>
        <v>3.8644627837430383E-3</v>
      </c>
    </row>
    <row r="744" spans="3:7" ht="12.5">
      <c r="C744" s="27">
        <v>6219.6666083186592</v>
      </c>
      <c r="D744" s="26">
        <v>0.201975037010591</v>
      </c>
      <c r="E744" s="26">
        <v>0.31241130149934854</v>
      </c>
      <c r="G744" s="9">
        <f t="shared" si="6"/>
        <v>3.88204848290986E-3</v>
      </c>
    </row>
    <row r="745" spans="3:7" ht="12.5">
      <c r="C745" s="27">
        <v>6235.2157748394557</v>
      </c>
      <c r="D745" s="26">
        <v>0.2018854931299339</v>
      </c>
      <c r="E745" s="26">
        <v>0.31229393751627837</v>
      </c>
      <c r="G745" s="9">
        <f t="shared" si="6"/>
        <v>3.8996291997270838E-3</v>
      </c>
    </row>
    <row r="746" spans="3:7" ht="12.5">
      <c r="C746" s="27">
        <v>6250.8038142765536</v>
      </c>
      <c r="D746" s="26">
        <v>0.2017963255899371</v>
      </c>
      <c r="E746" s="26">
        <v>0.31217671677959463</v>
      </c>
      <c r="G746" s="9">
        <f t="shared" si="6"/>
        <v>3.9172047129844272E-3</v>
      </c>
    </row>
    <row r="747" spans="3:7" ht="12.5">
      <c r="C747" s="27">
        <v>6266.4308238122449</v>
      </c>
      <c r="D747" s="26">
        <v>0.20170753300862898</v>
      </c>
      <c r="E747" s="26">
        <v>0.31205964010055043</v>
      </c>
      <c r="G747" s="9">
        <f t="shared" si="6"/>
        <v>3.9347748028521357E-3</v>
      </c>
    </row>
    <row r="748" spans="3:7" ht="12.5">
      <c r="C748" s="27">
        <v>6282.0969008717748</v>
      </c>
      <c r="D748" s="26">
        <v>0.20161911400681487</v>
      </c>
      <c r="E748" s="26">
        <v>0.31194270828396564</v>
      </c>
      <c r="G748" s="9">
        <f t="shared" si="6"/>
        <v>3.9523392508770345E-3</v>
      </c>
    </row>
    <row r="749" spans="3:7" ht="12.5">
      <c r="C749" s="27">
        <v>6297.802143123954</v>
      </c>
      <c r="D749" s="26">
        <v>0.20153106720809158</v>
      </c>
      <c r="E749" s="26">
        <v>0.31182592212823068</v>
      </c>
      <c r="G749" s="9">
        <f t="shared" si="6"/>
        <v>3.969897839977833E-3</v>
      </c>
    </row>
    <row r="750" spans="3:7" ht="12.5">
      <c r="C750" s="27">
        <v>6313.5466484817634</v>
      </c>
      <c r="D750" s="26">
        <v>0.20144339123885827</v>
      </c>
      <c r="E750" s="26">
        <v>0.31170928242531087</v>
      </c>
      <c r="G750" s="9">
        <f t="shared" si="6"/>
        <v>3.9874503544407858E-3</v>
      </c>
    </row>
    <row r="751" spans="3:7" ht="12.5">
      <c r="C751" s="27">
        <v>6329.3305151029672</v>
      </c>
      <c r="D751" s="26">
        <v>0.20135608472832595</v>
      </c>
      <c r="E751" s="26">
        <v>0.31159278996075185</v>
      </c>
      <c r="G751" s="9">
        <f t="shared" si="6"/>
        <v>4.0049965799154623E-3</v>
      </c>
    </row>
    <row r="752" spans="3:7" ht="12.5">
      <c r="C752" s="27">
        <v>6345.1538413907247</v>
      </c>
      <c r="D752" s="26">
        <v>0.20126914630853054</v>
      </c>
      <c r="E752" s="26">
        <v>0.31147644551368292</v>
      </c>
      <c r="G752" s="9">
        <f t="shared" si="6"/>
        <v>4.0225363034103335E-3</v>
      </c>
    </row>
    <row r="753" spans="3:7" ht="12.5">
      <c r="C753" s="27">
        <v>6361.0167259942009</v>
      </c>
      <c r="D753" s="26">
        <v>0.20118257461434272</v>
      </c>
      <c r="E753" s="26">
        <v>0.31136024985682365</v>
      </c>
      <c r="G753" s="9">
        <f t="shared" si="6"/>
        <v>4.0400693132884927E-3</v>
      </c>
    </row>
    <row r="754" spans="3:7" ht="12.5">
      <c r="C754" s="27">
        <v>6376.9192678091858</v>
      </c>
      <c r="D754" s="26">
        <v>0.20109636828347832</v>
      </c>
      <c r="E754" s="26">
        <v>0.31124420375648831</v>
      </c>
      <c r="G754" s="9">
        <f t="shared" si="6"/>
        <v>4.0575953992634866E-3</v>
      </c>
    </row>
    <row r="755" spans="3:7" ht="12.5">
      <c r="C755" s="27">
        <v>6392.8615659787083</v>
      </c>
      <c r="D755" s="26">
        <v>0.20101052595650973</v>
      </c>
      <c r="E755" s="26">
        <v>0.31112830797259194</v>
      </c>
      <c r="G755" s="9">
        <f t="shared" si="6"/>
        <v>4.0751143523949963E-3</v>
      </c>
    </row>
    <row r="756" spans="3:7" ht="12.5">
      <c r="C756" s="27">
        <v>6408.8437198936545</v>
      </c>
      <c r="D756" s="26">
        <v>0.20092504627687652</v>
      </c>
      <c r="E756" s="26">
        <v>0.31101256325865562</v>
      </c>
      <c r="G756" s="9">
        <f t="shared" si="6"/>
        <v>4.0926259650846519E-3</v>
      </c>
    </row>
    <row r="757" spans="3:7" ht="12.5">
      <c r="C757" s="27">
        <v>6424.865829193388</v>
      </c>
      <c r="D757" s="26">
        <v>0.2008399278908965</v>
      </c>
      <c r="E757" s="26">
        <v>0.31089697036181269</v>
      </c>
      <c r="G757" s="9">
        <f t="shared" si="6"/>
        <v>4.1101300310717832E-3</v>
      </c>
    </row>
    <row r="758" spans="3:7" ht="12.5">
      <c r="C758" s="27">
        <v>6440.9279937663714</v>
      </c>
      <c r="D758" s="26">
        <v>0.20075516944777394</v>
      </c>
      <c r="E758" s="26">
        <v>0.31078153002281544</v>
      </c>
      <c r="G758" s="9">
        <f t="shared" si="6"/>
        <v>4.1276263454294556E-3</v>
      </c>
    </row>
    <row r="759" spans="3:7" ht="12.5">
      <c r="C759" s="27">
        <v>6457.0303137507872</v>
      </c>
      <c r="D759" s="26">
        <v>0.20067076959961239</v>
      </c>
      <c r="E759" s="26">
        <v>0.31066624297604067</v>
      </c>
      <c r="G759" s="9">
        <f t="shared" si="6"/>
        <v>4.145114704560149E-3</v>
      </c>
    </row>
    <row r="760" spans="3:7" ht="12.5">
      <c r="C760" s="27">
        <v>6473.1728895351634</v>
      </c>
      <c r="D760" s="26">
        <v>0.20058672700142263</v>
      </c>
      <c r="E760" s="26">
        <v>0.31055110994949781</v>
      </c>
      <c r="G760" s="9">
        <f t="shared" si="6"/>
        <v>4.1625949061917687E-3</v>
      </c>
    </row>
    <row r="761" spans="3:7" ht="12.5">
      <c r="C761" s="27">
        <v>6489.3558217590007</v>
      </c>
      <c r="D761" s="26">
        <v>0.20050304031113467</v>
      </c>
      <c r="E761" s="26">
        <v>0.31043613166483436</v>
      </c>
      <c r="G761" s="9">
        <f t="shared" si="6"/>
        <v>4.1800667493734761E-3</v>
      </c>
    </row>
    <row r="762" spans="3:7" ht="12.5">
      <c r="C762" s="27">
        <v>6505.5792113133975</v>
      </c>
      <c r="D762" s="26">
        <v>0.20041970818960669</v>
      </c>
      <c r="E762" s="26">
        <v>0.31032130883734399</v>
      </c>
      <c r="G762" s="9">
        <f t="shared" ref="G762:G825" si="7">((D762-$D$3)^2+(E762-$E$3)^2)</f>
        <v>4.1975300344716622E-3</v>
      </c>
    </row>
    <row r="763" spans="3:7" ht="12.5">
      <c r="C763" s="27">
        <v>6521.8431593416808</v>
      </c>
      <c r="D763" s="26">
        <v>0.20033672930063395</v>
      </c>
      <c r="E763" s="26">
        <v>0.31020664217597416</v>
      </c>
      <c r="G763" s="9">
        <f t="shared" si="7"/>
        <v>4.214984563165991E-3</v>
      </c>
    </row>
    <row r="764" spans="3:7" ht="12.5">
      <c r="C764" s="27">
        <v>6538.1477672400342</v>
      </c>
      <c r="D764" s="26">
        <v>0.20025410231096144</v>
      </c>
      <c r="E764" s="26">
        <v>0.31009213238333233</v>
      </c>
      <c r="G764" s="9">
        <f t="shared" si="7"/>
        <v>4.232430138445183E-3</v>
      </c>
    </row>
    <row r="765" spans="3:7" ht="12.5">
      <c r="C765" s="27">
        <v>6554.4931366581341</v>
      </c>
      <c r="D765" s="26">
        <v>0.20017182589028956</v>
      </c>
      <c r="E765" s="26">
        <v>0.30997778015569605</v>
      </c>
      <c r="G765" s="9">
        <f t="shared" si="7"/>
        <v>4.2498665646032614E-3</v>
      </c>
    </row>
    <row r="766" spans="3:7" ht="12.5">
      <c r="C766" s="27">
        <v>6570.8793694997794</v>
      </c>
      <c r="D766" s="26">
        <v>0.2000898987112868</v>
      </c>
      <c r="E766" s="26">
        <v>0.30986358618301885</v>
      </c>
      <c r="G766" s="9">
        <f t="shared" si="7"/>
        <v>4.2672936472354104E-3</v>
      </c>
    </row>
    <row r="767" spans="3:7" ht="12.5">
      <c r="C767" s="27">
        <v>6587.3065679235287</v>
      </c>
      <c r="D767" s="26">
        <v>0.20000831944959704</v>
      </c>
      <c r="E767" s="26">
        <v>0.30974955114894009</v>
      </c>
      <c r="G767" s="9">
        <f t="shared" si="7"/>
        <v>4.2847111932341232E-3</v>
      </c>
    </row>
    <row r="768" spans="3:7" ht="12.5">
      <c r="C768" s="27">
        <v>6603.7748343433368</v>
      </c>
      <c r="D768" s="26">
        <v>0.19992708678385157</v>
      </c>
      <c r="E768" s="26">
        <v>0.30963567573079276</v>
      </c>
      <c r="G768" s="9">
        <f t="shared" si="7"/>
        <v>4.3021190107850396E-3</v>
      </c>
    </row>
    <row r="769" spans="3:7" ht="12.5">
      <c r="C769" s="27">
        <v>6620.2842714291946</v>
      </c>
      <c r="D769" s="26">
        <v>0.19984619939567369</v>
      </c>
      <c r="E769" s="26">
        <v>0.30952196059961246</v>
      </c>
      <c r="G769" s="9">
        <f t="shared" si="7"/>
        <v>4.3195169093634793E-3</v>
      </c>
    </row>
    <row r="770" spans="3:7" ht="12.5">
      <c r="C770" s="27">
        <v>6636.8349821077672</v>
      </c>
      <c r="D770" s="26">
        <v>0.19976565596969276</v>
      </c>
      <c r="E770" s="26">
        <v>0.30940840642014639</v>
      </c>
      <c r="G770" s="9">
        <f t="shared" si="7"/>
        <v>4.3369046997300334E-3</v>
      </c>
    </row>
    <row r="771" spans="3:7" ht="12.5">
      <c r="C771" s="27">
        <v>6653.4270695630366</v>
      </c>
      <c r="D771" s="26">
        <v>0.19968545519355041</v>
      </c>
      <c r="E771" s="26">
        <v>0.30929501385086222</v>
      </c>
      <c r="G771" s="9">
        <f t="shared" si="7"/>
        <v>4.3542821939269831E-3</v>
      </c>
    </row>
    <row r="772" spans="3:7" ht="12.5">
      <c r="C772" s="27">
        <v>6670.0606372369439</v>
      </c>
      <c r="D772" s="26">
        <v>0.19960559575790868</v>
      </c>
      <c r="E772" s="26">
        <v>0.30918178354395809</v>
      </c>
      <c r="G772" s="9">
        <f t="shared" si="7"/>
        <v>4.3716492052744815E-3</v>
      </c>
    </row>
    <row r="773" spans="3:7" ht="12.5">
      <c r="C773" s="27">
        <v>6686.7357888300357</v>
      </c>
      <c r="D773" s="26">
        <v>0.1995260763564613</v>
      </c>
      <c r="E773" s="26">
        <v>0.30906871614537168</v>
      </c>
      <c r="G773" s="9">
        <f t="shared" si="7"/>
        <v>4.3890055483664665E-3</v>
      </c>
    </row>
    <row r="774" spans="3:7" ht="12.5">
      <c r="C774" s="27">
        <v>6703.4526283021105</v>
      </c>
      <c r="D774" s="26">
        <v>0.19944689568593987</v>
      </c>
      <c r="E774" s="26">
        <v>0.30895581229479047</v>
      </c>
      <c r="G774" s="9">
        <f t="shared" si="7"/>
        <v>4.4063510390670683E-3</v>
      </c>
    </row>
    <row r="775" spans="3:7" ht="12.5">
      <c r="C775" s="27">
        <v>6720.2112598728654</v>
      </c>
      <c r="D775" s="26">
        <v>0.19936805244612402</v>
      </c>
      <c r="E775" s="26">
        <v>0.30884307262566152</v>
      </c>
      <c r="G775" s="9">
        <f t="shared" si="7"/>
        <v>4.4236854945066354E-3</v>
      </c>
    </row>
    <row r="776" spans="3:7" ht="12.5">
      <c r="C776" s="27">
        <v>6737.0117880225471</v>
      </c>
      <c r="D776" s="26">
        <v>0.19928954533984927</v>
      </c>
      <c r="E776" s="26">
        <v>0.30873049776520178</v>
      </c>
      <c r="G776" s="9">
        <f t="shared" si="7"/>
        <v>4.4410087330779965E-3</v>
      </c>
    </row>
    <row r="777" spans="3:7" ht="12.5">
      <c r="C777" s="27">
        <v>6753.8543174926035</v>
      </c>
      <c r="D777" s="26">
        <v>0.19921137307301448</v>
      </c>
      <c r="E777" s="26">
        <v>0.30861808833440901</v>
      </c>
      <c r="G777" s="9">
        <f t="shared" si="7"/>
        <v>4.4583205744327305E-3</v>
      </c>
    </row>
    <row r="778" spans="3:7" ht="12.5">
      <c r="C778" s="27">
        <v>6770.7389532863344</v>
      </c>
      <c r="D778" s="26">
        <v>0.1991335343545923</v>
      </c>
      <c r="E778" s="26">
        <v>0.30850584494807132</v>
      </c>
      <c r="G778" s="9">
        <f t="shared" si="7"/>
        <v>4.4756208394772477E-3</v>
      </c>
    </row>
    <row r="779" spans="3:7" ht="12.5">
      <c r="C779" s="27">
        <v>6787.6658006695498</v>
      </c>
      <c r="D779" s="26">
        <v>0.19905602789663335</v>
      </c>
      <c r="E779" s="26">
        <v>0.30839376821477971</v>
      </c>
      <c r="G779" s="9">
        <f t="shared" si="7"/>
        <v>4.492909350369321E-3</v>
      </c>
    </row>
    <row r="780" spans="3:7" ht="12.5">
      <c r="C780" s="27">
        <v>6804.6349651712235</v>
      </c>
      <c r="D780" s="26">
        <v>0.1989788524142786</v>
      </c>
      <c r="E780" s="26">
        <v>0.3082818587369377</v>
      </c>
      <c r="G780" s="9">
        <f t="shared" si="7"/>
        <v>4.5101859305139887E-3</v>
      </c>
    </row>
    <row r="781" spans="3:7" ht="12.5">
      <c r="C781" s="27">
        <v>6821.6465525841513</v>
      </c>
      <c r="D781" s="26">
        <v>0.19890200662576368</v>
      </c>
      <c r="E781" s="26">
        <v>0.30817011711077347</v>
      </c>
      <c r="G781" s="9">
        <f t="shared" si="7"/>
        <v>4.5274504045601446E-3</v>
      </c>
    </row>
    <row r="782" spans="3:7" ht="12.5">
      <c r="C782" s="27">
        <v>6838.7006689656109</v>
      </c>
      <c r="D782" s="26">
        <v>0.19882548925242971</v>
      </c>
      <c r="E782" s="26">
        <v>0.30805854392635101</v>
      </c>
      <c r="G782" s="9">
        <f t="shared" si="7"/>
        <v>4.5447025983965193E-3</v>
      </c>
    </row>
    <row r="783" spans="3:7" ht="12.5">
      <c r="C783" s="27">
        <v>6855.797420638025</v>
      </c>
      <c r="D783" s="26">
        <v>0.19874929901872709</v>
      </c>
      <c r="E783" s="26">
        <v>0.30794713976758231</v>
      </c>
      <c r="G783" s="9">
        <f t="shared" si="7"/>
        <v>4.561942339148352E-3</v>
      </c>
    </row>
    <row r="784" spans="3:7" ht="12.5">
      <c r="C784" s="27">
        <v>6872.9369141896195</v>
      </c>
      <c r="D784" s="26">
        <v>0.19867343465222714</v>
      </c>
      <c r="E784" s="26">
        <v>0.30783590521223847</v>
      </c>
      <c r="G784" s="9">
        <f t="shared" si="7"/>
        <v>4.5791694551733254E-3</v>
      </c>
    </row>
    <row r="785" spans="3:7" ht="12.5">
      <c r="C785" s="27">
        <v>6890.1192564750936</v>
      </c>
      <c r="D785" s="26">
        <v>0.19859789488362659</v>
      </c>
      <c r="E785" s="26">
        <v>0.30772484083196272</v>
      </c>
      <c r="G785" s="9">
        <f t="shared" si="7"/>
        <v>4.5963837760581248E-3</v>
      </c>
    </row>
    <row r="786" spans="3:7" ht="12.5">
      <c r="C786" s="27">
        <v>6907.3445546162811</v>
      </c>
      <c r="D786" s="26">
        <v>0.19852267844675545</v>
      </c>
      <c r="E786" s="26">
        <v>0.30761394719228219</v>
      </c>
      <c r="G786" s="9">
        <f t="shared" si="7"/>
        <v>4.6135851326147585E-3</v>
      </c>
    </row>
    <row r="787" spans="3:7" ht="12.5">
      <c r="C787" s="27">
        <v>6924.6129160028213</v>
      </c>
      <c r="D787" s="26">
        <v>0.19844778407858518</v>
      </c>
      <c r="E787" s="26">
        <v>0.30750322485262055</v>
      </c>
      <c r="G787" s="9">
        <f t="shared" si="7"/>
        <v>4.6307733568767811E-3</v>
      </c>
    </row>
    <row r="788" spans="3:7" ht="12.5">
      <c r="C788" s="27">
        <v>6941.9244482928279</v>
      </c>
      <c r="D788" s="26">
        <v>0.19837321051923523</v>
      </c>
      <c r="E788" s="26">
        <v>0.30739267436631068</v>
      </c>
      <c r="G788" s="9">
        <f t="shared" si="7"/>
        <v>4.6479482820957138E-3</v>
      </c>
    </row>
    <row r="789" spans="3:7" ht="12.5">
      <c r="C789" s="27">
        <v>6959.2792594135599</v>
      </c>
      <c r="D789" s="26">
        <v>0.19829895651197954</v>
      </c>
      <c r="E789" s="26">
        <v>0.30728229628060766</v>
      </c>
      <c r="G789" s="9">
        <f t="shared" si="7"/>
        <v>4.6651097427374468E-3</v>
      </c>
    </row>
    <row r="790" spans="3:7" ht="12.5">
      <c r="C790" s="27">
        <v>6976.677457562093</v>
      </c>
      <c r="D790" s="26">
        <v>0.19822502080325277</v>
      </c>
      <c r="E790" s="26">
        <v>0.30717209113670196</v>
      </c>
      <c r="G790" s="9">
        <f t="shared" si="7"/>
        <v>4.6822575744786751E-3</v>
      </c>
    </row>
    <row r="791" spans="3:7" ht="12.5">
      <c r="C791" s="27">
        <v>6994.1191512059977</v>
      </c>
      <c r="D791" s="26">
        <v>0.19815140214265992</v>
      </c>
      <c r="E791" s="26">
        <v>0.30706205946973264</v>
      </c>
      <c r="G791" s="9">
        <f t="shared" si="7"/>
        <v>4.69939161420298E-3</v>
      </c>
    </row>
    <row r="792" spans="3:7" ht="12.5">
      <c r="C792" s="27">
        <v>7011.6044490840122</v>
      </c>
      <c r="D792" s="26">
        <v>0.19807809928297893</v>
      </c>
      <c r="E792" s="26">
        <v>0.30695220180880078</v>
      </c>
      <c r="G792" s="9">
        <f t="shared" si="7"/>
        <v>4.7165116999976541E-3</v>
      </c>
    </row>
    <row r="793" spans="3:7" ht="12.5">
      <c r="C793" s="27">
        <v>7029.1334602067218</v>
      </c>
      <c r="D793" s="26">
        <v>0.19800511098017096</v>
      </c>
      <c r="E793" s="26">
        <v>0.30684251867698303</v>
      </c>
      <c r="G793" s="9">
        <f t="shared" si="7"/>
        <v>4.7336176711497121E-3</v>
      </c>
    </row>
    <row r="794" spans="3:7" ht="12.5">
      <c r="C794" s="27">
        <v>7046.7062938572381</v>
      </c>
      <c r="D794" s="26">
        <v>0.19793243599338484</v>
      </c>
      <c r="E794" s="26">
        <v>0.30673301059134589</v>
      </c>
      <c r="G794" s="9">
        <f t="shared" si="7"/>
        <v>4.7507093681424702E-3</v>
      </c>
    </row>
    <row r="795" spans="3:7" ht="12.5">
      <c r="C795" s="27">
        <v>7064.3230595918803</v>
      </c>
      <c r="D795" s="26">
        <v>0.19786007308496206</v>
      </c>
      <c r="E795" s="26">
        <v>0.30662367806295943</v>
      </c>
      <c r="G795" s="9">
        <f t="shared" si="7"/>
        <v>4.767786632652136E-3</v>
      </c>
    </row>
    <row r="796" spans="3:7" ht="12.5">
      <c r="C796" s="27">
        <v>7081.9838672408596</v>
      </c>
      <c r="D796" s="26">
        <v>0.19778802102044574</v>
      </c>
      <c r="E796" s="26">
        <v>0.30651452159691184</v>
      </c>
      <c r="G796" s="9">
        <f t="shared" si="7"/>
        <v>4.7848493075438982E-3</v>
      </c>
    </row>
    <row r="797" spans="3:7" ht="12.5">
      <c r="C797" s="27">
        <v>7099.6888269089613</v>
      </c>
      <c r="D797" s="26">
        <v>0.19771627856858576</v>
      </c>
      <c r="E797" s="26">
        <v>0.30640554169232298</v>
      </c>
      <c r="G797" s="9">
        <f t="shared" si="7"/>
        <v>4.8018972368685311E-3</v>
      </c>
    </row>
    <row r="798" spans="3:7" ht="12.5">
      <c r="C798" s="27">
        <v>7117.4380489762334</v>
      </c>
      <c r="D798" s="26">
        <v>0.19764484450134276</v>
      </c>
      <c r="E798" s="26">
        <v>0.30629673884236053</v>
      </c>
      <c r="G798" s="9">
        <f t="shared" si="7"/>
        <v>4.8189302658589207E-3</v>
      </c>
    </row>
    <row r="799" spans="3:7" ht="12.5">
      <c r="C799" s="27">
        <v>7135.2316440986733</v>
      </c>
      <c r="D799" s="26">
        <v>0.19757371759389783</v>
      </c>
      <c r="E799" s="26">
        <v>0.30618811353425313</v>
      </c>
      <c r="G799" s="9">
        <f t="shared" si="7"/>
        <v>4.8359482409262187E-3</v>
      </c>
    </row>
    <row r="800" spans="3:7" ht="12.5">
      <c r="C800" s="27">
        <v>7153.0697232089196</v>
      </c>
      <c r="D800" s="26">
        <v>0.19750289662465395</v>
      </c>
      <c r="E800" s="26">
        <v>0.30607966624930633</v>
      </c>
      <c r="G800" s="9">
        <f t="shared" si="7"/>
        <v>4.852951009656682E-3</v>
      </c>
    </row>
    <row r="801" spans="3:7" ht="12.5">
      <c r="C801" s="27">
        <v>7170.9523975169413</v>
      </c>
      <c r="D801" s="26">
        <v>0.19743238037524491</v>
      </c>
      <c r="E801" s="26">
        <v>0.30597139746291746</v>
      </c>
      <c r="G801" s="9">
        <f t="shared" si="7"/>
        <v>4.8699384208077887E-3</v>
      </c>
    </row>
    <row r="802" spans="3:7" ht="12.5">
      <c r="C802" s="27">
        <v>7188.8797785107336</v>
      </c>
      <c r="D802" s="26">
        <v>0.19736216763053899</v>
      </c>
      <c r="E802" s="26">
        <v>0.30586330764459135</v>
      </c>
      <c r="G802" s="9">
        <f t="shared" si="7"/>
        <v>4.886910324304862E-3</v>
      </c>
    </row>
    <row r="803" spans="3:7" ht="12.5">
      <c r="C803" s="27">
        <v>7206.8519779570097</v>
      </c>
      <c r="D803" s="26">
        <v>0.19729225717864551</v>
      </c>
      <c r="E803" s="26">
        <v>0.30575539725795448</v>
      </c>
      <c r="G803" s="9">
        <f t="shared" si="7"/>
        <v>4.9038665712375267E-3</v>
      </c>
    </row>
    <row r="804" spans="3:7" ht="12.5">
      <c r="C804" s="27">
        <v>7224.8691079019018</v>
      </c>
      <c r="D804" s="26">
        <v>0.19722264781091881</v>
      </c>
      <c r="E804" s="26">
        <v>0.30564766676077265</v>
      </c>
      <c r="G804" s="9">
        <f t="shared" si="7"/>
        <v>4.920807013856149E-3</v>
      </c>
    </row>
    <row r="805" spans="3:7" ht="12.5">
      <c r="C805" s="27">
        <v>7242.9312806716562</v>
      </c>
      <c r="D805" s="26">
        <v>0.19715333832196452</v>
      </c>
      <c r="E805" s="26">
        <v>0.30554011660496494</v>
      </c>
      <c r="G805" s="9">
        <f t="shared" si="7"/>
        <v>4.9377315055683484E-3</v>
      </c>
    </row>
    <row r="806" spans="3:7" ht="12.5">
      <c r="C806" s="27">
        <v>7261.0386088733349</v>
      </c>
      <c r="D806" s="26">
        <v>0.197084327509645</v>
      </c>
      <c r="E806" s="26">
        <v>0.30543274723662095</v>
      </c>
      <c r="G806" s="9">
        <f t="shared" si="7"/>
        <v>4.9546399009353327E-3</v>
      </c>
    </row>
    <row r="807" spans="3:7" ht="12.5">
      <c r="C807" s="27">
        <v>7279.1912053955175</v>
      </c>
      <c r="D807" s="26">
        <v>0.19701561417508259</v>
      </c>
      <c r="E807" s="26">
        <v>0.305325559096016</v>
      </c>
      <c r="G807" s="9">
        <f t="shared" si="7"/>
        <v>4.9715320556686484E-3</v>
      </c>
    </row>
    <row r="808" spans="3:7" ht="12.5">
      <c r="C808" s="27">
        <v>7297.3891834090055</v>
      </c>
      <c r="D808" s="26">
        <v>0.19694719712266573</v>
      </c>
      <c r="E808" s="26">
        <v>0.30521855261762887</v>
      </c>
      <c r="G808" s="9">
        <f t="shared" si="7"/>
        <v>4.9884078266264073E-3</v>
      </c>
    </row>
    <row r="809" spans="3:7" ht="12.5">
      <c r="C809" s="27">
        <v>7315.6326563675275</v>
      </c>
      <c r="D809" s="26">
        <v>0.19687907516005385</v>
      </c>
      <c r="E809" s="26">
        <v>0.30511172823015653</v>
      </c>
      <c r="G809" s="9">
        <f t="shared" si="7"/>
        <v>5.005267071809906E-3</v>
      </c>
    </row>
    <row r="810" spans="3:7" ht="12.5">
      <c r="C810" s="27">
        <v>7333.9217380084456</v>
      </c>
      <c r="D810" s="26">
        <v>0.1968112470981806</v>
      </c>
      <c r="E810" s="26">
        <v>0.3050050863565324</v>
      </c>
      <c r="G810" s="9">
        <f t="shared" si="7"/>
        <v>5.0221096503601384E-3</v>
      </c>
    </row>
    <row r="811" spans="3:7" ht="12.5">
      <c r="C811" s="27">
        <v>7352.2565423534661</v>
      </c>
      <c r="D811" s="26">
        <v>0.19674371175126121</v>
      </c>
      <c r="E811" s="26">
        <v>0.30489862741394175</v>
      </c>
      <c r="G811" s="9">
        <f t="shared" si="7"/>
        <v>5.0389354225540937E-3</v>
      </c>
    </row>
    <row r="812" spans="3:7" ht="12.5">
      <c r="C812" s="27">
        <v>7370.6371837093493</v>
      </c>
      <c r="D812" s="26">
        <v>0.19667646793679269</v>
      </c>
      <c r="E812" s="26">
        <v>0.30479235181384018</v>
      </c>
      <c r="G812" s="9">
        <f t="shared" si="7"/>
        <v>5.0557442498015918E-3</v>
      </c>
    </row>
    <row r="813" spans="3:7" ht="12.5">
      <c r="C813" s="27">
        <v>7389.0637766686223</v>
      </c>
      <c r="D813" s="26">
        <v>0.1966095144755626</v>
      </c>
      <c r="E813" s="26">
        <v>0.30468625996196913</v>
      </c>
      <c r="G813" s="9">
        <f t="shared" si="7"/>
        <v>5.0725359946414278E-3</v>
      </c>
    </row>
    <row r="814" spans="3:7" ht="12.5">
      <c r="C814" s="27">
        <v>7407.5364361102938</v>
      </c>
      <c r="D814" s="26">
        <v>0.19654285019165002</v>
      </c>
      <c r="E814" s="26">
        <v>0.3045803522583746</v>
      </c>
      <c r="G814" s="9">
        <f t="shared" si="7"/>
        <v>5.0893105207381051E-3</v>
      </c>
    </row>
    <row r="815" spans="3:7" ht="12.5">
      <c r="C815" s="27">
        <v>7426.0552772005694</v>
      </c>
      <c r="D815" s="26">
        <v>0.19647647391243092</v>
      </c>
      <c r="E815" s="26">
        <v>0.30447462909742395</v>
      </c>
      <c r="G815" s="9">
        <f t="shared" si="7"/>
        <v>5.1060676928782458E-3</v>
      </c>
    </row>
    <row r="816" spans="3:7" ht="12.5">
      <c r="C816" s="27">
        <v>7444.6204153935705</v>
      </c>
      <c r="D816" s="26">
        <v>0.19641038446858214</v>
      </c>
      <c r="E816" s="26">
        <v>0.30436909086782327</v>
      </c>
      <c r="G816" s="9">
        <f t="shared" si="7"/>
        <v>5.1228073769671225E-3</v>
      </c>
    </row>
    <row r="817" spans="3:7" ht="12.5">
      <c r="C817" s="27">
        <v>7463.2319664320539</v>
      </c>
      <c r="D817" s="26">
        <v>0.19634458069408475</v>
      </c>
      <c r="E817" s="26">
        <v>0.30426373795263584</v>
      </c>
      <c r="G817" s="9">
        <f t="shared" si="7"/>
        <v>5.1395294400251434E-3</v>
      </c>
    </row>
    <row r="818" spans="3:7" ht="12.5">
      <c r="C818" s="27">
        <v>7481.8900463481341</v>
      </c>
      <c r="D818" s="26">
        <v>0.19627906142622875</v>
      </c>
      <c r="E818" s="26">
        <v>0.30415857072929936</v>
      </c>
      <c r="G818" s="9">
        <f t="shared" si="7"/>
        <v>5.1562337501843258E-3</v>
      </c>
    </row>
    <row r="819" spans="3:7" ht="12.5">
      <c r="C819" s="27">
        <v>7500.5947714640042</v>
      </c>
      <c r="D819" s="26">
        <v>0.19621382550561592</v>
      </c>
      <c r="E819" s="26">
        <v>0.30405358956964418</v>
      </c>
      <c r="G819" s="9">
        <f t="shared" si="7"/>
        <v>5.1729201766848639E-3</v>
      </c>
    </row>
    <row r="820" spans="3:7" ht="12.5">
      <c r="C820" s="27">
        <v>7519.3462583926639</v>
      </c>
      <c r="D820" s="26">
        <v>0.19614887177616275</v>
      </c>
      <c r="E820" s="26">
        <v>0.30394879483991222</v>
      </c>
      <c r="G820" s="9">
        <f t="shared" si="7"/>
        <v>5.1895885898716413E-3</v>
      </c>
    </row>
    <row r="821" spans="3:7" ht="12.5">
      <c r="C821" s="27">
        <v>7538.1446240386449</v>
      </c>
      <c r="D821" s="26">
        <v>0.19608419908510671</v>
      </c>
      <c r="E821" s="26">
        <v>0.30384418690077369</v>
      </c>
      <c r="G821" s="9">
        <f t="shared" si="7"/>
        <v>5.2062388611905635E-3</v>
      </c>
    </row>
    <row r="822" spans="3:7" ht="12.5">
      <c r="C822" s="27">
        <v>7556.9899855987414</v>
      </c>
      <c r="D822" s="26">
        <v>0.19601980628300533</v>
      </c>
      <c r="E822" s="26">
        <v>0.30373976610734754</v>
      </c>
      <c r="G822" s="9">
        <f t="shared" si="7"/>
        <v>5.2228708631853697E-3</v>
      </c>
    </row>
    <row r="823" spans="3:7" ht="12.5">
      <c r="C823" s="27">
        <v>7575.8824605627378</v>
      </c>
      <c r="D823" s="26">
        <v>0.19595569222374301</v>
      </c>
      <c r="E823" s="26">
        <v>0.30363553280921846</v>
      </c>
      <c r="G823" s="9">
        <f t="shared" si="7"/>
        <v>5.23948446949387E-3</v>
      </c>
    </row>
    <row r="824" spans="3:7" ht="12.5">
      <c r="C824" s="27">
        <v>7594.8221667141443</v>
      </c>
      <c r="D824" s="26">
        <v>0.19589185576453216</v>
      </c>
      <c r="E824" s="26">
        <v>0.30353148735045671</v>
      </c>
      <c r="G824" s="9">
        <f t="shared" si="7"/>
        <v>5.2560795548445803E-3</v>
      </c>
    </row>
    <row r="825" spans="3:7" ht="12.5">
      <c r="C825" s="27">
        <v>7613.8092221309289</v>
      </c>
      <c r="D825" s="26">
        <v>0.19582829576591709</v>
      </c>
      <c r="E825" s="26">
        <v>0.30342763006963647</v>
      </c>
      <c r="G825" s="9">
        <f t="shared" si="7"/>
        <v>5.2726559950531833E-3</v>
      </c>
    </row>
    <row r="826" spans="3:7" ht="12.5">
      <c r="C826" s="27">
        <v>7632.8437451862555</v>
      </c>
      <c r="D826" s="26">
        <v>0.19576501109177724</v>
      </c>
      <c r="E826" s="26">
        <v>0.30332396129985517</v>
      </c>
      <c r="G826" s="9">
        <f t="shared" ref="G826:G889" si="8">((D826-$D$3)^2+(E826-$E$3)^2)</f>
        <v>5.2892136670189549E-3</v>
      </c>
    </row>
    <row r="827" spans="3:7" ht="12.5">
      <c r="C827" s="27">
        <v>7651.9258545492212</v>
      </c>
      <c r="D827" s="26">
        <v>0.19570200060932885</v>
      </c>
      <c r="E827" s="26">
        <v>0.30322048136875207</v>
      </c>
      <c r="G827" s="9">
        <f t="shared" si="8"/>
        <v>5.3057524487214605E-3</v>
      </c>
    </row>
    <row r="828" spans="3:7" ht="12.5">
      <c r="C828" s="27">
        <v>7671.0556691855936</v>
      </c>
      <c r="D828" s="26">
        <v>0.1956392631891278</v>
      </c>
      <c r="E828" s="26">
        <v>0.30311719059852915</v>
      </c>
      <c r="G828" s="9">
        <f t="shared" si="8"/>
        <v>5.3222722192168836E-3</v>
      </c>
    </row>
    <row r="829" spans="3:7" ht="12.5">
      <c r="C829" s="27">
        <v>7690.2333083585572</v>
      </c>
      <c r="D829" s="26">
        <v>0.19557679770507286</v>
      </c>
      <c r="E829" s="26">
        <v>0.30301408930596829</v>
      </c>
      <c r="G829" s="9">
        <f t="shared" si="8"/>
        <v>5.3387728586346619E-3</v>
      </c>
    </row>
    <row r="830" spans="3:7" ht="12.5">
      <c r="C830" s="27">
        <v>7709.4588916294533</v>
      </c>
      <c r="D830" s="26">
        <v>0.19551460303440835</v>
      </c>
      <c r="E830" s="26">
        <v>0.30291117780245236</v>
      </c>
      <c r="G830" s="9">
        <f t="shared" si="8"/>
        <v>5.3552542481738186E-3</v>
      </c>
    </row>
    <row r="831" spans="3:7" ht="12.5">
      <c r="C831" s="27">
        <v>7728.7325388585268</v>
      </c>
      <c r="D831" s="26">
        <v>0.19545267805772579</v>
      </c>
      <c r="E831" s="26">
        <v>0.30280845639398507</v>
      </c>
      <c r="G831" s="9">
        <f t="shared" si="8"/>
        <v>5.3717162700995316E-3</v>
      </c>
    </row>
    <row r="832" spans="3:7" ht="12.5">
      <c r="C832" s="27">
        <v>7748.054370205673</v>
      </c>
      <c r="D832" s="26">
        <v>0.19539102165896682</v>
      </c>
      <c r="E832" s="26">
        <v>0.30270592538120927</v>
      </c>
      <c r="G832" s="9">
        <f t="shared" si="8"/>
        <v>5.3881588077396856E-3</v>
      </c>
    </row>
    <row r="833" spans="3:7" ht="12.5">
      <c r="C833" s="27">
        <v>7767.4245061311867</v>
      </c>
      <c r="D833" s="26">
        <v>0.19532963272542361</v>
      </c>
      <c r="E833" s="26">
        <v>0.30260358505942903</v>
      </c>
      <c r="G833" s="9">
        <f t="shared" si="8"/>
        <v>5.4045817454813783E-3</v>
      </c>
    </row>
    <row r="834" spans="3:7" ht="12.5">
      <c r="C834" s="27">
        <v>7786.843067396514</v>
      </c>
      <c r="D834" s="26">
        <v>0.19526851014774432</v>
      </c>
      <c r="E834" s="26">
        <v>0.30250143571862786</v>
      </c>
      <c r="G834" s="9">
        <f t="shared" si="8"/>
        <v>5.4209849687671761E-3</v>
      </c>
    </row>
    <row r="835" spans="3:7" ht="12.5">
      <c r="C835" s="27">
        <v>7806.3101750650048</v>
      </c>
      <c r="D835" s="26">
        <v>0.19520765281993149</v>
      </c>
      <c r="E835" s="26">
        <v>0.30239947764348973</v>
      </c>
      <c r="G835" s="9">
        <f t="shared" si="8"/>
        <v>5.4373683640919447E-3</v>
      </c>
    </row>
    <row r="836" spans="3:7" ht="12.5">
      <c r="C836" s="27">
        <v>7825.8259505026672</v>
      </c>
      <c r="D836" s="26">
        <v>0.19514705963934589</v>
      </c>
      <c r="E836" s="26">
        <v>0.30229771111341958</v>
      </c>
      <c r="G836" s="9">
        <f t="shared" si="8"/>
        <v>5.4537318189990776E-3</v>
      </c>
    </row>
    <row r="837" spans="3:7" ht="12.5">
      <c r="C837" s="27">
        <v>7845.3905153789237</v>
      </c>
      <c r="D837" s="26">
        <v>0.19508672950670805</v>
      </c>
      <c r="E837" s="26">
        <v>0.30219613640256321</v>
      </c>
      <c r="G837" s="9">
        <f t="shared" si="8"/>
        <v>5.4700752220770525E-3</v>
      </c>
    </row>
    <row r="838" spans="3:7" ht="12.5">
      <c r="C838" s="27">
        <v>7865.0039916673704</v>
      </c>
      <c r="D838" s="26">
        <v>0.1950266613260993</v>
      </c>
      <c r="E838" s="26">
        <v>0.30209475377982836</v>
      </c>
      <c r="G838" s="9">
        <f t="shared" si="8"/>
        <v>5.486398462955934E-3</v>
      </c>
    </row>
    <row r="839" spans="3:7" ht="12.5">
      <c r="C839" s="27">
        <v>7884.6665016465386</v>
      </c>
      <c r="D839" s="26">
        <v>0.19496685400496414</v>
      </c>
      <c r="E839" s="26">
        <v>0.30199356350890422</v>
      </c>
      <c r="G839" s="9">
        <f t="shared" si="8"/>
        <v>5.5027014323038564E-3</v>
      </c>
    </row>
    <row r="840" spans="3:7" ht="12.5">
      <c r="C840" s="27">
        <v>7904.3781679006543</v>
      </c>
      <c r="D840" s="26">
        <v>0.19490730645411075</v>
      </c>
      <c r="E840" s="26">
        <v>0.30189256584828422</v>
      </c>
      <c r="G840" s="9">
        <f t="shared" si="8"/>
        <v>5.5189840218234105E-3</v>
      </c>
    </row>
    <row r="841" spans="3:7" ht="12.5">
      <c r="C841" s="27">
        <v>7924.1391133204052</v>
      </c>
      <c r="D841" s="26">
        <v>0.19484801758771231</v>
      </c>
      <c r="E841" s="26">
        <v>0.30179176105128508</v>
      </c>
      <c r="G841" s="9">
        <f t="shared" si="8"/>
        <v>5.5352461242482963E-3</v>
      </c>
    </row>
    <row r="842" spans="3:7" ht="12.5">
      <c r="C842" s="27">
        <v>7943.9494611037062</v>
      </c>
      <c r="D842" s="26">
        <v>0.19478898632331057</v>
      </c>
      <c r="E842" s="26">
        <v>0.30169114936606828</v>
      </c>
      <c r="G842" s="9">
        <f t="shared" si="8"/>
        <v>5.5514876333394607E-3</v>
      </c>
    </row>
    <row r="843" spans="3:7" ht="12.5">
      <c r="C843" s="27">
        <v>7963.8093347564654</v>
      </c>
      <c r="D843" s="26">
        <v>0.19473021158181289</v>
      </c>
      <c r="E843" s="26">
        <v>0.30159073103566181</v>
      </c>
      <c r="G843" s="9">
        <f t="shared" si="8"/>
        <v>5.5677084438819809E-3</v>
      </c>
    </row>
    <row r="844" spans="3:7" ht="12.5">
      <c r="C844" s="27">
        <v>7983.7188580933562</v>
      </c>
      <c r="D844" s="26">
        <v>0.1946716922874972</v>
      </c>
      <c r="E844" s="26">
        <v>0.30149050629798063</v>
      </c>
      <c r="G844" s="9">
        <f t="shared" si="8"/>
        <v>5.5839084516811346E-3</v>
      </c>
    </row>
    <row r="845" spans="3:7" ht="12.5">
      <c r="C845" s="27">
        <v>8003.6781552385892</v>
      </c>
      <c r="D845" s="26">
        <v>0.19461342736800913</v>
      </c>
      <c r="E845" s="26">
        <v>0.30139047538584812</v>
      </c>
      <c r="G845" s="9">
        <f t="shared" si="8"/>
        <v>5.6000875535592801E-3</v>
      </c>
    </row>
    <row r="846" spans="3:7" ht="12.5">
      <c r="C846" s="27">
        <v>8023.6873506266857</v>
      </c>
      <c r="D846" s="26">
        <v>0.19455541575436827</v>
      </c>
      <c r="E846" s="26">
        <v>0.30129063852701798</v>
      </c>
      <c r="G846" s="9">
        <f t="shared" si="8"/>
        <v>5.6162456473516338E-3</v>
      </c>
    </row>
    <row r="847" spans="3:7" ht="12.5">
      <c r="C847" s="27">
        <v>8043.7465690032523</v>
      </c>
      <c r="D847" s="26">
        <v>0.19449765638096225</v>
      </c>
      <c r="E847" s="26">
        <v>0.30119099594419468</v>
      </c>
      <c r="G847" s="9">
        <f t="shared" si="8"/>
        <v>5.6323826319035868E-3</v>
      </c>
    </row>
    <row r="848" spans="3:7" ht="12.5">
      <c r="C848" s="27">
        <v>8063.8559354257595</v>
      </c>
      <c r="D848" s="26">
        <v>0.19444014818555244</v>
      </c>
      <c r="E848" s="26">
        <v>0.30109154785505643</v>
      </c>
      <c r="G848" s="9">
        <f t="shared" si="8"/>
        <v>5.6484984070664327E-3</v>
      </c>
    </row>
    <row r="849" spans="3:7" ht="12.5">
      <c r="C849" s="27">
        <v>8084.0155752643232</v>
      </c>
      <c r="D849" s="26">
        <v>0.19438289010927207</v>
      </c>
      <c r="E849" s="26">
        <v>0.30099229447227577</v>
      </c>
      <c r="G849" s="9">
        <f t="shared" si="8"/>
        <v>5.6645928736941895E-3</v>
      </c>
    </row>
    <row r="850" spans="3:7" ht="12.5">
      <c r="C850" s="27">
        <v>8104.2256142024835</v>
      </c>
      <c r="D850" s="26">
        <v>0.19432588109662757</v>
      </c>
      <c r="E850" s="26">
        <v>0.30089323600354162</v>
      </c>
      <c r="G850" s="9">
        <f t="shared" si="8"/>
        <v>5.6806659336399046E-3</v>
      </c>
    </row>
    <row r="851" spans="3:7" ht="12.5">
      <c r="C851" s="27">
        <v>8124.4861782379894</v>
      </c>
      <c r="D851" s="26">
        <v>0.19426912009549882</v>
      </c>
      <c r="E851" s="26">
        <v>0.3007943726515816</v>
      </c>
      <c r="G851" s="9">
        <f t="shared" si="8"/>
        <v>5.6967174897520623E-3</v>
      </c>
    </row>
    <row r="852" spans="3:7" ht="12.5">
      <c r="C852" s="27">
        <v>8144.7973936835842</v>
      </c>
      <c r="D852" s="26">
        <v>0.19421260605713878</v>
      </c>
      <c r="E852" s="26">
        <v>0.30069570461418321</v>
      </c>
      <c r="G852" s="9">
        <f t="shared" si="8"/>
        <v>5.7127474458711471E-3</v>
      </c>
    </row>
    <row r="853" spans="3:7" ht="12.5">
      <c r="C853" s="27">
        <v>8165.1593871677924</v>
      </c>
      <c r="D853" s="26">
        <v>0.19415633793617487</v>
      </c>
      <c r="E853" s="26">
        <v>0.30059723208421707</v>
      </c>
      <c r="G853" s="9">
        <f t="shared" si="8"/>
        <v>5.7287557068258143E-3</v>
      </c>
    </row>
    <row r="854" spans="3:7" ht="12.5">
      <c r="C854" s="27">
        <v>8185.5722856357115</v>
      </c>
      <c r="D854" s="26">
        <v>0.19410031469060562</v>
      </c>
      <c r="E854" s="26">
        <v>0.30049895524965775</v>
      </c>
      <c r="G854" s="9">
        <f t="shared" si="8"/>
        <v>5.744742178429834E-3</v>
      </c>
    </row>
    <row r="855" spans="3:7" ht="12.5">
      <c r="C855" s="27">
        <v>8206.0362163498012</v>
      </c>
      <c r="D855" s="26">
        <v>0.1940445352818074</v>
      </c>
      <c r="E855" s="26">
        <v>0.30040087429360685</v>
      </c>
      <c r="G855" s="9">
        <f t="shared" si="8"/>
        <v>5.7607067674776292E-3</v>
      </c>
    </row>
    <row r="856" spans="3:7" ht="12.5">
      <c r="C856" s="27">
        <v>8226.5513068906748</v>
      </c>
      <c r="D856" s="26">
        <v>0.1939889986745261</v>
      </c>
      <c r="E856" s="26">
        <v>0.30030298939431516</v>
      </c>
      <c r="G856" s="9">
        <f t="shared" si="8"/>
        <v>5.7766493817416505E-3</v>
      </c>
    </row>
    <row r="857" spans="3:7" ht="12.5">
      <c r="C857" s="27">
        <v>8247.1176851579003</v>
      </c>
      <c r="D857" s="26">
        <v>0.19393370383688305</v>
      </c>
      <c r="E857" s="26">
        <v>0.30020530072520468</v>
      </c>
      <c r="G857" s="9">
        <f t="shared" si="8"/>
        <v>5.7925699299681051E-3</v>
      </c>
    </row>
    <row r="858" spans="3:7" ht="12.5">
      <c r="C858" s="27">
        <v>8267.7354793707946</v>
      </c>
      <c r="D858" s="26">
        <v>0.19387864974037139</v>
      </c>
      <c r="E858" s="26">
        <v>0.30010780845489143</v>
      </c>
      <c r="G858" s="9">
        <f t="shared" si="8"/>
        <v>5.8084683218737106E-3</v>
      </c>
    </row>
    <row r="859" spans="3:7" ht="12.5">
      <c r="C859" s="27">
        <v>8288.4048180692207</v>
      </c>
      <c r="D859" s="26">
        <v>0.19382383535985712</v>
      </c>
      <c r="E859" s="26">
        <v>0.30001051274720847</v>
      </c>
      <c r="G859" s="9">
        <f t="shared" si="8"/>
        <v>5.8243444681418659E-3</v>
      </c>
    </row>
    <row r="860" spans="3:7" ht="12.5">
      <c r="C860" s="27">
        <v>8309.1258301143935</v>
      </c>
      <c r="D860" s="26">
        <v>0.19376925967357791</v>
      </c>
      <c r="E860" s="26">
        <v>0.29991341376122721</v>
      </c>
      <c r="G860" s="9">
        <f t="shared" si="8"/>
        <v>5.8401982804192542E-3</v>
      </c>
    </row>
    <row r="861" spans="3:7" ht="12.5">
      <c r="C861" s="27">
        <v>8329.8986446896797</v>
      </c>
      <c r="D861" s="26">
        <v>0.19371492166314253</v>
      </c>
      <c r="E861" s="26">
        <v>0.29981651165128165</v>
      </c>
      <c r="G861" s="9">
        <f t="shared" si="8"/>
        <v>5.8560296713120776E-3</v>
      </c>
    </row>
    <row r="862" spans="3:7" ht="12.5">
      <c r="C862" s="27">
        <v>8350.7233913014043</v>
      </c>
      <c r="D862" s="26">
        <v>0.19366082031353113</v>
      </c>
      <c r="E862" s="26">
        <v>0.29971980656698977</v>
      </c>
      <c r="G862" s="9">
        <f t="shared" si="8"/>
        <v>5.8718385543824452E-3</v>
      </c>
    </row>
    <row r="863" spans="3:7" ht="12.5">
      <c r="C863" s="27">
        <v>8371.6001997796575</v>
      </c>
      <c r="D863" s="26">
        <v>0.19360695461309163</v>
      </c>
      <c r="E863" s="26">
        <v>0.29962329865327758</v>
      </c>
      <c r="G863" s="9">
        <f t="shared" si="8"/>
        <v>5.8876248441449824E-3</v>
      </c>
    </row>
    <row r="864" spans="3:7" ht="12.5">
      <c r="C864" s="27">
        <v>8392.5292002791066</v>
      </c>
      <c r="D864" s="26">
        <v>0.19355332355354343</v>
      </c>
      <c r="E864" s="26">
        <v>0.29952698805040134</v>
      </c>
      <c r="G864" s="9">
        <f t="shared" si="8"/>
        <v>5.9033884560627126E-3</v>
      </c>
    </row>
    <row r="865" spans="3:7" ht="12.5">
      <c r="C865" s="27">
        <v>8413.5105232798032</v>
      </c>
      <c r="D865" s="26">
        <v>0.19349992612997011</v>
      </c>
      <c r="E865" s="26">
        <v>0.29943087489397041</v>
      </c>
      <c r="G865" s="9">
        <f t="shared" si="8"/>
        <v>5.9191293065441958E-3</v>
      </c>
    </row>
    <row r="866" spans="3:7" ht="12.5">
      <c r="C866" s="27">
        <v>8434.5442995880021</v>
      </c>
      <c r="D866" s="26">
        <v>0.1934467613408255</v>
      </c>
      <c r="E866" s="26">
        <v>0.29933495931497089</v>
      </c>
      <c r="G866" s="9">
        <f t="shared" si="8"/>
        <v>5.9348473129389795E-3</v>
      </c>
    </row>
    <row r="867" spans="3:7" ht="12.5">
      <c r="C867" s="27">
        <v>8455.6306603369721</v>
      </c>
      <c r="D867" s="26">
        <v>0.19339382818792564</v>
      </c>
      <c r="E867" s="26">
        <v>0.29923924143978853</v>
      </c>
      <c r="G867" s="9">
        <f t="shared" si="8"/>
        <v>5.9505423935348016E-3</v>
      </c>
    </row>
    <row r="868" spans="3:7" ht="12.5">
      <c r="C868" s="27">
        <v>8476.7697369878133</v>
      </c>
      <c r="D868" s="26">
        <v>0.19334112567645406</v>
      </c>
      <c r="E868" s="26">
        <v>0.29914372139023121</v>
      </c>
      <c r="G868" s="9">
        <f t="shared" si="8"/>
        <v>5.9662144675532228E-3</v>
      </c>
    </row>
    <row r="869" spans="3:7" ht="12.5">
      <c r="C869" s="27">
        <v>8497.9616613302824</v>
      </c>
      <c r="D869" s="26">
        <v>0.1932886528149535</v>
      </c>
      <c r="E869" s="26">
        <v>0.29904839928355387</v>
      </c>
      <c r="G869" s="9">
        <f t="shared" si="8"/>
        <v>5.9818634551466517E-3</v>
      </c>
    </row>
    <row r="870" spans="3:7" ht="12.5">
      <c r="C870" s="27">
        <v>8519.2065654836078</v>
      </c>
      <c r="D870" s="26">
        <v>0.19323640861533081</v>
      </c>
      <c r="E870" s="26">
        <v>0.29895327523247939</v>
      </c>
      <c r="G870" s="9">
        <f t="shared" si="8"/>
        <v>5.9974892773941527E-3</v>
      </c>
    </row>
    <row r="871" spans="3:7" ht="12.5">
      <c r="C871" s="27">
        <v>8540.5045818973158</v>
      </c>
      <c r="D871" s="26">
        <v>0.19318439209285135</v>
      </c>
      <c r="E871" s="26">
        <v>0.29885834934522421</v>
      </c>
      <c r="G871" s="9">
        <f t="shared" si="8"/>
        <v>6.0130918562980654E-3</v>
      </c>
    </row>
    <row r="872" spans="3:7" ht="12.5">
      <c r="C872" s="27">
        <v>8561.8558433520593</v>
      </c>
      <c r="D872" s="26">
        <v>0.19313260226613885</v>
      </c>
      <c r="E872" s="26">
        <v>0.29876362172552018</v>
      </c>
      <c r="G872" s="9">
        <f t="shared" si="8"/>
        <v>6.0286711147803044E-3</v>
      </c>
    </row>
    <row r="873" spans="3:7" ht="12.5">
      <c r="C873" s="27">
        <v>8583.2604829604388</v>
      </c>
      <c r="D873" s="26">
        <v>0.19308103815717231</v>
      </c>
      <c r="E873" s="26">
        <v>0.29866909247263934</v>
      </c>
      <c r="G873" s="9">
        <f t="shared" si="8"/>
        <v>6.0442269766787359E-3</v>
      </c>
    </row>
    <row r="874" spans="3:7" ht="12.5">
      <c r="C874" s="27">
        <v>8604.7186341678389</v>
      </c>
      <c r="D874" s="26">
        <v>0.19302969879128778</v>
      </c>
      <c r="E874" s="26">
        <v>0.29857476168141617</v>
      </c>
      <c r="G874" s="9">
        <f t="shared" si="8"/>
        <v>6.0597593667431979E-3</v>
      </c>
    </row>
    <row r="875" spans="3:7" ht="12.5">
      <c r="C875" s="27">
        <v>8626.2304307532577</v>
      </c>
      <c r="D875" s="26">
        <v>0.19297858319717121</v>
      </c>
      <c r="E875" s="26">
        <v>0.29848062944227177</v>
      </c>
      <c r="G875" s="9">
        <f t="shared" si="8"/>
        <v>6.0752682106323883E-3</v>
      </c>
    </row>
    <row r="876" spans="3:7" ht="12.5">
      <c r="C876" s="27">
        <v>8647.79600683014</v>
      </c>
      <c r="D876" s="26">
        <v>0.19292769040686061</v>
      </c>
      <c r="E876" s="26">
        <v>0.29838669584123784</v>
      </c>
      <c r="G876" s="9">
        <f t="shared" si="8"/>
        <v>6.0907534349096543E-3</v>
      </c>
    </row>
    <row r="877" spans="3:7" ht="12.5">
      <c r="C877" s="27">
        <v>8669.4154968472139</v>
      </c>
      <c r="D877" s="26">
        <v>0.19287701945574295</v>
      </c>
      <c r="E877" s="26">
        <v>0.29829296095997887</v>
      </c>
      <c r="G877" s="9">
        <f t="shared" si="8"/>
        <v>6.1062149670395791E-3</v>
      </c>
    </row>
    <row r="878" spans="3:7" ht="12.5">
      <c r="C878" s="27">
        <v>8691.0890355893316</v>
      </c>
      <c r="D878" s="26">
        <v>0.1928265693825498</v>
      </c>
      <c r="E878" s="26">
        <v>0.29819942487581824</v>
      </c>
      <c r="G878" s="9">
        <f t="shared" si="8"/>
        <v>6.1216527353843125E-3</v>
      </c>
    </row>
    <row r="879" spans="3:7" ht="12.5">
      <c r="C879" s="27">
        <v>8712.8167581783036</v>
      </c>
      <c r="D879" s="26">
        <v>0.19277633922935872</v>
      </c>
      <c r="E879" s="26">
        <v>0.29810608766175972</v>
      </c>
      <c r="G879" s="9">
        <f t="shared" si="8"/>
        <v>6.1370666691996662E-3</v>
      </c>
    </row>
    <row r="880" spans="3:7" ht="12.5">
      <c r="C880" s="27">
        <v>8734.5988000737489</v>
      </c>
      <c r="D880" s="26">
        <v>0.19272632804158776</v>
      </c>
      <c r="E880" s="26">
        <v>0.29801294938651229</v>
      </c>
      <c r="G880" s="9">
        <f t="shared" si="8"/>
        <v>6.1524566986316974E-3</v>
      </c>
    </row>
    <row r="881" spans="3:7" ht="12.5">
      <c r="C881" s="27">
        <v>8756.4352970739328</v>
      </c>
      <c r="D881" s="26">
        <v>0.1926765348679946</v>
      </c>
      <c r="E881" s="26">
        <v>0.29792001011451397</v>
      </c>
      <c r="G881" s="9">
        <f t="shared" si="8"/>
        <v>6.1678227547128147E-3</v>
      </c>
    </row>
    <row r="882" spans="3:7" ht="12.5">
      <c r="C882" s="27">
        <v>8778.3263853166172</v>
      </c>
      <c r="D882" s="26">
        <v>0.1926269587606747</v>
      </c>
      <c r="E882" s="26">
        <v>0.29782726990595515</v>
      </c>
      <c r="G882" s="9">
        <f t="shared" si="8"/>
        <v>6.1831647693580474E-3</v>
      </c>
    </row>
    <row r="883" spans="3:7" ht="12.5">
      <c r="C883" s="27">
        <v>8800.2722012799077</v>
      </c>
      <c r="D883" s="26">
        <v>0.19257759877505612</v>
      </c>
      <c r="E883" s="26">
        <v>0.29773472881680374</v>
      </c>
      <c r="G883" s="9">
        <f t="shared" si="8"/>
        <v>6.1984826753615262E-3</v>
      </c>
    </row>
    <row r="884" spans="3:7" ht="12.5">
      <c r="C884" s="27">
        <v>8822.2728817831066</v>
      </c>
      <c r="D884" s="26">
        <v>0.19252845396989918</v>
      </c>
      <c r="E884" s="26">
        <v>0.29764238689882744</v>
      </c>
      <c r="G884" s="9">
        <f t="shared" si="8"/>
        <v>6.2137764063926477E-3</v>
      </c>
    </row>
    <row r="885" spans="3:7" ht="12.5">
      <c r="C885" s="27">
        <v>8844.328563987563</v>
      </c>
      <c r="D885" s="26">
        <v>0.19247952340729324</v>
      </c>
      <c r="E885" s="26">
        <v>0.29755024419961873</v>
      </c>
      <c r="G885" s="9">
        <f t="shared" si="8"/>
        <v>6.2290458969923189E-3</v>
      </c>
    </row>
    <row r="886" spans="3:7" ht="12.5">
      <c r="C886" s="27">
        <v>8866.4393853975307</v>
      </c>
      <c r="D886" s="26">
        <v>0.19243080615265384</v>
      </c>
      <c r="E886" s="26">
        <v>0.29745830076261875</v>
      </c>
      <c r="G886" s="9">
        <f t="shared" si="8"/>
        <v>6.2442910825692439E-3</v>
      </c>
    </row>
    <row r="887" spans="3:7" ht="12.5">
      <c r="C887" s="27">
        <v>8888.6054838610235</v>
      </c>
      <c r="D887" s="26">
        <v>0.19238230127471825</v>
      </c>
      <c r="E887" s="26">
        <v>0.2973665566271414</v>
      </c>
      <c r="G887" s="9">
        <f t="shared" si="8"/>
        <v>6.2595118993963809E-3</v>
      </c>
    </row>
    <row r="888" spans="3:7" ht="12.5">
      <c r="C888" s="27">
        <v>8910.8269975706753</v>
      </c>
      <c r="D888" s="26">
        <v>0.19233400784554483</v>
      </c>
      <c r="E888" s="26">
        <v>0.29727501182839655</v>
      </c>
      <c r="G888" s="9">
        <f t="shared" si="8"/>
        <v>6.2747082846070033E-3</v>
      </c>
    </row>
    <row r="889" spans="3:7" ht="12.5">
      <c r="C889" s="27">
        <v>8933.1040650646009</v>
      </c>
      <c r="D889" s="26">
        <v>0.19228592494050881</v>
      </c>
      <c r="E889" s="26">
        <v>0.29718366639751592</v>
      </c>
      <c r="G889" s="9">
        <f t="shared" si="8"/>
        <v>6.2898801761909328E-3</v>
      </c>
    </row>
    <row r="890" spans="3:7" ht="12.5">
      <c r="C890" s="27">
        <v>8955.4368252272616</v>
      </c>
      <c r="D890" s="26">
        <v>0.1922380516382981</v>
      </c>
      <c r="E890" s="26">
        <v>0.29709252036157507</v>
      </c>
      <c r="G890" s="9">
        <f t="shared" ref="G890:G953" si="9">((D890-$D$3)^2+(E890-$E$3)^2)</f>
        <v>6.3050275129911343E-3</v>
      </c>
    </row>
    <row r="891" spans="3:7" ht="12.5">
      <c r="C891" s="27">
        <v>8977.8254172903289</v>
      </c>
      <c r="D891" s="26">
        <v>0.19219038702091276</v>
      </c>
      <c r="E891" s="26">
        <v>0.29700157374361907</v>
      </c>
      <c r="G891" s="9">
        <f t="shared" si="9"/>
        <v>6.3201502346994978E-3</v>
      </c>
    </row>
    <row r="892" spans="3:7" ht="12.5">
      <c r="C892" s="27">
        <v>9000.2699808335547</v>
      </c>
      <c r="D892" s="26">
        <v>0.19214293017365816</v>
      </c>
      <c r="E892" s="26">
        <v>0.29691082656268641</v>
      </c>
      <c r="G892" s="9">
        <f t="shared" si="9"/>
        <v>6.3352482818535352E-3</v>
      </c>
    </row>
    <row r="893" spans="3:7" ht="12.5">
      <c r="C893" s="27">
        <v>9022.7706557856382</v>
      </c>
      <c r="D893" s="26">
        <v>0.19209568018514492</v>
      </c>
      <c r="E893" s="26">
        <v>0.29682027883383211</v>
      </c>
      <c r="G893" s="9">
        <f t="shared" si="9"/>
        <v>6.3503215958323478E-3</v>
      </c>
    </row>
    <row r="894" spans="3:7" ht="12.5">
      <c r="C894" s="27">
        <v>9045.3275824251014</v>
      </c>
      <c r="D894" s="26">
        <v>0.19204863614728346</v>
      </c>
      <c r="E894" s="26">
        <v>0.29672993056815322</v>
      </c>
      <c r="G894" s="9">
        <f t="shared" si="9"/>
        <v>6.3653701188529661E-3</v>
      </c>
    </row>
    <row r="895" spans="3:7" ht="12.5">
      <c r="C895" s="27">
        <v>9067.9409013811637</v>
      </c>
      <c r="D895" s="26">
        <v>0.19200179715528001</v>
      </c>
      <c r="E895" s="26">
        <v>0.29663978177281297</v>
      </c>
      <c r="G895" s="9">
        <f t="shared" si="9"/>
        <v>6.3803937939666709E-3</v>
      </c>
    </row>
    <row r="896" spans="3:7" ht="12.5">
      <c r="C896" s="27">
        <v>9090.6107536346153</v>
      </c>
      <c r="D896" s="26">
        <v>0.19195516230763535</v>
      </c>
      <c r="E896" s="26">
        <v>0.29654983245106337</v>
      </c>
      <c r="G896" s="9">
        <f t="shared" si="9"/>
        <v>6.395392565055104E-3</v>
      </c>
    </row>
    <row r="897" spans="3:7" ht="12.5">
      <c r="C897" s="27">
        <v>9113.3372805187009</v>
      </c>
      <c r="D897" s="26">
        <v>0.19190873070613895</v>
      </c>
      <c r="E897" s="26">
        <v>0.29646008260227186</v>
      </c>
      <c r="G897" s="9">
        <f t="shared" si="9"/>
        <v>6.4103663768265186E-3</v>
      </c>
    </row>
    <row r="898" spans="3:7" ht="12.5">
      <c r="C898" s="27">
        <v>9136.1206237199967</v>
      </c>
      <c r="D898" s="26">
        <v>0.19186250145586589</v>
      </c>
      <c r="E898" s="26">
        <v>0.29637053222194359</v>
      </c>
      <c r="G898" s="9">
        <f t="shared" si="9"/>
        <v>6.4253151748121431E-3</v>
      </c>
    </row>
    <row r="899" spans="3:7" ht="12.5">
      <c r="C899" s="27">
        <v>9158.9609252792961</v>
      </c>
      <c r="D899" s="26">
        <v>0.19181647366517235</v>
      </c>
      <c r="E899" s="26">
        <v>0.2962811813017468</v>
      </c>
      <c r="G899" s="9">
        <f t="shared" si="9"/>
        <v>6.4402389053623693E-3</v>
      </c>
    </row>
    <row r="900" spans="3:7" ht="12.5">
      <c r="C900" s="27">
        <v>9181.8583275924939</v>
      </c>
      <c r="D900" s="26">
        <v>0.19177064644569292</v>
      </c>
      <c r="E900" s="26">
        <v>0.29619202982953663</v>
      </c>
      <c r="G900" s="9">
        <f t="shared" si="9"/>
        <v>6.4551375156428788E-3</v>
      </c>
    </row>
    <row r="901" spans="3:7" ht="12.5">
      <c r="C901" s="27">
        <v>9204.8129734114755</v>
      </c>
      <c r="D901" s="26">
        <v>0.19172501891233609</v>
      </c>
      <c r="E901" s="26">
        <v>0.29610307778937955</v>
      </c>
      <c r="G901" s="9">
        <f t="shared" si="9"/>
        <v>6.4700109536309216E-3</v>
      </c>
    </row>
    <row r="902" spans="3:7" ht="12.5">
      <c r="C902" s="27">
        <v>9227.825005845003</v>
      </c>
      <c r="D902" s="26">
        <v>0.19167959018327962</v>
      </c>
      <c r="E902" s="26">
        <v>0.2960143251615775</v>
      </c>
      <c r="G902" s="9">
        <f t="shared" si="9"/>
        <v>6.4848591681116209E-3</v>
      </c>
    </row>
    <row r="903" spans="3:7" ht="12.5">
      <c r="C903" s="27">
        <v>9250.8945683596157</v>
      </c>
      <c r="D903" s="26">
        <v>0.19163435937996756</v>
      </c>
      <c r="E903" s="26">
        <v>0.29592577192269232</v>
      </c>
      <c r="G903" s="9">
        <f t="shared" si="9"/>
        <v>6.4996821086740313E-3</v>
      </c>
    </row>
    <row r="904" spans="3:7" ht="12.5">
      <c r="C904" s="27">
        <v>9274.0218047805138</v>
      </c>
      <c r="D904" s="26">
        <v>0.19158932562710382</v>
      </c>
      <c r="E904" s="26">
        <v>0.29583741804557018</v>
      </c>
      <c r="G904" s="9">
        <f t="shared" si="9"/>
        <v>6.5144797257076191E-3</v>
      </c>
    </row>
    <row r="905" spans="3:7" ht="12.5">
      <c r="C905" s="27">
        <v>9297.2068592924643</v>
      </c>
      <c r="D905" s="26">
        <v>0.19154448805265076</v>
      </c>
      <c r="E905" s="26">
        <v>0.29574926349936553</v>
      </c>
      <c r="G905" s="9">
        <f t="shared" si="9"/>
        <v>6.5292519703981627E-3</v>
      </c>
    </row>
    <row r="906" spans="3:7" ht="12.5">
      <c r="C906" s="27">
        <v>9320.4498764406944</v>
      </c>
      <c r="D906" s="26">
        <v>0.19149984578782273</v>
      </c>
      <c r="E906" s="26">
        <v>0.29566130824956577</v>
      </c>
      <c r="G906" s="9">
        <f t="shared" si="9"/>
        <v>6.543998794724182E-3</v>
      </c>
    </row>
    <row r="907" spans="3:7" ht="12.5">
      <c r="C907" s="27">
        <v>9343.7510011317954</v>
      </c>
      <c r="D907" s="26">
        <v>0.19145539796708252</v>
      </c>
      <c r="E907" s="26">
        <v>0.29557355225801502</v>
      </c>
      <c r="G907" s="9">
        <f t="shared" si="9"/>
        <v>6.5587201514530928E-3</v>
      </c>
    </row>
    <row r="908" spans="3:7" ht="12.5">
      <c r="C908" s="27">
        <v>9367.1103786346248</v>
      </c>
      <c r="D908" s="26">
        <v>0.19141114372813578</v>
      </c>
      <c r="E908" s="26">
        <v>0.29548599548293925</v>
      </c>
      <c r="G908" s="9">
        <f t="shared" si="9"/>
        <v>6.5734159941374711E-3</v>
      </c>
    </row>
    <row r="909" spans="3:7" ht="12.5">
      <c r="C909" s="27">
        <v>9390.5281545812104</v>
      </c>
      <c r="D909" s="26">
        <v>0.19136708221192836</v>
      </c>
      <c r="E909" s="26">
        <v>0.29539863787896986</v>
      </c>
      <c r="G909" s="9">
        <f t="shared" si="9"/>
        <v>6.5880862771110875E-3</v>
      </c>
    </row>
    <row r="910" spans="3:7" ht="12.5">
      <c r="C910" s="27">
        <v>9414.0044749676636</v>
      </c>
      <c r="D910" s="26">
        <v>0.19132321256264045</v>
      </c>
      <c r="E910" s="26">
        <v>0.29531147939716773</v>
      </c>
      <c r="G910" s="9">
        <f t="shared" si="9"/>
        <v>6.602730955485297E-3</v>
      </c>
    </row>
    <row r="911" spans="3:7" ht="12.5">
      <c r="C911" s="27">
        <v>9437.5394861550831</v>
      </c>
      <c r="D911" s="26">
        <v>0.19127953392768138</v>
      </c>
      <c r="E911" s="26">
        <v>0.29522451998504867</v>
      </c>
      <c r="G911" s="9">
        <f t="shared" si="9"/>
        <v>6.617349985145177E-3</v>
      </c>
    </row>
    <row r="912" spans="3:7" ht="12.5">
      <c r="C912" s="27">
        <v>9461.1333348704702</v>
      </c>
      <c r="D912" s="26">
        <v>0.19123604545768577</v>
      </c>
      <c r="E912" s="26">
        <v>0.29513775958660676</v>
      </c>
      <c r="G912" s="9">
        <f t="shared" si="9"/>
        <v>6.6319433227457081E-3</v>
      </c>
    </row>
    <row r="913" spans="3:7" ht="12.5">
      <c r="C913" s="27">
        <v>9484.7861682076455</v>
      </c>
      <c r="D913" s="26">
        <v>0.1911927463065087</v>
      </c>
      <c r="E913" s="26">
        <v>0.29505119814233866</v>
      </c>
      <c r="G913" s="9">
        <f t="shared" si="9"/>
        <v>6.6465109257079751E-3</v>
      </c>
    </row>
    <row r="914" spans="3:7" ht="12.5">
      <c r="C914" s="27">
        <v>9508.4981336281635</v>
      </c>
      <c r="D914" s="26">
        <v>0.19114963563122042</v>
      </c>
      <c r="E914" s="26">
        <v>0.29496483558926789</v>
      </c>
      <c r="G914" s="9">
        <f t="shared" si="9"/>
        <v>6.6610527522154017E-3</v>
      </c>
    </row>
    <row r="915" spans="3:7" ht="12.5">
      <c r="C915" s="27">
        <v>9532.2693789622335</v>
      </c>
      <c r="D915" s="26">
        <v>0.19110671259210094</v>
      </c>
      <c r="E915" s="26">
        <v>0.29487867186096917</v>
      </c>
      <c r="G915" s="9">
        <f t="shared" si="9"/>
        <v>6.6755687612100011E-3</v>
      </c>
    </row>
    <row r="916" spans="3:7" ht="12.5">
      <c r="C916" s="27">
        <v>9556.100052409638</v>
      </c>
      <c r="D916" s="26">
        <v>0.19106397635263531</v>
      </c>
      <c r="E916" s="26">
        <v>0.29479270688759357</v>
      </c>
      <c r="G916" s="9">
        <f t="shared" si="9"/>
        <v>6.6900589123884214E-3</v>
      </c>
    </row>
    <row r="917" spans="3:7" ht="12.5">
      <c r="C917" s="27">
        <v>9579.990302540662</v>
      </c>
      <c r="D917" s="26">
        <v>0.19102142607951048</v>
      </c>
      <c r="E917" s="26">
        <v>0.29470694059589048</v>
      </c>
      <c r="G917" s="9">
        <f t="shared" si="9"/>
        <v>6.704523166198146E-3</v>
      </c>
    </row>
    <row r="918" spans="3:7" ht="12.5">
      <c r="C918" s="27">
        <v>9603.9402782970137</v>
      </c>
      <c r="D918" s="26">
        <v>0.19097906094260597</v>
      </c>
      <c r="E918" s="26">
        <v>0.29462137290923385</v>
      </c>
      <c r="G918" s="9">
        <f t="shared" si="9"/>
        <v>6.7189614838339788E-3</v>
      </c>
    </row>
    <row r="919" spans="3:7" ht="12.5">
      <c r="C919" s="27">
        <v>9627.9501289927557</v>
      </c>
      <c r="D919" s="26">
        <v>0.19093688011499299</v>
      </c>
      <c r="E919" s="26">
        <v>0.29453600374764549</v>
      </c>
      <c r="G919" s="9">
        <f t="shared" si="9"/>
        <v>6.7333738272337962E-3</v>
      </c>
    </row>
    <row r="920" spans="3:7" ht="12.5">
      <c r="C920" s="27">
        <v>9652.0200043152363</v>
      </c>
      <c r="D920" s="26">
        <v>0.19089488277292582</v>
      </c>
      <c r="E920" s="26">
        <v>0.29445083302781944</v>
      </c>
      <c r="G920" s="9">
        <f t="shared" si="9"/>
        <v>6.7477601590751248E-3</v>
      </c>
    </row>
    <row r="921" spans="3:7" ht="12.5">
      <c r="C921" s="27">
        <v>9676.1500543260245</v>
      </c>
      <c r="D921" s="26">
        <v>0.19085306809583888</v>
      </c>
      <c r="E921" s="26">
        <v>0.29436586066314596</v>
      </c>
      <c r="G921" s="9">
        <f t="shared" si="9"/>
        <v>6.7621204427710472E-3</v>
      </c>
    </row>
    <row r="922" spans="3:7" ht="12.5">
      <c r="C922" s="27">
        <v>9700.3404294618394</v>
      </c>
      <c r="D922" s="26">
        <v>0.19081143526633892</v>
      </c>
      <c r="E922" s="26">
        <v>0.29428108656373592</v>
      </c>
      <c r="G922" s="9">
        <f t="shared" si="9"/>
        <v>6.7764546424666653E-3</v>
      </c>
    </row>
    <row r="923" spans="3:7" ht="12.5">
      <c r="C923" s="27">
        <v>9724.5912805354928</v>
      </c>
      <c r="D923" s="26">
        <v>0.19076998347020263</v>
      </c>
      <c r="E923" s="26">
        <v>0.29419651063644409</v>
      </c>
      <c r="G923" s="9">
        <f t="shared" si="9"/>
        <v>6.7907627230349883E-3</v>
      </c>
    </row>
    <row r="924" spans="3:7" ht="12.5">
      <c r="C924" s="27">
        <v>9748.9027587368309</v>
      </c>
      <c r="D924" s="26">
        <v>0.19072871189636842</v>
      </c>
      <c r="E924" s="26">
        <v>0.29411213278489418</v>
      </c>
      <c r="G924" s="9">
        <f t="shared" si="9"/>
        <v>6.8050446500733525E-3</v>
      </c>
    </row>
    <row r="925" spans="3:7" ht="12.5">
      <c r="C925" s="27">
        <v>9773.2750156336733</v>
      </c>
      <c r="D925" s="26">
        <v>0.19068761973693157</v>
      </c>
      <c r="E925" s="26">
        <v>0.29402795290950245</v>
      </c>
      <c r="G925" s="9">
        <f t="shared" si="9"/>
        <v>6.8193003898995661E-3</v>
      </c>
    </row>
    <row r="926" spans="3:7" ht="12.5">
      <c r="C926" s="27">
        <v>9797.7082031727568</v>
      </c>
      <c r="D926" s="26">
        <v>0.19064670618713936</v>
      </c>
      <c r="E926" s="26">
        <v>0.29394397090750163</v>
      </c>
      <c r="G926" s="9">
        <f t="shared" si="9"/>
        <v>6.833529909548019E-3</v>
      </c>
    </row>
    <row r="927" spans="3:7" ht="12.5">
      <c r="C927" s="27">
        <v>9822.2024736806889</v>
      </c>
      <c r="D927" s="26">
        <v>0.19060597044538494</v>
      </c>
      <c r="E927" s="26">
        <v>0.29386018667296532</v>
      </c>
      <c r="G927" s="9">
        <f t="shared" si="9"/>
        <v>6.8477331767658606E-3</v>
      </c>
    </row>
    <row r="928" spans="3:7" ht="12.5">
      <c r="C928" s="27">
        <v>9846.7579798648894</v>
      </c>
      <c r="D928" s="26">
        <v>0.19056541171320049</v>
      </c>
      <c r="E928" s="26">
        <v>0.29377660009683082</v>
      </c>
      <c r="G928" s="9">
        <f t="shared" si="9"/>
        <v>6.8619101600094646E-3</v>
      </c>
    </row>
    <row r="929" spans="3:7" ht="12.5">
      <c r="C929" s="27">
        <v>9871.3748748145517</v>
      </c>
      <c r="D929" s="26">
        <v>0.19052502919525369</v>
      </c>
      <c r="E929" s="26">
        <v>0.29369321106692464</v>
      </c>
      <c r="G929" s="9">
        <f t="shared" si="9"/>
        <v>6.8760608284401522E-3</v>
      </c>
    </row>
    <row r="930" spans="3:7" ht="12.5">
      <c r="C930" s="27">
        <v>9896.053312001588</v>
      </c>
      <c r="D930" s="26">
        <v>0.19048482209933951</v>
      </c>
      <c r="E930" s="26">
        <v>0.29361001946798504</v>
      </c>
      <c r="G930" s="9">
        <f t="shared" si="9"/>
        <v>6.8901851519208232E-3</v>
      </c>
    </row>
    <row r="931" spans="3:7" ht="12.5">
      <c r="C931" s="27">
        <v>9920.7934452815916</v>
      </c>
      <c r="D931" s="26">
        <v>0.19044478963637546</v>
      </c>
      <c r="E931" s="26">
        <v>0.29352702518168711</v>
      </c>
      <c r="G931" s="9">
        <f t="shared" si="9"/>
        <v>6.9042831010118636E-3</v>
      </c>
    </row>
    <row r="932" spans="3:7" ht="12.5">
      <c r="C932" s="27">
        <v>9945.595428894796</v>
      </c>
      <c r="D932" s="26">
        <v>0.19040493102039605</v>
      </c>
      <c r="E932" s="26">
        <v>0.29344422808666498</v>
      </c>
      <c r="G932" s="9">
        <f t="shared" si="9"/>
        <v>6.9183546469674595E-3</v>
      </c>
    </row>
    <row r="933" spans="3:7" ht="12.5">
      <c r="C933" s="27">
        <v>9970.4594174670328</v>
      </c>
      <c r="D933" s="26">
        <v>0.1903652454685453</v>
      </c>
      <c r="E933" s="26">
        <v>0.29336162805853722</v>
      </c>
      <c r="G933" s="9">
        <f t="shared" si="9"/>
        <v>6.9323997617317962E-3</v>
      </c>
    </row>
    <row r="934" spans="3:7" ht="12.5">
      <c r="C934" s="27">
        <v>9995.3855660107001</v>
      </c>
      <c r="D934" s="26">
        <v>0.19032573220107327</v>
      </c>
      <c r="E934" s="26">
        <v>0.29327922496992914</v>
      </c>
      <c r="G934" s="9">
        <f t="shared" si="9"/>
        <v>6.9464184179350817E-3</v>
      </c>
    </row>
    <row r="935" spans="3:7" ht="12.5">
      <c r="C935" s="27">
        <v>10020.374029925726</v>
      </c>
      <c r="D935" s="26">
        <v>0.19028639044132434</v>
      </c>
      <c r="E935" s="26">
        <v>0.29319701869049847</v>
      </c>
      <c r="G935" s="9">
        <f t="shared" si="9"/>
        <v>6.960410588890218E-3</v>
      </c>
    </row>
    <row r="936" spans="3:7" ht="12.5">
      <c r="C936" s="27">
        <v>10045.42496500054</v>
      </c>
      <c r="D936" s="26">
        <v>0.19024721941573958</v>
      </c>
      <c r="E936" s="26">
        <v>0.29311500908695642</v>
      </c>
      <c r="G936" s="9">
        <f t="shared" si="9"/>
        <v>6.9743762485882177E-3</v>
      </c>
    </row>
    <row r="937" spans="3:7" ht="12.5">
      <c r="C937" s="27">
        <v>10070.53852741304</v>
      </c>
      <c r="D937" s="26">
        <v>0.19020821835384288</v>
      </c>
      <c r="E937" s="26">
        <v>0.29303319602309319</v>
      </c>
      <c r="G937" s="9">
        <f t="shared" si="9"/>
        <v>6.988315371695147E-3</v>
      </c>
    </row>
    <row r="938" spans="3:7" ht="12.5">
      <c r="C938" s="27">
        <v>10095.714873731573</v>
      </c>
      <c r="D938" s="26">
        <v>0.19016938648823786</v>
      </c>
      <c r="E938" s="26">
        <v>0.29295157935980132</v>
      </c>
      <c r="G938" s="9">
        <f t="shared" si="9"/>
        <v>7.0022279335479505E-3</v>
      </c>
    </row>
    <row r="939" spans="3:7" ht="12.5">
      <c r="C939" s="27">
        <v>10120.954160915901</v>
      </c>
      <c r="D939" s="26">
        <v>0.19013072305460238</v>
      </c>
      <c r="E939" s="26">
        <v>0.29287015895509866</v>
      </c>
      <c r="G939" s="9">
        <f t="shared" si="9"/>
        <v>7.0161139101505982E-3</v>
      </c>
    </row>
    <row r="940" spans="3:7" ht="12.5">
      <c r="C940" s="27">
        <v>10146.256546318189</v>
      </c>
      <c r="D940" s="26">
        <v>0.1900922272916791</v>
      </c>
      <c r="E940" s="26">
        <v>0.29278893466415207</v>
      </c>
      <c r="G940" s="9">
        <f t="shared" si="9"/>
        <v>7.0299732781706628E-3</v>
      </c>
    </row>
    <row r="941" spans="3:7" ht="12.5">
      <c r="C941" s="27">
        <v>10171.622187683985</v>
      </c>
      <c r="D941" s="26">
        <v>0.19005389844127266</v>
      </c>
      <c r="E941" s="26">
        <v>0.29270790633930072</v>
      </c>
      <c r="G941" s="9">
        <f t="shared" si="9"/>
        <v>7.0438060149350737E-3</v>
      </c>
    </row>
    <row r="942" spans="3:7" ht="12.5">
      <c r="C942" s="27">
        <v>10197.051243153193</v>
      </c>
      <c r="D942" s="26">
        <v>0.19001573574824046</v>
      </c>
      <c r="E942" s="26">
        <v>0.29262707383008035</v>
      </c>
      <c r="G942" s="9">
        <f t="shared" si="9"/>
        <v>7.057612098426572E-3</v>
      </c>
    </row>
    <row r="943" spans="3:7" ht="12.5">
      <c r="C943" s="27">
        <v>10222.543871261076</v>
      </c>
      <c r="D943" s="26">
        <v>0.18997773846048813</v>
      </c>
      <c r="E943" s="26">
        <v>0.29254643698324528</v>
      </c>
      <c r="G943" s="9">
        <f t="shared" si="9"/>
        <v>7.0713915072798256E-3</v>
      </c>
    </row>
    <row r="944" spans="3:7" ht="12.5">
      <c r="C944" s="27">
        <v>10248.100230939228</v>
      </c>
      <c r="D944" s="26">
        <v>0.18993990582896034</v>
      </c>
      <c r="E944" s="26">
        <v>0.29246599564279319</v>
      </c>
      <c r="G944" s="9">
        <f t="shared" si="9"/>
        <v>7.0851442207777917E-3</v>
      </c>
    </row>
    <row r="945" spans="3:7" ht="12.5">
      <c r="C945" s="27">
        <v>10273.720481516575</v>
      </c>
      <c r="D945" s="26">
        <v>0.18990223710763757</v>
      </c>
      <c r="E945" s="26">
        <v>0.29238574964998659</v>
      </c>
      <c r="G945" s="9">
        <f t="shared" si="9"/>
        <v>7.0988702188477084E-3</v>
      </c>
    </row>
    <row r="946" spans="3:7" ht="12.5">
      <c r="C946" s="27">
        <v>10299.404782720367</v>
      </c>
      <c r="D946" s="26">
        <v>0.18986473155352634</v>
      </c>
      <c r="E946" s="26">
        <v>0.29230569884337781</v>
      </c>
      <c r="G946" s="9">
        <f t="shared" si="9"/>
        <v>7.112569482057499E-3</v>
      </c>
    </row>
    <row r="947" spans="3:7" ht="12.5">
      <c r="C947" s="27">
        <v>10325.153294677168</v>
      </c>
      <c r="D947" s="26">
        <v>0.18982738842665461</v>
      </c>
      <c r="E947" s="26">
        <v>0.2922258430588312</v>
      </c>
      <c r="G947" s="9">
        <f t="shared" si="9"/>
        <v>7.1262419916118336E-3</v>
      </c>
    </row>
    <row r="948" spans="3:7" ht="12.5">
      <c r="C948" s="27">
        <v>10350.966177913861</v>
      </c>
      <c r="D948" s="26">
        <v>0.18979020699006285</v>
      </c>
      <c r="E948" s="26">
        <v>0.29214618212954646</v>
      </c>
      <c r="G948" s="9">
        <f t="shared" si="9"/>
        <v>7.1398877293485895E-3</v>
      </c>
    </row>
    <row r="949" spans="3:7" ht="12.5">
      <c r="C949" s="27">
        <v>10376.843593358644</v>
      </c>
      <c r="D949" s="26">
        <v>0.18975318650980097</v>
      </c>
      <c r="E949" s="26">
        <v>0.2920667158860813</v>
      </c>
      <c r="G949" s="9">
        <f t="shared" si="9"/>
        <v>7.1535066777346553E-3</v>
      </c>
    </row>
    <row r="950" spans="3:7" ht="12.5">
      <c r="C950" s="27">
        <v>10402.78570234204</v>
      </c>
      <c r="D950" s="26">
        <v>0.18971632625491683</v>
      </c>
      <c r="E950" s="26">
        <v>0.29198744415637529</v>
      </c>
      <c r="G950" s="9">
        <f t="shared" si="9"/>
        <v>7.1670988198626433E-3</v>
      </c>
    </row>
    <row r="951" spans="3:7" ht="12.5">
      <c r="C951" s="27">
        <v>10428.792666597894</v>
      </c>
      <c r="D951" s="26">
        <v>0.18967962549745282</v>
      </c>
      <c r="E951" s="26">
        <v>0.29190836676577181</v>
      </c>
      <c r="G951" s="9">
        <f t="shared" si="9"/>
        <v>7.1806641394467942E-3</v>
      </c>
    </row>
    <row r="952" spans="3:7" ht="12.5">
      <c r="C952" s="27">
        <v>10454.864648264389</v>
      </c>
      <c r="D952" s="26">
        <v>0.18964308351243678</v>
      </c>
      <c r="E952" s="26">
        <v>0.29182948353704197</v>
      </c>
      <c r="G952" s="9">
        <f t="shared" si="9"/>
        <v>7.1942026208193701E-3</v>
      </c>
    </row>
    <row r="953" spans="3:7" ht="12.5">
      <c r="C953" s="27">
        <v>10481.001809885049</v>
      </c>
      <c r="D953" s="26">
        <v>0.1896066995778779</v>
      </c>
      <c r="E953" s="26">
        <v>0.29175079429040607</v>
      </c>
      <c r="G953" s="9">
        <f t="shared" si="9"/>
        <v>7.2077142489266662E-3</v>
      </c>
    </row>
    <row r="954" spans="3:7" ht="12.5">
      <c r="C954" s="27">
        <v>10507.204314409761</v>
      </c>
      <c r="D954" s="26">
        <v>0.18957047297475538</v>
      </c>
      <c r="E954" s="26">
        <v>0.29167229884355794</v>
      </c>
      <c r="G954" s="9">
        <f t="shared" ref="G954:G1017" si="10">((D954-$D$3)^2+(E954-$E$3)^2)</f>
        <v>7.2211990093256438E-3</v>
      </c>
    </row>
    <row r="955" spans="3:7" ht="12.5">
      <c r="C955" s="27">
        <v>10533.472325195784</v>
      </c>
      <c r="D955" s="26">
        <v>0.18953440298701543</v>
      </c>
      <c r="E955" s="26">
        <v>0.29159399701168642</v>
      </c>
      <c r="G955" s="9">
        <f t="shared" si="10"/>
        <v>7.2346568881797805E-3</v>
      </c>
    </row>
    <row r="956" spans="3:7" ht="12.5">
      <c r="C956" s="27">
        <v>10559.806006008774</v>
      </c>
      <c r="D956" s="26">
        <v>0.18949848890156212</v>
      </c>
      <c r="E956" s="26">
        <v>0.29151588860749889</v>
      </c>
      <c r="G956" s="9">
        <f t="shared" si="10"/>
        <v>7.2480878722554903E-3</v>
      </c>
    </row>
    <row r="957" spans="3:7" ht="12.5">
      <c r="C957" s="27">
        <v>10586.205521023796</v>
      </c>
      <c r="D957" s="26">
        <v>0.18946273000824951</v>
      </c>
      <c r="E957" s="26">
        <v>0.29143797344124295</v>
      </c>
      <c r="G957" s="9">
        <f t="shared" si="10"/>
        <v>7.2614919489185671E-3</v>
      </c>
    </row>
    <row r="958" spans="3:7" ht="12.5">
      <c r="C958" s="27">
        <v>10612.671034826355</v>
      </c>
      <c r="D958" s="26">
        <v>0.18942712559987757</v>
      </c>
      <c r="E958" s="26">
        <v>0.29136025132072968</v>
      </c>
      <c r="G958" s="9">
        <f t="shared" si="10"/>
        <v>7.2748691061299657E-3</v>
      </c>
    </row>
    <row r="959" spans="3:7" ht="12.5">
      <c r="C959" s="27">
        <v>10639.20271241342</v>
      </c>
      <c r="D959" s="26">
        <v>0.18939167497218218</v>
      </c>
      <c r="E959" s="26">
        <v>0.29128272205135586</v>
      </c>
      <c r="G959" s="9">
        <f t="shared" si="10"/>
        <v>7.2882193324424506E-3</v>
      </c>
    </row>
    <row r="960" spans="3:7" ht="12.5">
      <c r="C960" s="27">
        <v>10665.800719194453</v>
      </c>
      <c r="D960" s="26">
        <v>0.18935637742382824</v>
      </c>
      <c r="E960" s="26">
        <v>0.29120538543612662</v>
      </c>
      <c r="G960" s="9">
        <f t="shared" si="10"/>
        <v>7.3015426169967795E-3</v>
      </c>
    </row>
    <row r="961" spans="3:7" ht="12.5">
      <c r="C961" s="27">
        <v>10692.465220992439</v>
      </c>
      <c r="D961" s="26">
        <v>0.18932123225640324</v>
      </c>
      <c r="E961" s="26">
        <v>0.29112824127567671</v>
      </c>
      <c r="G961" s="9">
        <f t="shared" si="10"/>
        <v>7.3148389495179891E-3</v>
      </c>
    </row>
    <row r="962" spans="3:7" ht="12.5">
      <c r="C962" s="27">
        <v>10719.196384044919</v>
      </c>
      <c r="D962" s="26">
        <v>0.18928623877441025</v>
      </c>
      <c r="E962" s="26">
        <v>0.29105128936829439</v>
      </c>
      <c r="G962" s="9">
        <f t="shared" si="10"/>
        <v>7.3281083203114473E-3</v>
      </c>
    </row>
    <row r="963" spans="3:7" ht="12.5">
      <c r="C963" s="27">
        <v>10745.99437500503</v>
      </c>
      <c r="D963" s="26">
        <v>0.18925139628525864</v>
      </c>
      <c r="E963" s="26">
        <v>0.29097452950994274</v>
      </c>
      <c r="G963" s="9">
        <f t="shared" si="10"/>
        <v>7.3413507202594762E-3</v>
      </c>
    </row>
    <row r="964" spans="3:7" ht="12.5">
      <c r="C964" s="27">
        <v>10772.859360942542</v>
      </c>
      <c r="D964" s="26">
        <v>0.18921670409925961</v>
      </c>
      <c r="E964" s="26">
        <v>0.29089796149428115</v>
      </c>
      <c r="G964" s="9">
        <f t="shared" si="10"/>
        <v>7.3545661408173394E-3</v>
      </c>
    </row>
    <row r="965" spans="3:7" ht="12.5">
      <c r="C965" s="27">
        <v>10799.791509344899</v>
      </c>
      <c r="D965" s="26">
        <v>0.18918216152961539</v>
      </c>
      <c r="E965" s="26">
        <v>0.29082158511268885</v>
      </c>
      <c r="G965" s="9">
        <f t="shared" si="10"/>
        <v>7.3677545740098004E-3</v>
      </c>
    </row>
    <row r="966" spans="3:7" ht="12.5">
      <c r="C966" s="27">
        <v>10826.79098811826</v>
      </c>
      <c r="D966" s="26">
        <v>0.18914776789241453</v>
      </c>
      <c r="E966" s="26">
        <v>0.29074540015428618</v>
      </c>
      <c r="G966" s="9">
        <f t="shared" si="10"/>
        <v>7.3809160124271422E-3</v>
      </c>
    </row>
    <row r="967" spans="3:7" ht="12.5">
      <c r="C967" s="27">
        <v>10853.857965588555</v>
      </c>
      <c r="D967" s="26">
        <v>0.18911352250662375</v>
      </c>
      <c r="E967" s="26">
        <v>0.29066940640595579</v>
      </c>
      <c r="G967" s="9">
        <f t="shared" si="10"/>
        <v>7.3940504492216348E-3</v>
      </c>
    </row>
    <row r="968" spans="3:7" ht="12.5">
      <c r="C968" s="27">
        <v>10880.992610502526</v>
      </c>
      <c r="D968" s="26">
        <v>0.18907942469407926</v>
      </c>
      <c r="E968" s="26">
        <v>0.29059360365236619</v>
      </c>
      <c r="G968" s="9">
        <f t="shared" si="10"/>
        <v>7.4071578781038051E-3</v>
      </c>
    </row>
    <row r="969" spans="3:7" ht="12.5">
      <c r="C969" s="27">
        <v>10908.195092028782</v>
      </c>
      <c r="D969" s="26">
        <v>0.18904547377948069</v>
      </c>
      <c r="E969" s="26">
        <v>0.2905179916759919</v>
      </c>
      <c r="G969" s="9">
        <f t="shared" si="10"/>
        <v>7.420238293338737E-3</v>
      </c>
    </row>
    <row r="970" spans="3:7" ht="12.5">
      <c r="C970" s="27">
        <v>10935.465579758853</v>
      </c>
      <c r="D970" s="26">
        <v>0.18901166909038225</v>
      </c>
      <c r="E970" s="26">
        <v>0.29044257025713571</v>
      </c>
      <c r="G970" s="9">
        <f t="shared" si="10"/>
        <v>7.4332916897424913E-3</v>
      </c>
    </row>
    <row r="971" spans="3:7" ht="12.5">
      <c r="C971" s="27">
        <v>10962.804243708249</v>
      </c>
      <c r="D971" s="26">
        <v>0.18897800995718672</v>
      </c>
      <c r="E971" s="26">
        <v>0.29036733917395108</v>
      </c>
      <c r="G971" s="9">
        <f t="shared" si="10"/>
        <v>7.4463180626781304E-3</v>
      </c>
    </row>
    <row r="972" spans="3:7" ht="12.5">
      <c r="C972" s="27">
        <v>10990.211254317519</v>
      </c>
      <c r="D972" s="26">
        <v>0.1889444957131361</v>
      </c>
      <c r="E972" s="26">
        <v>0.29029229820246255</v>
      </c>
      <c r="G972" s="9">
        <f t="shared" si="10"/>
        <v>7.4593174080524079E-3</v>
      </c>
    </row>
    <row r="973" spans="3:7" ht="12.5">
      <c r="C973" s="27">
        <v>11017.686782453313</v>
      </c>
      <c r="D973" s="26">
        <v>0.18891112569430427</v>
      </c>
      <c r="E973" s="26">
        <v>0.29021744711658803</v>
      </c>
      <c r="G973" s="9">
        <f t="shared" si="10"/>
        <v>7.4722897223119585E-3</v>
      </c>
    </row>
    <row r="974" spans="3:7" ht="12.5">
      <c r="C974" s="27">
        <v>11045.230999409445</v>
      </c>
      <c r="D974" s="26">
        <v>0.18887789923959147</v>
      </c>
      <c r="E974" s="26">
        <v>0.29014278568815988</v>
      </c>
      <c r="G974" s="9">
        <f t="shared" si="10"/>
        <v>7.4852350024394113E-3</v>
      </c>
    </row>
    <row r="975" spans="3:7" ht="12.5">
      <c r="C975" s="27">
        <v>11072.844076907968</v>
      </c>
      <c r="D975" s="26">
        <v>0.18884481569071282</v>
      </c>
      <c r="E975" s="26">
        <v>0.29006831368694658</v>
      </c>
      <c r="G975" s="9">
        <f t="shared" si="10"/>
        <v>7.4981532459501721E-3</v>
      </c>
    </row>
    <row r="976" spans="3:7" ht="12.5">
      <c r="C976" s="27">
        <v>11100.526187100237</v>
      </c>
      <c r="D976" s="26">
        <v>0.18881187439219371</v>
      </c>
      <c r="E976" s="26">
        <v>0.28999403088067283</v>
      </c>
      <c r="G976" s="9">
        <f t="shared" si="10"/>
        <v>7.5110444508885068E-3</v>
      </c>
    </row>
    <row r="977" spans="3:7" ht="12.5">
      <c r="C977" s="27">
        <v>11128.277502567988</v>
      </c>
      <c r="D977" s="26">
        <v>0.18877907469136135</v>
      </c>
      <c r="E977" s="26">
        <v>0.28991993703504287</v>
      </c>
      <c r="G977" s="9">
        <f t="shared" si="10"/>
        <v>7.5239086158237524E-3</v>
      </c>
    </row>
    <row r="978" spans="3:7" ht="12.5">
      <c r="C978" s="27">
        <v>11156.098196324407</v>
      </c>
      <c r="D978" s="26">
        <v>0.1887464159383343</v>
      </c>
      <c r="E978" s="26">
        <v>0.28984603191376007</v>
      </c>
      <c r="G978" s="9">
        <f t="shared" si="10"/>
        <v>7.5367457398471888E-3</v>
      </c>
    </row>
    <row r="979" spans="3:7" ht="12.5">
      <c r="C979" s="27">
        <v>11183.988441815218</v>
      </c>
      <c r="D979" s="26">
        <v>0.18871389748601991</v>
      </c>
      <c r="E979" s="26">
        <v>0.28977231527854769</v>
      </c>
      <c r="G979" s="9">
        <f t="shared" si="10"/>
        <v>7.549555822567779E-3</v>
      </c>
    </row>
    <row r="980" spans="3:7" ht="12.5">
      <c r="C980" s="27">
        <v>11211.948412919755</v>
      </c>
      <c r="D980" s="26">
        <v>0.18868151869010136</v>
      </c>
      <c r="E980" s="26">
        <v>0.28969878688917111</v>
      </c>
      <c r="G980" s="9">
        <f t="shared" si="10"/>
        <v>7.5623388641090483E-3</v>
      </c>
    </row>
    <row r="981" spans="3:7" ht="12.5">
      <c r="C981" s="27">
        <v>11239.978283952054</v>
      </c>
      <c r="D981" s="26">
        <v>0.18864927890903244</v>
      </c>
      <c r="E981" s="26">
        <v>0.28962544650345773</v>
      </c>
      <c r="G981" s="9">
        <f t="shared" si="10"/>
        <v>7.5750948651052558E-3</v>
      </c>
    </row>
    <row r="982" spans="3:7" ht="12.5">
      <c r="C982" s="27">
        <v>11268.078229661933</v>
      </c>
      <c r="D982" s="26">
        <v>0.18861717750402929</v>
      </c>
      <c r="E982" s="26">
        <v>0.28955229387731829</v>
      </c>
      <c r="G982" s="9">
        <f t="shared" si="10"/>
        <v>7.5878238266977559E-3</v>
      </c>
    </row>
    <row r="983" spans="3:7" ht="12.5">
      <c r="C983" s="27">
        <v>11296.248425236086</v>
      </c>
      <c r="D983" s="26">
        <v>0.18858521383906132</v>
      </c>
      <c r="E983" s="26">
        <v>0.2894793287647674</v>
      </c>
      <c r="G983" s="9">
        <f t="shared" si="10"/>
        <v>7.6005257505315921E-3</v>
      </c>
    </row>
    <row r="984" spans="3:7" ht="12.5">
      <c r="C984" s="27">
        <v>11324.489046299175</v>
      </c>
      <c r="D984" s="26">
        <v>0.18855338728084536</v>
      </c>
      <c r="E984" s="26">
        <v>0.28940655091794376</v>
      </c>
      <c r="G984" s="9">
        <f t="shared" si="10"/>
        <v>7.6132006387516667E-3</v>
      </c>
    </row>
    <row r="985" spans="3:7" ht="12.5">
      <c r="C985" s="27">
        <v>11352.800268914923</v>
      </c>
      <c r="D985" s="26">
        <v>0.1885216971988356</v>
      </c>
      <c r="E985" s="26">
        <v>0.28933396008713214</v>
      </c>
      <c r="G985" s="9">
        <f t="shared" si="10"/>
        <v>7.6258484939992731E-3</v>
      </c>
    </row>
    <row r="986" spans="3:7" ht="12.5">
      <c r="C986" s="27">
        <v>11381.182269587211</v>
      </c>
      <c r="D986" s="26">
        <v>0.18849014296521729</v>
      </c>
      <c r="E986" s="26">
        <v>0.28926155602078185</v>
      </c>
      <c r="G986" s="9">
        <f t="shared" si="10"/>
        <v>7.6384693194085241E-3</v>
      </c>
    </row>
    <row r="987" spans="3:7" ht="12.5">
      <c r="C987" s="27">
        <v>11409.635225261178</v>
      </c>
      <c r="D987" s="26">
        <v>0.18845872395489704</v>
      </c>
      <c r="E987" s="26">
        <v>0.28918933846552852</v>
      </c>
      <c r="G987" s="9">
        <f t="shared" si="10"/>
        <v>7.6510631186028546E-3</v>
      </c>
    </row>
    <row r="988" spans="3:7" ht="12.5">
      <c r="C988" s="27">
        <v>11438.15931332433</v>
      </c>
      <c r="D988" s="26">
        <v>0.18842743954549701</v>
      </c>
      <c r="E988" s="26">
        <v>0.2891173071662142</v>
      </c>
      <c r="G988" s="9">
        <f t="shared" si="10"/>
        <v>7.6636298956911843E-3</v>
      </c>
    </row>
    <row r="989" spans="3:7" ht="12.5">
      <c r="C989" s="27">
        <v>11466.75471160764</v>
      </c>
      <c r="D989" s="26">
        <v>0.18839628911734393</v>
      </c>
      <c r="E989" s="26">
        <v>0.28904546186590696</v>
      </c>
      <c r="G989" s="9">
        <f t="shared" si="10"/>
        <v>7.6761696552648234E-3</v>
      </c>
    </row>
    <row r="990" spans="3:7" ht="12.5">
      <c r="C990" s="27">
        <v>11495.421598386658</v>
      </c>
      <c r="D990" s="26">
        <v>0.18836527205346415</v>
      </c>
      <c r="E990" s="26">
        <v>0.2889738023059224</v>
      </c>
      <c r="G990" s="9">
        <f t="shared" si="10"/>
        <v>7.6886824023933657E-3</v>
      </c>
    </row>
    <row r="991" spans="3:7" ht="12.5">
      <c r="C991" s="27">
        <v>11524.160152382625</v>
      </c>
      <c r="D991" s="26">
        <v>0.18833438773957306</v>
      </c>
      <c r="E991" s="26">
        <v>0.28890232822584205</v>
      </c>
      <c r="G991" s="9">
        <f t="shared" si="10"/>
        <v>7.7011681426216632E-3</v>
      </c>
    </row>
    <row r="992" spans="3:7" ht="12.5">
      <c r="C992" s="27">
        <v>11552.970552763582</v>
      </c>
      <c r="D992" s="26">
        <v>0.18830363556406782</v>
      </c>
      <c r="E992" s="26">
        <v>0.28883103936353433</v>
      </c>
      <c r="G992" s="9">
        <f t="shared" si="10"/>
        <v>7.713626881966083E-3</v>
      </c>
    </row>
    <row r="993" spans="3:7" ht="12.5">
      <c r="C993" s="27">
        <v>11581.852979145489</v>
      </c>
      <c r="D993" s="26">
        <v>0.18827301491802059</v>
      </c>
      <c r="E993" s="26">
        <v>0.28875993545517448</v>
      </c>
      <c r="G993" s="9">
        <f t="shared" si="10"/>
        <v>7.7260586269107933E-3</v>
      </c>
    </row>
    <row r="994" spans="3:7" ht="12.5">
      <c r="C994" s="27">
        <v>11610.807611593353</v>
      </c>
      <c r="D994" s="26">
        <v>0.18824252519516804</v>
      </c>
      <c r="E994" s="26">
        <v>0.28868901623526377</v>
      </c>
      <c r="G994" s="9">
        <f t="shared" si="10"/>
        <v>7.7384633844046393E-3</v>
      </c>
    </row>
    <row r="995" spans="3:7" ht="12.5">
      <c r="C995" s="27">
        <v>11639.834630622336</v>
      </c>
      <c r="D995" s="26">
        <v>0.18821216579190486</v>
      </c>
      <c r="E995" s="26">
        <v>0.28861828143664964</v>
      </c>
      <c r="G995" s="9">
        <f t="shared" si="10"/>
        <v>7.7508411618573709E-3</v>
      </c>
    </row>
    <row r="996" spans="3:7" ht="12.5">
      <c r="C996" s="27">
        <v>11668.93421719889</v>
      </c>
      <c r="D996" s="26">
        <v>0.18818193610727418</v>
      </c>
      <c r="E996" s="26">
        <v>0.2885477307905458</v>
      </c>
      <c r="G996" s="9">
        <f t="shared" si="10"/>
        <v>7.7631919671362635E-3</v>
      </c>
    </row>
    <row r="997" spans="3:7" ht="12.5">
      <c r="C997" s="27">
        <v>11698.106552741887</v>
      </c>
      <c r="D997" s="26">
        <v>0.18815183554296147</v>
      </c>
      <c r="E997" s="26">
        <v>0.2884773640265505</v>
      </c>
      <c r="G997" s="9">
        <f t="shared" si="10"/>
        <v>7.7755158085625279E-3</v>
      </c>
    </row>
    <row r="998" spans="3:7" ht="12.5">
      <c r="C998" s="27">
        <v>11727.351819123742</v>
      </c>
      <c r="D998" s="26">
        <v>0.18812186350328511</v>
      </c>
      <c r="E998" s="26">
        <v>0.28840718087266687</v>
      </c>
      <c r="G998" s="9">
        <f t="shared" si="10"/>
        <v>7.7878126949078811E-3</v>
      </c>
    </row>
    <row r="999" spans="3:7" ht="12.5">
      <c r="C999" s="27">
        <v>11756.670198671551</v>
      </c>
      <c r="D999" s="26">
        <v>0.1880920193951866</v>
      </c>
      <c r="E999" s="26">
        <v>0.2883371810553228</v>
      </c>
      <c r="G999" s="9">
        <f t="shared" si="10"/>
        <v>7.8000826353912135E-3</v>
      </c>
    </row>
    <row r="1000" spans="3:7" ht="12.5">
      <c r="C1000" s="27">
        <v>11786.061874168228</v>
      </c>
      <c r="D1000" s="26">
        <v>0.18806230262822476</v>
      </c>
      <c r="E1000" s="26">
        <v>0.28826736429938876</v>
      </c>
      <c r="G1000" s="9">
        <f t="shared" si="10"/>
        <v>7.812325639675005E-3</v>
      </c>
    </row>
    <row r="1001" spans="3:7" ht="12.5">
      <c r="C1001" s="27">
        <v>11815.527028853649</v>
      </c>
      <c r="D1001" s="26">
        <v>0.18803271261456758</v>
      </c>
      <c r="E1001" s="26">
        <v>0.2881977303281984</v>
      </c>
      <c r="G1001" s="9">
        <f t="shared" si="10"/>
        <v>7.8245417178616807E-3</v>
      </c>
    </row>
    <row r="1002" spans="3:7" ht="12.5">
      <c r="C1002" s="27">
        <v>11845.065846425781</v>
      </c>
      <c r="D1002" s="26">
        <v>0.18800324876898172</v>
      </c>
      <c r="E1002" s="26">
        <v>0.28812827886356657</v>
      </c>
      <c r="G1002" s="9">
        <f t="shared" si="10"/>
        <v>7.8367308804905937E-3</v>
      </c>
    </row>
    <row r="1003" spans="3:7" ht="12.5">
      <c r="C1003" s="27">
        <v>11874.678511041846</v>
      </c>
      <c r="D1003" s="26">
        <v>0.18797391050882517</v>
      </c>
      <c r="E1003" s="26">
        <v>0.28805900962580916</v>
      </c>
      <c r="G1003" s="9">
        <f t="shared" si="10"/>
        <v>7.8488931385343793E-3</v>
      </c>
    </row>
    <row r="1004" spans="3:7" ht="12.5">
      <c r="C1004" s="27">
        <v>11904.36520731945</v>
      </c>
      <c r="D1004" s="26">
        <v>0.18794469725404039</v>
      </c>
      <c r="E1004" s="26">
        <v>0.28798992233376192</v>
      </c>
      <c r="G1004" s="9">
        <f t="shared" si="10"/>
        <v>7.8610285033953505E-3</v>
      </c>
    </row>
    <row r="1005" spans="3:7" ht="12.5">
      <c r="C1005" s="27">
        <v>11934.126120337747</v>
      </c>
      <c r="D1005" s="26">
        <v>0.18791560842714491</v>
      </c>
      <c r="E1005" s="26">
        <v>0.28792101670479825</v>
      </c>
      <c r="G1005" s="9">
        <f t="shared" si="10"/>
        <v>7.8731369869023682E-3</v>
      </c>
    </row>
    <row r="1006" spans="3:7" ht="12.5">
      <c r="C1006" s="27">
        <v>11963.96143563859</v>
      </c>
      <c r="D1006" s="26">
        <v>0.18788664345322098</v>
      </c>
      <c r="E1006" s="26">
        <v>0.28785229245484978</v>
      </c>
      <c r="G1006" s="9">
        <f t="shared" si="10"/>
        <v>7.885218601307472E-3</v>
      </c>
    </row>
    <row r="1007" spans="3:7" ht="12.5">
      <c r="C1007" s="27">
        <v>11993.871339227686</v>
      </c>
      <c r="D1007" s="26">
        <v>0.18785780175991251</v>
      </c>
      <c r="E1007" s="26">
        <v>0.28778374929842282</v>
      </c>
      <c r="G1007" s="9">
        <f t="shared" si="10"/>
        <v>7.8972733592820726E-3</v>
      </c>
    </row>
    <row r="1008" spans="3:7" ht="12.5">
      <c r="C1008" s="27">
        <v>12023.856017575754</v>
      </c>
      <c r="D1008" s="26">
        <v>0.18782908277740995</v>
      </c>
      <c r="E1008" s="26">
        <v>0.28771538694861964</v>
      </c>
      <c r="G1008" s="9">
        <f t="shared" si="10"/>
        <v>7.909301273914128E-3</v>
      </c>
    </row>
    <row r="1009" spans="3:7" ht="12.5">
      <c r="C1009" s="27">
        <v>12053.915657619693</v>
      </c>
      <c r="D1009" s="26">
        <v>0.18780048593844811</v>
      </c>
      <c r="E1009" s="26">
        <v>0.28764720511715403</v>
      </c>
      <c r="G1009" s="9">
        <f t="shared" si="10"/>
        <v>7.9213023587043144E-3</v>
      </c>
    </row>
    <row r="1010" spans="3:7" ht="12.5">
      <c r="C1010" s="27">
        <v>12084.050446763742</v>
      </c>
      <c r="D1010" s="26">
        <v>0.18777201067829391</v>
      </c>
      <c r="E1010" s="26">
        <v>0.28757920351437133</v>
      </c>
      <c r="G1010" s="9">
        <f t="shared" si="10"/>
        <v>7.9332766275629768E-3</v>
      </c>
    </row>
    <row r="1011" spans="3:7" ht="12.5">
      <c r="C1011" s="27">
        <v>12114.26057288065</v>
      </c>
      <c r="D1011" s="26">
        <v>0.18774365643473961</v>
      </c>
      <c r="E1011" s="26">
        <v>0.28751138184926733</v>
      </c>
      <c r="G1011" s="9">
        <f t="shared" si="10"/>
        <v>7.9452240948064915E-3</v>
      </c>
    </row>
    <row r="1012" spans="3:7" ht="12.5">
      <c r="C1012" s="27">
        <v>12144.546224312851</v>
      </c>
      <c r="D1012" s="26">
        <v>0.18771542264809379</v>
      </c>
      <c r="E1012" s="26">
        <v>0.28744373982950455</v>
      </c>
      <c r="G1012" s="9">
        <f t="shared" si="10"/>
        <v>7.9571447751542457E-3</v>
      </c>
    </row>
    <row r="1013" spans="3:7" ht="12.5">
      <c r="C1013" s="27">
        <v>12174.907589873634</v>
      </c>
      <c r="D1013" s="26">
        <v>0.18768730876117345</v>
      </c>
      <c r="E1013" s="26">
        <v>0.28737627716143188</v>
      </c>
      <c r="G1013" s="9">
        <f t="shared" si="10"/>
        <v>7.9690386837250517E-3</v>
      </c>
    </row>
    <row r="1014" spans="3:7" ht="12.5">
      <c r="C1014" s="27">
        <v>12205.344858848317</v>
      </c>
      <c r="D1014" s="26">
        <v>0.18765931421929571</v>
      </c>
      <c r="E1014" s="26">
        <v>0.28730899355010192</v>
      </c>
      <c r="G1014" s="9">
        <f t="shared" si="10"/>
        <v>7.9809058360338983E-3</v>
      </c>
    </row>
    <row r="1015" spans="3:7" ht="12.5">
      <c r="C1015" s="27">
        <v>12235.858220995437</v>
      </c>
      <c r="D1015" s="26">
        <v>0.18763143847026859</v>
      </c>
      <c r="E1015" s="26">
        <v>0.28724188869928902</v>
      </c>
      <c r="G1015" s="9">
        <f t="shared" si="10"/>
        <v>7.9927462479887357E-3</v>
      </c>
    </row>
    <row r="1016" spans="3:7" ht="12.5">
      <c r="C1016" s="27">
        <v>12266.447866547924</v>
      </c>
      <c r="D1016" s="26">
        <v>0.18760368096438348</v>
      </c>
      <c r="E1016" s="26">
        <v>0.2871749623115073</v>
      </c>
      <c r="G1016" s="9">
        <f t="shared" si="10"/>
        <v>8.0045599358870272E-3</v>
      </c>
    </row>
    <row r="1017" spans="3:7" ht="12.5">
      <c r="C1017" s="27">
        <v>12297.113986214294</v>
      </c>
      <c r="D1017" s="26">
        <v>0.18757604115440624</v>
      </c>
      <c r="E1017" s="26">
        <v>0.287108214088028</v>
      </c>
      <c r="G1017" s="9">
        <f t="shared" si="10"/>
        <v>8.0163469164125905E-3</v>
      </c>
    </row>
    <row r="1018" spans="3:7" ht="12.5">
      <c r="C1018" s="27">
        <v>12327.85677117983</v>
      </c>
      <c r="D1018" s="26">
        <v>0.18754851849556931</v>
      </c>
      <c r="E1018" s="26">
        <v>0.28704164372889779</v>
      </c>
      <c r="G1018" s="9">
        <f t="shared" ref="G1018:G1081" si="11">((D1018-$D$3)^2+(E1018-$E$3)^2)</f>
        <v>8.028107206632145E-3</v>
      </c>
    </row>
    <row r="1019" spans="3:7" ht="12.5">
      <c r="C1019" s="27">
        <v>12358.676413107778</v>
      </c>
      <c r="D1019" s="26">
        <v>0.1875211124455618</v>
      </c>
      <c r="E1019" s="26">
        <v>0.28697525093295512</v>
      </c>
      <c r="G1019" s="9">
        <f t="shared" si="11"/>
        <v>8.0398408239923998E-3</v>
      </c>
    </row>
    <row r="1020" spans="3:7" ht="12.5">
      <c r="C1020" s="27">
        <v>12389.573104140547</v>
      </c>
      <c r="D1020" s="26">
        <v>0.18749382246452329</v>
      </c>
      <c r="E1020" s="26">
        <v>0.28690903539784907</v>
      </c>
      <c r="G1020" s="9">
        <f t="shared" si="11"/>
        <v>8.0515477863163324E-3</v>
      </c>
    </row>
    <row r="1021" spans="3:7" ht="12.5">
      <c r="C1021" s="27">
        <v>12420.547036900898</v>
      </c>
      <c r="D1021" s="26">
        <v>0.18746664801503463</v>
      </c>
      <c r="E1021" s="26">
        <v>0.28684299682005571</v>
      </c>
      <c r="G1021" s="9">
        <f t="shared" si="11"/>
        <v>8.0632281118001616E-3</v>
      </c>
    </row>
    <row r="1022" spans="3:7" ht="12.5">
      <c r="C1022" s="27">
        <v>12451.59840449315</v>
      </c>
      <c r="D1022" s="26">
        <v>0.18743958856210752</v>
      </c>
      <c r="E1022" s="26">
        <v>0.28677713489489565</v>
      </c>
      <c r="G1022" s="9">
        <f t="shared" si="11"/>
        <v>8.0748818190103412E-3</v>
      </c>
    </row>
    <row r="1023" spans="3:7" ht="12.5">
      <c r="C1023" s="27">
        <v>12482.727400504382</v>
      </c>
      <c r="D1023" s="26">
        <v>0.18741264357317919</v>
      </c>
      <c r="E1023" s="26">
        <v>0.28671144931655163</v>
      </c>
      <c r="G1023" s="9">
        <f t="shared" si="11"/>
        <v>8.0865089268798707E-3</v>
      </c>
    </row>
    <row r="1024" spans="3:7" ht="12.5">
      <c r="C1024" s="27">
        <v>12513.934219005641</v>
      </c>
      <c r="D1024" s="26">
        <v>0.18738581251810105</v>
      </c>
      <c r="E1024" s="26">
        <v>0.28664593977808478</v>
      </c>
      <c r="G1024" s="9">
        <f t="shared" si="11"/>
        <v>8.098109454705571E-3</v>
      </c>
    </row>
    <row r="1025" spans="3:7" ht="12.5">
      <c r="C1025" s="27">
        <v>12545.219054553154</v>
      </c>
      <c r="D1025" s="26">
        <v>0.18735909486913385</v>
      </c>
      <c r="E1025" s="26">
        <v>0.28658060597145202</v>
      </c>
      <c r="G1025" s="9">
        <f t="shared" si="11"/>
        <v>8.1096834221443467E-3</v>
      </c>
    </row>
    <row r="1026" spans="3:7" ht="12.5">
      <c r="C1026" s="27">
        <v>12576.582102189535</v>
      </c>
      <c r="D1026" s="26">
        <v>0.18733249010093411</v>
      </c>
      <c r="E1026" s="26">
        <v>0.28651544758752329</v>
      </c>
      <c r="G1026" s="9">
        <f t="shared" si="11"/>
        <v>8.1212308492106464E-3</v>
      </c>
    </row>
    <row r="1027" spans="3:7" ht="12.5">
      <c r="C1027" s="27">
        <v>12608.023557445009</v>
      </c>
      <c r="D1027" s="26">
        <v>0.18730599769055092</v>
      </c>
      <c r="E1027" s="26">
        <v>0.28645046431609794</v>
      </c>
      <c r="G1027" s="9">
        <f t="shared" si="11"/>
        <v>8.1327517562726163E-3</v>
      </c>
    </row>
    <row r="1028" spans="3:7" ht="12.5">
      <c r="C1028" s="27">
        <v>12639.54361633862</v>
      </c>
      <c r="D1028" s="26">
        <v>0.18727961711741464</v>
      </c>
      <c r="E1028" s="26">
        <v>0.28638565584592091</v>
      </c>
      <c r="G1028" s="9">
        <f t="shared" si="11"/>
        <v>8.1442461640493964E-3</v>
      </c>
    </row>
    <row r="1029" spans="3:7" ht="12.5">
      <c r="C1029" s="27">
        <v>12671.142475379465</v>
      </c>
      <c r="D1029" s="26">
        <v>0.18725334786332873</v>
      </c>
      <c r="E1029" s="26">
        <v>0.28632102186470038</v>
      </c>
      <c r="G1029" s="9">
        <f t="shared" si="11"/>
        <v>8.1557140936077809E-3</v>
      </c>
    </row>
    <row r="1030" spans="3:7" ht="12.5">
      <c r="C1030" s="27">
        <v>12702.820331567913</v>
      </c>
      <c r="D1030" s="26">
        <v>0.18722718941246094</v>
      </c>
      <c r="E1030" s="26">
        <v>0.28625656205912414</v>
      </c>
      <c r="G1030" s="9">
        <f t="shared" si="11"/>
        <v>8.1671555663591425E-3</v>
      </c>
    </row>
    <row r="1031" spans="3:7" ht="12.5">
      <c r="C1031" s="27">
        <v>12734.577382396832</v>
      </c>
      <c r="D1031" s="26">
        <v>0.18720114125133588</v>
      </c>
      <c r="E1031" s="26">
        <v>0.28619227611487452</v>
      </c>
      <c r="G1031" s="9">
        <f t="shared" si="11"/>
        <v>8.1785706040563514E-3</v>
      </c>
    </row>
    <row r="1032" spans="3:7" ht="12.5">
      <c r="C1032" s="27">
        <v>12766.413825852824</v>
      </c>
      <c r="D1032" s="26">
        <v>0.18717520286882702</v>
      </c>
      <c r="E1032" s="26">
        <v>0.28612816371664668</v>
      </c>
      <c r="G1032" s="9">
        <f t="shared" si="11"/>
        <v>8.1899592287903496E-3</v>
      </c>
    </row>
    <row r="1033" spans="3:7" ht="12.5">
      <c r="C1033" s="27">
        <v>12798.329860417454</v>
      </c>
      <c r="D1033" s="26">
        <v>0.18714937375614615</v>
      </c>
      <c r="E1033" s="26">
        <v>0.28606422454816366</v>
      </c>
      <c r="G1033" s="9">
        <f t="shared" si="11"/>
        <v>8.2013214629874515E-3</v>
      </c>
    </row>
    <row r="1034" spans="3:7" ht="12.5">
      <c r="C1034" s="27">
        <v>12830.325685068497</v>
      </c>
      <c r="D1034" s="26">
        <v>0.1871236534068362</v>
      </c>
      <c r="E1034" s="26">
        <v>0.286000458292193</v>
      </c>
      <c r="G1034" s="9">
        <f t="shared" si="11"/>
        <v>8.2126573294060284E-3</v>
      </c>
    </row>
    <row r="1035" spans="3:7" ht="12.5">
      <c r="C1035" s="27">
        <v>12862.401499281168</v>
      </c>
      <c r="D1035" s="26">
        <v>0.18709804131676355</v>
      </c>
      <c r="E1035" s="26">
        <v>0.28593686463056228</v>
      </c>
      <c r="G1035" s="9">
        <f t="shared" si="11"/>
        <v>8.2239668511333852E-3</v>
      </c>
    </row>
    <row r="1036" spans="3:7" ht="12.5">
      <c r="C1036" s="27">
        <v>12894.557503029369</v>
      </c>
      <c r="D1036" s="26">
        <v>0.18707253698410728</v>
      </c>
      <c r="E1036" s="26">
        <v>0.28587344324417518</v>
      </c>
      <c r="G1036" s="9">
        <f t="shared" si="11"/>
        <v>8.2352500515829562E-3</v>
      </c>
    </row>
    <row r="1037" spans="3:7" ht="12.5">
      <c r="C1037" s="27">
        <v>12926.793896786941</v>
      </c>
      <c r="D1037" s="26">
        <v>0.18704713990935423</v>
      </c>
      <c r="E1037" s="26">
        <v>0.28581019381302775</v>
      </c>
      <c r="G1037" s="9">
        <f t="shared" si="11"/>
        <v>8.2465069544907475E-3</v>
      </c>
    </row>
    <row r="1038" spans="3:7" ht="12.5">
      <c r="C1038" s="27">
        <v>12959.110881528908</v>
      </c>
      <c r="D1038" s="26">
        <v>0.18702184959528595</v>
      </c>
      <c r="E1038" s="26">
        <v>0.28574711601622405</v>
      </c>
      <c r="G1038" s="9">
        <f t="shared" si="11"/>
        <v>8.2577375839128983E-3</v>
      </c>
    </row>
    <row r="1039" spans="3:7" ht="12.5">
      <c r="C1039" s="27">
        <v>12991.50865873273</v>
      </c>
      <c r="D1039" s="26">
        <v>0.1869966655469755</v>
      </c>
      <c r="E1039" s="26">
        <v>0.28568420953199053</v>
      </c>
      <c r="G1039" s="9">
        <f t="shared" si="11"/>
        <v>8.2689419642221033E-3</v>
      </c>
    </row>
    <row r="1040" spans="3:7" ht="12.5">
      <c r="C1040" s="27">
        <v>13023.98743037956</v>
      </c>
      <c r="D1040" s="26">
        <v>0.1869715872717729</v>
      </c>
      <c r="E1040" s="26">
        <v>0.28562147403769383</v>
      </c>
      <c r="G1040" s="9">
        <f t="shared" si="11"/>
        <v>8.2801201201051257E-3</v>
      </c>
    </row>
    <row r="1041" spans="3:7" ht="12.5">
      <c r="C1041" s="27">
        <v>13056.547398955508</v>
      </c>
      <c r="D1041" s="26">
        <v>0.18694661427930387</v>
      </c>
      <c r="E1041" s="26">
        <v>0.28555890920985444</v>
      </c>
      <c r="G1041" s="9">
        <f t="shared" si="11"/>
        <v>8.2912720765590548E-3</v>
      </c>
    </row>
    <row r="1042" spans="3:7" ht="12.5">
      <c r="C1042" s="27">
        <v>13089.188767452897</v>
      </c>
      <c r="D1042" s="26">
        <v>0.1869217460814544</v>
      </c>
      <c r="E1042" s="26">
        <v>0.28549651472416226</v>
      </c>
      <c r="G1042" s="9">
        <f t="shared" si="11"/>
        <v>8.3023978588891972E-3</v>
      </c>
    </row>
    <row r="1043" spans="3:7" ht="12.5">
      <c r="C1043" s="27">
        <v>13121.911739371528</v>
      </c>
      <c r="D1043" s="26">
        <v>0.1868969821923675</v>
      </c>
      <c r="E1043" s="26">
        <v>0.28543429025549322</v>
      </c>
      <c r="G1043" s="9">
        <f t="shared" si="11"/>
        <v>8.3134974927052442E-3</v>
      </c>
    </row>
    <row r="1044" spans="3:7" ht="12.5">
      <c r="C1044" s="27">
        <v>13154.716518719955</v>
      </c>
      <c r="D1044" s="26">
        <v>0.18687232212843211</v>
      </c>
      <c r="E1044" s="26">
        <v>0.28537223547792218</v>
      </c>
      <c r="G1044" s="9">
        <f t="shared" si="11"/>
        <v>8.324571003918927E-3</v>
      </c>
    </row>
    <row r="1045" spans="3:7" ht="12.5">
      <c r="C1045" s="27">
        <v>13187.603310016755</v>
      </c>
      <c r="D1045" s="26">
        <v>0.1868477654082743</v>
      </c>
      <c r="E1045" s="26">
        <v>0.28531035006474048</v>
      </c>
      <c r="G1045" s="9">
        <f t="shared" si="11"/>
        <v>8.3356184187407881E-3</v>
      </c>
    </row>
    <row r="1046" spans="3:7" ht="12.5">
      <c r="C1046" s="27">
        <v>13220.572318291795</v>
      </c>
      <c r="D1046" s="26">
        <v>0.18682331155275281</v>
      </c>
      <c r="E1046" s="26">
        <v>0.28524863368846815</v>
      </c>
      <c r="G1046" s="9">
        <f t="shared" si="11"/>
        <v>8.3466397636770689E-3</v>
      </c>
    </row>
    <row r="1047" spans="3:7" ht="12.5">
      <c r="C1047" s="27">
        <v>13253.623749087525</v>
      </c>
      <c r="D1047" s="26">
        <v>0.18679896008494362</v>
      </c>
      <c r="E1047" s="26">
        <v>0.28518708602087178</v>
      </c>
      <c r="G1047" s="9">
        <f t="shared" si="11"/>
        <v>8.357635065527301E-3</v>
      </c>
    </row>
    <row r="1048" spans="3:7" ht="12.5">
      <c r="C1048" s="27">
        <v>13286.757808460243</v>
      </c>
      <c r="D1048" s="26">
        <v>0.18677471053013908</v>
      </c>
      <c r="E1048" s="26">
        <v>0.28512570673297699</v>
      </c>
      <c r="G1048" s="9">
        <f t="shared" si="11"/>
        <v>8.3686043513806971E-3</v>
      </c>
    </row>
    <row r="1049" spans="3:7" ht="12.5">
      <c r="C1049" s="27">
        <v>13319.974702981393</v>
      </c>
      <c r="D1049" s="26">
        <v>0.18675056241583415</v>
      </c>
      <c r="E1049" s="26">
        <v>0.2850644954950845</v>
      </c>
      <c r="G1049" s="9">
        <f t="shared" si="11"/>
        <v>8.3795476486137575E-3</v>
      </c>
    </row>
    <row r="1050" spans="3:7" ht="12.5">
      <c r="C1050" s="27">
        <v>13353.274639738846</v>
      </c>
      <c r="D1050" s="26">
        <v>0.18672651527172018</v>
      </c>
      <c r="E1050" s="26">
        <v>0.28500345197678295</v>
      </c>
      <c r="G1050" s="9">
        <f t="shared" si="11"/>
        <v>8.3904649848873074E-3</v>
      </c>
    </row>
    <row r="1051" spans="3:7" ht="12.5">
      <c r="C1051" s="27">
        <v>13386.657826338193</v>
      </c>
      <c r="D1051" s="26">
        <v>0.18670256862967691</v>
      </c>
      <c r="E1051" s="26">
        <v>0.28494257584696592</v>
      </c>
      <c r="G1051" s="9">
        <f t="shared" si="11"/>
        <v>8.4013563881432454E-3</v>
      </c>
    </row>
    <row r="1052" spans="3:7" ht="12.5">
      <c r="C1052" s="27">
        <v>13420.124470904037</v>
      </c>
      <c r="D1052" s="26">
        <v>0.18667872202376329</v>
      </c>
      <c r="E1052" s="26">
        <v>0.28488186677384436</v>
      </c>
      <c r="G1052" s="9">
        <f t="shared" si="11"/>
        <v>8.412221886602015E-3</v>
      </c>
    </row>
    <row r="1053" spans="3:7" ht="12.5">
      <c r="C1053" s="27">
        <v>13453.674782081296</v>
      </c>
      <c r="D1053" s="26">
        <v>0.18665497499020772</v>
      </c>
      <c r="E1053" s="26">
        <v>0.28482132442496133</v>
      </c>
      <c r="G1053" s="9">
        <f t="shared" si="11"/>
        <v>8.4230615087598805E-3</v>
      </c>
    </row>
    <row r="1054" spans="3:7" ht="12.5">
      <c r="C1054" s="27">
        <v>13487.3089690365</v>
      </c>
      <c r="D1054" s="26">
        <v>0.18663132706740376</v>
      </c>
      <c r="E1054" s="26">
        <v>0.28476094846720656</v>
      </c>
      <c r="G1054" s="9">
        <f t="shared" si="11"/>
        <v>8.4338752833854821E-3</v>
      </c>
    </row>
    <row r="1055" spans="3:7" ht="12.5">
      <c r="C1055" s="27">
        <v>13521.027241459091</v>
      </c>
      <c r="D1055" s="26">
        <v>0.18660777779589655</v>
      </c>
      <c r="E1055" s="26">
        <v>0.28470073856683042</v>
      </c>
      <c r="G1055" s="9">
        <f t="shared" si="11"/>
        <v>8.4446632395177197E-3</v>
      </c>
    </row>
    <row r="1056" spans="3:7" ht="12.5">
      <c r="C1056" s="27">
        <v>13554.829809562738</v>
      </c>
      <c r="D1056" s="26">
        <v>0.18658432671837882</v>
      </c>
      <c r="E1056" s="26">
        <v>0.28464069438945772</v>
      </c>
      <c r="G1056" s="9">
        <f t="shared" si="11"/>
        <v>8.4554254064623698E-3</v>
      </c>
    </row>
    <row r="1057" spans="3:7" ht="12.5">
      <c r="C1057" s="27">
        <v>13588.716884086643</v>
      </c>
      <c r="D1057" s="26">
        <v>0.18656097337968028</v>
      </c>
      <c r="E1057" s="26">
        <v>0.28458081560010223</v>
      </c>
      <c r="G1057" s="9">
        <f t="shared" si="11"/>
        <v>8.4661618137895078E-3</v>
      </c>
    </row>
    <row r="1058" spans="3:7" ht="12.5">
      <c r="C1058" s="27">
        <v>13622.688676296859</v>
      </c>
      <c r="D1058" s="26">
        <v>0.18653771732676</v>
      </c>
      <c r="E1058" s="26">
        <v>0.28452110186317903</v>
      </c>
      <c r="G1058" s="9">
        <f t="shared" si="11"/>
        <v>8.4768724913307954E-3</v>
      </c>
    </row>
    <row r="1059" spans="3:7" ht="12.5">
      <c r="C1059" s="27">
        <v>13656.745397987601</v>
      </c>
      <c r="D1059" s="26">
        <v>0.18651455810869683</v>
      </c>
      <c r="E1059" s="26">
        <v>0.28446155284252034</v>
      </c>
      <c r="G1059" s="9">
        <f t="shared" si="11"/>
        <v>8.4875574691766036E-3</v>
      </c>
    </row>
    <row r="1060" spans="3:7" ht="12.5">
      <c r="C1060" s="27">
        <v>13690.887261482569</v>
      </c>
      <c r="D1060" s="26">
        <v>0.18649149527668329</v>
      </c>
      <c r="E1060" s="26">
        <v>0.28440216820138758</v>
      </c>
      <c r="G1060" s="9">
        <f t="shared" si="11"/>
        <v>8.4982167776731406E-3</v>
      </c>
    </row>
    <row r="1061" spans="3:7" ht="12.5">
      <c r="C1061" s="27">
        <v>13725.114479636275</v>
      </c>
      <c r="D1061" s="26">
        <v>0.18646852838401609</v>
      </c>
      <c r="E1061" s="26">
        <v>0.28434294760248502</v>
      </c>
      <c r="G1061" s="9">
        <f t="shared" si="11"/>
        <v>8.5088504474198478E-3</v>
      </c>
    </row>
    <row r="1062" spans="3:7" ht="12.5">
      <c r="C1062" s="27">
        <v>13759.427265835366</v>
      </c>
      <c r="D1062" s="26">
        <v>0.18644565698608706</v>
      </c>
      <c r="E1062" s="26">
        <v>0.28428389070797411</v>
      </c>
      <c r="G1062" s="9">
        <f t="shared" si="11"/>
        <v>8.5194585092666329E-3</v>
      </c>
    </row>
    <row r="1063" spans="3:7" ht="12.5">
      <c r="C1063" s="27">
        <v>13793.825833999954</v>
      </c>
      <c r="D1063" s="26">
        <v>0.18642288064037701</v>
      </c>
      <c r="E1063" s="26">
        <v>0.28422499717948602</v>
      </c>
      <c r="G1063" s="9">
        <f t="shared" si="11"/>
        <v>8.5300409943109591E-3</v>
      </c>
    </row>
    <row r="1064" spans="3:7" ht="12.5">
      <c r="C1064" s="27">
        <v>13828.310398584954</v>
      </c>
      <c r="D1064" s="26">
        <v>0.18640019890644383</v>
      </c>
      <c r="E1064" s="26">
        <v>0.2841662666781356</v>
      </c>
      <c r="G1064" s="9">
        <f t="shared" si="11"/>
        <v>8.5405979338955204E-3</v>
      </c>
    </row>
    <row r="1065" spans="3:7" ht="12.5">
      <c r="C1065" s="27">
        <v>13862.881174581416</v>
      </c>
      <c r="D1065" s="26">
        <v>0.18637761134591849</v>
      </c>
      <c r="E1065" s="26">
        <v>0.2841076988645333</v>
      </c>
      <c r="G1065" s="9">
        <f t="shared" si="11"/>
        <v>8.5511293596051349E-3</v>
      </c>
    </row>
    <row r="1066" spans="3:7" ht="12.5">
      <c r="C1066" s="27">
        <v>13897.538377517869</v>
      </c>
      <c r="D1066" s="26">
        <v>0.18635511752249351</v>
      </c>
      <c r="E1066" s="26">
        <v>0.28404929339879986</v>
      </c>
      <c r="G1066" s="9">
        <f t="shared" si="11"/>
        <v>8.5616353032642589E-3</v>
      </c>
    </row>
    <row r="1067" spans="3:7" ht="12.5">
      <c r="C1067" s="27">
        <v>13932.282223461663</v>
      </c>
      <c r="D1067" s="26">
        <v>0.18633271700191686</v>
      </c>
      <c r="E1067" s="26">
        <v>0.28399104994057789</v>
      </c>
      <c r="G1067" s="9">
        <f t="shared" si="11"/>
        <v>8.5721157969342286E-3</v>
      </c>
    </row>
    <row r="1068" spans="3:7" ht="12.5">
      <c r="C1068" s="27">
        <v>13967.112929020317</v>
      </c>
      <c r="D1068" s="26">
        <v>0.18631040935198251</v>
      </c>
      <c r="E1068" s="26">
        <v>0.28393296814904517</v>
      </c>
      <c r="G1068" s="9">
        <f t="shared" si="11"/>
        <v>8.5825708729106824E-3</v>
      </c>
    </row>
    <row r="1069" spans="3:7" ht="12.5">
      <c r="C1069" s="27">
        <v>14002.030711342868</v>
      </c>
      <c r="D1069" s="26">
        <v>0.18628819414252237</v>
      </c>
      <c r="E1069" s="26">
        <v>0.28387504768292826</v>
      </c>
      <c r="G1069" s="9">
        <f t="shared" si="11"/>
        <v>8.5930005637207905E-3</v>
      </c>
    </row>
    <row r="1070" spans="3:7" ht="12.5">
      <c r="C1070" s="27">
        <v>14037.035788121224</v>
      </c>
      <c r="D1070" s="26">
        <v>0.1862660709453979</v>
      </c>
      <c r="E1070" s="26">
        <v>0.28381728820051438</v>
      </c>
      <c r="G1070" s="9">
        <f t="shared" si="11"/>
        <v>8.6034049021207377E-3</v>
      </c>
    </row>
    <row r="1071" spans="3:7" ht="12.5">
      <c r="C1071" s="27">
        <v>14072.128377591527</v>
      </c>
      <c r="D1071" s="26">
        <v>0.18624403933449268</v>
      </c>
      <c r="E1071" s="26">
        <v>0.28375968935966323</v>
      </c>
      <c r="G1071" s="9">
        <f t="shared" si="11"/>
        <v>8.6137839210931079E-3</v>
      </c>
    </row>
    <row r="1072" spans="3:7" ht="12.5">
      <c r="C1072" s="27">
        <v>14107.308698535506</v>
      </c>
      <c r="D1072" s="26">
        <v>0.18622209888570335</v>
      </c>
      <c r="E1072" s="26">
        <v>0.28370225081782147</v>
      </c>
      <c r="G1072" s="9">
        <f t="shared" si="11"/>
        <v>8.6241376538441182E-3</v>
      </c>
    </row>
    <row r="1073" spans="3:7" ht="12.5">
      <c r="C1073" s="27">
        <v>14142.576970281843</v>
      </c>
      <c r="D1073" s="26">
        <v>0.18620024917693287</v>
      </c>
      <c r="E1073" s="26">
        <v>0.28364497223203322</v>
      </c>
      <c r="G1073" s="9">
        <f t="shared" si="11"/>
        <v>8.6344661338010886E-3</v>
      </c>
    </row>
    <row r="1074" spans="3:7" ht="12.5">
      <c r="C1074" s="27">
        <v>14177.933412707547</v>
      </c>
      <c r="D1074" s="26">
        <v>0.1861784897880798</v>
      </c>
      <c r="E1074" s="26">
        <v>0.28358785325895419</v>
      </c>
      <c r="G1074" s="9">
        <f t="shared" si="11"/>
        <v>8.6447693946099594E-3</v>
      </c>
    </row>
    <row r="1075" spans="3:7" ht="12.5">
      <c r="C1075" s="27">
        <v>14213.378246239316</v>
      </c>
      <c r="D1075" s="26">
        <v>0.18615682030103309</v>
      </c>
      <c r="E1075" s="26">
        <v>0.28353089355486166</v>
      </c>
      <c r="G1075" s="9">
        <f t="shared" si="11"/>
        <v>8.6550474701326194E-3</v>
      </c>
    </row>
    <row r="1076" spans="3:7" ht="12.5">
      <c r="C1076" s="27">
        <v>14248.911691854913</v>
      </c>
      <c r="D1076" s="26">
        <v>0.1861352402996615</v>
      </c>
      <c r="E1076" s="26">
        <v>0.28347409277566898</v>
      </c>
      <c r="G1076" s="9">
        <f t="shared" si="11"/>
        <v>8.6653003944443599E-3</v>
      </c>
    </row>
    <row r="1077" spans="3:7" ht="12.5">
      <c r="C1077" s="27">
        <v>14284.533971084549</v>
      </c>
      <c r="D1077" s="26">
        <v>0.18611374936980682</v>
      </c>
      <c r="E1077" s="26">
        <v>0.28341745057693574</v>
      </c>
      <c r="G1077" s="9">
        <f t="shared" si="11"/>
        <v>8.675528201831411E-3</v>
      </c>
    </row>
    <row r="1078" spans="3:7" ht="12.5">
      <c r="C1078" s="27">
        <v>14320.245306012261</v>
      </c>
      <c r="D1078" s="26">
        <v>0.18609234709927563</v>
      </c>
      <c r="E1078" s="26">
        <v>0.28336096661388072</v>
      </c>
      <c r="G1078" s="9">
        <f t="shared" si="11"/>
        <v>8.6857309267882755E-3</v>
      </c>
    </row>
    <row r="1079" spans="3:7" ht="12.5">
      <c r="C1079" s="27">
        <v>14356.045919277291</v>
      </c>
      <c r="D1079" s="26">
        <v>0.18607103307783085</v>
      </c>
      <c r="E1079" s="26">
        <v>0.28330464054139415</v>
      </c>
      <c r="G1079" s="9">
        <f t="shared" si="11"/>
        <v>8.6959086040152254E-3</v>
      </c>
    </row>
    <row r="1080" spans="3:7" ht="12.5">
      <c r="C1080" s="27">
        <v>14391.936034075483</v>
      </c>
      <c r="D1080" s="26">
        <v>0.1860498068971842</v>
      </c>
      <c r="E1080" s="26">
        <v>0.28324847201404763</v>
      </c>
      <c r="G1080" s="9">
        <f t="shared" si="11"/>
        <v>8.7060612684159572E-3</v>
      </c>
    </row>
    <row r="1081" spans="3:7" ht="12.5">
      <c r="C1081" s="27">
        <v>14427.915874160672</v>
      </c>
      <c r="D1081" s="26">
        <v>0.1860286681509869</v>
      </c>
      <c r="E1081" s="26">
        <v>0.28319246068610809</v>
      </c>
      <c r="G1081" s="9">
        <f t="shared" si="11"/>
        <v>8.7161889550949629E-3</v>
      </c>
    </row>
    <row r="1082" spans="3:7" ht="12.5">
      <c r="C1082" s="27">
        <v>14463.985663846073</v>
      </c>
      <c r="D1082" s="26">
        <v>0.18600761643482305</v>
      </c>
      <c r="E1082" s="26">
        <v>0.28313660621154763</v>
      </c>
      <c r="G1082" s="9">
        <f t="shared" ref="G1082:G1145" si="12">((D1082-$D$3)^2+(E1082-$E$3)^2)</f>
        <v>8.7262916993551057E-3</v>
      </c>
    </row>
    <row r="1083" spans="3:7" ht="12.5">
      <c r="C1083" s="27">
        <v>14500.145628005688</v>
      </c>
      <c r="D1083" s="26">
        <v>0.18598665134620171</v>
      </c>
      <c r="E1083" s="26">
        <v>0.28308090824405591</v>
      </c>
      <c r="G1083" s="9">
        <f t="shared" si="12"/>
        <v>8.7363695366950052E-3</v>
      </c>
    </row>
    <row r="1084" spans="3:7" ht="12.5">
      <c r="C1084" s="27">
        <v>14536.395992075702</v>
      </c>
      <c r="D1084" s="26">
        <v>0.18596577248454604</v>
      </c>
      <c r="E1084" s="26">
        <v>0.28302536643705145</v>
      </c>
      <c r="G1084" s="9">
        <f t="shared" si="12"/>
        <v>8.7464225028069907E-3</v>
      </c>
    </row>
    <row r="1085" spans="3:7" ht="12.5">
      <c r="C1085" s="27">
        <v>14572.736982055891</v>
      </c>
      <c r="D1085" s="26">
        <v>0.18594497945119032</v>
      </c>
      <c r="E1085" s="26">
        <v>0.28296998044369243</v>
      </c>
      <c r="G1085" s="9">
        <f t="shared" si="12"/>
        <v>8.7564506335740568E-3</v>
      </c>
    </row>
    <row r="1086" spans="3:7" ht="12.5">
      <c r="C1086" s="27">
        <v>14609.168824511029</v>
      </c>
      <c r="D1086" s="26">
        <v>0.185924271849366</v>
      </c>
      <c r="E1086" s="26">
        <v>0.28291474991688931</v>
      </c>
      <c r="G1086" s="9">
        <f t="shared" si="12"/>
        <v>8.7664539650680502E-3</v>
      </c>
    </row>
    <row r="1087" spans="3:7" ht="12.5">
      <c r="C1087" s="27">
        <v>14645.691746572305</v>
      </c>
      <c r="D1087" s="26">
        <v>0.18590364928419964</v>
      </c>
      <c r="E1087" s="26">
        <v>0.28285967450931343</v>
      </c>
      <c r="G1087" s="9">
        <f t="shared" si="12"/>
        <v>8.7764325335468046E-3</v>
      </c>
    </row>
    <row r="1088" spans="3:7" ht="12.5">
      <c r="C1088" s="27">
        <v>14682.305975938736</v>
      </c>
      <c r="D1088" s="26">
        <v>0.18588311136269969</v>
      </c>
      <c r="E1088" s="26">
        <v>0.28280475387341075</v>
      </c>
      <c r="G1088" s="9">
        <f t="shared" si="12"/>
        <v>8.7863863754521019E-3</v>
      </c>
    </row>
    <row r="1089" spans="3:7" ht="12.5">
      <c r="C1089" s="27">
        <v>14719.011740878583</v>
      </c>
      <c r="D1089" s="26">
        <v>0.18586265769375357</v>
      </c>
      <c r="E1089" s="26">
        <v>0.28274998766141141</v>
      </c>
      <c r="G1089" s="9">
        <f t="shared" si="12"/>
        <v>8.7963155274067839E-3</v>
      </c>
    </row>
    <row r="1090" spans="3:7" ht="12.5">
      <c r="C1090" s="27">
        <v>14755.809270230779</v>
      </c>
      <c r="D1090" s="26">
        <v>0.1858422878881143</v>
      </c>
      <c r="E1090" s="26">
        <v>0.28269537552534024</v>
      </c>
      <c r="G1090" s="9">
        <f t="shared" si="12"/>
        <v>8.8062200262131636E-3</v>
      </c>
    </row>
    <row r="1091" spans="3:7" ht="12.5">
      <c r="C1091" s="27">
        <v>14792.698793406355</v>
      </c>
      <c r="D1091" s="26">
        <v>0.18582200155839698</v>
      </c>
      <c r="E1091" s="26">
        <v>0.28264091711702938</v>
      </c>
      <c r="G1091" s="9">
        <f t="shared" si="12"/>
        <v>8.8160999088498539E-3</v>
      </c>
    </row>
    <row r="1092" spans="3:7" ht="12.5">
      <c r="C1092" s="27">
        <v>14829.680540389869</v>
      </c>
      <c r="D1092" s="26">
        <v>0.18580179831906948</v>
      </c>
      <c r="E1092" s="26">
        <v>0.28258661208812624</v>
      </c>
      <c r="G1092" s="9">
        <f t="shared" si="12"/>
        <v>8.8259552124699495E-3</v>
      </c>
    </row>
    <row r="1093" spans="3:7" ht="12.5">
      <c r="C1093" s="27">
        <v>14866.754741740842</v>
      </c>
      <c r="D1093" s="26">
        <v>0.18578167778644369</v>
      </c>
      <c r="E1093" s="26">
        <v>0.28253246009010691</v>
      </c>
      <c r="G1093" s="9">
        <f t="shared" si="12"/>
        <v>8.8357859743984652E-3</v>
      </c>
    </row>
    <row r="1094" spans="3:7" ht="12.5">
      <c r="C1094" s="27">
        <v>14903.921628595193</v>
      </c>
      <c r="D1094" s="26">
        <v>0.18576163957866793</v>
      </c>
      <c r="E1094" s="26">
        <v>0.28247846077428446</v>
      </c>
      <c r="G1094" s="9">
        <f t="shared" si="12"/>
        <v>8.8455922321302657E-3</v>
      </c>
    </row>
    <row r="1095" spans="3:7" ht="12.5">
      <c r="C1095" s="27">
        <v>14941.181432666681</v>
      </c>
      <c r="D1095" s="26">
        <v>0.18574168331572205</v>
      </c>
      <c r="E1095" s="26">
        <v>0.28242461379182071</v>
      </c>
      <c r="G1095" s="9">
        <f t="shared" si="12"/>
        <v>8.8553740233271901E-3</v>
      </c>
    </row>
    <row r="1096" spans="3:7" ht="12.5">
      <c r="C1096" s="27">
        <v>14978.534386248346</v>
      </c>
      <c r="D1096" s="26">
        <v>0.18572180861940413</v>
      </c>
      <c r="E1096" s="26">
        <v>0.28237091879373527</v>
      </c>
      <c r="G1096" s="9">
        <f t="shared" si="12"/>
        <v>8.8651313858166807E-3</v>
      </c>
    </row>
    <row r="1097" spans="3:7" ht="12.5">
      <c r="C1097" s="27">
        <v>15015.980722213966</v>
      </c>
      <c r="D1097" s="26">
        <v>0.18570201511332704</v>
      </c>
      <c r="E1097" s="26">
        <v>0.28231737543091856</v>
      </c>
      <c r="G1097" s="9">
        <f t="shared" si="12"/>
        <v>8.8748643575885418E-3</v>
      </c>
    </row>
    <row r="1098" spans="3:7" ht="12.5">
      <c r="C1098" s="27">
        <v>15053.520674019501</v>
      </c>
      <c r="D1098" s="26">
        <v>0.18568230242290937</v>
      </c>
      <c r="E1098" s="26">
        <v>0.28226398335413816</v>
      </c>
      <c r="G1098" s="9">
        <f t="shared" si="12"/>
        <v>8.8845729767933687E-3</v>
      </c>
    </row>
    <row r="1099" spans="3:7" ht="12.5">
      <c r="C1099" s="27">
        <v>15091.154475704549</v>
      </c>
      <c r="D1099" s="26">
        <v>0.18566267017536695</v>
      </c>
      <c r="E1099" s="26">
        <v>0.28221074221405146</v>
      </c>
      <c r="G1099" s="9">
        <f t="shared" si="12"/>
        <v>8.8942572817400332E-3</v>
      </c>
    </row>
    <row r="1100" spans="3:7" ht="12.5">
      <c r="C1100" s="27">
        <v>15128.88236189381</v>
      </c>
      <c r="D1100" s="26">
        <v>0.18564311799970604</v>
      </c>
      <c r="E1100" s="26">
        <v>0.2821576516612152</v>
      </c>
      <c r="G1100" s="9">
        <f t="shared" si="12"/>
        <v>8.903917310893409E-3</v>
      </c>
    </row>
    <row r="1101" spans="3:7" ht="12.5">
      <c r="C1101" s="27">
        <v>15166.704567798542</v>
      </c>
      <c r="D1101" s="26">
        <v>0.18562364552671556</v>
      </c>
      <c r="E1101" s="26">
        <v>0.28210471134609538</v>
      </c>
      <c r="G1101" s="9">
        <f t="shared" si="12"/>
        <v>8.9135531028721321E-3</v>
      </c>
    </row>
    <row r="1102" spans="3:7" ht="12.5">
      <c r="C1102" s="27">
        <v>15204.621329218038</v>
      </c>
      <c r="D1102" s="26">
        <v>0.18560425238895772</v>
      </c>
      <c r="E1102" s="26">
        <v>0.28205192091907594</v>
      </c>
      <c r="G1102" s="9">
        <f t="shared" si="12"/>
        <v>8.9231646964467795E-3</v>
      </c>
    </row>
    <row r="1103" spans="3:7" ht="12.5">
      <c r="C1103" s="27">
        <v>15242.632882541082</v>
      </c>
      <c r="D1103" s="26">
        <v>0.18558493822076402</v>
      </c>
      <c r="E1103" s="26">
        <v>0.28199928003047042</v>
      </c>
      <c r="G1103" s="9">
        <f t="shared" si="12"/>
        <v>8.9327521305369167E-3</v>
      </c>
    </row>
    <row r="1104" spans="3:7" ht="12.5">
      <c r="C1104" s="27">
        <v>15280.739464747434</v>
      </c>
      <c r="D1104" s="26">
        <v>0.18556570265822239</v>
      </c>
      <c r="E1104" s="26">
        <v>0.28194678833053033</v>
      </c>
      <c r="G1104" s="9">
        <f t="shared" si="12"/>
        <v>8.9423154442097794E-3</v>
      </c>
    </row>
    <row r="1105" spans="3:7" ht="12.5">
      <c r="C1105" s="27">
        <v>15318.941313409301</v>
      </c>
      <c r="D1105" s="26">
        <v>0.18554654533917439</v>
      </c>
      <c r="E1105" s="26">
        <v>0.28189444546945491</v>
      </c>
      <c r="G1105" s="9">
        <f t="shared" si="12"/>
        <v>8.951854676677435E-3</v>
      </c>
    </row>
    <row r="1106" spans="3:7" ht="12.5">
      <c r="C1106" s="27">
        <v>15357.238666692823</v>
      </c>
      <c r="D1106" s="26">
        <v>0.18552746590320487</v>
      </c>
      <c r="E1106" s="26">
        <v>0.28184225109740085</v>
      </c>
      <c r="G1106" s="9">
        <f t="shared" si="12"/>
        <v>8.9613698672949601E-3</v>
      </c>
    </row>
    <row r="1107" spans="3:7" ht="12.5">
      <c r="C1107" s="27">
        <v>15395.631763359554</v>
      </c>
      <c r="D1107" s="26">
        <v>0.18550846399163448</v>
      </c>
      <c r="E1107" s="26">
        <v>0.28179020486449152</v>
      </c>
      <c r="G1107" s="9">
        <f t="shared" si="12"/>
        <v>8.9708610555582907E-3</v>
      </c>
    </row>
    <row r="1108" spans="3:7" ht="12.5">
      <c r="C1108" s="27">
        <v>15434.120842767952</v>
      </c>
      <c r="D1108" s="26">
        <v>0.18548953924751305</v>
      </c>
      <c r="E1108" s="26">
        <v>0.28173830642082653</v>
      </c>
      <c r="G1108" s="9">
        <f t="shared" si="12"/>
        <v>8.980328281101943E-3</v>
      </c>
    </row>
    <row r="1109" spans="3:7" ht="12.5">
      <c r="C1109" s="27">
        <v>15472.706144874872</v>
      </c>
      <c r="D1109" s="26">
        <v>0.18547069131561142</v>
      </c>
      <c r="E1109" s="26">
        <v>0.28168655541649057</v>
      </c>
      <c r="G1109" s="9">
        <f t="shared" si="12"/>
        <v>8.9897715836970253E-3</v>
      </c>
    </row>
    <row r="1110" spans="3:7" ht="12.5">
      <c r="C1110" s="27">
        <v>15511.387910237057</v>
      </c>
      <c r="D1110" s="26">
        <v>0.18545191984241444</v>
      </c>
      <c r="E1110" s="26">
        <v>0.28163495150156304</v>
      </c>
      <c r="G1110" s="9">
        <f t="shared" si="12"/>
        <v>8.999191003248995E-3</v>
      </c>
    </row>
    <row r="1111" spans="3:7" ht="12.5">
      <c r="C1111" s="27">
        <v>15550.16638001265</v>
      </c>
      <c r="D1111" s="26">
        <v>0.18543322447611196</v>
      </c>
      <c r="E1111" s="26">
        <v>0.28158349432612645</v>
      </c>
      <c r="G1111" s="9">
        <f t="shared" si="12"/>
        <v>9.0085865797958596E-3</v>
      </c>
    </row>
    <row r="1112" spans="3:7" ht="12.5">
      <c r="C1112" s="27">
        <v>15589.041795962681</v>
      </c>
      <c r="D1112" s="26">
        <v>0.18541460486659322</v>
      </c>
      <c r="E1112" s="26">
        <v>0.28153218354027665</v>
      </c>
      <c r="G1112" s="9">
        <f t="shared" si="12"/>
        <v>9.0179583535056809E-3</v>
      </c>
    </row>
    <row r="1113" spans="3:7" ht="12.5">
      <c r="C1113" s="27">
        <v>15628.014400452586</v>
      </c>
      <c r="D1113" s="26">
        <v>0.1853960606654374</v>
      </c>
      <c r="E1113" s="26">
        <v>0.28148101879413007</v>
      </c>
      <c r="G1113" s="9">
        <f t="shared" si="12"/>
        <v>9.0273063646749904E-3</v>
      </c>
    </row>
    <row r="1114" spans="3:7" ht="12.5">
      <c r="C1114" s="27">
        <v>15667.084436453717</v>
      </c>
      <c r="D1114" s="26">
        <v>0.18537759152590816</v>
      </c>
      <c r="E1114" s="26">
        <v>0.281429999737834</v>
      </c>
      <c r="G1114" s="9">
        <f t="shared" si="12"/>
        <v>9.0366306537262783E-3</v>
      </c>
    </row>
    <row r="1115" spans="3:7" ht="12.5">
      <c r="C1115" s="27">
        <v>15706.25214754485</v>
      </c>
      <c r="D1115" s="26">
        <v>0.18535919710294457</v>
      </c>
      <c r="E1115" s="26">
        <v>0.28137912602157428</v>
      </c>
      <c r="G1115" s="9">
        <f t="shared" si="12"/>
        <v>9.0459312612063136E-3</v>
      </c>
    </row>
    <row r="1116" spans="3:7" ht="12.5">
      <c r="C1116" s="27">
        <v>15745.517777913712</v>
      </c>
      <c r="D1116" s="26">
        <v>0.18534087705315458</v>
      </c>
      <c r="E1116" s="26">
        <v>0.2813283972955854</v>
      </c>
      <c r="G1116" s="9">
        <f t="shared" si="12"/>
        <v>9.0552082277838061E-3</v>
      </c>
    </row>
    <row r="1117" spans="3:7" ht="12.5">
      <c r="C1117" s="27">
        <v>15784.881572358496</v>
      </c>
      <c r="D1117" s="26">
        <v>0.18532263103480678</v>
      </c>
      <c r="E1117" s="26">
        <v>0.28127781321015621</v>
      </c>
      <c r="G1117" s="9">
        <f t="shared" si="12"/>
        <v>9.0644615942478933E-3</v>
      </c>
    </row>
    <row r="1118" spans="3:7" ht="12.5">
      <c r="C1118" s="27">
        <v>15824.343776289392</v>
      </c>
      <c r="D1118" s="26">
        <v>0.18530445870782417</v>
      </c>
      <c r="E1118" s="26">
        <v>0.28122737341564258</v>
      </c>
      <c r="G1118" s="9">
        <f t="shared" si="12"/>
        <v>9.0736914015054366E-3</v>
      </c>
    </row>
    <row r="1119" spans="3:7" ht="12.5">
      <c r="C1119" s="27">
        <v>15863.904635730114</v>
      </c>
      <c r="D1119" s="26">
        <v>0.18528635973377458</v>
      </c>
      <c r="E1119" s="26">
        <v>0.28117707756247207</v>
      </c>
      <c r="G1119" s="9">
        <f t="shared" si="12"/>
        <v>9.0828976905798151E-3</v>
      </c>
    </row>
    <row r="1120" spans="3:7" ht="12.5">
      <c r="C1120" s="27">
        <v>15903.564397319438</v>
      </c>
      <c r="D1120" s="26">
        <v>0.18526833377586721</v>
      </c>
      <c r="E1120" s="26">
        <v>0.28112692530115441</v>
      </c>
      <c r="G1120" s="9">
        <f t="shared" si="12"/>
        <v>9.0920805026081727E-3</v>
      </c>
    </row>
    <row r="1121" spans="3:7" ht="12.5">
      <c r="C1121" s="27">
        <v>15943.323308312736</v>
      </c>
      <c r="D1121" s="26">
        <v>0.18525038049894058</v>
      </c>
      <c r="E1121" s="26">
        <v>0.2810769162822892</v>
      </c>
      <c r="G1121" s="9">
        <f t="shared" si="12"/>
        <v>9.1012398788401453E-3</v>
      </c>
    </row>
    <row r="1122" spans="3:7" ht="12.5">
      <c r="C1122" s="27">
        <v>15983.181616583517</v>
      </c>
      <c r="D1122" s="26">
        <v>0.18523249956945859</v>
      </c>
      <c r="E1122" s="26">
        <v>0.2810270501565737</v>
      </c>
      <c r="G1122" s="9">
        <f t="shared" si="12"/>
        <v>9.1103758606355372E-3</v>
      </c>
    </row>
    <row r="1123" spans="3:7" ht="12.5">
      <c r="C1123" s="27">
        <v>16023.139570624975</v>
      </c>
      <c r="D1123" s="26">
        <v>0.18521469065550158</v>
      </c>
      <c r="E1123" s="26">
        <v>0.28097732657481189</v>
      </c>
      <c r="G1123" s="9">
        <f t="shared" si="12"/>
        <v>9.1194884894624639E-3</v>
      </c>
    </row>
    <row r="1124" spans="3:7" ht="12.5">
      <c r="C1124" s="27">
        <v>16063.197419551536</v>
      </c>
      <c r="D1124" s="26">
        <v>0.18519695342676062</v>
      </c>
      <c r="E1124" s="26">
        <v>0.28092774518792085</v>
      </c>
      <c r="G1124" s="9">
        <f t="shared" si="12"/>
        <v>9.1285778068954642E-3</v>
      </c>
    </row>
    <row r="1125" spans="3:7" ht="12.5">
      <c r="C1125" s="27">
        <v>16103.355413100413</v>
      </c>
      <c r="D1125" s="26">
        <v>0.1851792875545282</v>
      </c>
      <c r="E1125" s="26">
        <v>0.28087830564694105</v>
      </c>
      <c r="G1125" s="9">
        <f t="shared" si="12"/>
        <v>9.1376438546135405E-3</v>
      </c>
    </row>
    <row r="1126" spans="3:7" ht="12.5">
      <c r="C1126" s="27">
        <v>16143.613801633162</v>
      </c>
      <c r="D1126" s="26">
        <v>0.18516169271169208</v>
      </c>
      <c r="E1126" s="26">
        <v>0.28082900760304208</v>
      </c>
      <c r="G1126" s="9">
        <f t="shared" si="12"/>
        <v>9.1466866743984201E-3</v>
      </c>
    </row>
    <row r="1127" spans="3:7" ht="12.5">
      <c r="C1127" s="27">
        <v>16183.972836137244</v>
      </c>
      <c r="D1127" s="26">
        <v>0.18514416857272842</v>
      </c>
      <c r="E1127" s="26">
        <v>0.28077985070753209</v>
      </c>
      <c r="G1127" s="9">
        <f t="shared" si="12"/>
        <v>9.1557063081324046E-3</v>
      </c>
    </row>
    <row r="1128" spans="3:7" ht="12.5">
      <c r="C1128" s="27">
        <v>16224.432768227585</v>
      </c>
      <c r="D1128" s="26">
        <v>0.18512671481369358</v>
      </c>
      <c r="E1128" s="26">
        <v>0.28073083461186393</v>
      </c>
      <c r="G1128" s="9">
        <f t="shared" si="12"/>
        <v>9.1647027977968497E-3</v>
      </c>
    </row>
    <row r="1129" spans="3:7" ht="12.5">
      <c r="C1129" s="27">
        <v>16264.993850148154</v>
      </c>
      <c r="D1129" s="26">
        <v>0.18510933111221875</v>
      </c>
      <c r="E1129" s="26">
        <v>0.28068195896764392</v>
      </c>
      <c r="G1129" s="9">
        <f t="shared" si="12"/>
        <v>9.1736761854699332E-3</v>
      </c>
    </row>
    <row r="1130" spans="3:7" ht="12.5">
      <c r="C1130" s="27">
        <v>16305.656334773523</v>
      </c>
      <c r="D1130" s="26">
        <v>0.18509201714749987</v>
      </c>
      <c r="E1130" s="26">
        <v>0.28063322342663977</v>
      </c>
      <c r="G1130" s="9">
        <f t="shared" si="12"/>
        <v>9.1826265133251386E-3</v>
      </c>
    </row>
    <row r="1131" spans="3:7" ht="12.5">
      <c r="C1131" s="27">
        <v>16346.420475610455</v>
      </c>
      <c r="D1131" s="26">
        <v>0.1850747726002929</v>
      </c>
      <c r="E1131" s="26">
        <v>0.28058462764078657</v>
      </c>
      <c r="G1131" s="9">
        <f t="shared" si="12"/>
        <v>9.1915538236293295E-3</v>
      </c>
    </row>
    <row r="1132" spans="3:7" ht="12.5">
      <c r="C1132" s="27">
        <v>16387.286526799482</v>
      </c>
      <c r="D1132" s="26">
        <v>0.18505759715290687</v>
      </c>
      <c r="E1132" s="26">
        <v>0.28053617126219582</v>
      </c>
      <c r="G1132" s="9">
        <f t="shared" si="12"/>
        <v>9.2004581587406768E-3</v>
      </c>
    </row>
    <row r="1133" spans="3:7" ht="12.5">
      <c r="C1133" s="27">
        <v>16428.254743116478</v>
      </c>
      <c r="D1133" s="26">
        <v>0.18504049048919419</v>
      </c>
      <c r="E1133" s="26">
        <v>0.28048785394316172</v>
      </c>
      <c r="G1133" s="9">
        <f t="shared" si="12"/>
        <v>9.2093395611073728E-3</v>
      </c>
    </row>
    <row r="1134" spans="3:7" ht="12.5">
      <c r="C1134" s="27">
        <v>16469.325379974271</v>
      </c>
      <c r="D1134" s="26">
        <v>0.18502345229454653</v>
      </c>
      <c r="E1134" s="26">
        <v>0.28043967533616865</v>
      </c>
      <c r="G1134" s="9">
        <f t="shared" si="12"/>
        <v>9.2181980732653976E-3</v>
      </c>
    </row>
    <row r="1135" spans="3:7" ht="12.5">
      <c r="C1135" s="27">
        <v>16510.498693424204</v>
      </c>
      <c r="D1135" s="26">
        <v>0.18500648225588634</v>
      </c>
      <c r="E1135" s="26">
        <v>0.28039163509389864</v>
      </c>
      <c r="G1135" s="9">
        <f t="shared" si="12"/>
        <v>9.2270337378369087E-3</v>
      </c>
    </row>
    <row r="1136" spans="3:7" ht="12.5">
      <c r="C1136" s="27">
        <v>16551.774940157764</v>
      </c>
      <c r="D1136" s="26">
        <v>0.18498958006166069</v>
      </c>
      <c r="E1136" s="26">
        <v>0.28034373286923875</v>
      </c>
      <c r="G1136" s="9">
        <f t="shared" si="12"/>
        <v>9.2358465975283209E-3</v>
      </c>
    </row>
    <row r="1137" spans="3:7" ht="12.5">
      <c r="C1137" s="27">
        <v>16593.154377508159</v>
      </c>
      <c r="D1137" s="26">
        <v>0.18497274540183162</v>
      </c>
      <c r="E1137" s="26">
        <v>0.2802959683152873</v>
      </c>
      <c r="G1137" s="9">
        <f t="shared" si="12"/>
        <v>9.244636695129033E-3</v>
      </c>
    </row>
    <row r="1138" spans="3:7" ht="12.5">
      <c r="C1138" s="27">
        <v>16634.637263451928</v>
      </c>
      <c r="D1138" s="26">
        <v>0.18495597796787316</v>
      </c>
      <c r="E1138" s="26">
        <v>0.28024834108536156</v>
      </c>
      <c r="G1138" s="9">
        <f t="shared" si="12"/>
        <v>9.2534040735090459E-3</v>
      </c>
    </row>
    <row r="1139" spans="3:7" ht="12.5">
      <c r="C1139" s="27">
        <v>16676.223856610559</v>
      </c>
      <c r="D1139" s="26">
        <v>0.18493927745276142</v>
      </c>
      <c r="E1139" s="26">
        <v>0.28020085083300417</v>
      </c>
      <c r="G1139" s="9">
        <f t="shared" si="12"/>
        <v>9.2621487756177068E-3</v>
      </c>
    </row>
    <row r="1140" spans="3:7" ht="12.5">
      <c r="C1140" s="27">
        <v>16717.914416252086</v>
      </c>
      <c r="D1140" s="26">
        <v>0.18492264355096877</v>
      </c>
      <c r="E1140" s="26">
        <v>0.28015349721199079</v>
      </c>
      <c r="G1140" s="9">
        <f t="shared" si="12"/>
        <v>9.2708708444817264E-3</v>
      </c>
    </row>
    <row r="1141" spans="3:7" ht="12.5">
      <c r="C1141" s="27">
        <v>16759.709202292714</v>
      </c>
      <c r="D1141" s="26">
        <v>0.18490607595845662</v>
      </c>
      <c r="E1141" s="26">
        <v>0.28010627987633546</v>
      </c>
      <c r="G1141" s="9">
        <f t="shared" si="12"/>
        <v>9.2795703232037181E-3</v>
      </c>
    </row>
    <row r="1142" spans="3:7" ht="12.5">
      <c r="C1142" s="27">
        <v>16801.608475298446</v>
      </c>
      <c r="D1142" s="26">
        <v>0.18488957437266937</v>
      </c>
      <c r="E1142" s="26">
        <v>0.28005919848029892</v>
      </c>
      <c r="G1142" s="9">
        <f t="shared" si="12"/>
        <v>9.2882472549601774E-3</v>
      </c>
    </row>
    <row r="1143" spans="3:7" ht="12.5">
      <c r="C1143" s="27">
        <v>16843.61249648669</v>
      </c>
      <c r="D1143" s="26">
        <v>0.18487313849252507</v>
      </c>
      <c r="E1143" s="26">
        <v>0.28001225267839419</v>
      </c>
      <c r="G1143" s="9">
        <f t="shared" si="12"/>
        <v>9.296901683000269E-3</v>
      </c>
    </row>
    <row r="1144" spans="3:7" ht="12.5">
      <c r="C1144" s="27">
        <v>16885.721527727907</v>
      </c>
      <c r="D1144" s="26">
        <v>0.18485676801841333</v>
      </c>
      <c r="E1144" s="26">
        <v>0.27996544212539304</v>
      </c>
      <c r="G1144" s="9">
        <f t="shared" si="12"/>
        <v>9.3055336506435438E-3</v>
      </c>
    </row>
    <row r="1145" spans="3:7" ht="12.5">
      <c r="C1145" s="27">
        <v>16927.935831547224</v>
      </c>
      <c r="D1145" s="26">
        <v>0.18484046265218251</v>
      </c>
      <c r="E1145" s="26">
        <v>0.27991876647633368</v>
      </c>
      <c r="G1145" s="9">
        <f t="shared" si="12"/>
        <v>9.314143201278928E-3</v>
      </c>
    </row>
    <row r="1146" spans="3:7" ht="12.5">
      <c r="C1146" s="27">
        <v>16970.255671126091</v>
      </c>
      <c r="D1146" s="26">
        <v>0.18482422209713825</v>
      </c>
      <c r="E1146" s="26">
        <v>0.27987222538652551</v>
      </c>
      <c r="G1146" s="9">
        <f t="shared" ref="G1146:G1209" si="13">((D1146-$D$3)^2+(E1146-$E$3)^2)</f>
        <v>9.3227303783625891E-3</v>
      </c>
    </row>
    <row r="1147" spans="3:7" ht="12.5">
      <c r="C1147" s="27">
        <v>17012.681310303906</v>
      </c>
      <c r="D1147" s="26">
        <v>0.18480804605803205</v>
      </c>
      <c r="E1147" s="26">
        <v>0.2798258185115568</v>
      </c>
      <c r="G1147" s="9">
        <f t="shared" si="13"/>
        <v>9.3312952254167511E-3</v>
      </c>
    </row>
    <row r="1148" spans="3:7" ht="12.5">
      <c r="C1148" s="27">
        <v>17055.213013579665</v>
      </c>
      <c r="D1148" s="26">
        <v>0.1847919342410588</v>
      </c>
      <c r="E1148" s="26">
        <v>0.27977954550730022</v>
      </c>
      <c r="G1148" s="9">
        <f t="shared" si="13"/>
        <v>9.3398377860276129E-3</v>
      </c>
    </row>
    <row r="1149" spans="3:7" ht="12.5">
      <c r="C1149" s="27">
        <v>17097.851046113614</v>
      </c>
      <c r="D1149" s="26">
        <v>0.18477588635384729</v>
      </c>
      <c r="E1149" s="26">
        <v>0.27973340602991931</v>
      </c>
      <c r="G1149" s="9">
        <f t="shared" si="13"/>
        <v>9.3483581038440733E-3</v>
      </c>
    </row>
    <row r="1150" spans="3:7" ht="12.5">
      <c r="C1150" s="27">
        <v>17140.595673728898</v>
      </c>
      <c r="D1150" s="26">
        <v>0.18475990210545457</v>
      </c>
      <c r="E1150" s="26">
        <v>0.27968739973587503</v>
      </c>
      <c r="G1150" s="9">
        <f t="shared" si="13"/>
        <v>9.3568562225759353E-3</v>
      </c>
    </row>
    <row r="1151" spans="3:7" ht="12.5">
      <c r="C1151" s="27">
        <v>17183.44716291322</v>
      </c>
      <c r="D1151" s="26">
        <v>0.18474398120635824</v>
      </c>
      <c r="E1151" s="26">
        <v>0.27964152628193106</v>
      </c>
      <c r="G1151" s="9">
        <f t="shared" si="13"/>
        <v>9.3653321859925864E-3</v>
      </c>
    </row>
    <row r="1152" spans="3:7" ht="12.5">
      <c r="C1152" s="27">
        <v>17226.405780820503</v>
      </c>
      <c r="D1152" s="26">
        <v>0.18472812336845093</v>
      </c>
      <c r="E1152" s="26">
        <v>0.27959578532515994</v>
      </c>
      <c r="G1152" s="9">
        <f t="shared" si="13"/>
        <v>9.3737860379212515E-3</v>
      </c>
    </row>
    <row r="1153" spans="3:7" ht="12.5">
      <c r="C1153" s="27">
        <v>17269.471795272555</v>
      </c>
      <c r="D1153" s="26">
        <v>0.18471232830503448</v>
      </c>
      <c r="E1153" s="26">
        <v>0.27955017652294978</v>
      </c>
      <c r="G1153" s="9">
        <f t="shared" si="13"/>
        <v>9.3822178222452181E-3</v>
      </c>
    </row>
    <row r="1154" spans="3:7" ht="12.5">
      <c r="C1154" s="27">
        <v>17312.645474760735</v>
      </c>
      <c r="D1154" s="26">
        <v>0.18469659573081043</v>
      </c>
      <c r="E1154" s="26">
        <v>0.27950469953300927</v>
      </c>
      <c r="G1154" s="9">
        <f t="shared" si="13"/>
        <v>9.3906275829027976E-3</v>
      </c>
    </row>
    <row r="1155" spans="3:7" ht="12.5">
      <c r="C1155" s="27">
        <v>17355.927088447635</v>
      </c>
      <c r="D1155" s="26">
        <v>0.18468092536187583</v>
      </c>
      <c r="E1155" s="26">
        <v>0.27945935401337413</v>
      </c>
      <c r="G1155" s="9">
        <f t="shared" si="13"/>
        <v>9.3990153638854046E-3</v>
      </c>
    </row>
    <row r="1156" spans="3:7" ht="12.5">
      <c r="C1156" s="27">
        <v>17399.316906168755</v>
      </c>
      <c r="D1156" s="26">
        <v>0.18466531691571544</v>
      </c>
      <c r="E1156" s="26">
        <v>0.27941413962241207</v>
      </c>
      <c r="G1156" s="9">
        <f t="shared" si="13"/>
        <v>9.4073812092362839E-3</v>
      </c>
    </row>
    <row r="1157" spans="3:7" ht="12.5">
      <c r="C1157" s="27">
        <v>17442.815198434175</v>
      </c>
      <c r="D1157" s="26">
        <v>0.18464977011119607</v>
      </c>
      <c r="E1157" s="26">
        <v>0.27936905601882944</v>
      </c>
      <c r="G1157" s="9">
        <f t="shared" si="13"/>
        <v>9.4157251630487687E-3</v>
      </c>
    </row>
    <row r="1158" spans="3:7" ht="12.5">
      <c r="C1158" s="27">
        <v>17486.422236430259</v>
      </c>
      <c r="D1158" s="26">
        <v>0.18463428466856011</v>
      </c>
      <c r="E1158" s="26">
        <v>0.27932410286167592</v>
      </c>
      <c r="G1158" s="9">
        <f t="shared" si="13"/>
        <v>9.4240472694648893E-3</v>
      </c>
    </row>
    <row r="1159" spans="3:7" ht="12.5">
      <c r="C1159" s="27">
        <v>17530.138292021333</v>
      </c>
      <c r="D1159" s="26">
        <v>0.18461886030941824</v>
      </c>
      <c r="E1159" s="26">
        <v>0.27927927981035122</v>
      </c>
      <c r="G1159" s="9">
        <f t="shared" si="13"/>
        <v>9.4323475726738465E-3</v>
      </c>
    </row>
    <row r="1160" spans="3:7" ht="12.5">
      <c r="C1160" s="27">
        <v>17573.963637751385</v>
      </c>
      <c r="D1160" s="26">
        <v>0.18460349675674279</v>
      </c>
      <c r="E1160" s="26">
        <v>0.27923458652460875</v>
      </c>
      <c r="G1160" s="9">
        <f t="shared" si="13"/>
        <v>9.4406261169108149E-3</v>
      </c>
    </row>
    <row r="1161" spans="3:7" ht="12.5">
      <c r="C1161" s="27">
        <v>17617.898546845761</v>
      </c>
      <c r="D1161" s="26">
        <v>0.18458819373486229</v>
      </c>
      <c r="E1161" s="26">
        <v>0.279190022664563</v>
      </c>
      <c r="G1161" s="9">
        <f t="shared" si="13"/>
        <v>9.4488829464550658E-3</v>
      </c>
    </row>
    <row r="1162" spans="3:7" ht="12.5">
      <c r="C1162" s="27">
        <v>17661.943293212873</v>
      </c>
      <c r="D1162" s="26">
        <v>0.18457295096945414</v>
      </c>
      <c r="E1162" s="26">
        <v>0.27914558789069394</v>
      </c>
      <c r="G1162" s="9">
        <f t="shared" si="13"/>
        <v>9.4571181056287736E-3</v>
      </c>
    </row>
    <row r="1163" spans="3:7" ht="12.5">
      <c r="C1163" s="27">
        <v>17706.098151445905</v>
      </c>
      <c r="D1163" s="26">
        <v>0.18455776818753952</v>
      </c>
      <c r="E1163" s="26">
        <v>0.27910128186385225</v>
      </c>
      <c r="G1163" s="9">
        <f t="shared" si="13"/>
        <v>9.4653316387954163E-3</v>
      </c>
    </row>
    <row r="1164" spans="3:7" ht="12.5">
      <c r="C1164" s="27">
        <v>17750.363396824519</v>
      </c>
      <c r="D1164" s="26">
        <v>0.18454264511747476</v>
      </c>
      <c r="E1164" s="26">
        <v>0.27905710424526448</v>
      </c>
      <c r="G1164" s="9">
        <f t="shared" si="13"/>
        <v>9.4735235903586588E-3</v>
      </c>
    </row>
    <row r="1165" spans="3:7" ht="12.5">
      <c r="C1165" s="27">
        <v>17794.73930531658</v>
      </c>
      <c r="D1165" s="26">
        <v>0.18452758148894813</v>
      </c>
      <c r="E1165" s="26">
        <v>0.27901305469653853</v>
      </c>
      <c r="G1165" s="9">
        <f t="shared" si="13"/>
        <v>9.4816940047604565E-3</v>
      </c>
    </row>
    <row r="1166" spans="3:7" ht="12.5">
      <c r="C1166" s="27">
        <v>17839.226153579872</v>
      </c>
      <c r="D1166" s="26">
        <v>0.18451257703296967</v>
      </c>
      <c r="E1166" s="26">
        <v>0.2789691328796694</v>
      </c>
      <c r="G1166" s="9">
        <f t="shared" si="13"/>
        <v>9.4898429264801097E-3</v>
      </c>
    </row>
    <row r="1167" spans="3:7" ht="12.5">
      <c r="C1167" s="27">
        <v>17883.824218963819</v>
      </c>
      <c r="D1167" s="26">
        <v>0.18449763148186807</v>
      </c>
      <c r="E1167" s="26">
        <v>0.27892533845704298</v>
      </c>
      <c r="G1167" s="9">
        <f t="shared" si="13"/>
        <v>9.4979704000325814E-3</v>
      </c>
    </row>
    <row r="1168" spans="3:7" ht="12.5">
      <c r="C1168" s="27">
        <v>17928.533779511228</v>
      </c>
      <c r="D1168" s="26">
        <v>0.1844827445692826</v>
      </c>
      <c r="E1168" s="26">
        <v>0.27888167109144146</v>
      </c>
      <c r="G1168" s="9">
        <f t="shared" si="13"/>
        <v>9.5060764699673277E-3</v>
      </c>
    </row>
    <row r="1169" spans="3:7" ht="12.5">
      <c r="C1169" s="27">
        <v>17973.355113960006</v>
      </c>
      <c r="D1169" s="26">
        <v>0.18446791603015802</v>
      </c>
      <c r="E1169" s="26">
        <v>0.27883813044604844</v>
      </c>
      <c r="G1169" s="9">
        <f t="shared" si="13"/>
        <v>9.5141611808667211E-3</v>
      </c>
    </row>
    <row r="1170" spans="3:7" ht="12.5">
      <c r="C1170" s="27">
        <v>18018.288501744904</v>
      </c>
      <c r="D1170" s="26">
        <v>0.18445314560073722</v>
      </c>
      <c r="E1170" s="26">
        <v>0.27879471618445395</v>
      </c>
      <c r="G1170" s="9">
        <f t="shared" si="13"/>
        <v>9.5222245773448309E-3</v>
      </c>
    </row>
    <row r="1171" spans="3:7" ht="12.5">
      <c r="C1171" s="27">
        <v>18063.334222999267</v>
      </c>
      <c r="D1171" s="26">
        <v>0.18443843301855634</v>
      </c>
      <c r="E1171" s="26">
        <v>0.27875142797065894</v>
      </c>
      <c r="G1171" s="9">
        <f t="shared" si="13"/>
        <v>9.5302667040459421E-3</v>
      </c>
    </row>
    <row r="1172" spans="3:7" ht="12.5">
      <c r="C1172" s="27">
        <v>18108.492558556765</v>
      </c>
      <c r="D1172" s="26">
        <v>0.18442377802243654</v>
      </c>
      <c r="E1172" s="26">
        <v>0.27870826546907962</v>
      </c>
      <c r="G1172" s="9">
        <f t="shared" si="13"/>
        <v>9.5382876056435417E-3</v>
      </c>
    </row>
    <row r="1173" spans="3:7" ht="12.5">
      <c r="C1173" s="27">
        <v>18153.763789953155</v>
      </c>
      <c r="D1173" s="26">
        <v>0.18440918035247966</v>
      </c>
      <c r="E1173" s="26">
        <v>0.27866522834455376</v>
      </c>
      <c r="G1173" s="9">
        <f t="shared" si="13"/>
        <v>9.5462873268385325E-3</v>
      </c>
    </row>
    <row r="1174" spans="3:7" ht="12.5">
      <c r="C1174" s="27">
        <v>18199.148199428037</v>
      </c>
      <c r="D1174" s="26">
        <v>0.18439463975006104</v>
      </c>
      <c r="E1174" s="26">
        <v>0.27862231626234352</v>
      </c>
      <c r="G1174" s="9">
        <f t="shared" si="13"/>
        <v>9.554265912358301E-3</v>
      </c>
    </row>
    <row r="1175" spans="3:7" ht="12.5">
      <c r="C1175" s="27">
        <v>18244.646069926606</v>
      </c>
      <c r="D1175" s="26">
        <v>0.18438015595782531</v>
      </c>
      <c r="E1175" s="26">
        <v>0.27857952888814064</v>
      </c>
      <c r="G1175" s="9">
        <f t="shared" si="13"/>
        <v>9.5622234069550685E-3</v>
      </c>
    </row>
    <row r="1176" spans="3:7" ht="12.5">
      <c r="C1176" s="27">
        <v>18290.25768510142</v>
      </c>
      <c r="D1176" s="26">
        <v>0.1843657287196768</v>
      </c>
      <c r="E1176" s="26">
        <v>0.27853686588807108</v>
      </c>
      <c r="G1176" s="9">
        <f t="shared" si="13"/>
        <v>9.5701598554050558E-3</v>
      </c>
    </row>
    <row r="1177" spans="3:7" ht="12.5">
      <c r="C1177" s="27">
        <v>18335.983329314171</v>
      </c>
      <c r="D1177" s="26">
        <v>0.18435135778077655</v>
      </c>
      <c r="E1177" s="26">
        <v>0.27849432692869974</v>
      </c>
      <c r="G1177" s="9">
        <f t="shared" si="13"/>
        <v>9.5780753025067524E-3</v>
      </c>
    </row>
    <row r="1178" spans="3:7" ht="12.5">
      <c r="C1178" s="27">
        <v>18381.823287637457</v>
      </c>
      <c r="D1178" s="26">
        <v>0.18433704288753408</v>
      </c>
      <c r="E1178" s="26">
        <v>0.27845191167703431</v>
      </c>
      <c r="G1178" s="9">
        <f t="shared" si="13"/>
        <v>9.5859697930800077E-3</v>
      </c>
    </row>
    <row r="1179" spans="3:7" ht="12.5">
      <c r="C1179" s="27">
        <v>18427.777845856548</v>
      </c>
      <c r="D1179" s="26">
        <v>0.18432278378760453</v>
      </c>
      <c r="E1179" s="26">
        <v>0.27840961980052942</v>
      </c>
      <c r="G1179" s="9">
        <f t="shared" si="13"/>
        <v>9.5938433719643737E-3</v>
      </c>
    </row>
    <row r="1180" spans="3:7" ht="12.5">
      <c r="C1180" s="27">
        <v>18473.847290471189</v>
      </c>
      <c r="D1180" s="26">
        <v>0.18430858022987764</v>
      </c>
      <c r="E1180" s="26">
        <v>0.27836745096709214</v>
      </c>
      <c r="G1180" s="9">
        <f t="shared" si="13"/>
        <v>9.6016960840183616E-3</v>
      </c>
    </row>
    <row r="1181" spans="3:7" ht="12.5">
      <c r="C1181" s="27">
        <v>18520.031908697365</v>
      </c>
      <c r="D1181" s="26">
        <v>0.18429443196447731</v>
      </c>
      <c r="E1181" s="26">
        <v>0.27832540484508506</v>
      </c>
      <c r="G1181" s="9">
        <f t="shared" si="13"/>
        <v>9.609527974117623E-3</v>
      </c>
    </row>
    <row r="1182" spans="3:7" ht="12.5">
      <c r="C1182" s="27">
        <v>18566.331988469108</v>
      </c>
      <c r="D1182" s="26">
        <v>0.1842803387427509</v>
      </c>
      <c r="E1182" s="26">
        <v>0.2782834811033309</v>
      </c>
      <c r="G1182" s="9">
        <f t="shared" si="13"/>
        <v>9.6173390871542863E-3</v>
      </c>
    </row>
    <row r="1183" spans="3:7" ht="12.5">
      <c r="C1183" s="27">
        <v>18612.747818440279</v>
      </c>
      <c r="D1183" s="26">
        <v>0.18426630031726696</v>
      </c>
      <c r="E1183" s="26">
        <v>0.27824167941111605</v>
      </c>
      <c r="G1183" s="9">
        <f t="shared" si="13"/>
        <v>9.6251294680353428E-3</v>
      </c>
    </row>
    <row r="1184" spans="3:7" ht="12.5">
      <c r="C1184" s="27">
        <v>18659.279687986378</v>
      </c>
      <c r="D1184" s="26">
        <v>0.18425231644180648</v>
      </c>
      <c r="E1184" s="26">
        <v>0.27819999943819562</v>
      </c>
      <c r="G1184" s="9">
        <f t="shared" si="13"/>
        <v>9.6328991616816718E-3</v>
      </c>
    </row>
    <row r="1185" spans="3:7" ht="12.5">
      <c r="C1185" s="27">
        <v>18705.927887206344</v>
      </c>
      <c r="D1185" s="26">
        <v>0.18423838687135849</v>
      </c>
      <c r="E1185" s="26">
        <v>0.27815844085479724</v>
      </c>
      <c r="G1185" s="9">
        <f t="shared" si="13"/>
        <v>9.6406482130266796E-3</v>
      </c>
    </row>
    <row r="1186" spans="3:7" ht="12.5">
      <c r="C1186" s="27">
        <v>18752.692706924357</v>
      </c>
      <c r="D1186" s="26">
        <v>0.18422451136211479</v>
      </c>
      <c r="E1186" s="26">
        <v>0.27811700333162392</v>
      </c>
      <c r="G1186" s="9">
        <f t="shared" si="13"/>
        <v>9.6483766670151863E-3</v>
      </c>
    </row>
    <row r="1187" spans="3:7" ht="12.5">
      <c r="C1187" s="27">
        <v>18799.574438691667</v>
      </c>
      <c r="D1187" s="26">
        <v>0.18421068967146179</v>
      </c>
      <c r="E1187" s="26">
        <v>0.27807568653985909</v>
      </c>
      <c r="G1187" s="9">
        <f t="shared" si="13"/>
        <v>9.656084568602407E-3</v>
      </c>
    </row>
    <row r="1188" spans="3:7" ht="12.5">
      <c r="C1188" s="27">
        <v>18846.573374788393</v>
      </c>
      <c r="D1188" s="26">
        <v>0.18419692155797723</v>
      </c>
      <c r="E1188" s="26">
        <v>0.27803449015117038</v>
      </c>
      <c r="G1188" s="9">
        <f t="shared" si="13"/>
        <v>9.6637719627524366E-3</v>
      </c>
    </row>
    <row r="1189" spans="3:7" ht="12.5">
      <c r="C1189" s="27">
        <v>18893.689808225365</v>
      </c>
      <c r="D1189" s="26">
        <v>0.18418320678142303</v>
      </c>
      <c r="E1189" s="26">
        <v>0.27799341383771314</v>
      </c>
      <c r="G1189" s="9">
        <f t="shared" si="13"/>
        <v>9.6714388944373446E-3</v>
      </c>
    </row>
    <row r="1190" spans="3:7" ht="12.5">
      <c r="C1190" s="27">
        <v>18940.924032745927</v>
      </c>
      <c r="D1190" s="26">
        <v>0.18416954510273986</v>
      </c>
      <c r="E1190" s="26">
        <v>0.27795245727213375</v>
      </c>
      <c r="G1190" s="9">
        <f t="shared" si="13"/>
        <v>9.6790854086360196E-3</v>
      </c>
    </row>
    <row r="1191" spans="3:7" ht="12.5">
      <c r="C1191" s="27">
        <v>18988.27634282779</v>
      </c>
      <c r="D1191" s="26">
        <v>0.18415593628403998</v>
      </c>
      <c r="E1191" s="26">
        <v>0.27791162012757376</v>
      </c>
      <c r="G1191" s="9">
        <f t="shared" si="13"/>
        <v>9.6867115503331859E-3</v>
      </c>
    </row>
    <row r="1192" spans="3:7" ht="12.5">
      <c r="C1192" s="27">
        <v>19035.74703368486</v>
      </c>
      <c r="D1192" s="26">
        <v>0.18414238008860498</v>
      </c>
      <c r="E1192" s="26">
        <v>0.27787090207767401</v>
      </c>
      <c r="G1192" s="9">
        <f t="shared" si="13"/>
        <v>9.694317364517719E-3</v>
      </c>
    </row>
    <row r="1193" spans="3:7" ht="12.5">
      <c r="C1193" s="27">
        <v>19083.336401269073</v>
      </c>
      <c r="D1193" s="26">
        <v>0.18412887628087626</v>
      </c>
      <c r="E1193" s="26">
        <v>0.27783030279657761</v>
      </c>
      <c r="G1193" s="9">
        <f t="shared" si="13"/>
        <v>9.7019028961821512E-3</v>
      </c>
    </row>
    <row r="1194" spans="3:7" ht="12.5">
      <c r="C1194" s="27">
        <v>19131.044742272243</v>
      </c>
      <c r="D1194" s="26">
        <v>0.18411542462645145</v>
      </c>
      <c r="E1194" s="26">
        <v>0.27778982195893315</v>
      </c>
      <c r="G1194" s="9">
        <f t="shared" si="13"/>
        <v>9.7094681903213305E-3</v>
      </c>
    </row>
    <row r="1195" spans="3:7" ht="12.5">
      <c r="C1195" s="27">
        <v>19178.872354127921</v>
      </c>
      <c r="D1195" s="26">
        <v>0.18410202489207836</v>
      </c>
      <c r="E1195" s="26">
        <v>0.27774945923989874</v>
      </c>
      <c r="G1195" s="9">
        <f t="shared" si="13"/>
        <v>9.7170132919312865E-3</v>
      </c>
    </row>
    <row r="1196" spans="3:7" ht="12.5">
      <c r="C1196" s="27">
        <v>19226.819535013241</v>
      </c>
      <c r="D1196" s="26">
        <v>0.18408867684564889</v>
      </c>
      <c r="E1196" s="26">
        <v>0.27770921431514584</v>
      </c>
      <c r="G1196" s="9">
        <f t="shared" si="13"/>
        <v>9.7245382460081718E-3</v>
      </c>
    </row>
    <row r="1197" spans="3:7" ht="12.5">
      <c r="C1197" s="27">
        <v>19274.886583850774</v>
      </c>
      <c r="D1197" s="26">
        <v>0.18407538025619419</v>
      </c>
      <c r="E1197" s="26">
        <v>0.27766908686086134</v>
      </c>
      <c r="G1197" s="9">
        <f t="shared" si="13"/>
        <v>9.7320430975472525E-3</v>
      </c>
    </row>
    <row r="1198" spans="3:7" ht="12.5">
      <c r="C1198" s="27">
        <v>19323.073800310398</v>
      </c>
      <c r="D1198" s="26">
        <v>0.18406213489387899</v>
      </c>
      <c r="E1198" s="26">
        <v>0.2776290765537523</v>
      </c>
      <c r="G1198" s="9">
        <f t="shared" si="13"/>
        <v>9.7395278915416664E-3</v>
      </c>
    </row>
    <row r="1199" spans="3:7" ht="12.5">
      <c r="C1199" s="27">
        <v>19371.381484811172</v>
      </c>
      <c r="D1199" s="26">
        <v>0.18404894052999404</v>
      </c>
      <c r="E1199" s="26">
        <v>0.2775891830710483</v>
      </c>
      <c r="G1199" s="9">
        <f t="shared" si="13"/>
        <v>9.7469926729817705E-3</v>
      </c>
    </row>
    <row r="1200" spans="3:7" ht="12.5">
      <c r="C1200" s="27">
        <v>19419.809938523198</v>
      </c>
      <c r="D1200" s="26">
        <v>0.18403579693695438</v>
      </c>
      <c r="E1200" s="26">
        <v>0.27754940609050505</v>
      </c>
      <c r="G1200" s="9">
        <f t="shared" si="13"/>
        <v>9.7544374868535292E-3</v>
      </c>
    </row>
    <row r="1201" spans="3:7" ht="12.5">
      <c r="C1201" s="27">
        <v>19468.359463369507</v>
      </c>
      <c r="D1201" s="26">
        <v>0.18402270388829028</v>
      </c>
      <c r="E1201" s="26">
        <v>0.27750974529040728</v>
      </c>
      <c r="G1201" s="9">
        <f t="shared" si="13"/>
        <v>9.7618623781379893E-3</v>
      </c>
    </row>
    <row r="1202" spans="3:7" ht="12.5">
      <c r="C1202" s="27">
        <v>19517.03036202793</v>
      </c>
      <c r="D1202" s="26">
        <v>0.18400966115864334</v>
      </c>
      <c r="E1202" s="26">
        <v>0.27747020034957248</v>
      </c>
      <c r="G1202" s="9">
        <f t="shared" si="13"/>
        <v>9.7692673918099819E-3</v>
      </c>
    </row>
    <row r="1203" spans="3:7" ht="12.5">
      <c r="C1203" s="27">
        <v>19565.822937933001</v>
      </c>
      <c r="D1203" s="26">
        <v>0.18399666852376073</v>
      </c>
      <c r="E1203" s="26">
        <v>0.2774307709473533</v>
      </c>
      <c r="G1203" s="9">
        <f t="shared" si="13"/>
        <v>9.776652572837212E-3</v>
      </c>
    </row>
    <row r="1204" spans="3:7" ht="12.5">
      <c r="C1204" s="27">
        <v>19614.737495277834</v>
      </c>
      <c r="D1204" s="26">
        <v>0.18398372576049002</v>
      </c>
      <c r="E1204" s="26">
        <v>0.27739145676364135</v>
      </c>
      <c r="G1204" s="9">
        <f t="shared" si="13"/>
        <v>9.784017966179127E-3</v>
      </c>
    </row>
    <row r="1205" spans="3:7" ht="12.5">
      <c r="C1205" s="27">
        <v>19663.774339016029</v>
      </c>
      <c r="D1205" s="26">
        <v>0.18397083264677375</v>
      </c>
      <c r="E1205" s="26">
        <v>0.2773522574788691</v>
      </c>
      <c r="G1205" s="9">
        <f t="shared" si="13"/>
        <v>9.7913636167860762E-3</v>
      </c>
    </row>
    <row r="1206" spans="3:7" ht="12.5">
      <c r="C1206" s="27">
        <v>19712.933774863566</v>
      </c>
      <c r="D1206" s="26">
        <v>0.18395798896164253</v>
      </c>
      <c r="E1206" s="26">
        <v>0.27731317277401374</v>
      </c>
      <c r="G1206" s="9">
        <f t="shared" si="13"/>
        <v>9.7986895695983921E-3</v>
      </c>
    </row>
    <row r="1207" spans="3:7" ht="12.5">
      <c r="C1207" s="27">
        <v>19762.216109300723</v>
      </c>
      <c r="D1207" s="26">
        <v>0.18394519448521263</v>
      </c>
      <c r="E1207" s="26">
        <v>0.27727420233060002</v>
      </c>
      <c r="G1207" s="9">
        <f t="shared" si="13"/>
        <v>9.8059958695450276E-3</v>
      </c>
    </row>
    <row r="1208" spans="3:7" ht="12.5">
      <c r="C1208" s="27">
        <v>19811.621649573975</v>
      </c>
      <c r="D1208" s="26">
        <v>0.18393244899867722</v>
      </c>
      <c r="E1208" s="26">
        <v>0.27723534583070286</v>
      </c>
      <c r="G1208" s="9">
        <f t="shared" si="13"/>
        <v>9.813282561543072E-3</v>
      </c>
    </row>
    <row r="1209" spans="3:7" ht="12.5">
      <c r="C1209" s="27">
        <v>19861.150703697909</v>
      </c>
      <c r="D1209" s="26">
        <v>0.18391975228430396</v>
      </c>
      <c r="E1209" s="26">
        <v>0.27719660295694992</v>
      </c>
      <c r="G1209" s="9">
        <f t="shared" si="13"/>
        <v>9.8205496904964461E-3</v>
      </c>
    </row>
    <row r="1210" spans="3:7" ht="12.5">
      <c r="C1210" s="27">
        <v>19910.803580457152</v>
      </c>
      <c r="D1210" s="26">
        <v>0.18390710412542755</v>
      </c>
      <c r="E1210" s="26">
        <v>0.2771579733925249</v>
      </c>
      <c r="G1210" s="9">
        <f t="shared" ref="G1210:G1227" si="14">((D1210-$D$3)^2+(E1210-$E$3)^2)</f>
        <v>9.8277973012951582E-3</v>
      </c>
    </row>
    <row r="1211" spans="3:7" ht="12.5">
      <c r="C1211" s="27">
        <v>19960.580589408295</v>
      </c>
      <c r="D1211" s="26">
        <v>0.18389450430644616</v>
      </c>
      <c r="E1211" s="26">
        <v>0.27711945682117001</v>
      </c>
      <c r="G1211" s="9">
        <f t="shared" si="14"/>
        <v>9.8350254388141663E-3</v>
      </c>
    </row>
    <row r="1212" spans="3:7">
      <c r="C1212" s="9">
        <v>20010.482040881816</v>
      </c>
      <c r="D1212" s="9">
        <v>0.18388195261281465</v>
      </c>
      <c r="E1212" s="9">
        <v>0.27708105292718804</v>
      </c>
      <c r="G1212" s="9">
        <f t="shared" si="14"/>
        <v>9.8422341479127429E-3</v>
      </c>
    </row>
    <row r="1213" spans="3:7">
      <c r="C1213" s="9">
        <v>20060.50824598402</v>
      </c>
      <c r="D1213" s="9">
        <v>0.18386944883103959</v>
      </c>
      <c r="E1213" s="9">
        <v>0.27704276139544687</v>
      </c>
      <c r="G1213" s="9">
        <f t="shared" si="14"/>
        <v>9.8494234734332504E-3</v>
      </c>
    </row>
    <row r="1214" spans="3:7">
      <c r="C1214" s="9">
        <v>20110.659516598978</v>
      </c>
      <c r="D1214" s="9">
        <v>0.18385699274867526</v>
      </c>
      <c r="E1214" s="9">
        <v>0.27700458191137917</v>
      </c>
      <c r="G1214" s="9">
        <f t="shared" si="14"/>
        <v>9.8565934602004718E-3</v>
      </c>
    </row>
    <row r="1215" spans="3:7">
      <c r="C1215" s="9">
        <v>20160.936165390474</v>
      </c>
      <c r="D1215" s="9">
        <v>0.18384458415431656</v>
      </c>
      <c r="E1215" s="9">
        <v>0.27696651416098833</v>
      </c>
      <c r="G1215" s="9">
        <f t="shared" si="14"/>
        <v>9.8637441530204806E-3</v>
      </c>
    </row>
    <row r="1216" spans="3:7">
      <c r="C1216" s="9">
        <v>20211.338505803949</v>
      </c>
      <c r="D1216" s="9">
        <v>0.18383222283759645</v>
      </c>
      <c r="E1216" s="9">
        <v>0.27692855783084719</v>
      </c>
      <c r="G1216" s="9">
        <f t="shared" si="14"/>
        <v>9.8708755966799358E-3</v>
      </c>
    </row>
    <row r="1217" spans="3:7">
      <c r="C1217" s="9">
        <v>20261.866852068459</v>
      </c>
      <c r="D1217" s="9">
        <v>0.18381990858917779</v>
      </c>
      <c r="E1217" s="9">
        <v>0.27689071260810422</v>
      </c>
      <c r="G1217" s="9">
        <f t="shared" si="14"/>
        <v>9.8779878359450679E-3</v>
      </c>
    </row>
    <row r="1218" spans="3:7">
      <c r="C1218" s="9">
        <v>20312.521519198628</v>
      </c>
      <c r="D1218" s="9">
        <v>0.18380764120074949</v>
      </c>
      <c r="E1218" s="9">
        <v>0.27685297818048321</v>
      </c>
      <c r="G1218" s="9">
        <f t="shared" si="14"/>
        <v>9.8850809155610151E-3</v>
      </c>
    </row>
    <row r="1219" spans="3:7">
      <c r="C1219" s="9">
        <v>20363.302822996622</v>
      </c>
      <c r="D1219" s="9">
        <v>0.18379542046502265</v>
      </c>
      <c r="E1219" s="9">
        <v>0.27681535423628684</v>
      </c>
      <c r="G1219" s="9">
        <f t="shared" si="14"/>
        <v>9.8921548802506261E-3</v>
      </c>
    </row>
    <row r="1220" spans="3:7">
      <c r="C1220" s="9">
        <v>20414.211080054112</v>
      </c>
      <c r="D1220" s="9">
        <v>0.18378324617572342</v>
      </c>
      <c r="E1220" s="9">
        <v>0.27677784046439896</v>
      </c>
      <c r="G1220" s="9">
        <f t="shared" si="14"/>
        <v>9.899209774713872E-3</v>
      </c>
    </row>
    <row r="1221" spans="3:7">
      <c r="C1221" s="9">
        <v>20465.246607754245</v>
      </c>
      <c r="D1221" s="9">
        <v>0.18377111812758906</v>
      </c>
      <c r="E1221" s="9">
        <v>0.27674043655428654</v>
      </c>
      <c r="G1221" s="9">
        <f t="shared" si="14"/>
        <v>9.9062456436269028E-3</v>
      </c>
    </row>
    <row r="1222" spans="3:7">
      <c r="C1222" s="9">
        <v>20516.409724273628</v>
      </c>
      <c r="D1222" s="9">
        <v>0.18375903611636279</v>
      </c>
      <c r="E1222" s="9">
        <v>0.27670314219600217</v>
      </c>
      <c r="G1222" s="9">
        <f t="shared" si="14"/>
        <v>9.9132625316411867E-3</v>
      </c>
    </row>
    <row r="1223" spans="3:7">
      <c r="C1223" s="9">
        <v>20567.70074858431</v>
      </c>
      <c r="D1223" s="9">
        <v>0.18374699993878779</v>
      </c>
      <c r="E1223" s="9">
        <v>0.27666595708018626</v>
      </c>
      <c r="G1223" s="9">
        <f t="shared" si="14"/>
        <v>9.9202604833827993E-3</v>
      </c>
    </row>
    <row r="1224" spans="3:7">
      <c r="C1224" s="9">
        <v>20619.120000455769</v>
      </c>
      <c r="D1224" s="9">
        <v>0.18373500939260465</v>
      </c>
      <c r="E1224" s="9">
        <v>0.27662888089806875</v>
      </c>
      <c r="G1224" s="9">
        <f t="shared" si="14"/>
        <v>9.9272395434513473E-3</v>
      </c>
    </row>
    <row r="1225" spans="3:7">
      <c r="C1225" s="9">
        <v>20670.667800456908</v>
      </c>
      <c r="D1225" s="9">
        <v>0.18372306427654381</v>
      </c>
      <c r="E1225" s="9">
        <v>0.27659191334147204</v>
      </c>
      <c r="G1225" s="9">
        <f t="shared" si="14"/>
        <v>9.9341997564193693E-3</v>
      </c>
    </row>
    <row r="1226" spans="3:7">
      <c r="C1226" s="9">
        <v>20722.34446995805</v>
      </c>
      <c r="D1226" s="9">
        <v>0.18371116439032051</v>
      </c>
      <c r="E1226" s="9">
        <v>0.27655505410281245</v>
      </c>
      <c r="G1226" s="9">
        <f t="shared" si="14"/>
        <v>9.9411411668316532E-3</v>
      </c>
    </row>
    <row r="1227" spans="3:7">
      <c r="C1227" s="9">
        <v>20774.150331132943</v>
      </c>
      <c r="D1227" s="9">
        <v>0.18369930953463265</v>
      </c>
      <c r="E1227" s="9">
        <v>0.2765183028751026</v>
      </c>
      <c r="G1227" s="9">
        <f t="shared" si="14"/>
        <v>9.9480638192039963E-3</v>
      </c>
    </row>
    <row r="1228" spans="3:7">
      <c r="G1228" s="9" t="b">
        <f>GOTO(A10)</f>
        <v>1</v>
      </c>
    </row>
  </sheetData>
  <pageMargins left="0.75" right="0.75" top="1" bottom="1" header="0.5" footer="0.5"/>
  <pageSetup scale="90" orientation="portrait" horizontalDpi="4294967292" verticalDpi="4294967292"/>
  <headerFooter alignWithMargins="0"/>
</xm:macrosheet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X453"/>
  <sheetViews>
    <sheetView workbookViewId="0">
      <selection activeCell="B3" sqref="B3:B83"/>
    </sheetView>
  </sheetViews>
  <sheetFormatPr defaultRowHeight="14.5"/>
  <cols>
    <col min="1" max="1" width="14.54296875" style="202" customWidth="1"/>
    <col min="2" max="2" width="13" style="202" customWidth="1"/>
    <col min="3" max="3" width="12" style="202" customWidth="1"/>
    <col min="4" max="4" width="12.36328125" style="202" customWidth="1"/>
    <col min="5" max="5" width="10.453125" style="202" customWidth="1"/>
    <col min="6" max="6" width="15.453125" style="202" customWidth="1"/>
    <col min="7" max="16" width="9.08984375" style="202"/>
    <col min="17" max="20" width="11.6328125" style="184" customWidth="1"/>
    <col min="21" max="284" width="9.08984375" style="202"/>
  </cols>
  <sheetData>
    <row r="1" spans="1:20" ht="18">
      <c r="A1" s="176"/>
      <c r="B1" s="177"/>
      <c r="C1" s="212" t="s">
        <v>359</v>
      </c>
      <c r="D1" s="178"/>
      <c r="E1" s="178"/>
      <c r="F1" s="178"/>
      <c r="Q1" s="213" t="s">
        <v>354</v>
      </c>
      <c r="R1" s="213"/>
      <c r="S1" s="213"/>
      <c r="T1" s="213"/>
    </row>
    <row r="2" spans="1:20">
      <c r="A2" s="179" t="s">
        <v>348</v>
      </c>
      <c r="B2" s="208" t="s">
        <v>349</v>
      </c>
      <c r="C2" s="180" t="s">
        <v>350</v>
      </c>
      <c r="D2" s="181"/>
      <c r="E2" s="181"/>
      <c r="F2" s="181"/>
      <c r="Q2" s="203"/>
      <c r="R2" s="203" t="s">
        <v>355</v>
      </c>
      <c r="S2" s="203"/>
      <c r="T2" s="203" t="s">
        <v>356</v>
      </c>
    </row>
    <row r="3" spans="1:20">
      <c r="A3" s="182">
        <v>380</v>
      </c>
      <c r="B3" s="209">
        <v>1.8824306472919418E-2</v>
      </c>
      <c r="C3" s="183">
        <f>Calculator!C9</f>
        <v>0.51356239633563705</v>
      </c>
      <c r="D3" s="184"/>
      <c r="E3" s="184"/>
      <c r="F3" s="185"/>
      <c r="Q3" s="204">
        <v>380</v>
      </c>
      <c r="R3" s="205">
        <v>1.8075402569103899E-4</v>
      </c>
      <c r="S3" s="204">
        <v>380</v>
      </c>
      <c r="T3" s="206">
        <f ca="1">TREND(OFFSET(R$3:R$453,MATCH(S3,Q$3:Q$453),0,-2),OFFSET(Q$3:Q$453,MATCH(S3,Q$3:Q$453),0,-2),S3)</f>
        <v>1.8075402569103869E-4</v>
      </c>
    </row>
    <row r="4" spans="1:20" ht="15" thickBot="1">
      <c r="A4" s="182">
        <v>385</v>
      </c>
      <c r="B4" s="210">
        <v>2.3117569352708055E-2</v>
      </c>
      <c r="C4" s="183">
        <f>Calculator!C10</f>
        <v>0.56871729967613449</v>
      </c>
      <c r="D4" s="186" t="s">
        <v>269</v>
      </c>
      <c r="E4" s="187">
        <f>Calculator!G35</f>
        <v>51.509632655521862</v>
      </c>
      <c r="F4" s="188"/>
      <c r="Q4" s="204">
        <v>381</v>
      </c>
      <c r="R4" s="205">
        <v>1.8776473350740999E-4</v>
      </c>
      <c r="S4" s="204">
        <v>385</v>
      </c>
      <c r="T4" s="206">
        <f t="shared" ref="T4:T67" ca="1" si="0">TREND(OFFSET(R$3:R$453,MATCH(S4,Q$3:Q$453),0,-2),OFFSET(Q$3:Q$453,MATCH(S4,Q$3:Q$453),0,-2),S4)</f>
        <v>2.1542939055504366E-4</v>
      </c>
    </row>
    <row r="5" spans="1:20" ht="15" thickBot="1">
      <c r="A5" s="182">
        <v>390</v>
      </c>
      <c r="B5" s="209">
        <v>2.8731836195508585E-2</v>
      </c>
      <c r="C5" s="183">
        <f>Calculator!C11</f>
        <v>0.62762777694334881</v>
      </c>
      <c r="D5" s="189" t="s">
        <v>257</v>
      </c>
      <c r="E5" s="190">
        <f>Calculator!DR26</f>
        <v>83.493404839686065</v>
      </c>
      <c r="F5" s="188"/>
      <c r="Q5" s="204">
        <v>382</v>
      </c>
      <c r="R5" s="205">
        <v>1.9560220758118801E-4</v>
      </c>
      <c r="S5" s="204">
        <v>382</v>
      </c>
      <c r="T5" s="206">
        <f t="shared" ca="1" si="0"/>
        <v>1.9560220758118804E-4</v>
      </c>
    </row>
    <row r="6" spans="1:20">
      <c r="A6" s="182">
        <v>395</v>
      </c>
      <c r="B6" s="210">
        <v>3.2364597093791282E-2</v>
      </c>
      <c r="C6" s="183">
        <f>Calculator!C12</f>
        <v>0.69035395274121736</v>
      </c>
      <c r="D6" s="189" t="s">
        <v>351</v>
      </c>
      <c r="E6" s="191">
        <f>Reference!U3</f>
        <v>2937.9445549488432</v>
      </c>
      <c r="F6" s="192"/>
      <c r="Q6" s="204">
        <v>383</v>
      </c>
      <c r="R6" s="205">
        <v>1.94323555554524E-4</v>
      </c>
      <c r="S6" s="204">
        <v>395</v>
      </c>
      <c r="T6" s="206">
        <f t="shared" ca="1" si="0"/>
        <v>4.4532108066930656E-4</v>
      </c>
    </row>
    <row r="7" spans="1:20">
      <c r="A7" s="182">
        <v>400</v>
      </c>
      <c r="B7" s="209">
        <v>6.6380449141347414E-2</v>
      </c>
      <c r="C7" s="183">
        <f>Calculator!C13</f>
        <v>0.75694387871463786</v>
      </c>
      <c r="D7" s="189" t="s">
        <v>352</v>
      </c>
      <c r="E7" s="193">
        <f>Reference!H18</f>
        <v>-8.1932133886055889E-4</v>
      </c>
      <c r="F7" s="194"/>
      <c r="Q7" s="204">
        <v>384</v>
      </c>
      <c r="R7" s="205">
        <v>2.0632990908886001E-4</v>
      </c>
      <c r="S7" s="204">
        <v>400</v>
      </c>
      <c r="T7" s="206">
        <f t="shared" ca="1" si="0"/>
        <v>9.7982051502022716E-4</v>
      </c>
    </row>
    <row r="8" spans="1:20">
      <c r="A8" s="182">
        <v>405</v>
      </c>
      <c r="B8" s="210">
        <v>0.45409511228533683</v>
      </c>
      <c r="C8" s="183">
        <f>Calculator!C14</f>
        <v>0.82743336498568754</v>
      </c>
      <c r="D8" s="189" t="s">
        <v>353</v>
      </c>
      <c r="E8" s="195">
        <f>683*SUMPRODUCT(B3:B83,xyzs!C6:C86)/SUM(B3:B83)</f>
        <v>370.26591094069863</v>
      </c>
      <c r="F8" s="194"/>
      <c r="Q8" s="204">
        <v>385</v>
      </c>
      <c r="R8" s="205">
        <v>2.1542939055504401E-4</v>
      </c>
      <c r="S8" s="204">
        <v>405</v>
      </c>
      <c r="T8" s="206">
        <f t="shared" ca="1" si="0"/>
        <v>2.3132844656651164E-3</v>
      </c>
    </row>
    <row r="9" spans="1:20">
      <c r="A9" s="182">
        <v>410</v>
      </c>
      <c r="B9" s="209">
        <v>6.4398943196829581E-2</v>
      </c>
      <c r="C9" s="183">
        <f>Calculator!C15</f>
        <v>0.90184590384311203</v>
      </c>
      <c r="D9" s="196"/>
      <c r="E9" s="197"/>
      <c r="F9" s="198"/>
      <c r="Q9" s="204">
        <v>386</v>
      </c>
      <c r="R9" s="205">
        <v>2.2626676047639001E-4</v>
      </c>
      <c r="S9" s="204">
        <v>410</v>
      </c>
      <c r="T9" s="206">
        <f t="shared" ca="1" si="0"/>
        <v>4.7665384929649057E-3</v>
      </c>
    </row>
    <row r="10" spans="1:20">
      <c r="A10" s="182">
        <v>415</v>
      </c>
      <c r="B10" s="210">
        <v>5.2509907529722587E-2</v>
      </c>
      <c r="C10" s="183">
        <f>Calculator!C16</f>
        <v>0.98019268113629998</v>
      </c>
      <c r="D10" s="199"/>
      <c r="E10" s="200"/>
      <c r="F10" s="184"/>
      <c r="Q10" s="204">
        <v>387</v>
      </c>
      <c r="R10" s="205">
        <v>2.3665856084812399E-4</v>
      </c>
      <c r="S10" s="204">
        <v>415</v>
      </c>
      <c r="T10" s="206">
        <f t="shared" ca="1" si="0"/>
        <v>7.1844692368076418E-3</v>
      </c>
    </row>
    <row r="11" spans="1:20">
      <c r="A11" s="182">
        <v>420</v>
      </c>
      <c r="B11" s="209">
        <v>5.8124174372523117E-2</v>
      </c>
      <c r="C11" s="183">
        <f>Calculator!C17</f>
        <v>1.0624726701812641</v>
      </c>
      <c r="D11" s="184"/>
      <c r="E11" s="184"/>
      <c r="F11" s="184"/>
      <c r="Q11" s="204">
        <v>388</v>
      </c>
      <c r="R11" s="205">
        <v>2.4981292640591902E-4</v>
      </c>
      <c r="S11" s="204">
        <v>420</v>
      </c>
      <c r="T11" s="206">
        <f t="shared" ca="1" si="0"/>
        <v>7.0525977730027667E-3</v>
      </c>
    </row>
    <row r="12" spans="1:20">
      <c r="A12" s="182">
        <v>425</v>
      </c>
      <c r="B12" s="210">
        <v>6.3738441215323641E-2</v>
      </c>
      <c r="C12" s="183">
        <f>Calculator!C18</f>
        <v>1.1486728024820738</v>
      </c>
      <c r="D12" s="184"/>
      <c r="E12" s="184"/>
      <c r="F12" s="184"/>
      <c r="Q12" s="204">
        <v>389</v>
      </c>
      <c r="R12" s="205">
        <v>2.6321119139199899E-4</v>
      </c>
      <c r="S12" s="204">
        <v>425</v>
      </c>
      <c r="T12" s="206">
        <f t="shared" ca="1" si="0"/>
        <v>5.0865687838841933E-3</v>
      </c>
    </row>
    <row r="13" spans="1:20">
      <c r="A13" s="182">
        <v>430</v>
      </c>
      <c r="B13" s="209">
        <v>6.9352708058124171E-2</v>
      </c>
      <c r="C13" s="183">
        <f>Calculator!C19</f>
        <v>1.2387682091969834</v>
      </c>
      <c r="D13" s="184"/>
      <c r="E13" s="184"/>
      <c r="F13" s="184"/>
      <c r="Q13" s="204">
        <v>390</v>
      </c>
      <c r="R13" s="205">
        <v>2.7664344713871801E-4</v>
      </c>
      <c r="S13" s="204">
        <v>430</v>
      </c>
      <c r="T13" s="206">
        <f t="shared" ca="1" si="0"/>
        <v>3.714732691973241E-3</v>
      </c>
    </row>
    <row r="14" spans="1:20">
      <c r="A14" s="182">
        <v>435</v>
      </c>
      <c r="B14" s="210">
        <v>1</v>
      </c>
      <c r="C14" s="183">
        <f>Calculator!C20</f>
        <v>1.3327225270247289</v>
      </c>
      <c r="D14" s="184"/>
      <c r="E14" s="184"/>
      <c r="F14" s="184"/>
      <c r="Q14" s="204">
        <v>391</v>
      </c>
      <c r="R14" s="205">
        <v>2.9439166462552098E-4</v>
      </c>
      <c r="S14" s="204">
        <v>435</v>
      </c>
      <c r="T14" s="206">
        <f t="shared" ca="1" si="0"/>
        <v>2.9624345608426847E-3</v>
      </c>
    </row>
    <row r="15" spans="1:20">
      <c r="A15" s="182">
        <v>440</v>
      </c>
      <c r="B15" s="209">
        <v>0.2651915455746367</v>
      </c>
      <c r="C15" s="183">
        <f>Calculator!C21</f>
        <v>1.4304882620411479</v>
      </c>
      <c r="D15" s="184"/>
      <c r="E15" s="184"/>
      <c r="F15" s="184"/>
      <c r="Q15" s="204">
        <v>392</v>
      </c>
      <c r="R15" s="205">
        <v>3.2310079519841899E-4</v>
      </c>
      <c r="S15" s="204">
        <v>440</v>
      </c>
      <c r="T15" s="206">
        <f t="shared" ca="1" si="0"/>
        <v>2.8057124878535893E-3</v>
      </c>
    </row>
    <row r="16" spans="1:20">
      <c r="A16" s="182">
        <v>445</v>
      </c>
      <c r="B16" s="210">
        <v>8.4214002642007915E-2</v>
      </c>
      <c r="C16" s="183">
        <f>Calculator!C22</f>
        <v>1.5320072049686697</v>
      </c>
      <c r="D16" s="184"/>
      <c r="E16" s="184"/>
      <c r="F16" s="184"/>
      <c r="Q16" s="204">
        <v>393</v>
      </c>
      <c r="R16" s="205">
        <v>3.5413260145286402E-4</v>
      </c>
      <c r="S16" s="204">
        <v>445</v>
      </c>
      <c r="T16" s="206">
        <f t="shared" ca="1" si="0"/>
        <v>3.0171411222076894E-3</v>
      </c>
    </row>
    <row r="17" spans="1:20">
      <c r="A17" s="182">
        <v>450</v>
      </c>
      <c r="B17" s="209">
        <v>8.9167767503302506E-2</v>
      </c>
      <c r="C17" s="183">
        <f>Calculator!C23</f>
        <v>1.6372108913994032</v>
      </c>
      <c r="D17" s="184"/>
      <c r="E17" s="184"/>
      <c r="F17" s="184"/>
      <c r="Q17" s="204">
        <v>394</v>
      </c>
      <c r="R17" s="205">
        <v>3.9673571663520799E-4</v>
      </c>
      <c r="S17" s="204">
        <v>450</v>
      </c>
      <c r="T17" s="206">
        <f t="shared" ca="1" si="0"/>
        <v>3.3093729498797683E-3</v>
      </c>
    </row>
    <row r="18" spans="1:20">
      <c r="A18" s="182">
        <v>455</v>
      </c>
      <c r="B18" s="210">
        <v>9.3130779392338173E-2</v>
      </c>
      <c r="C18" s="183">
        <f>Calculator!C24</f>
        <v>1.746021100605208</v>
      </c>
      <c r="D18" s="184"/>
      <c r="E18" s="184"/>
      <c r="F18" s="184"/>
      <c r="Q18" s="204">
        <v>395</v>
      </c>
      <c r="R18" s="205">
        <v>4.4532108066930499E-4</v>
      </c>
      <c r="S18" s="204">
        <v>455</v>
      </c>
      <c r="T18" s="206">
        <f t="shared" ca="1" si="0"/>
        <v>3.537052820653799E-3</v>
      </c>
    </row>
    <row r="19" spans="1:20">
      <c r="A19" s="182">
        <v>460</v>
      </c>
      <c r="B19" s="209">
        <v>9.610303830911493E-2</v>
      </c>
      <c r="C19" s="183">
        <f>Calculator!C25</f>
        <v>1.8583503867442959</v>
      </c>
      <c r="D19" s="184"/>
      <c r="E19" s="184"/>
      <c r="F19" s="184"/>
      <c r="Q19" s="204">
        <v>396</v>
      </c>
      <c r="R19" s="205">
        <v>5.1893491876098003E-4</v>
      </c>
      <c r="S19" s="204">
        <v>460</v>
      </c>
      <c r="T19" s="206">
        <f t="shared" ca="1" si="0"/>
        <v>3.6240394787112312E-3</v>
      </c>
    </row>
    <row r="20" spans="1:20">
      <c r="A20" s="182">
        <v>465</v>
      </c>
      <c r="B20" s="210">
        <v>9.8745046235138703E-2</v>
      </c>
      <c r="C20" s="183">
        <f>Calculator!C26</f>
        <v>1.974102636503255</v>
      </c>
      <c r="D20" s="184"/>
      <c r="E20" s="184"/>
      <c r="F20" s="184"/>
      <c r="Q20" s="204">
        <v>397</v>
      </c>
      <c r="R20" s="205">
        <v>6.1134456625155497E-4</v>
      </c>
      <c r="S20" s="204">
        <v>465</v>
      </c>
      <c r="T20" s="206">
        <f t="shared" ca="1" si="0"/>
        <v>3.6702861408028885E-3</v>
      </c>
    </row>
    <row r="21" spans="1:20">
      <c r="A21" s="182">
        <v>470</v>
      </c>
      <c r="B21" s="209">
        <v>0.10039630118890357</v>
      </c>
      <c r="C21" s="183">
        <f>Calculator!C27</f>
        <v>2.0931736474855192</v>
      </c>
      <c r="D21" s="184"/>
      <c r="E21" s="184"/>
      <c r="F21" s="184"/>
      <c r="Q21" s="204">
        <v>398</v>
      </c>
      <c r="R21" s="205">
        <v>7.0319105466245895E-4</v>
      </c>
      <c r="S21" s="204">
        <v>470</v>
      </c>
      <c r="T21" s="206">
        <f t="shared" ca="1" si="0"/>
        <v>3.6873999906115703E-3</v>
      </c>
    </row>
    <row r="22" spans="1:20">
      <c r="A22" s="182">
        <v>475</v>
      </c>
      <c r="B22" s="210">
        <v>0.10171730515191546</v>
      </c>
      <c r="C22" s="183">
        <f>Calculator!C28</f>
        <v>2.2154517219640533</v>
      </c>
      <c r="D22" s="184"/>
      <c r="E22" s="184"/>
      <c r="F22" s="184"/>
      <c r="Q22" s="204">
        <v>399</v>
      </c>
      <c r="R22" s="205">
        <v>8.2672161243983299E-4</v>
      </c>
      <c r="S22" s="204">
        <v>475</v>
      </c>
      <c r="T22" s="206">
        <f t="shared" ca="1" si="0"/>
        <v>3.7161931318557906E-3</v>
      </c>
    </row>
    <row r="23" spans="1:20">
      <c r="A23" s="182">
        <v>480</v>
      </c>
      <c r="B23" s="209">
        <v>0.10204755614266842</v>
      </c>
      <c r="C23" s="183">
        <f>Calculator!C29</f>
        <v>2.3408182709481693</v>
      </c>
      <c r="D23" s="184"/>
      <c r="E23" s="184"/>
      <c r="F23" s="184"/>
      <c r="Q23" s="204">
        <v>400</v>
      </c>
      <c r="R23" s="205">
        <v>9.7982051502023995E-4</v>
      </c>
      <c r="S23" s="204">
        <v>480</v>
      </c>
      <c r="T23" s="206">
        <f t="shared" ca="1" si="0"/>
        <v>3.7515886753961402E-3</v>
      </c>
    </row>
    <row r="24" spans="1:20">
      <c r="A24" s="182">
        <v>485</v>
      </c>
      <c r="B24" s="210">
        <v>0.10204755614266842</v>
      </c>
      <c r="C24" s="183">
        <f>Calculator!C30</f>
        <v>2.4691484238647461</v>
      </c>
      <c r="D24" s="184"/>
      <c r="E24" s="184"/>
      <c r="F24" s="184"/>
      <c r="Q24" s="204">
        <v>401</v>
      </c>
      <c r="R24" s="205">
        <v>1.18208899283274E-3</v>
      </c>
      <c r="S24" s="204">
        <v>485</v>
      </c>
      <c r="T24" s="206">
        <f t="shared" ca="1" si="0"/>
        <v>3.8948901104852111E-3</v>
      </c>
    </row>
    <row r="25" spans="1:20">
      <c r="A25" s="182">
        <v>490</v>
      </c>
      <c r="B25" s="209">
        <v>0.10369881109643329</v>
      </c>
      <c r="C25" s="183">
        <f>Calculator!C31</f>
        <v>2.6003116395165318</v>
      </c>
      <c r="D25" s="184"/>
      <c r="E25" s="184"/>
      <c r="F25" s="184"/>
      <c r="Q25" s="204">
        <v>402</v>
      </c>
      <c r="R25" s="205">
        <v>1.3804117896048899E-3</v>
      </c>
      <c r="S25" s="204">
        <v>490</v>
      </c>
      <c r="T25" s="206">
        <f t="shared" ca="1" si="0"/>
        <v>4.093672405356498E-3</v>
      </c>
    </row>
    <row r="26" spans="1:20">
      <c r="A26" s="182">
        <v>495</v>
      </c>
      <c r="B26" s="210">
        <v>0.10105680317040951</v>
      </c>
      <c r="C26" s="183">
        <f>Calculator!C32</f>
        <v>2.7341723143474184</v>
      </c>
      <c r="D26" s="184"/>
      <c r="E26" s="184"/>
      <c r="F26" s="184"/>
      <c r="Q26" s="204">
        <v>403</v>
      </c>
      <c r="R26" s="205">
        <v>1.6528088721308599E-3</v>
      </c>
      <c r="S26" s="204">
        <v>495</v>
      </c>
      <c r="T26" s="206">
        <f t="shared" ca="1" si="0"/>
        <v>4.3775095920316129E-3</v>
      </c>
    </row>
    <row r="27" spans="1:20">
      <c r="A27" s="182">
        <v>500</v>
      </c>
      <c r="B27" s="209">
        <v>9.9075297225891673E-2</v>
      </c>
      <c r="C27" s="183">
        <f>Calculator!C33</f>
        <v>2.8705903844130387</v>
      </c>
      <c r="D27" s="184"/>
      <c r="E27" s="184"/>
      <c r="F27" s="184"/>
      <c r="Q27" s="204">
        <v>404</v>
      </c>
      <c r="R27" s="205">
        <v>1.9647038512422498E-3</v>
      </c>
      <c r="S27" s="204">
        <v>500</v>
      </c>
      <c r="T27" s="206">
        <f t="shared" ca="1" si="0"/>
        <v>4.7562013213401921E-3</v>
      </c>
    </row>
    <row r="28" spans="1:20">
      <c r="A28" s="182">
        <v>505</v>
      </c>
      <c r="B28" s="210">
        <v>9.8414795244385733E-2</v>
      </c>
      <c r="C28" s="183">
        <f>Calculator!C34</f>
        <v>3.0094219178190258</v>
      </c>
      <c r="D28" s="184"/>
      <c r="E28" s="184"/>
      <c r="F28" s="184"/>
      <c r="Q28" s="204">
        <v>405</v>
      </c>
      <c r="R28" s="205">
        <v>2.3132844656651198E-3</v>
      </c>
      <c r="S28" s="204">
        <v>505</v>
      </c>
      <c r="T28" s="206">
        <f t="shared" ca="1" si="0"/>
        <v>5.1694197259772381E-3</v>
      </c>
    </row>
    <row r="29" spans="1:20">
      <c r="A29" s="182">
        <v>510</v>
      </c>
      <c r="B29" s="209">
        <v>9.9405548216644643E-2</v>
      </c>
      <c r="C29" s="183">
        <f>Calculator!C35</f>
        <v>3.1505196947457437</v>
      </c>
      <c r="D29" s="184"/>
      <c r="E29" s="184"/>
      <c r="F29" s="184"/>
      <c r="Q29" s="204">
        <v>406</v>
      </c>
      <c r="R29" s="205">
        <v>2.7303753175116998E-3</v>
      </c>
      <c r="S29" s="204">
        <v>510</v>
      </c>
      <c r="T29" s="206">
        <f t="shared" ca="1" si="0"/>
        <v>5.5452279929176507E-3</v>
      </c>
    </row>
    <row r="30" spans="1:20">
      <c r="A30" s="182">
        <v>515</v>
      </c>
      <c r="B30" s="210">
        <v>0.10369881109643329</v>
      </c>
      <c r="C30" s="183">
        <f>Calculator!C36</f>
        <v>3.2937337725239444</v>
      </c>
      <c r="D30" s="184"/>
      <c r="E30" s="184"/>
      <c r="F30" s="184"/>
      <c r="Q30" s="204">
        <v>407</v>
      </c>
      <c r="R30" s="205">
        <v>3.1745553869567201E-3</v>
      </c>
      <c r="S30" s="204">
        <v>515</v>
      </c>
      <c r="T30" s="206">
        <f t="shared" ca="1" si="0"/>
        <v>5.9395591744678677E-3</v>
      </c>
    </row>
    <row r="31" spans="1:20">
      <c r="A31" s="182">
        <v>520</v>
      </c>
      <c r="B31" s="209">
        <v>0.11261558784676354</v>
      </c>
      <c r="C31" s="183">
        <f>Calculator!C37</f>
        <v>3.4389120335582253</v>
      </c>
      <c r="D31" s="184"/>
      <c r="E31" s="184"/>
      <c r="F31" s="184"/>
      <c r="Q31" s="204">
        <v>408</v>
      </c>
      <c r="R31" s="205">
        <v>3.66383292631022E-3</v>
      </c>
      <c r="S31" s="204">
        <v>520</v>
      </c>
      <c r="T31" s="206">
        <f t="shared" ca="1" si="0"/>
        <v>6.314055520425129E-3</v>
      </c>
    </row>
    <row r="32" spans="1:20">
      <c r="A32" s="182">
        <v>525</v>
      </c>
      <c r="B32" s="210">
        <v>0.12879788639365916</v>
      </c>
      <c r="C32" s="183">
        <f>Calculator!C38</f>
        <v>3.5859007142119079</v>
      </c>
      <c r="D32" s="184"/>
      <c r="E32" s="184"/>
      <c r="F32" s="184"/>
      <c r="Q32" s="204">
        <v>409</v>
      </c>
      <c r="R32" s="205">
        <v>4.21810019204875E-3</v>
      </c>
      <c r="S32" s="204">
        <v>525</v>
      </c>
      <c r="T32" s="206">
        <f t="shared" ca="1" si="0"/>
        <v>6.6548290405670299E-3</v>
      </c>
    </row>
    <row r="33" spans="1:20">
      <c r="A33" s="182">
        <v>530</v>
      </c>
      <c r="B33" s="209">
        <v>0.15488771466314399</v>
      </c>
      <c r="C33" s="183">
        <f>Calculator!C39</f>
        <v>3.7345449130674391</v>
      </c>
      <c r="D33" s="184"/>
      <c r="E33" s="184"/>
      <c r="F33" s="184"/>
      <c r="Q33" s="204">
        <v>410</v>
      </c>
      <c r="R33" s="205">
        <v>4.7665384929649196E-3</v>
      </c>
      <c r="S33" s="204">
        <v>530</v>
      </c>
      <c r="T33" s="206">
        <f t="shared" ca="1" si="0"/>
        <v>6.9954190799847993E-3</v>
      </c>
    </row>
    <row r="34" spans="1:20">
      <c r="A34" s="182">
        <v>535</v>
      </c>
      <c r="B34" s="210">
        <v>0.19187582562747688</v>
      </c>
      <c r="C34" s="183">
        <f>Calculator!C40</f>
        <v>3.8846890772584102</v>
      </c>
      <c r="D34" s="184"/>
      <c r="E34" s="184"/>
      <c r="F34" s="184"/>
      <c r="Q34" s="204">
        <v>411</v>
      </c>
      <c r="R34" s="205">
        <v>5.3186481499968999E-3</v>
      </c>
      <c r="S34" s="204">
        <v>535</v>
      </c>
      <c r="T34" s="206">
        <f t="shared" ca="1" si="0"/>
        <v>7.3174312192547109E-3</v>
      </c>
    </row>
    <row r="35" spans="1:20">
      <c r="A35" s="182">
        <v>540</v>
      </c>
      <c r="B35" s="209">
        <v>0.24174372523117568</v>
      </c>
      <c r="C35" s="183">
        <f>Calculator!C41</f>
        <v>4.036177465832905</v>
      </c>
      <c r="D35" s="184"/>
      <c r="E35" s="184"/>
      <c r="F35" s="184"/>
      <c r="Q35" s="204">
        <v>412</v>
      </c>
      <c r="R35" s="205">
        <v>5.8378701754880497E-3</v>
      </c>
      <c r="S35" s="204">
        <v>540</v>
      </c>
      <c r="T35" s="206">
        <f t="shared" ca="1" si="0"/>
        <v>7.6958183605694355E-3</v>
      </c>
    </row>
    <row r="36" spans="1:20">
      <c r="A36" s="182">
        <v>545</v>
      </c>
      <c r="B36" s="210">
        <v>0.74603698811096431</v>
      </c>
      <c r="C36" s="183">
        <f>Calculator!C42</f>
        <v>4.18885458935274</v>
      </c>
      <c r="D36" s="184"/>
      <c r="E36" s="184"/>
      <c r="F36" s="184"/>
      <c r="Q36" s="204">
        <v>413</v>
      </c>
      <c r="R36" s="205">
        <v>6.3381170089030197E-3</v>
      </c>
      <c r="S36" s="204">
        <v>545</v>
      </c>
      <c r="T36" s="206">
        <f t="shared" ca="1" si="0"/>
        <v>8.0712078142960858E-3</v>
      </c>
    </row>
    <row r="37" spans="1:20">
      <c r="A37" s="182">
        <v>550</v>
      </c>
      <c r="B37" s="209">
        <v>0.49900924702774102</v>
      </c>
      <c r="C37" s="183">
        <f>Calculator!C43</f>
        <v>4.3425656251580342</v>
      </c>
      <c r="D37" s="184"/>
      <c r="E37" s="184"/>
      <c r="F37" s="184"/>
      <c r="Q37" s="204">
        <v>414</v>
      </c>
      <c r="R37" s="205">
        <v>6.8506809640233E-3</v>
      </c>
      <c r="S37" s="204">
        <v>550</v>
      </c>
      <c r="T37" s="206">
        <f t="shared" ca="1" si="0"/>
        <v>8.5650632228269075E-3</v>
      </c>
    </row>
    <row r="38" spans="1:20">
      <c r="A38" s="182">
        <v>555</v>
      </c>
      <c r="B38" s="210">
        <v>0.45838837516512548</v>
      </c>
      <c r="C38" s="183">
        <f>Calculator!C44</f>
        <v>4.4971568079335684</v>
      </c>
      <c r="D38" s="184"/>
      <c r="E38" s="184"/>
      <c r="F38" s="184"/>
      <c r="Q38" s="204">
        <v>415</v>
      </c>
      <c r="R38" s="205">
        <v>7.1844692368076401E-3</v>
      </c>
      <c r="S38" s="204">
        <v>555</v>
      </c>
      <c r="T38" s="206">
        <f t="shared" ca="1" si="0"/>
        <v>9.1388891457798993E-3</v>
      </c>
    </row>
    <row r="39" spans="1:20">
      <c r="A39" s="182">
        <v>560</v>
      </c>
      <c r="B39" s="209">
        <v>0.5392998678996036</v>
      </c>
      <c r="C39" s="183">
        <f>Calculator!C45</f>
        <v>4.6524757954006093</v>
      </c>
      <c r="D39" s="184"/>
      <c r="E39" s="184"/>
      <c r="F39" s="184"/>
      <c r="Q39" s="204">
        <v>416</v>
      </c>
      <c r="R39" s="205">
        <v>7.3594277582702296E-3</v>
      </c>
      <c r="S39" s="204">
        <v>560</v>
      </c>
      <c r="T39" s="206">
        <f t="shared" ca="1" si="0"/>
        <v>9.7525402898948343E-3</v>
      </c>
    </row>
    <row r="40" spans="1:20">
      <c r="A40" s="182">
        <v>565</v>
      </c>
      <c r="B40" s="210">
        <v>0.6169088507265521</v>
      </c>
      <c r="C40" s="183">
        <f>Calculator!C46</f>
        <v>4.808372009127635</v>
      </c>
      <c r="D40" s="184"/>
      <c r="E40" s="184"/>
      <c r="F40" s="184"/>
      <c r="Q40" s="204">
        <v>417</v>
      </c>
      <c r="R40" s="205">
        <v>7.4886335199046399E-3</v>
      </c>
      <c r="S40" s="204">
        <v>565</v>
      </c>
      <c r="T40" s="206">
        <f t="shared" ca="1" si="0"/>
        <v>1.0486494265175311E-2</v>
      </c>
    </row>
    <row r="41" spans="1:20">
      <c r="A41" s="182">
        <v>570</v>
      </c>
      <c r="B41" s="209">
        <v>0.68163804491413471</v>
      </c>
      <c r="C41" s="183">
        <f>Calculator!C47</f>
        <v>4.9646969506053011</v>
      </c>
      <c r="D41" s="184"/>
      <c r="E41" s="184"/>
      <c r="F41" s="184"/>
      <c r="Q41" s="204">
        <v>418</v>
      </c>
      <c r="R41" s="205">
        <v>7.50702775757707E-3</v>
      </c>
      <c r="S41" s="204">
        <v>570</v>
      </c>
      <c r="T41" s="206">
        <f t="shared" ca="1" si="0"/>
        <v>1.1168187099239682E-2</v>
      </c>
    </row>
    <row r="42" spans="1:20">
      <c r="A42" s="182">
        <v>575</v>
      </c>
      <c r="B42" s="210">
        <v>0.8018494055482166</v>
      </c>
      <c r="C42" s="183">
        <f>Calculator!C48</f>
        <v>5.1213044928660567</v>
      </c>
      <c r="D42" s="184"/>
      <c r="E42" s="184"/>
      <c r="F42" s="184"/>
      <c r="Q42" s="204">
        <v>419</v>
      </c>
      <c r="R42" s="205">
        <v>7.2266390619975199E-3</v>
      </c>
      <c r="S42" s="204">
        <v>575</v>
      </c>
      <c r="T42" s="206">
        <f t="shared" ca="1" si="0"/>
        <v>1.19706194443681E-2</v>
      </c>
    </row>
    <row r="43" spans="1:20">
      <c r="A43" s="182">
        <v>580</v>
      </c>
      <c r="B43" s="209">
        <v>0.86723910171730512</v>
      </c>
      <c r="C43" s="183">
        <f>Calculator!C49</f>
        <v>5.2780511480479149</v>
      </c>
      <c r="D43" s="184"/>
      <c r="E43" s="184"/>
      <c r="F43" s="184"/>
      <c r="Q43" s="204">
        <v>420</v>
      </c>
      <c r="R43" s="205">
        <v>7.0525977730027598E-3</v>
      </c>
      <c r="S43" s="204">
        <v>580</v>
      </c>
      <c r="T43" s="206">
        <f t="shared" ca="1" si="0"/>
        <v>1.2562112944384501E-2</v>
      </c>
    </row>
    <row r="44" spans="1:20">
      <c r="A44" s="182">
        <v>585</v>
      </c>
      <c r="B44" s="210">
        <v>0.76882430647291944</v>
      </c>
      <c r="C44" s="183">
        <f>Calculator!C50</f>
        <v>5.4347963114057638</v>
      </c>
      <c r="D44" s="184"/>
      <c r="E44" s="184"/>
      <c r="F44" s="184"/>
      <c r="Q44" s="204">
        <v>421</v>
      </c>
      <c r="R44" s="205">
        <v>6.7526307967557602E-3</v>
      </c>
      <c r="S44" s="204">
        <v>585</v>
      </c>
      <c r="T44" s="206">
        <f t="shared" ca="1" si="0"/>
        <v>1.3192620364484896E-2</v>
      </c>
    </row>
    <row r="45" spans="1:20">
      <c r="A45" s="182">
        <v>590</v>
      </c>
      <c r="B45" s="209">
        <v>0.75759577278731838</v>
      </c>
      <c r="C45" s="183">
        <f>Calculator!C51</f>
        <v>5.5914024823632982</v>
      </c>
      <c r="D45" s="184"/>
      <c r="E45" s="184"/>
      <c r="F45" s="184"/>
      <c r="Q45" s="204">
        <v>422</v>
      </c>
      <c r="R45" s="205">
        <v>6.3205869518548202E-3</v>
      </c>
      <c r="S45" s="204">
        <v>590</v>
      </c>
      <c r="T45" s="206">
        <f t="shared" ca="1" si="0"/>
        <v>1.3634428813994195E-2</v>
      </c>
    </row>
    <row r="46" spans="1:20">
      <c r="A46" s="182">
        <v>595</v>
      </c>
      <c r="B46" s="210">
        <v>0.73117569352708056</v>
      </c>
      <c r="C46" s="183">
        <f>Calculator!C52</f>
        <v>5.7477354632750233</v>
      </c>
      <c r="D46" s="184"/>
      <c r="E46" s="184"/>
      <c r="F46" s="184"/>
      <c r="Q46" s="204">
        <v>423</v>
      </c>
      <c r="R46" s="205">
        <v>5.8993869115067299E-3</v>
      </c>
      <c r="S46" s="204">
        <v>595</v>
      </c>
      <c r="T46" s="206">
        <f t="shared" ca="1" si="0"/>
        <v>1.3933333022758006E-2</v>
      </c>
    </row>
    <row r="47" spans="1:20">
      <c r="A47" s="182">
        <v>600</v>
      </c>
      <c r="B47" s="209">
        <v>0.69055482166446502</v>
      </c>
      <c r="C47" s="183">
        <f>Calculator!C53</f>
        <v>5.9036645366316209</v>
      </c>
      <c r="D47" s="184"/>
      <c r="E47" s="184"/>
      <c r="F47" s="184"/>
      <c r="Q47" s="204">
        <v>424</v>
      </c>
      <c r="R47" s="205">
        <v>5.5180252768318198E-3</v>
      </c>
      <c r="S47" s="204">
        <v>600</v>
      </c>
      <c r="T47" s="206">
        <f t="shared" ca="1" si="0"/>
        <v>1.4060417821594999E-2</v>
      </c>
    </row>
    <row r="48" spans="1:20">
      <c r="A48" s="182">
        <v>605</v>
      </c>
      <c r="B48" s="210">
        <v>0.64167767503302509</v>
      </c>
      <c r="C48" s="183">
        <f>Calculator!C54</f>
        <v>6.0590626214946388</v>
      </c>
      <c r="D48" s="184"/>
      <c r="E48" s="184"/>
      <c r="F48" s="184"/>
      <c r="Q48" s="204">
        <v>425</v>
      </c>
      <c r="R48" s="205">
        <v>5.0865687838841803E-3</v>
      </c>
      <c r="S48" s="204">
        <v>605</v>
      </c>
      <c r="T48" s="206">
        <f t="shared" ca="1" si="0"/>
        <v>1.3980964321965899E-2</v>
      </c>
    </row>
    <row r="49" spans="1:20">
      <c r="A49" s="182">
        <v>610</v>
      </c>
      <c r="B49" s="209">
        <v>0.58586525759577268</v>
      </c>
      <c r="C49" s="183">
        <f>Calculator!C55</f>
        <v>6.2138064099882477</v>
      </c>
      <c r="D49" s="184"/>
      <c r="E49" s="184"/>
      <c r="F49" s="184"/>
      <c r="Q49" s="204">
        <v>426</v>
      </c>
      <c r="R49" s="205">
        <v>4.7723565702042503E-3</v>
      </c>
      <c r="S49" s="204">
        <v>610</v>
      </c>
      <c r="T49" s="206">
        <f t="shared" ca="1" si="0"/>
        <v>1.37997509986168E-2</v>
      </c>
    </row>
    <row r="50" spans="1:20">
      <c r="A50" s="182">
        <v>615</v>
      </c>
      <c r="B50" s="210">
        <v>0.52840158520475555</v>
      </c>
      <c r="C50" s="183">
        <f>Calculator!C56</f>
        <v>6.3677764847084841</v>
      </c>
      <c r="D50" s="184"/>
      <c r="E50" s="184"/>
      <c r="F50" s="184"/>
      <c r="Q50" s="204">
        <v>427</v>
      </c>
      <c r="R50" s="205">
        <v>4.4513179486884002E-3</v>
      </c>
      <c r="S50" s="204">
        <v>615</v>
      </c>
      <c r="T50" s="206">
        <f t="shared" ca="1" si="0"/>
        <v>1.33752583030778E-2</v>
      </c>
    </row>
    <row r="51" spans="1:20">
      <c r="A51" s="182">
        <v>620</v>
      </c>
      <c r="B51" s="209">
        <v>0.476221928665786</v>
      </c>
      <c r="C51" s="183">
        <f>Calculator!C57</f>
        <v>6.520857417933505</v>
      </c>
      <c r="D51" s="184"/>
      <c r="E51" s="184"/>
      <c r="F51" s="184"/>
      <c r="Q51" s="204">
        <v>428</v>
      </c>
      <c r="R51" s="205">
        <v>4.1554043509233404E-3</v>
      </c>
      <c r="S51" s="204">
        <v>620</v>
      </c>
      <c r="T51" s="206">
        <f t="shared" ca="1" si="0"/>
        <v>1.2903416822997296E-2</v>
      </c>
    </row>
    <row r="52" spans="1:20">
      <c r="A52" s="182">
        <v>625</v>
      </c>
      <c r="B52" s="210">
        <v>0.41479524438573318</v>
      </c>
      <c r="C52" s="183">
        <f>Calculator!C58</f>
        <v>6.6729378535345596</v>
      </c>
      <c r="D52" s="184"/>
      <c r="E52" s="184"/>
      <c r="F52" s="184"/>
      <c r="Q52" s="204">
        <v>429</v>
      </c>
      <c r="R52" s="205">
        <v>3.9485546818062997E-3</v>
      </c>
      <c r="S52" s="204">
        <v>625</v>
      </c>
      <c r="T52" s="206">
        <f t="shared" ca="1" si="0"/>
        <v>1.2302460608362389E-2</v>
      </c>
    </row>
    <row r="53" spans="1:20">
      <c r="A53" s="182">
        <v>630</v>
      </c>
      <c r="B53" s="209">
        <v>0.36096433289299867</v>
      </c>
      <c r="C53" s="183">
        <f>Calculator!C59</f>
        <v>6.82391057249556</v>
      </c>
      <c r="D53" s="184"/>
      <c r="E53" s="184"/>
      <c r="F53" s="184"/>
      <c r="Q53" s="204">
        <v>430</v>
      </c>
      <c r="R53" s="205">
        <v>3.7147326919732401E-3</v>
      </c>
      <c r="S53" s="204">
        <v>630</v>
      </c>
      <c r="T53" s="206">
        <f t="shared" ca="1" si="0"/>
        <v>1.1605420591333099E-2</v>
      </c>
    </row>
    <row r="54" spans="1:20">
      <c r="A54" s="182">
        <v>635</v>
      </c>
      <c r="B54" s="210">
        <v>0.31439894319682954</v>
      </c>
      <c r="C54" s="183">
        <f>Calculator!C60</f>
        <v>6.9736725429515047</v>
      </c>
      <c r="D54" s="184"/>
      <c r="E54" s="184"/>
      <c r="F54" s="184"/>
      <c r="Q54" s="204">
        <v>431</v>
      </c>
      <c r="R54" s="205">
        <v>3.50547577417322E-3</v>
      </c>
      <c r="S54" s="204">
        <v>635</v>
      </c>
      <c r="T54" s="206">
        <f t="shared" ca="1" si="0"/>
        <v>1.0862579840125605E-2</v>
      </c>
    </row>
    <row r="55" spans="1:20">
      <c r="A55" s="182">
        <v>640</v>
      </c>
      <c r="B55" s="209">
        <v>0.27014531043593126</v>
      </c>
      <c r="C55" s="183">
        <f>Calculator!C61</f>
        <v>7.1221249556524171</v>
      </c>
      <c r="D55" s="184"/>
      <c r="E55" s="184"/>
      <c r="F55" s="184"/>
      <c r="Q55" s="204">
        <v>432</v>
      </c>
      <c r="R55" s="205">
        <v>3.3590868499582798E-3</v>
      </c>
      <c r="S55" s="204">
        <v>640</v>
      </c>
      <c r="T55" s="206">
        <f t="shared" ca="1" si="0"/>
        <v>1.0044356279138703E-2</v>
      </c>
    </row>
    <row r="56" spans="1:20">
      <c r="A56" s="182">
        <v>645</v>
      </c>
      <c r="B56" s="210">
        <v>0.23150594451783355</v>
      </c>
      <c r="C56" s="183">
        <f>Calculator!C62</f>
        <v>7.2691732457511247</v>
      </c>
      <c r="D56" s="184"/>
      <c r="E56" s="184"/>
      <c r="F56" s="184"/>
      <c r="Q56" s="204">
        <v>433</v>
      </c>
      <c r="R56" s="205">
        <v>3.1874155463492999E-3</v>
      </c>
      <c r="S56" s="204">
        <v>645</v>
      </c>
      <c r="T56" s="206">
        <f t="shared" ca="1" si="0"/>
        <v>9.2831564360812413E-3</v>
      </c>
    </row>
    <row r="57" spans="1:20">
      <c r="A57" s="182">
        <v>650</v>
      </c>
      <c r="B57" s="209">
        <v>0.19815059445178335</v>
      </c>
      <c r="C57" s="183">
        <f>Calculator!C63</f>
        <v>7.4147271018001319</v>
      </c>
      <c r="D57" s="184"/>
      <c r="E57" s="184"/>
      <c r="F57" s="184"/>
      <c r="Q57" s="204">
        <v>434</v>
      </c>
      <c r="R57" s="205">
        <v>3.0588971129178999E-3</v>
      </c>
      <c r="S57" s="204">
        <v>650</v>
      </c>
      <c r="T57" s="206">
        <f t="shared" ca="1" si="0"/>
        <v>8.4872033638581507E-3</v>
      </c>
    </row>
    <row r="58" spans="1:20">
      <c r="A58" s="182">
        <v>655</v>
      </c>
      <c r="B58" s="210">
        <v>0.16875825627476884</v>
      </c>
      <c r="C58" s="183">
        <f>Calculator!C64</f>
        <v>7.5587004628266463</v>
      </c>
      <c r="D58" s="184"/>
      <c r="E58" s="184"/>
      <c r="F58" s="184"/>
      <c r="Q58" s="204">
        <v>435</v>
      </c>
      <c r="R58" s="205">
        <v>2.9624345608426799E-3</v>
      </c>
      <c r="S58" s="204">
        <v>655</v>
      </c>
      <c r="T58" s="206">
        <f t="shared" ca="1" si="0"/>
        <v>7.7501760888327165E-3</v>
      </c>
    </row>
    <row r="59" spans="1:20">
      <c r="A59" s="182">
        <v>660</v>
      </c>
      <c r="B59" s="209">
        <v>0.14398943196829592</v>
      </c>
      <c r="C59" s="183">
        <f>Calculator!C65</f>
        <v>7.7010115043346135</v>
      </c>
      <c r="D59" s="184"/>
      <c r="E59" s="184"/>
      <c r="F59" s="184"/>
      <c r="Q59" s="204">
        <v>436</v>
      </c>
      <c r="R59" s="205">
        <v>2.88076003448858E-3</v>
      </c>
      <c r="S59" s="204">
        <v>660</v>
      </c>
      <c r="T59" s="206">
        <f t="shared" ca="1" si="0"/>
        <v>7.0102658246127131E-3</v>
      </c>
    </row>
    <row r="60" spans="1:20">
      <c r="A60" s="182">
        <v>665</v>
      </c>
      <c r="B60" s="210">
        <v>0.12186261558784675</v>
      </c>
      <c r="C60" s="183">
        <f>Calculator!C66</f>
        <v>7.8415826140602896</v>
      </c>
      <c r="D60" s="184"/>
      <c r="E60" s="184"/>
      <c r="F60" s="184"/>
      <c r="Q60" s="204">
        <v>437</v>
      </c>
      <c r="R60" s="205">
        <v>2.85611566287409E-3</v>
      </c>
      <c r="S60" s="204">
        <v>665</v>
      </c>
      <c r="T60" s="206">
        <f t="shared" ca="1" si="0"/>
        <v>6.344628057936591E-3</v>
      </c>
    </row>
    <row r="61" spans="1:20">
      <c r="A61" s="182">
        <v>670</v>
      </c>
      <c r="B61" s="209">
        <v>0.10336856010568031</v>
      </c>
      <c r="C61" s="183">
        <f>Calculator!C67</f>
        <v>7.9803403582829207</v>
      </c>
      <c r="D61" s="184"/>
      <c r="E61" s="184"/>
      <c r="F61" s="184"/>
      <c r="Q61" s="204">
        <v>438</v>
      </c>
      <c r="R61" s="205">
        <v>2.8005730977282602E-3</v>
      </c>
      <c r="S61" s="204">
        <v>670</v>
      </c>
      <c r="T61" s="206">
        <f t="shared" ca="1" si="0"/>
        <v>5.6854588381464732E-3</v>
      </c>
    </row>
    <row r="62" spans="1:20">
      <c r="A62" s="182">
        <v>675</v>
      </c>
      <c r="B62" s="210">
        <v>8.7186261558784672E-2</v>
      </c>
      <c r="C62" s="183">
        <f>Calculator!C68</f>
        <v>8.1172154394654807</v>
      </c>
      <c r="D62" s="184"/>
      <c r="E62" s="184"/>
      <c r="F62" s="184"/>
      <c r="Q62" s="204">
        <v>439</v>
      </c>
      <c r="R62" s="205">
        <v>2.8139053723692199E-3</v>
      </c>
      <c r="S62" s="204">
        <v>675</v>
      </c>
      <c r="T62" s="206">
        <f t="shared" ca="1" si="0"/>
        <v>5.0549520972781314E-3</v>
      </c>
    </row>
    <row r="63" spans="1:20">
      <c r="A63" s="182">
        <v>680</v>
      </c>
      <c r="B63" s="209">
        <v>7.3976221928665792E-2</v>
      </c>
      <c r="C63" s="183">
        <f>Calculator!C69</f>
        <v>8.2521426459722047</v>
      </c>
      <c r="D63" s="184"/>
      <c r="E63" s="184"/>
      <c r="F63" s="184"/>
      <c r="Q63" s="204">
        <v>440</v>
      </c>
      <c r="R63" s="205">
        <v>2.8057124878535901E-3</v>
      </c>
      <c r="S63" s="204">
        <v>680</v>
      </c>
      <c r="T63" s="206">
        <f t="shared" ca="1" si="0"/>
        <v>4.4922856826055402E-3</v>
      </c>
    </row>
    <row r="64" spans="1:20">
      <c r="A64" s="182">
        <v>685</v>
      </c>
      <c r="B64" s="210">
        <v>6.3077939233817701E-2</v>
      </c>
      <c r="C64" s="183">
        <f>Calculator!C70</f>
        <v>8.3850607945803048</v>
      </c>
      <c r="D64" s="184"/>
      <c r="E64" s="184"/>
      <c r="F64" s="184"/>
      <c r="Q64" s="204">
        <v>441</v>
      </c>
      <c r="R64" s="205">
        <v>2.8381448986591201E-3</v>
      </c>
      <c r="S64" s="204">
        <v>685</v>
      </c>
      <c r="T64" s="206">
        <f t="shared" ca="1" si="0"/>
        <v>3.9699136191954504E-3</v>
      </c>
    </row>
    <row r="65" spans="1:20">
      <c r="A65" s="182">
        <v>690</v>
      </c>
      <c r="B65" s="209">
        <v>5.6142668428005284E-2</v>
      </c>
      <c r="C65" s="183">
        <f>Calculator!C71</f>
        <v>8.5159126664731541</v>
      </c>
      <c r="D65" s="184"/>
      <c r="E65" s="201">
        <v>0</v>
      </c>
      <c r="F65" s="201">
        <v>0</v>
      </c>
      <c r="Q65" s="204">
        <v>442</v>
      </c>
      <c r="R65" s="205">
        <v>2.8691751366890302E-3</v>
      </c>
      <c r="S65" s="204">
        <v>690</v>
      </c>
      <c r="T65" s="206">
        <f t="shared" ca="1" si="0"/>
        <v>3.5221647879074419E-3</v>
      </c>
    </row>
    <row r="66" spans="1:20">
      <c r="A66" s="182">
        <v>695</v>
      </c>
      <c r="B66" s="210">
        <v>4.590488771466314E-2</v>
      </c>
      <c r="C66" s="183">
        <f>Calculator!C72</f>
        <v>8.6446449373714369</v>
      </c>
      <c r="D66" s="184"/>
      <c r="E66" s="201">
        <v>100</v>
      </c>
      <c r="F66" s="201">
        <v>100</v>
      </c>
      <c r="Q66" s="204">
        <v>443</v>
      </c>
      <c r="R66" s="205">
        <v>2.9290925550739702E-3</v>
      </c>
      <c r="S66" s="204">
        <v>695</v>
      </c>
      <c r="T66" s="206">
        <f t="shared" ca="1" si="0"/>
        <v>3.0912740691339882E-3</v>
      </c>
    </row>
    <row r="67" spans="1:20">
      <c r="A67" s="182">
        <v>700</v>
      </c>
      <c r="B67" s="209">
        <v>3.8969616908850722E-2</v>
      </c>
      <c r="C67" s="183">
        <f>Calculator!C73</f>
        <v>8.7712081024278774</v>
      </c>
      <c r="D67" s="184"/>
      <c r="E67" s="201">
        <v>0</v>
      </c>
      <c r="F67" s="201">
        <v>200</v>
      </c>
      <c r="Q67" s="204">
        <v>444</v>
      </c>
      <c r="R67" s="205">
        <v>2.9892101658884102E-3</v>
      </c>
      <c r="S67" s="204">
        <v>700</v>
      </c>
      <c r="T67" s="206">
        <f t="shared" ca="1" si="0"/>
        <v>2.7182385016267588E-3</v>
      </c>
    </row>
    <row r="68" spans="1:20">
      <c r="A68" s="182">
        <v>705</v>
      </c>
      <c r="B68" s="210">
        <v>3.4015852047556146E-2</v>
      </c>
      <c r="C68" s="183">
        <f>Calculator!C74</f>
        <v>8.8955563964798205</v>
      </c>
      <c r="D68" s="184"/>
      <c r="E68" s="184"/>
      <c r="F68" s="184"/>
      <c r="Q68" s="204">
        <v>445</v>
      </c>
      <c r="R68" s="205">
        <v>3.0171411222076898E-3</v>
      </c>
      <c r="S68" s="204">
        <v>705</v>
      </c>
      <c r="T68" s="206">
        <f t="shared" ref="T68:T83" ca="1" si="1">TREND(OFFSET(R$3:R$453,MATCH(S68,Q$3:Q$453),0,-2),OFFSET(Q$3:Q$453,MATCH(S68,Q$3:Q$453),0,-2),S68)</f>
        <v>2.3692224170342585E-3</v>
      </c>
    </row>
    <row r="69" spans="1:20">
      <c r="A69" s="182">
        <v>710</v>
      </c>
      <c r="B69" s="209">
        <v>2.9062087186261559E-2</v>
      </c>
      <c r="C69" s="183">
        <f>Calculator!C75</f>
        <v>9.0176477102233026</v>
      </c>
      <c r="D69" s="184"/>
      <c r="E69" s="184"/>
      <c r="F69" s="184"/>
      <c r="Q69" s="204">
        <v>446</v>
      </c>
      <c r="R69" s="205">
        <v>3.0737433423033401E-3</v>
      </c>
      <c r="S69" s="204">
        <v>710</v>
      </c>
      <c r="T69" s="206">
        <f t="shared" ca="1" si="1"/>
        <v>2.0848494228192099E-3</v>
      </c>
    </row>
    <row r="70" spans="1:20">
      <c r="A70" s="182">
        <v>715</v>
      </c>
      <c r="B70" s="210">
        <v>2.4438573315719945E-2</v>
      </c>
      <c r="C70" s="183">
        <f>Calculator!C76</f>
        <v>9.1374435028411014</v>
      </c>
      <c r="D70" s="184"/>
      <c r="E70" s="184"/>
      <c r="F70" s="184"/>
      <c r="Q70" s="204">
        <v>447</v>
      </c>
      <c r="R70" s="205">
        <v>3.13948257101907E-3</v>
      </c>
      <c r="S70" s="204">
        <v>715</v>
      </c>
      <c r="T70" s="206">
        <f t="shared" ca="1" si="1"/>
        <v>1.8197883261768799E-3</v>
      </c>
    </row>
    <row r="71" spans="1:20">
      <c r="A71" s="182">
        <v>720</v>
      </c>
      <c r="B71" s="209">
        <v>2.1136063408190225E-2</v>
      </c>
      <c r="C71" s="183">
        <f>Calculator!C77</f>
        <v>9.2549087115871647</v>
      </c>
      <c r="D71" s="184"/>
      <c r="E71" s="184"/>
      <c r="F71" s="184"/>
      <c r="Q71" s="204">
        <v>448</v>
      </c>
      <c r="R71" s="205">
        <v>3.2094669539334199E-3</v>
      </c>
      <c r="S71" s="204">
        <v>720</v>
      </c>
      <c r="T71" s="206">
        <f t="shared" ca="1" si="1"/>
        <v>1.5874374934729263E-3</v>
      </c>
    </row>
    <row r="72" spans="1:20">
      <c r="A72" s="182">
        <v>725</v>
      </c>
      <c r="B72" s="210">
        <v>1.7833553500660501E-2</v>
      </c>
      <c r="C72" s="183">
        <f>Calculator!C78</f>
        <v>9.3700116588001841</v>
      </c>
      <c r="D72" s="184"/>
      <c r="E72" s="184"/>
      <c r="F72" s="184"/>
      <c r="Q72" s="204">
        <v>449</v>
      </c>
      <c r="R72" s="205">
        <v>3.2476710476528402E-3</v>
      </c>
      <c r="S72" s="204">
        <v>725</v>
      </c>
      <c r="T72" s="206">
        <f t="shared" ca="1" si="1"/>
        <v>1.3822522720688332E-3</v>
      </c>
    </row>
    <row r="73" spans="1:20">
      <c r="A73" s="182">
        <v>730</v>
      </c>
      <c r="B73" s="209">
        <v>1.6182298546895641E-2</v>
      </c>
      <c r="C73" s="183">
        <f>Calculator!C79</f>
        <v>9.4827239567895774</v>
      </c>
      <c r="D73" s="184"/>
      <c r="E73" s="184"/>
      <c r="F73" s="184"/>
      <c r="Q73" s="204">
        <v>450</v>
      </c>
      <c r="R73" s="205">
        <v>3.30937294987977E-3</v>
      </c>
      <c r="S73" s="204">
        <v>730</v>
      </c>
      <c r="T73" s="206">
        <f t="shared" ca="1" si="1"/>
        <v>1.2030905284910083E-3</v>
      </c>
    </row>
    <row r="74" spans="1:20">
      <c r="A74" s="182">
        <v>735</v>
      </c>
      <c r="B74" s="210">
        <v>1.5191545574636724E-2</v>
      </c>
      <c r="C74" s="183">
        <f>Calculator!C80</f>
        <v>9.593020411009153</v>
      </c>
      <c r="D74" s="184"/>
      <c r="E74" s="184"/>
      <c r="F74" s="184"/>
      <c r="Q74" s="204">
        <v>451</v>
      </c>
      <c r="R74" s="205">
        <v>3.3449037198411799E-3</v>
      </c>
      <c r="S74" s="204">
        <v>735</v>
      </c>
      <c r="T74" s="206">
        <f t="shared" ca="1" si="1"/>
        <v>1.0327210198580704E-3</v>
      </c>
    </row>
    <row r="75" spans="1:20">
      <c r="A75" s="182">
        <v>740</v>
      </c>
      <c r="B75" s="209">
        <v>1.3870541611624834E-2</v>
      </c>
      <c r="C75" s="183">
        <f>Calculator!C81</f>
        <v>9.7008789219059004</v>
      </c>
      <c r="D75" s="184"/>
      <c r="E75" s="184"/>
      <c r="F75" s="184"/>
      <c r="Q75" s="204">
        <v>452</v>
      </c>
      <c r="R75" s="205">
        <v>3.38976027618095E-3</v>
      </c>
      <c r="S75" s="204">
        <v>740</v>
      </c>
      <c r="T75" s="206">
        <f t="shared" ca="1" si="1"/>
        <v>9.0469958092995184E-4</v>
      </c>
    </row>
    <row r="76" spans="1:20">
      <c r="A76" s="182">
        <v>745</v>
      </c>
      <c r="B76" s="210">
        <v>1.2219286657859972E-2</v>
      </c>
      <c r="C76" s="183">
        <f>Calculator!C82</f>
        <v>9.8062803858049481</v>
      </c>
      <c r="D76" s="184"/>
      <c r="E76" s="184"/>
      <c r="F76" s="184"/>
      <c r="Q76" s="204">
        <v>453</v>
      </c>
      <c r="R76" s="205">
        <v>3.4435110380554401E-3</v>
      </c>
      <c r="S76" s="204">
        <v>745</v>
      </c>
      <c r="T76" s="206">
        <f t="shared" ca="1" si="1"/>
        <v>7.8588587817870689E-4</v>
      </c>
    </row>
    <row r="77" spans="1:20">
      <c r="A77" s="182">
        <v>750</v>
      </c>
      <c r="B77" s="209">
        <v>1.2219286657859972E-2</v>
      </c>
      <c r="C77" s="183">
        <f>Calculator!C83</f>
        <v>9.9092085951654774</v>
      </c>
      <c r="D77" s="184"/>
      <c r="E77" s="184"/>
      <c r="F77" s="184"/>
      <c r="Q77" s="204">
        <v>454</v>
      </c>
      <c r="R77" s="205">
        <v>3.4684121743534099E-3</v>
      </c>
      <c r="S77" s="204">
        <v>750</v>
      </c>
      <c r="T77" s="206">
        <f t="shared" ca="1" si="1"/>
        <v>6.847243711548736E-4</v>
      </c>
    </row>
    <row r="78" spans="1:20">
      <c r="A78" s="182">
        <v>755</v>
      </c>
      <c r="B78" s="210">
        <v>1.0898282694848084E-2</v>
      </c>
      <c r="C78" s="183">
        <f>Calculator!C84</f>
        <v>10.009650138518269</v>
      </c>
      <c r="D78" s="184"/>
      <c r="E78" s="184"/>
      <c r="F78" s="184"/>
      <c r="Q78" s="204">
        <v>455</v>
      </c>
      <c r="R78" s="205">
        <v>3.5370528206537999E-3</v>
      </c>
      <c r="S78" s="204">
        <v>755</v>
      </c>
      <c r="T78" s="206">
        <f t="shared" ca="1" si="1"/>
        <v>5.9566915913701439E-4</v>
      </c>
    </row>
    <row r="79" spans="1:20">
      <c r="A79" s="182">
        <v>760</v>
      </c>
      <c r="B79" s="209">
        <v>1.1558784676354027E-2</v>
      </c>
      <c r="C79" s="183">
        <f>Calculator!C85</f>
        <v>10.107594300371147</v>
      </c>
      <c r="D79" s="184"/>
      <c r="E79" s="184"/>
      <c r="F79" s="184"/>
      <c r="Q79" s="204">
        <v>456</v>
      </c>
      <c r="R79" s="205">
        <v>3.5617806133279601E-3</v>
      </c>
      <c r="S79" s="204">
        <v>760</v>
      </c>
      <c r="T79" s="206">
        <f t="shared" ca="1" si="1"/>
        <v>5.2361454725960085E-4</v>
      </c>
    </row>
    <row r="80" spans="1:20">
      <c r="A80" s="182">
        <v>765</v>
      </c>
      <c r="B80" s="210">
        <v>1.1889035667107001E-2</v>
      </c>
      <c r="C80" s="183">
        <f>Calculator!C86</f>
        <v>10.203032961346086</v>
      </c>
      <c r="D80" s="184"/>
      <c r="E80" s="184"/>
      <c r="F80" s="184"/>
      <c r="Q80" s="204">
        <v>457</v>
      </c>
      <c r="R80" s="205">
        <v>3.5895608695290099E-3</v>
      </c>
      <c r="S80" s="204">
        <v>765</v>
      </c>
      <c r="T80" s="206">
        <f t="shared" ca="1" si="1"/>
        <v>4.611195592421468E-4</v>
      </c>
    </row>
    <row r="81" spans="1:20">
      <c r="A81" s="182">
        <v>770</v>
      </c>
      <c r="B81" s="209">
        <v>1.0237780713342139E-2</v>
      </c>
      <c r="C81" s="183">
        <f>Calculator!C87</f>
        <v>10.295960498789814</v>
      </c>
      <c r="D81" s="184"/>
      <c r="E81" s="184"/>
      <c r="F81" s="184"/>
      <c r="Q81" s="204">
        <v>458</v>
      </c>
      <c r="R81" s="205">
        <v>3.6040807761602098E-3</v>
      </c>
      <c r="S81" s="204">
        <v>770</v>
      </c>
      <c r="T81" s="206">
        <f t="shared" ca="1" si="1"/>
        <v>4.0453918093917053E-4</v>
      </c>
    </row>
    <row r="82" spans="1:20">
      <c r="A82" s="182">
        <v>775</v>
      </c>
      <c r="B82" s="210">
        <v>8.5865257595772789E-3</v>
      </c>
      <c r="C82" s="183">
        <f>Calculator!C88</f>
        <v>10.386373688079253</v>
      </c>
      <c r="D82" s="184"/>
      <c r="E82" s="184"/>
      <c r="F82" s="184"/>
      <c r="Q82" s="204">
        <v>459</v>
      </c>
      <c r="R82" s="205">
        <v>3.62863389735476E-3</v>
      </c>
      <c r="S82" s="204">
        <v>775</v>
      </c>
      <c r="T82" s="206">
        <f t="shared" ca="1" si="1"/>
        <v>3.5638203579638206E-4</v>
      </c>
    </row>
    <row r="83" spans="1:20">
      <c r="A83" s="182">
        <v>780</v>
      </c>
      <c r="B83" s="209">
        <v>6.2747688243064729E-3</v>
      </c>
      <c r="C83" s="183">
        <f>Calculator!C89</f>
        <v>10.474271604822833</v>
      </c>
      <c r="D83" s="184"/>
      <c r="E83" s="184"/>
      <c r="F83" s="184"/>
      <c r="Q83" s="204">
        <v>460</v>
      </c>
      <c r="R83" s="205">
        <v>3.6240394787112299E-3</v>
      </c>
      <c r="S83" s="204">
        <v>780</v>
      </c>
      <c r="T83" s="206">
        <f t="shared" ca="1" si="1"/>
        <v>3.1617575889028582E-4</v>
      </c>
    </row>
    <row r="84" spans="1:20">
      <c r="Q84" s="204">
        <v>461</v>
      </c>
      <c r="R84" s="205">
        <v>3.64468406061092E-3</v>
      </c>
      <c r="S84" s="204"/>
      <c r="T84" s="204"/>
    </row>
    <row r="85" spans="1:20">
      <c r="Q85" s="204">
        <v>462</v>
      </c>
      <c r="R85" s="205">
        <v>3.6789503183700199E-3</v>
      </c>
      <c r="S85" s="204"/>
      <c r="T85" s="204"/>
    </row>
    <row r="86" spans="1:20">
      <c r="Q86" s="204">
        <v>463</v>
      </c>
      <c r="R86" s="205">
        <v>3.6681618205177602E-3</v>
      </c>
      <c r="S86" s="204"/>
      <c r="T86" s="204"/>
    </row>
    <row r="87" spans="1:20">
      <c r="Q87" s="204">
        <v>464</v>
      </c>
      <c r="R87" s="205">
        <v>3.6706691235180401E-3</v>
      </c>
      <c r="S87" s="204"/>
      <c r="T87" s="204"/>
    </row>
    <row r="88" spans="1:20">
      <c r="Q88" s="204">
        <v>465</v>
      </c>
      <c r="R88" s="205">
        <v>3.6702861408028902E-3</v>
      </c>
      <c r="S88" s="204"/>
      <c r="T88" s="204"/>
    </row>
    <row r="89" spans="1:20">
      <c r="Q89" s="204">
        <v>466</v>
      </c>
      <c r="R89" s="205">
        <v>3.6976594065498301E-3</v>
      </c>
      <c r="S89" s="204"/>
      <c r="T89" s="204"/>
    </row>
    <row r="90" spans="1:20">
      <c r="Q90" s="204">
        <v>467</v>
      </c>
      <c r="R90" s="205">
        <v>3.7009011211552598E-3</v>
      </c>
      <c r="S90" s="204"/>
      <c r="T90" s="204"/>
    </row>
    <row r="91" spans="1:20">
      <c r="Q91" s="204">
        <v>468</v>
      </c>
      <c r="R91" s="205">
        <v>3.6925237920998502E-3</v>
      </c>
      <c r="S91" s="204"/>
      <c r="T91" s="204"/>
    </row>
    <row r="92" spans="1:20">
      <c r="Q92" s="204">
        <v>469</v>
      </c>
      <c r="R92" s="205">
        <v>3.6786918799725401E-3</v>
      </c>
      <c r="S92" s="204"/>
      <c r="T92" s="204"/>
    </row>
    <row r="93" spans="1:20">
      <c r="Q93" s="204">
        <v>470</v>
      </c>
      <c r="R93" s="205">
        <v>3.6873999906115698E-3</v>
      </c>
      <c r="S93" s="204"/>
      <c r="T93" s="204"/>
    </row>
    <row r="94" spans="1:20">
      <c r="Q94" s="204">
        <v>471</v>
      </c>
      <c r="R94" s="205">
        <v>3.6723573224764199E-3</v>
      </c>
      <c r="S94" s="204"/>
      <c r="T94" s="204"/>
    </row>
    <row r="95" spans="1:20">
      <c r="Q95" s="204">
        <v>472</v>
      </c>
      <c r="R95" s="205">
        <v>3.6958804808188699E-3</v>
      </c>
      <c r="S95" s="204"/>
      <c r="T95" s="204"/>
    </row>
    <row r="96" spans="1:20">
      <c r="Q96" s="204">
        <v>473</v>
      </c>
      <c r="R96" s="205">
        <v>3.6762651058136401E-3</v>
      </c>
      <c r="S96" s="204"/>
      <c r="T96" s="204"/>
    </row>
    <row r="97" spans="17:20">
      <c r="Q97" s="204">
        <v>474</v>
      </c>
      <c r="R97" s="205">
        <v>3.6824249091089098E-3</v>
      </c>
      <c r="S97" s="204"/>
      <c r="T97" s="204"/>
    </row>
    <row r="98" spans="17:20">
      <c r="Q98" s="204">
        <v>475</v>
      </c>
      <c r="R98" s="205">
        <v>3.7161931318557902E-3</v>
      </c>
      <c r="S98" s="204"/>
      <c r="T98" s="204"/>
    </row>
    <row r="99" spans="17:20">
      <c r="Q99" s="204">
        <v>476</v>
      </c>
      <c r="R99" s="205">
        <v>3.7133242500265199E-3</v>
      </c>
      <c r="S99" s="204"/>
      <c r="T99" s="204"/>
    </row>
    <row r="100" spans="17:20">
      <c r="Q100" s="204">
        <v>477</v>
      </c>
      <c r="R100" s="205">
        <v>3.70800635248817E-3</v>
      </c>
      <c r="S100" s="204"/>
      <c r="T100" s="204"/>
    </row>
    <row r="101" spans="17:20">
      <c r="Q101" s="204">
        <v>478</v>
      </c>
      <c r="R101" s="205">
        <v>3.7104100145969698E-3</v>
      </c>
      <c r="S101" s="204"/>
      <c r="T101" s="204"/>
    </row>
    <row r="102" spans="17:20">
      <c r="Q102" s="204">
        <v>479</v>
      </c>
      <c r="R102" s="205">
        <v>3.7365104938622898E-3</v>
      </c>
      <c r="S102" s="204"/>
      <c r="T102" s="204"/>
    </row>
    <row r="103" spans="17:20">
      <c r="Q103" s="204">
        <v>480</v>
      </c>
      <c r="R103" s="205">
        <v>3.7515886753961402E-3</v>
      </c>
      <c r="S103" s="204"/>
      <c r="T103" s="204"/>
    </row>
    <row r="104" spans="17:20">
      <c r="Q104" s="204">
        <v>481</v>
      </c>
      <c r="R104" s="205">
        <v>3.7849974351002501E-3</v>
      </c>
      <c r="S104" s="204"/>
      <c r="T104" s="204"/>
    </row>
    <row r="105" spans="17:20">
      <c r="Q105" s="204">
        <v>482</v>
      </c>
      <c r="R105" s="205">
        <v>3.79695817491347E-3</v>
      </c>
      <c r="S105" s="204"/>
      <c r="T105" s="204"/>
    </row>
    <row r="106" spans="17:20">
      <c r="Q106" s="204">
        <v>483</v>
      </c>
      <c r="R106" s="205">
        <v>3.8196939642384099E-3</v>
      </c>
      <c r="S106" s="204"/>
      <c r="T106" s="204"/>
    </row>
    <row r="107" spans="17:20">
      <c r="Q107" s="204">
        <v>484</v>
      </c>
      <c r="R107" s="205">
        <v>3.8476282487016401E-3</v>
      </c>
      <c r="S107" s="204"/>
      <c r="T107" s="204"/>
    </row>
    <row r="108" spans="17:20">
      <c r="Q108" s="204">
        <v>485</v>
      </c>
      <c r="R108" s="205">
        <v>3.8948901104852102E-3</v>
      </c>
      <c r="S108" s="204"/>
      <c r="T108" s="204"/>
    </row>
    <row r="109" spans="17:20">
      <c r="Q109" s="204">
        <v>486</v>
      </c>
      <c r="R109" s="205">
        <v>3.9276665701301096E-3</v>
      </c>
      <c r="S109" s="204"/>
      <c r="T109" s="204"/>
    </row>
    <row r="110" spans="17:20">
      <c r="Q110" s="204">
        <v>487</v>
      </c>
      <c r="R110" s="205">
        <v>3.9751370844515301E-3</v>
      </c>
      <c r="S110" s="204"/>
      <c r="T110" s="204"/>
    </row>
    <row r="111" spans="17:20">
      <c r="Q111" s="204">
        <v>488</v>
      </c>
      <c r="R111" s="205">
        <v>4.0033881662985401E-3</v>
      </c>
      <c r="S111" s="204"/>
      <c r="T111" s="204"/>
    </row>
    <row r="112" spans="17:20">
      <c r="Q112" s="204">
        <v>489</v>
      </c>
      <c r="R112" s="205">
        <v>4.0595510663730102E-3</v>
      </c>
      <c r="S112" s="204"/>
      <c r="T112" s="204"/>
    </row>
    <row r="113" spans="17:20">
      <c r="Q113" s="204">
        <v>490</v>
      </c>
      <c r="R113" s="205">
        <v>4.0936724053564997E-3</v>
      </c>
      <c r="S113" s="204"/>
      <c r="T113" s="204"/>
    </row>
    <row r="114" spans="17:20">
      <c r="Q114" s="204">
        <v>491</v>
      </c>
      <c r="R114" s="205">
        <v>4.1366411424991001E-3</v>
      </c>
      <c r="S114" s="204"/>
      <c r="T114" s="204"/>
    </row>
    <row r="115" spans="17:20">
      <c r="Q115" s="204">
        <v>492</v>
      </c>
      <c r="R115" s="205">
        <v>4.1983564691474001E-3</v>
      </c>
      <c r="S115" s="204"/>
      <c r="T115" s="204"/>
    </row>
    <row r="116" spans="17:20">
      <c r="Q116" s="204">
        <v>493</v>
      </c>
      <c r="R116" s="205">
        <v>4.2581842109272704E-3</v>
      </c>
      <c r="S116" s="204"/>
      <c r="T116" s="204"/>
    </row>
    <row r="117" spans="17:20">
      <c r="Q117" s="204">
        <v>494</v>
      </c>
      <c r="R117" s="205">
        <v>4.3324594467367096E-3</v>
      </c>
      <c r="S117" s="204"/>
      <c r="T117" s="204"/>
    </row>
    <row r="118" spans="17:20">
      <c r="Q118" s="204">
        <v>495</v>
      </c>
      <c r="R118" s="205">
        <v>4.3775095920316103E-3</v>
      </c>
      <c r="S118" s="204"/>
      <c r="T118" s="204"/>
    </row>
    <row r="119" spans="17:20">
      <c r="Q119" s="204">
        <v>496</v>
      </c>
      <c r="R119" s="205">
        <v>4.4586380883167897E-3</v>
      </c>
      <c r="S119" s="204"/>
      <c r="T119" s="204"/>
    </row>
    <row r="120" spans="17:20">
      <c r="Q120" s="204">
        <v>497</v>
      </c>
      <c r="R120" s="205">
        <v>4.54766604663081E-3</v>
      </c>
      <c r="S120" s="204"/>
      <c r="T120" s="204"/>
    </row>
    <row r="121" spans="17:20">
      <c r="Q121" s="204">
        <v>498</v>
      </c>
      <c r="R121" s="205">
        <v>4.5862846949922603E-3</v>
      </c>
      <c r="S121" s="204"/>
      <c r="T121" s="204"/>
    </row>
    <row r="122" spans="17:20">
      <c r="Q122" s="204">
        <v>499</v>
      </c>
      <c r="R122" s="205">
        <v>4.6722885170271296E-3</v>
      </c>
      <c r="S122" s="204"/>
      <c r="T122" s="204"/>
    </row>
    <row r="123" spans="17:20">
      <c r="Q123" s="204">
        <v>500</v>
      </c>
      <c r="R123" s="205">
        <v>4.7562013213401904E-3</v>
      </c>
      <c r="S123" s="204"/>
      <c r="T123" s="204"/>
    </row>
    <row r="124" spans="17:20">
      <c r="Q124" s="204">
        <v>501</v>
      </c>
      <c r="R124" s="205">
        <v>4.8327609760141204E-3</v>
      </c>
      <c r="S124" s="204"/>
      <c r="T124" s="204"/>
    </row>
    <row r="125" spans="17:20">
      <c r="Q125" s="204">
        <v>502</v>
      </c>
      <c r="R125" s="205">
        <v>4.9042527564673701E-3</v>
      </c>
      <c r="S125" s="204"/>
      <c r="T125" s="204"/>
    </row>
    <row r="126" spans="17:20">
      <c r="Q126" s="204">
        <v>503</v>
      </c>
      <c r="R126" s="205">
        <v>4.9820907214046702E-3</v>
      </c>
      <c r="S126" s="204"/>
      <c r="T126" s="204"/>
    </row>
    <row r="127" spans="17:20">
      <c r="Q127" s="204">
        <v>504</v>
      </c>
      <c r="R127" s="205">
        <v>5.0751143498949198E-3</v>
      </c>
      <c r="S127" s="204"/>
      <c r="T127" s="204"/>
    </row>
    <row r="128" spans="17:20">
      <c r="Q128" s="204">
        <v>505</v>
      </c>
      <c r="R128" s="205">
        <v>5.1694197259772399E-3</v>
      </c>
      <c r="S128" s="204"/>
      <c r="T128" s="204"/>
    </row>
    <row r="129" spans="17:20">
      <c r="Q129" s="204">
        <v>506</v>
      </c>
      <c r="R129" s="205">
        <v>5.2338379991064598E-3</v>
      </c>
      <c r="S129" s="204"/>
      <c r="T129" s="204"/>
    </row>
    <row r="130" spans="17:20">
      <c r="Q130" s="204">
        <v>507</v>
      </c>
      <c r="R130" s="205">
        <v>5.3224658714632802E-3</v>
      </c>
      <c r="S130" s="204"/>
      <c r="T130" s="204"/>
    </row>
    <row r="131" spans="17:20">
      <c r="Q131" s="204">
        <v>508</v>
      </c>
      <c r="R131" s="205">
        <v>5.4038915674941299E-3</v>
      </c>
      <c r="S131" s="204"/>
      <c r="T131" s="204"/>
    </row>
    <row r="132" spans="17:20">
      <c r="Q132" s="204">
        <v>509</v>
      </c>
      <c r="R132" s="205">
        <v>5.4807577940726802E-3</v>
      </c>
      <c r="S132" s="204"/>
      <c r="T132" s="204"/>
    </row>
    <row r="133" spans="17:20">
      <c r="Q133" s="204">
        <v>510</v>
      </c>
      <c r="R133" s="205">
        <v>5.5452279929176498E-3</v>
      </c>
      <c r="S133" s="204"/>
      <c r="T133" s="204"/>
    </row>
    <row r="134" spans="17:20">
      <c r="Q134" s="204">
        <v>511</v>
      </c>
      <c r="R134" s="205">
        <v>5.6391385130766499E-3</v>
      </c>
      <c r="S134" s="204"/>
      <c r="T134" s="204"/>
    </row>
    <row r="135" spans="17:20">
      <c r="Q135" s="204">
        <v>512</v>
      </c>
      <c r="R135" s="205">
        <v>5.7188382631496197E-3</v>
      </c>
      <c r="S135" s="204"/>
      <c r="T135" s="204"/>
    </row>
    <row r="136" spans="17:20">
      <c r="Q136" s="204">
        <v>513</v>
      </c>
      <c r="R136" s="205">
        <v>5.8038823041441801E-3</v>
      </c>
      <c r="S136" s="204"/>
      <c r="T136" s="204"/>
    </row>
    <row r="137" spans="17:20">
      <c r="Q137" s="204">
        <v>514</v>
      </c>
      <c r="R137" s="205">
        <v>5.8703357396626098E-3</v>
      </c>
      <c r="S137" s="204"/>
      <c r="T137" s="204"/>
    </row>
    <row r="138" spans="17:20">
      <c r="Q138" s="204">
        <v>515</v>
      </c>
      <c r="R138" s="205">
        <v>5.9395591744678599E-3</v>
      </c>
      <c r="S138" s="204"/>
      <c r="T138" s="204"/>
    </row>
    <row r="139" spans="17:20">
      <c r="Q139" s="204">
        <v>516</v>
      </c>
      <c r="R139" s="205">
        <v>6.0173463463997498E-3</v>
      </c>
      <c r="S139" s="204"/>
      <c r="T139" s="204"/>
    </row>
    <row r="140" spans="17:20">
      <c r="Q140" s="204">
        <v>517</v>
      </c>
      <c r="R140" s="205">
        <v>6.1091667579711599E-3</v>
      </c>
      <c r="S140" s="204"/>
      <c r="T140" s="204"/>
    </row>
    <row r="141" spans="17:20">
      <c r="Q141" s="204">
        <v>518</v>
      </c>
      <c r="R141" s="205">
        <v>6.1644863244931201E-3</v>
      </c>
      <c r="S141" s="204"/>
      <c r="T141" s="204"/>
    </row>
    <row r="142" spans="17:20">
      <c r="Q142" s="204">
        <v>519</v>
      </c>
      <c r="R142" s="205">
        <v>6.2343662628316599E-3</v>
      </c>
      <c r="S142" s="204"/>
      <c r="T142" s="204"/>
    </row>
    <row r="143" spans="17:20">
      <c r="Q143" s="204">
        <v>520</v>
      </c>
      <c r="R143" s="205">
        <v>6.3140555204251299E-3</v>
      </c>
      <c r="S143" s="204"/>
      <c r="T143" s="204"/>
    </row>
    <row r="144" spans="17:20">
      <c r="Q144" s="204">
        <v>521</v>
      </c>
      <c r="R144" s="205">
        <v>6.3671765721337904E-3</v>
      </c>
      <c r="S144" s="204"/>
      <c r="T144" s="204"/>
    </row>
    <row r="145" spans="17:20">
      <c r="Q145" s="204">
        <v>522</v>
      </c>
      <c r="R145" s="205">
        <v>6.4519169337535903E-3</v>
      </c>
      <c r="S145" s="204"/>
      <c r="T145" s="204"/>
    </row>
    <row r="146" spans="17:20">
      <c r="Q146" s="204">
        <v>523</v>
      </c>
      <c r="R146" s="205">
        <v>6.5112279256229503E-3</v>
      </c>
      <c r="S146" s="204"/>
      <c r="T146" s="204"/>
    </row>
    <row r="147" spans="17:20">
      <c r="Q147" s="204">
        <v>524</v>
      </c>
      <c r="R147" s="205">
        <v>6.5706300577900402E-3</v>
      </c>
      <c r="S147" s="204"/>
      <c r="T147" s="204"/>
    </row>
    <row r="148" spans="17:20">
      <c r="Q148" s="204">
        <v>525</v>
      </c>
      <c r="R148" s="205">
        <v>6.6548290405670299E-3</v>
      </c>
      <c r="S148" s="204"/>
      <c r="T148" s="204"/>
    </row>
    <row r="149" spans="17:20">
      <c r="Q149" s="204">
        <v>526</v>
      </c>
      <c r="R149" s="205">
        <v>6.7455923657221504E-3</v>
      </c>
      <c r="S149" s="204"/>
      <c r="T149" s="204"/>
    </row>
    <row r="150" spans="17:20">
      <c r="Q150" s="204">
        <v>527</v>
      </c>
      <c r="R150" s="205">
        <v>6.7988646240503998E-3</v>
      </c>
      <c r="S150" s="204"/>
      <c r="T150" s="204"/>
    </row>
    <row r="151" spans="17:20">
      <c r="Q151" s="204">
        <v>528</v>
      </c>
      <c r="R151" s="205">
        <v>6.8771357214247502E-3</v>
      </c>
      <c r="S151" s="204"/>
      <c r="T151" s="204"/>
    </row>
    <row r="152" spans="17:20">
      <c r="Q152" s="204">
        <v>529</v>
      </c>
      <c r="R152" s="205">
        <v>6.9028331275145498E-3</v>
      </c>
      <c r="S152" s="204"/>
      <c r="T152" s="204"/>
    </row>
    <row r="153" spans="17:20">
      <c r="Q153" s="204">
        <v>530</v>
      </c>
      <c r="R153" s="205">
        <v>6.9954190799848001E-3</v>
      </c>
      <c r="S153" s="204"/>
      <c r="T153" s="204"/>
    </row>
    <row r="154" spans="17:20">
      <c r="Q154" s="204">
        <v>531</v>
      </c>
      <c r="R154" s="205">
        <v>7.1073980875300397E-3</v>
      </c>
      <c r="S154" s="204"/>
      <c r="T154" s="204"/>
    </row>
    <row r="155" spans="17:20">
      <c r="Q155" s="204">
        <v>532</v>
      </c>
      <c r="R155" s="205">
        <v>7.1166082842837397E-3</v>
      </c>
      <c r="S155" s="204"/>
      <c r="T155" s="204"/>
    </row>
    <row r="156" spans="17:20">
      <c r="Q156" s="204">
        <v>533</v>
      </c>
      <c r="R156" s="205">
        <v>7.1789639923109799E-3</v>
      </c>
      <c r="S156" s="204"/>
      <c r="T156" s="204"/>
    </row>
    <row r="157" spans="17:20">
      <c r="Q157" s="204">
        <v>534</v>
      </c>
      <c r="R157" s="205">
        <v>7.2560316800258304E-3</v>
      </c>
      <c r="S157" s="204"/>
      <c r="T157" s="204"/>
    </row>
    <row r="158" spans="17:20">
      <c r="Q158" s="204">
        <v>535</v>
      </c>
      <c r="R158" s="205">
        <v>7.31743121925471E-3</v>
      </c>
      <c r="S158" s="204"/>
      <c r="T158" s="204"/>
    </row>
    <row r="159" spans="17:20">
      <c r="Q159" s="204">
        <v>536</v>
      </c>
      <c r="R159" s="205">
        <v>7.3700982929643397E-3</v>
      </c>
      <c r="S159" s="204"/>
      <c r="T159" s="204"/>
    </row>
    <row r="160" spans="17:20">
      <c r="Q160" s="204">
        <v>537</v>
      </c>
      <c r="R160" s="205">
        <v>7.4429680441171998E-3</v>
      </c>
      <c r="S160" s="204"/>
      <c r="T160" s="204"/>
    </row>
    <row r="161" spans="17:20">
      <c r="Q161" s="204">
        <v>538</v>
      </c>
      <c r="R161" s="205">
        <v>7.5022435276592197E-3</v>
      </c>
      <c r="S161" s="204"/>
      <c r="T161" s="204"/>
    </row>
    <row r="162" spans="17:20">
      <c r="Q162" s="204">
        <v>539</v>
      </c>
      <c r="R162" s="205">
        <v>7.5980712036145702E-3</v>
      </c>
      <c r="S162" s="204"/>
      <c r="T162" s="204"/>
    </row>
    <row r="163" spans="17:20">
      <c r="Q163" s="204">
        <v>540</v>
      </c>
      <c r="R163" s="205">
        <v>7.6958183605694399E-3</v>
      </c>
      <c r="S163" s="204"/>
      <c r="T163" s="204"/>
    </row>
    <row r="164" spans="17:20">
      <c r="Q164" s="204">
        <v>541</v>
      </c>
      <c r="R164" s="205">
        <v>7.7744210854047901E-3</v>
      </c>
      <c r="S164" s="204"/>
      <c r="T164" s="204"/>
    </row>
    <row r="165" spans="17:20">
      <c r="Q165" s="204">
        <v>542</v>
      </c>
      <c r="R165" s="205">
        <v>7.8180602977105801E-3</v>
      </c>
      <c r="S165" s="204"/>
      <c r="T165" s="204"/>
    </row>
    <row r="166" spans="17:20">
      <c r="Q166" s="204">
        <v>543</v>
      </c>
      <c r="R166" s="205">
        <v>7.9296943269169598E-3</v>
      </c>
      <c r="S166" s="204"/>
      <c r="T166" s="204"/>
    </row>
    <row r="167" spans="17:20">
      <c r="Q167" s="204">
        <v>544</v>
      </c>
      <c r="R167" s="205">
        <v>7.9909395481660601E-3</v>
      </c>
      <c r="S167" s="204"/>
      <c r="T167" s="204"/>
    </row>
    <row r="168" spans="17:20">
      <c r="Q168" s="204">
        <v>545</v>
      </c>
      <c r="R168" s="205">
        <v>8.0712078142960806E-3</v>
      </c>
      <c r="S168" s="204"/>
      <c r="T168" s="204"/>
    </row>
    <row r="169" spans="17:20">
      <c r="Q169" s="204">
        <v>546</v>
      </c>
      <c r="R169" s="205">
        <v>8.1744525133005692E-3</v>
      </c>
      <c r="S169" s="204"/>
      <c r="T169" s="204"/>
    </row>
    <row r="170" spans="17:20">
      <c r="Q170" s="204">
        <v>547</v>
      </c>
      <c r="R170" s="205">
        <v>8.2699914111250394E-3</v>
      </c>
      <c r="S170" s="204"/>
      <c r="T170" s="204"/>
    </row>
    <row r="171" spans="17:20">
      <c r="Q171" s="204">
        <v>548</v>
      </c>
      <c r="R171" s="205">
        <v>8.3738806072331997E-3</v>
      </c>
      <c r="S171" s="204"/>
      <c r="T171" s="204"/>
    </row>
    <row r="172" spans="17:20">
      <c r="Q172" s="204">
        <v>549</v>
      </c>
      <c r="R172" s="205">
        <v>8.4550692510003897E-3</v>
      </c>
      <c r="S172" s="204"/>
      <c r="T172" s="204"/>
    </row>
    <row r="173" spans="17:20">
      <c r="Q173" s="204">
        <v>550</v>
      </c>
      <c r="R173" s="205">
        <v>8.5650632228269092E-3</v>
      </c>
      <c r="S173" s="204"/>
      <c r="T173" s="204"/>
    </row>
    <row r="174" spans="17:20">
      <c r="Q174" s="204">
        <v>551</v>
      </c>
      <c r="R174" s="205">
        <v>8.7077525511155204E-3</v>
      </c>
      <c r="S174" s="204"/>
      <c r="T174" s="204"/>
    </row>
    <row r="175" spans="17:20">
      <c r="Q175" s="204">
        <v>552</v>
      </c>
      <c r="R175" s="205">
        <v>8.7967988627373293E-3</v>
      </c>
      <c r="S175" s="204"/>
      <c r="T175" s="204"/>
    </row>
    <row r="176" spans="17:20">
      <c r="Q176" s="204">
        <v>553</v>
      </c>
      <c r="R176" s="205">
        <v>8.9151884713238195E-3</v>
      </c>
      <c r="S176" s="204"/>
      <c r="T176" s="204"/>
    </row>
    <row r="177" spans="17:20">
      <c r="Q177" s="204">
        <v>554</v>
      </c>
      <c r="R177" s="205">
        <v>9.0509297076318395E-3</v>
      </c>
      <c r="S177" s="204"/>
      <c r="T177" s="204"/>
    </row>
    <row r="178" spans="17:20">
      <c r="Q178" s="204">
        <v>555</v>
      </c>
      <c r="R178" s="205">
        <v>9.1388891457799097E-3</v>
      </c>
      <c r="S178" s="204"/>
      <c r="T178" s="204"/>
    </row>
    <row r="179" spans="17:20">
      <c r="Q179" s="204">
        <v>556</v>
      </c>
      <c r="R179" s="205">
        <v>9.2615249841461397E-3</v>
      </c>
      <c r="S179" s="204"/>
      <c r="T179" s="204"/>
    </row>
    <row r="180" spans="17:20">
      <c r="Q180" s="204">
        <v>557</v>
      </c>
      <c r="R180" s="205">
        <v>9.4102555333420608E-3</v>
      </c>
      <c r="S180" s="204"/>
      <c r="T180" s="204"/>
    </row>
    <row r="181" spans="17:20">
      <c r="Q181" s="204">
        <v>558</v>
      </c>
      <c r="R181" s="205">
        <v>9.5070657363161802E-3</v>
      </c>
      <c r="S181" s="204"/>
      <c r="T181" s="204"/>
    </row>
    <row r="182" spans="17:20">
      <c r="Q182" s="204">
        <v>559</v>
      </c>
      <c r="R182" s="205">
        <v>9.6479661467646204E-3</v>
      </c>
      <c r="S182" s="204"/>
      <c r="T182" s="204"/>
    </row>
    <row r="183" spans="17:20">
      <c r="Q183" s="204">
        <v>560</v>
      </c>
      <c r="R183" s="205">
        <v>9.7525402898948291E-3</v>
      </c>
      <c r="S183" s="204"/>
      <c r="T183" s="204"/>
    </row>
    <row r="184" spans="17:20">
      <c r="Q184" s="204">
        <v>561</v>
      </c>
      <c r="R184" s="205">
        <v>9.9199785170573894E-3</v>
      </c>
      <c r="S184" s="204"/>
      <c r="T184" s="204"/>
    </row>
    <row r="185" spans="17:20">
      <c r="Q185" s="204">
        <v>562</v>
      </c>
      <c r="R185" s="205">
        <v>1.00498155819429E-2</v>
      </c>
      <c r="S185" s="204"/>
      <c r="T185" s="204"/>
    </row>
    <row r="186" spans="17:20">
      <c r="Q186" s="204">
        <v>563</v>
      </c>
      <c r="R186" s="205">
        <v>1.01974794550534E-2</v>
      </c>
      <c r="S186" s="204"/>
      <c r="T186" s="204"/>
    </row>
    <row r="187" spans="17:20">
      <c r="Q187" s="204">
        <v>564</v>
      </c>
      <c r="R187" s="205">
        <v>1.03432235163082E-2</v>
      </c>
      <c r="S187" s="204"/>
      <c r="T187" s="204"/>
    </row>
    <row r="188" spans="17:20">
      <c r="Q188" s="204">
        <v>565</v>
      </c>
      <c r="R188" s="205">
        <v>1.0486494265175301E-2</v>
      </c>
      <c r="S188" s="204"/>
      <c r="T188" s="204"/>
    </row>
    <row r="189" spans="17:20">
      <c r="Q189" s="204">
        <v>566</v>
      </c>
      <c r="R189" s="205">
        <v>1.06324897801782E-2</v>
      </c>
      <c r="S189" s="204"/>
      <c r="T189" s="204"/>
    </row>
    <row r="190" spans="17:20">
      <c r="Q190" s="204">
        <v>567</v>
      </c>
      <c r="R190" s="205">
        <v>1.0784926958507199E-2</v>
      </c>
      <c r="S190" s="204"/>
      <c r="T190" s="204"/>
    </row>
    <row r="191" spans="17:20">
      <c r="Q191" s="204">
        <v>568</v>
      </c>
      <c r="R191" s="205">
        <v>1.09200895503106E-2</v>
      </c>
      <c r="S191" s="204"/>
      <c r="T191" s="204"/>
    </row>
    <row r="192" spans="17:20">
      <c r="Q192" s="204">
        <v>569</v>
      </c>
      <c r="R192" s="205">
        <v>1.1066748762253E-2</v>
      </c>
      <c r="S192" s="204"/>
      <c r="T192" s="204"/>
    </row>
    <row r="193" spans="17:20">
      <c r="Q193" s="204">
        <v>570</v>
      </c>
      <c r="R193" s="205">
        <v>1.1168187099239699E-2</v>
      </c>
      <c r="S193" s="204"/>
      <c r="T193" s="204"/>
    </row>
    <row r="194" spans="17:20">
      <c r="Q194" s="204">
        <v>571</v>
      </c>
      <c r="R194" s="205">
        <v>1.1349607599252199E-2</v>
      </c>
      <c r="S194" s="204"/>
      <c r="T194" s="204"/>
    </row>
    <row r="195" spans="17:20">
      <c r="Q195" s="204">
        <v>572</v>
      </c>
      <c r="R195" s="205">
        <v>1.15106113389745E-2</v>
      </c>
      <c r="S195" s="204"/>
      <c r="T195" s="204"/>
    </row>
    <row r="196" spans="17:20">
      <c r="Q196" s="204">
        <v>573</v>
      </c>
      <c r="R196" s="205">
        <v>1.1630287710112E-2</v>
      </c>
      <c r="S196" s="204"/>
      <c r="T196" s="204"/>
    </row>
    <row r="197" spans="17:20">
      <c r="Q197" s="204">
        <v>574</v>
      </c>
      <c r="R197" s="205">
        <v>1.17925531584765E-2</v>
      </c>
      <c r="S197" s="204"/>
      <c r="T197" s="204"/>
    </row>
    <row r="198" spans="17:20">
      <c r="Q198" s="204">
        <v>575</v>
      </c>
      <c r="R198" s="205">
        <v>1.19706194443681E-2</v>
      </c>
      <c r="S198" s="204"/>
      <c r="T198" s="204"/>
    </row>
    <row r="199" spans="17:20">
      <c r="Q199" s="204">
        <v>576</v>
      </c>
      <c r="R199" s="205">
        <v>1.20934993387324E-2</v>
      </c>
      <c r="S199" s="204"/>
      <c r="T199" s="204"/>
    </row>
    <row r="200" spans="17:20">
      <c r="Q200" s="204">
        <v>577</v>
      </c>
      <c r="R200" s="205">
        <v>1.2184590867405899E-2</v>
      </c>
      <c r="S200" s="204"/>
      <c r="T200" s="204"/>
    </row>
    <row r="201" spans="17:20">
      <c r="Q201" s="204">
        <v>578</v>
      </c>
      <c r="R201" s="205">
        <v>1.23226772310557E-2</v>
      </c>
      <c r="S201" s="204"/>
      <c r="T201" s="204"/>
    </row>
    <row r="202" spans="17:20">
      <c r="Q202" s="204">
        <v>579</v>
      </c>
      <c r="R202" s="205">
        <v>1.2504578711937501E-2</v>
      </c>
      <c r="S202" s="204"/>
      <c r="T202" s="204"/>
    </row>
    <row r="203" spans="17:20">
      <c r="Q203" s="204">
        <v>580</v>
      </c>
      <c r="R203" s="205">
        <v>1.25621129443845E-2</v>
      </c>
      <c r="S203" s="204"/>
      <c r="T203" s="204"/>
    </row>
    <row r="204" spans="17:20">
      <c r="Q204" s="204">
        <v>581</v>
      </c>
      <c r="R204" s="205">
        <v>1.2721284942384999E-2</v>
      </c>
      <c r="S204" s="204"/>
      <c r="T204" s="204"/>
    </row>
    <row r="205" spans="17:20">
      <c r="Q205" s="204">
        <v>582</v>
      </c>
      <c r="R205" s="205">
        <v>1.2833979743961801E-2</v>
      </c>
      <c r="S205" s="204"/>
      <c r="T205" s="204"/>
    </row>
    <row r="206" spans="17:20">
      <c r="Q206" s="204">
        <v>583</v>
      </c>
      <c r="R206" s="205">
        <v>1.29597310165241E-2</v>
      </c>
      <c r="S206" s="204"/>
      <c r="T206" s="204"/>
    </row>
    <row r="207" spans="17:20">
      <c r="Q207" s="204">
        <v>584</v>
      </c>
      <c r="R207" s="205">
        <v>1.31006043916583E-2</v>
      </c>
      <c r="S207" s="204"/>
      <c r="T207" s="204"/>
    </row>
    <row r="208" spans="17:20">
      <c r="Q208" s="204">
        <v>585</v>
      </c>
      <c r="R208" s="205">
        <v>1.3192620364484899E-2</v>
      </c>
      <c r="S208" s="204"/>
      <c r="T208" s="204"/>
    </row>
    <row r="209" spans="17:20">
      <c r="Q209" s="204">
        <v>586</v>
      </c>
      <c r="R209" s="205">
        <v>1.3293879481950601E-2</v>
      </c>
      <c r="S209" s="204"/>
      <c r="T209" s="204"/>
    </row>
    <row r="210" spans="17:20">
      <c r="Q210" s="204">
        <v>587</v>
      </c>
      <c r="R210" s="205">
        <v>1.33406522561825E-2</v>
      </c>
      <c r="S210" s="204"/>
      <c r="T210" s="204"/>
    </row>
    <row r="211" spans="17:20">
      <c r="Q211" s="204">
        <v>588</v>
      </c>
      <c r="R211" s="205">
        <v>1.3458043073318901E-2</v>
      </c>
      <c r="S211" s="204"/>
      <c r="T211" s="204"/>
    </row>
    <row r="212" spans="17:20">
      <c r="Q212" s="204">
        <v>589</v>
      </c>
      <c r="R212" s="205">
        <v>1.35853263599736E-2</v>
      </c>
      <c r="S212" s="204"/>
      <c r="T212" s="204"/>
    </row>
    <row r="213" spans="17:20">
      <c r="Q213" s="204">
        <v>590</v>
      </c>
      <c r="R213" s="205">
        <v>1.3634428813994201E-2</v>
      </c>
      <c r="S213" s="204"/>
      <c r="T213" s="204"/>
    </row>
    <row r="214" spans="17:20">
      <c r="Q214" s="204">
        <v>591</v>
      </c>
      <c r="R214" s="205">
        <v>1.37327410336173E-2</v>
      </c>
      <c r="S214" s="204"/>
      <c r="T214" s="204"/>
    </row>
    <row r="215" spans="17:20">
      <c r="Q215" s="204">
        <v>592</v>
      </c>
      <c r="R215" s="205">
        <v>1.37598202820669E-2</v>
      </c>
      <c r="S215" s="204"/>
      <c r="T215" s="204"/>
    </row>
    <row r="216" spans="17:20">
      <c r="Q216" s="204">
        <v>593</v>
      </c>
      <c r="R216" s="205">
        <v>1.3855848505834E-2</v>
      </c>
      <c r="S216" s="204"/>
      <c r="T216" s="204"/>
    </row>
    <row r="217" spans="17:20">
      <c r="Q217" s="204">
        <v>594</v>
      </c>
      <c r="R217" s="205">
        <v>1.38853105580559E-2</v>
      </c>
      <c r="S217" s="204"/>
      <c r="T217" s="204"/>
    </row>
    <row r="218" spans="17:20">
      <c r="Q218" s="204">
        <v>595</v>
      </c>
      <c r="R218" s="205">
        <v>1.3933333022757999E-2</v>
      </c>
      <c r="S218" s="204"/>
      <c r="T218" s="204"/>
    </row>
    <row r="219" spans="17:20">
      <c r="Q219" s="204">
        <v>596</v>
      </c>
      <c r="R219" s="205">
        <v>1.3989218393103299E-2</v>
      </c>
      <c r="S219" s="204"/>
      <c r="T219" s="204"/>
    </row>
    <row r="220" spans="17:20">
      <c r="Q220" s="204">
        <v>597</v>
      </c>
      <c r="R220" s="205">
        <v>1.40115156830041E-2</v>
      </c>
      <c r="S220" s="204"/>
      <c r="T220" s="204"/>
    </row>
    <row r="221" spans="17:20">
      <c r="Q221" s="204">
        <v>598</v>
      </c>
      <c r="R221" s="205">
        <v>1.40125112065297E-2</v>
      </c>
      <c r="S221" s="204"/>
      <c r="T221" s="204"/>
    </row>
    <row r="222" spans="17:20">
      <c r="Q222" s="204">
        <v>599</v>
      </c>
      <c r="R222" s="205">
        <v>1.40366301751879E-2</v>
      </c>
      <c r="S222" s="204"/>
      <c r="T222" s="204"/>
    </row>
    <row r="223" spans="17:20">
      <c r="Q223" s="204">
        <v>600</v>
      </c>
      <c r="R223" s="205">
        <v>1.4060417821595001E-2</v>
      </c>
      <c r="S223" s="204"/>
      <c r="T223" s="204"/>
    </row>
    <row r="224" spans="17:20">
      <c r="Q224" s="204">
        <v>601</v>
      </c>
      <c r="R224" s="205">
        <v>1.40669737796488E-2</v>
      </c>
      <c r="S224" s="204"/>
      <c r="T224" s="204"/>
    </row>
    <row r="225" spans="17:20">
      <c r="Q225" s="204">
        <v>602</v>
      </c>
      <c r="R225" s="205">
        <v>1.4077334646619401E-2</v>
      </c>
      <c r="S225" s="204"/>
      <c r="T225" s="204"/>
    </row>
    <row r="226" spans="17:20">
      <c r="Q226" s="204">
        <v>603</v>
      </c>
      <c r="R226" s="205">
        <v>1.40694473185055E-2</v>
      </c>
      <c r="S226" s="204"/>
      <c r="T226" s="204"/>
    </row>
    <row r="227" spans="17:20">
      <c r="Q227" s="204">
        <v>604</v>
      </c>
      <c r="R227" s="205">
        <v>1.4056267539064899E-2</v>
      </c>
      <c r="S227" s="204"/>
      <c r="T227" s="204"/>
    </row>
    <row r="228" spans="17:20">
      <c r="Q228" s="204">
        <v>605</v>
      </c>
      <c r="R228" s="205">
        <v>1.39809643219659E-2</v>
      </c>
      <c r="S228" s="204"/>
      <c r="T228" s="204"/>
    </row>
    <row r="229" spans="17:20">
      <c r="Q229" s="204">
        <v>606</v>
      </c>
      <c r="R229" s="205">
        <v>1.3980669145312199E-2</v>
      </c>
      <c r="S229" s="204"/>
      <c r="T229" s="204"/>
    </row>
    <row r="230" spans="17:20">
      <c r="Q230" s="204">
        <v>607</v>
      </c>
      <c r="R230" s="205">
        <v>1.39838379133733E-2</v>
      </c>
      <c r="S230" s="204"/>
      <c r="T230" s="204"/>
    </row>
    <row r="231" spans="17:20">
      <c r="Q231" s="204">
        <v>608</v>
      </c>
      <c r="R231" s="205">
        <v>1.3912380151621599E-2</v>
      </c>
      <c r="S231" s="204"/>
      <c r="T231" s="204"/>
    </row>
    <row r="232" spans="17:20">
      <c r="Q232" s="204">
        <v>609</v>
      </c>
      <c r="R232" s="205">
        <v>1.38374014737321E-2</v>
      </c>
      <c r="S232" s="204"/>
      <c r="T232" s="204"/>
    </row>
    <row r="233" spans="17:20">
      <c r="Q233" s="204">
        <v>610</v>
      </c>
      <c r="R233" s="205">
        <v>1.37997509986168E-2</v>
      </c>
      <c r="S233" s="204"/>
      <c r="T233" s="204"/>
    </row>
    <row r="234" spans="17:20">
      <c r="Q234" s="204">
        <v>611</v>
      </c>
      <c r="R234" s="205">
        <v>1.36992669039579E-2</v>
      </c>
      <c r="S234" s="204"/>
      <c r="T234" s="204"/>
    </row>
    <row r="235" spans="17:20">
      <c r="Q235" s="204">
        <v>612</v>
      </c>
      <c r="R235" s="205">
        <v>1.36641850689801E-2</v>
      </c>
      <c r="S235" s="204"/>
      <c r="T235" s="204"/>
    </row>
    <row r="236" spans="17:20">
      <c r="Q236" s="204">
        <v>613</v>
      </c>
      <c r="R236" s="205">
        <v>1.35493843848096E-2</v>
      </c>
      <c r="S236" s="204"/>
      <c r="T236" s="204"/>
    </row>
    <row r="237" spans="17:20">
      <c r="Q237" s="204">
        <v>614</v>
      </c>
      <c r="R237" s="205">
        <v>1.3457470402001201E-2</v>
      </c>
      <c r="S237" s="204"/>
      <c r="T237" s="204"/>
    </row>
    <row r="238" spans="17:20">
      <c r="Q238" s="204">
        <v>615</v>
      </c>
      <c r="R238" s="205">
        <v>1.33752583030778E-2</v>
      </c>
      <c r="S238" s="204"/>
      <c r="T238" s="204"/>
    </row>
    <row r="239" spans="17:20">
      <c r="Q239" s="204">
        <v>616</v>
      </c>
      <c r="R239" s="205">
        <v>1.33175401541379E-2</v>
      </c>
      <c r="S239" s="204"/>
      <c r="T239" s="204"/>
    </row>
    <row r="240" spans="17:20">
      <c r="Q240" s="204">
        <v>617</v>
      </c>
      <c r="R240" s="205">
        <v>1.31846566666751E-2</v>
      </c>
      <c r="S240" s="204"/>
      <c r="T240" s="204"/>
    </row>
    <row r="241" spans="17:20">
      <c r="Q241" s="204">
        <v>618</v>
      </c>
      <c r="R241" s="205">
        <v>1.3102237458844399E-2</v>
      </c>
      <c r="S241" s="204"/>
      <c r="T241" s="204"/>
    </row>
    <row r="242" spans="17:20">
      <c r="Q242" s="204">
        <v>619</v>
      </c>
      <c r="R242" s="205">
        <v>1.2979648929288099E-2</v>
      </c>
      <c r="S242" s="204"/>
      <c r="T242" s="204"/>
    </row>
    <row r="243" spans="17:20">
      <c r="Q243" s="204">
        <v>620</v>
      </c>
      <c r="R243" s="205">
        <v>1.29034168229973E-2</v>
      </c>
      <c r="S243" s="204"/>
      <c r="T243" s="204"/>
    </row>
    <row r="244" spans="17:20">
      <c r="Q244" s="204">
        <v>621</v>
      </c>
      <c r="R244" s="205">
        <v>1.27860577568492E-2</v>
      </c>
      <c r="S244" s="204"/>
      <c r="T244" s="204"/>
    </row>
    <row r="245" spans="17:20">
      <c r="Q245" s="204">
        <v>622</v>
      </c>
      <c r="R245" s="205">
        <v>1.26720956449143E-2</v>
      </c>
      <c r="S245" s="204"/>
      <c r="T245" s="204"/>
    </row>
    <row r="246" spans="17:20">
      <c r="Q246" s="204">
        <v>623</v>
      </c>
      <c r="R246" s="205">
        <v>1.25478665176358E-2</v>
      </c>
      <c r="S246" s="204"/>
      <c r="T246" s="204"/>
    </row>
    <row r="247" spans="17:20">
      <c r="Q247" s="204">
        <v>624</v>
      </c>
      <c r="R247" s="205">
        <v>1.2436483908392399E-2</v>
      </c>
      <c r="S247" s="204"/>
      <c r="T247" s="204"/>
    </row>
    <row r="248" spans="17:20">
      <c r="Q248" s="204">
        <v>625</v>
      </c>
      <c r="R248" s="205">
        <v>1.23024606083624E-2</v>
      </c>
      <c r="S248" s="204"/>
      <c r="T248" s="204"/>
    </row>
    <row r="249" spans="17:20">
      <c r="Q249" s="204">
        <v>626</v>
      </c>
      <c r="R249" s="205">
        <v>1.21699053402322E-2</v>
      </c>
      <c r="S249" s="204"/>
      <c r="T249" s="204"/>
    </row>
    <row r="250" spans="17:20">
      <c r="Q250" s="204">
        <v>627</v>
      </c>
      <c r="R250" s="205">
        <v>1.20886421657776E-2</v>
      </c>
      <c r="S250" s="204"/>
      <c r="T250" s="204"/>
    </row>
    <row r="251" spans="17:20">
      <c r="Q251" s="204">
        <v>628</v>
      </c>
      <c r="R251" s="205">
        <v>1.1909413965724E-2</v>
      </c>
      <c r="S251" s="204"/>
      <c r="T251" s="204"/>
    </row>
    <row r="252" spans="17:20">
      <c r="Q252" s="204">
        <v>629</v>
      </c>
      <c r="R252" s="205">
        <v>1.1764364682935499E-2</v>
      </c>
      <c r="S252" s="204"/>
      <c r="T252" s="204"/>
    </row>
    <row r="253" spans="17:20">
      <c r="Q253" s="204">
        <v>630</v>
      </c>
      <c r="R253" s="205">
        <v>1.1605420591333101E-2</v>
      </c>
      <c r="S253" s="204"/>
      <c r="T253" s="204"/>
    </row>
    <row r="254" spans="17:20">
      <c r="Q254" s="204">
        <v>631</v>
      </c>
      <c r="R254" s="205">
        <v>1.14890503478385E-2</v>
      </c>
      <c r="S254" s="204"/>
      <c r="T254" s="204"/>
    </row>
    <row r="255" spans="17:20">
      <c r="Q255" s="204">
        <v>632</v>
      </c>
      <c r="R255" s="205">
        <v>1.1345450356016199E-2</v>
      </c>
      <c r="S255" s="204"/>
      <c r="T255" s="204"/>
    </row>
    <row r="256" spans="17:20">
      <c r="Q256" s="204">
        <v>633</v>
      </c>
      <c r="R256" s="205">
        <v>1.11832802634871E-2</v>
      </c>
      <c r="S256" s="204"/>
      <c r="T256" s="204"/>
    </row>
    <row r="257" spans="17:20">
      <c r="Q257" s="204">
        <v>634</v>
      </c>
      <c r="R257" s="205">
        <v>1.10382670884118E-2</v>
      </c>
      <c r="S257" s="204"/>
      <c r="T257" s="204"/>
    </row>
    <row r="258" spans="17:20">
      <c r="Q258" s="204">
        <v>635</v>
      </c>
      <c r="R258" s="205">
        <v>1.08625798401256E-2</v>
      </c>
      <c r="S258" s="204"/>
      <c r="T258" s="204"/>
    </row>
    <row r="259" spans="17:20">
      <c r="Q259" s="204">
        <v>636</v>
      </c>
      <c r="R259" s="205">
        <v>1.07007291055338E-2</v>
      </c>
      <c r="S259" s="204"/>
      <c r="T259" s="204"/>
    </row>
    <row r="260" spans="17:20">
      <c r="Q260" s="204">
        <v>637</v>
      </c>
      <c r="R260" s="205">
        <v>1.0575888434429999E-2</v>
      </c>
      <c r="S260" s="204"/>
      <c r="T260" s="204"/>
    </row>
    <row r="261" spans="17:20">
      <c r="Q261" s="204">
        <v>638</v>
      </c>
      <c r="R261" s="205">
        <v>1.04225225993469E-2</v>
      </c>
      <c r="S261" s="204"/>
      <c r="T261" s="204"/>
    </row>
    <row r="262" spans="17:20">
      <c r="Q262" s="204">
        <v>639</v>
      </c>
      <c r="R262" s="205">
        <v>1.02332890657172E-2</v>
      </c>
      <c r="S262" s="204"/>
      <c r="T262" s="204"/>
    </row>
    <row r="263" spans="17:20">
      <c r="Q263" s="204">
        <v>640</v>
      </c>
      <c r="R263" s="205">
        <v>1.0044356279138701E-2</v>
      </c>
      <c r="S263" s="204"/>
      <c r="T263" s="204"/>
    </row>
    <row r="264" spans="17:20">
      <c r="Q264" s="204">
        <v>641</v>
      </c>
      <c r="R264" s="205">
        <v>9.8958910904929295E-3</v>
      </c>
      <c r="S264" s="204"/>
      <c r="T264" s="204"/>
    </row>
    <row r="265" spans="17:20">
      <c r="Q265" s="204">
        <v>642</v>
      </c>
      <c r="R265" s="205">
        <v>9.7627807754295803E-3</v>
      </c>
      <c r="S265" s="204"/>
      <c r="T265" s="204"/>
    </row>
    <row r="266" spans="17:20">
      <c r="Q266" s="204">
        <v>643</v>
      </c>
      <c r="R266" s="205">
        <v>9.6225171856573095E-3</v>
      </c>
      <c r="S266" s="204"/>
      <c r="T266" s="204"/>
    </row>
    <row r="267" spans="17:20">
      <c r="Q267" s="204">
        <v>644</v>
      </c>
      <c r="R267" s="205">
        <v>9.4568288683052493E-3</v>
      </c>
      <c r="S267" s="204"/>
      <c r="T267" s="204"/>
    </row>
    <row r="268" spans="17:20">
      <c r="Q268" s="204">
        <v>645</v>
      </c>
      <c r="R268" s="205">
        <v>9.2831564360812396E-3</v>
      </c>
      <c r="S268" s="204"/>
      <c r="T268" s="204"/>
    </row>
    <row r="269" spans="17:20">
      <c r="Q269" s="204">
        <v>646</v>
      </c>
      <c r="R269" s="205">
        <v>9.1185240546465592E-3</v>
      </c>
      <c r="S269" s="204"/>
      <c r="T269" s="204"/>
    </row>
    <row r="270" spans="17:20">
      <c r="Q270" s="204">
        <v>647</v>
      </c>
      <c r="R270" s="205">
        <v>8.9670151524018499E-3</v>
      </c>
      <c r="S270" s="204"/>
      <c r="T270" s="204"/>
    </row>
    <row r="271" spans="17:20">
      <c r="Q271" s="204">
        <v>648</v>
      </c>
      <c r="R271" s="205">
        <v>8.7927317509017503E-3</v>
      </c>
      <c r="S271" s="204"/>
      <c r="T271" s="204"/>
    </row>
    <row r="272" spans="17:20">
      <c r="Q272" s="204">
        <v>649</v>
      </c>
      <c r="R272" s="205">
        <v>8.6161993444015001E-3</v>
      </c>
      <c r="S272" s="204"/>
      <c r="T272" s="204"/>
    </row>
    <row r="273" spans="17:20">
      <c r="Q273" s="204">
        <v>650</v>
      </c>
      <c r="R273" s="205">
        <v>8.4872033638581593E-3</v>
      </c>
      <c r="S273" s="204"/>
      <c r="T273" s="204"/>
    </row>
    <row r="274" spans="17:20">
      <c r="Q274" s="204">
        <v>651</v>
      </c>
      <c r="R274" s="205">
        <v>8.3385951005675394E-3</v>
      </c>
      <c r="S274" s="204"/>
      <c r="T274" s="204"/>
    </row>
    <row r="275" spans="17:20">
      <c r="Q275" s="204">
        <v>652</v>
      </c>
      <c r="R275" s="205">
        <v>8.2079247129007594E-3</v>
      </c>
      <c r="S275" s="204"/>
      <c r="T275" s="204"/>
    </row>
    <row r="276" spans="17:20">
      <c r="Q276" s="204">
        <v>653</v>
      </c>
      <c r="R276" s="205">
        <v>8.0611083988376894E-3</v>
      </c>
      <c r="S276" s="204"/>
      <c r="T276" s="204"/>
    </row>
    <row r="277" spans="17:20">
      <c r="Q277" s="204">
        <v>654</v>
      </c>
      <c r="R277" s="205">
        <v>7.9020203223405406E-3</v>
      </c>
      <c r="S277" s="204"/>
      <c r="T277" s="204"/>
    </row>
    <row r="278" spans="17:20">
      <c r="Q278" s="204">
        <v>655</v>
      </c>
      <c r="R278" s="205">
        <v>7.7501760888327199E-3</v>
      </c>
      <c r="S278" s="204"/>
      <c r="T278" s="204"/>
    </row>
    <row r="279" spans="17:20">
      <c r="Q279" s="204">
        <v>656</v>
      </c>
      <c r="R279" s="205">
        <v>7.5968898138691803E-3</v>
      </c>
      <c r="S279" s="204"/>
      <c r="T279" s="204"/>
    </row>
    <row r="280" spans="17:20">
      <c r="Q280" s="204">
        <v>657</v>
      </c>
      <c r="R280" s="205">
        <v>7.45697255915884E-3</v>
      </c>
      <c r="S280" s="204"/>
      <c r="T280" s="204"/>
    </row>
    <row r="281" spans="17:20">
      <c r="Q281" s="204">
        <v>658</v>
      </c>
      <c r="R281" s="205">
        <v>7.3219708456623003E-3</v>
      </c>
      <c r="S281" s="204"/>
      <c r="T281" s="204"/>
    </row>
    <row r="282" spans="17:20">
      <c r="Q282" s="204">
        <v>659</v>
      </c>
      <c r="R282" s="205">
        <v>7.1451078733783101E-3</v>
      </c>
      <c r="S282" s="204"/>
      <c r="T282" s="204"/>
    </row>
    <row r="283" spans="17:20">
      <c r="Q283" s="204">
        <v>660</v>
      </c>
      <c r="R283" s="205">
        <v>7.0102658246127096E-3</v>
      </c>
      <c r="S283" s="204"/>
      <c r="T283" s="204"/>
    </row>
    <row r="284" spans="17:20">
      <c r="Q284" s="204">
        <v>661</v>
      </c>
      <c r="R284" s="205">
        <v>6.88810571070531E-3</v>
      </c>
      <c r="S284" s="204"/>
      <c r="T284" s="204"/>
    </row>
    <row r="285" spans="17:20">
      <c r="Q285" s="204">
        <v>662</v>
      </c>
      <c r="R285" s="205">
        <v>6.7575647652645598E-3</v>
      </c>
      <c r="S285" s="204"/>
      <c r="T285" s="204"/>
    </row>
    <row r="286" spans="17:20">
      <c r="Q286" s="204">
        <v>663</v>
      </c>
      <c r="R286" s="205">
        <v>6.6140614933700098E-3</v>
      </c>
      <c r="S286" s="204"/>
      <c r="T286" s="204"/>
    </row>
    <row r="287" spans="17:20">
      <c r="Q287" s="204">
        <v>664</v>
      </c>
      <c r="R287" s="205">
        <v>6.4469475791569296E-3</v>
      </c>
      <c r="S287" s="204"/>
      <c r="T287" s="204"/>
    </row>
    <row r="288" spans="17:20">
      <c r="Q288" s="204">
        <v>665</v>
      </c>
      <c r="R288" s="205">
        <v>6.3446280579365901E-3</v>
      </c>
      <c r="S288" s="204"/>
      <c r="T288" s="204"/>
    </row>
    <row r="289" spans="17:20">
      <c r="Q289" s="204">
        <v>666</v>
      </c>
      <c r="R289" s="205">
        <v>6.1822381606307601E-3</v>
      </c>
      <c r="S289" s="204"/>
      <c r="T289" s="204"/>
    </row>
    <row r="290" spans="17:20">
      <c r="Q290" s="204">
        <v>667</v>
      </c>
      <c r="R290" s="205">
        <v>6.0645525615523896E-3</v>
      </c>
      <c r="S290" s="204"/>
      <c r="T290" s="204"/>
    </row>
    <row r="291" spans="17:20">
      <c r="Q291" s="204">
        <v>668</v>
      </c>
      <c r="R291" s="205">
        <v>5.9335415323419098E-3</v>
      </c>
      <c r="S291" s="204"/>
      <c r="T291" s="204"/>
    </row>
    <row r="292" spans="17:20">
      <c r="Q292" s="204">
        <v>669</v>
      </c>
      <c r="R292" s="205">
        <v>5.8072198331405502E-3</v>
      </c>
      <c r="S292" s="204"/>
      <c r="T292" s="204"/>
    </row>
    <row r="293" spans="17:20">
      <c r="Q293" s="204">
        <v>670</v>
      </c>
      <c r="R293" s="205">
        <v>5.6854588381464698E-3</v>
      </c>
      <c r="S293" s="204"/>
      <c r="T293" s="204"/>
    </row>
    <row r="294" spans="17:20">
      <c r="Q294" s="204">
        <v>671</v>
      </c>
      <c r="R294" s="205">
        <v>5.5623622287347104E-3</v>
      </c>
      <c r="S294" s="204"/>
      <c r="T294" s="204"/>
    </row>
    <row r="295" spans="17:20">
      <c r="Q295" s="204">
        <v>672</v>
      </c>
      <c r="R295" s="205">
        <v>5.42531580289486E-3</v>
      </c>
      <c r="S295" s="204"/>
      <c r="T295" s="204"/>
    </row>
    <row r="296" spans="17:20">
      <c r="Q296" s="204">
        <v>673</v>
      </c>
      <c r="R296" s="205">
        <v>5.31151248810122E-3</v>
      </c>
      <c r="S296" s="204"/>
      <c r="T296" s="204"/>
    </row>
    <row r="297" spans="17:20">
      <c r="Q297" s="204">
        <v>674</v>
      </c>
      <c r="R297" s="205">
        <v>5.1744390569943496E-3</v>
      </c>
      <c r="S297" s="204"/>
      <c r="T297" s="204"/>
    </row>
    <row r="298" spans="17:20">
      <c r="Q298" s="204">
        <v>675</v>
      </c>
      <c r="R298" s="205">
        <v>5.0549520972781297E-3</v>
      </c>
      <c r="S298" s="204"/>
      <c r="T298" s="204"/>
    </row>
    <row r="299" spans="17:20">
      <c r="Q299" s="204">
        <v>676</v>
      </c>
      <c r="R299" s="205">
        <v>4.9283044591529601E-3</v>
      </c>
      <c r="S299" s="204"/>
      <c r="T299" s="204"/>
    </row>
    <row r="300" spans="17:20">
      <c r="Q300" s="204">
        <v>677</v>
      </c>
      <c r="R300" s="205">
        <v>4.8292298735582804E-3</v>
      </c>
      <c r="S300" s="204"/>
      <c r="T300" s="204"/>
    </row>
    <row r="301" spans="17:20">
      <c r="Q301" s="204">
        <v>678</v>
      </c>
      <c r="R301" s="205">
        <v>4.7160876409466004E-3</v>
      </c>
      <c r="S301" s="204"/>
      <c r="T301" s="204"/>
    </row>
    <row r="302" spans="17:20">
      <c r="Q302" s="204">
        <v>679</v>
      </c>
      <c r="R302" s="205">
        <v>4.5967517501366902E-3</v>
      </c>
      <c r="S302" s="204"/>
      <c r="T302" s="204"/>
    </row>
    <row r="303" spans="17:20">
      <c r="Q303" s="204">
        <v>680</v>
      </c>
      <c r="R303" s="205">
        <v>4.4922856826055298E-3</v>
      </c>
      <c r="S303" s="204"/>
      <c r="T303" s="204"/>
    </row>
    <row r="304" spans="17:20">
      <c r="Q304" s="204">
        <v>681</v>
      </c>
      <c r="R304" s="205">
        <v>4.3824454876543904E-3</v>
      </c>
      <c r="S304" s="204"/>
      <c r="T304" s="204"/>
    </row>
    <row r="305" spans="17:20">
      <c r="Q305" s="204">
        <v>682</v>
      </c>
      <c r="R305" s="205">
        <v>4.2737098271238604E-3</v>
      </c>
      <c r="S305" s="204"/>
      <c r="T305" s="204"/>
    </row>
    <row r="306" spans="17:20">
      <c r="Q306" s="204">
        <v>683</v>
      </c>
      <c r="R306" s="205">
        <v>4.1747822094858403E-3</v>
      </c>
      <c r="S306" s="204"/>
      <c r="T306" s="204"/>
    </row>
    <row r="307" spans="17:20">
      <c r="Q307" s="204">
        <v>684</v>
      </c>
      <c r="R307" s="205">
        <v>4.0658157011195899E-3</v>
      </c>
      <c r="S307" s="204"/>
      <c r="T307" s="204"/>
    </row>
    <row r="308" spans="17:20">
      <c r="Q308" s="204">
        <v>685</v>
      </c>
      <c r="R308" s="205">
        <v>3.9699136191954504E-3</v>
      </c>
      <c r="S308" s="204"/>
      <c r="T308" s="204"/>
    </row>
    <row r="309" spans="17:20">
      <c r="Q309" s="204">
        <v>686</v>
      </c>
      <c r="R309" s="205">
        <v>3.8750496089927102E-3</v>
      </c>
      <c r="S309" s="204"/>
      <c r="T309" s="204"/>
    </row>
    <row r="310" spans="17:20">
      <c r="Q310" s="204">
        <v>687</v>
      </c>
      <c r="R310" s="205">
        <v>3.7932412571094502E-3</v>
      </c>
      <c r="S310" s="204"/>
      <c r="T310" s="204"/>
    </row>
    <row r="311" spans="17:20">
      <c r="Q311" s="204">
        <v>688</v>
      </c>
      <c r="R311" s="205">
        <v>3.7091811772248999E-3</v>
      </c>
      <c r="S311" s="204"/>
      <c r="T311" s="204"/>
    </row>
    <row r="312" spans="17:20">
      <c r="Q312" s="204">
        <v>689</v>
      </c>
      <c r="R312" s="205">
        <v>3.6112227672648301E-3</v>
      </c>
      <c r="S312" s="204"/>
      <c r="T312" s="204"/>
    </row>
    <row r="313" spans="17:20">
      <c r="Q313" s="204">
        <v>690</v>
      </c>
      <c r="R313" s="205">
        <v>3.5221647879074402E-3</v>
      </c>
      <c r="S313" s="204"/>
      <c r="T313" s="204"/>
    </row>
    <row r="314" spans="17:20">
      <c r="Q314" s="204">
        <v>691</v>
      </c>
      <c r="R314" s="205">
        <v>3.4297717562303399E-3</v>
      </c>
      <c r="S314" s="204"/>
      <c r="T314" s="204"/>
    </row>
    <row r="315" spans="17:20">
      <c r="Q315" s="204">
        <v>692</v>
      </c>
      <c r="R315" s="205">
        <v>3.35565831701477E-3</v>
      </c>
      <c r="S315" s="204"/>
      <c r="T315" s="204"/>
    </row>
    <row r="316" spans="17:20">
      <c r="Q316" s="204">
        <v>693</v>
      </c>
      <c r="R316" s="205">
        <v>3.2546078398136501E-3</v>
      </c>
      <c r="S316" s="204"/>
      <c r="T316" s="204"/>
    </row>
    <row r="317" spans="17:20">
      <c r="Q317" s="204">
        <v>694</v>
      </c>
      <c r="R317" s="205">
        <v>3.1748201247101299E-3</v>
      </c>
      <c r="S317" s="204"/>
      <c r="T317" s="204"/>
    </row>
    <row r="318" spans="17:20">
      <c r="Q318" s="204">
        <v>695</v>
      </c>
      <c r="R318" s="205">
        <v>3.09127406913399E-3</v>
      </c>
      <c r="S318" s="204"/>
      <c r="T318" s="204"/>
    </row>
    <row r="319" spans="17:20">
      <c r="Q319" s="204">
        <v>696</v>
      </c>
      <c r="R319" s="205">
        <v>3.0181705880402299E-3</v>
      </c>
      <c r="S319" s="204"/>
      <c r="T319" s="204"/>
    </row>
    <row r="320" spans="17:20">
      <c r="Q320" s="204">
        <v>697</v>
      </c>
      <c r="R320" s="205">
        <v>2.9405375205699899E-3</v>
      </c>
      <c r="S320" s="204"/>
      <c r="T320" s="204"/>
    </row>
    <row r="321" spans="17:20">
      <c r="Q321" s="204">
        <v>698</v>
      </c>
      <c r="R321" s="205">
        <v>2.86412074193565E-3</v>
      </c>
      <c r="S321" s="204"/>
      <c r="T321" s="204"/>
    </row>
    <row r="322" spans="17:20">
      <c r="Q322" s="204">
        <v>699</v>
      </c>
      <c r="R322" s="205">
        <v>2.79078851701501E-3</v>
      </c>
      <c r="S322" s="204"/>
      <c r="T322" s="204"/>
    </row>
    <row r="323" spans="17:20">
      <c r="Q323" s="204">
        <v>700</v>
      </c>
      <c r="R323" s="205">
        <v>2.7182385016267601E-3</v>
      </c>
      <c r="S323" s="204"/>
      <c r="T323" s="204"/>
    </row>
    <row r="324" spans="17:20">
      <c r="Q324" s="204">
        <v>701</v>
      </c>
      <c r="R324" s="205">
        <v>2.6542816668903E-3</v>
      </c>
      <c r="S324" s="204"/>
      <c r="T324" s="204"/>
    </row>
    <row r="325" spans="17:20">
      <c r="Q325" s="204">
        <v>702</v>
      </c>
      <c r="R325" s="205">
        <v>2.5855061010782799E-3</v>
      </c>
      <c r="S325" s="204"/>
      <c r="T325" s="204"/>
    </row>
    <row r="326" spans="17:20">
      <c r="Q326" s="204">
        <v>703</v>
      </c>
      <c r="R326" s="205">
        <v>2.51024627777326E-3</v>
      </c>
      <c r="S326" s="204"/>
      <c r="T326" s="204"/>
    </row>
    <row r="327" spans="17:20">
      <c r="Q327" s="204">
        <v>704</v>
      </c>
      <c r="R327" s="205">
        <v>2.4458083639308098E-3</v>
      </c>
      <c r="S327" s="204"/>
      <c r="T327" s="204"/>
    </row>
    <row r="328" spans="17:20">
      <c r="Q328" s="204">
        <v>705</v>
      </c>
      <c r="R328" s="205">
        <v>2.3692224170342598E-3</v>
      </c>
      <c r="S328" s="204"/>
      <c r="T328" s="204"/>
    </row>
    <row r="329" spans="17:20">
      <c r="Q329" s="204">
        <v>706</v>
      </c>
      <c r="R329" s="205">
        <v>2.3173595834111E-3</v>
      </c>
      <c r="S329" s="204"/>
      <c r="T329" s="204"/>
    </row>
    <row r="330" spans="17:20">
      <c r="Q330" s="204">
        <v>707</v>
      </c>
      <c r="R330" s="205">
        <v>2.2612436508927598E-3</v>
      </c>
      <c r="S330" s="204"/>
      <c r="T330" s="204"/>
    </row>
    <row r="331" spans="17:20">
      <c r="Q331" s="204">
        <v>708</v>
      </c>
      <c r="R331" s="205">
        <v>2.2011936483428002E-3</v>
      </c>
      <c r="S331" s="204"/>
      <c r="T331" s="204"/>
    </row>
    <row r="332" spans="17:20">
      <c r="Q332" s="204">
        <v>709</v>
      </c>
      <c r="R332" s="205">
        <v>2.1457461613279901E-3</v>
      </c>
      <c r="S332" s="204"/>
      <c r="T332" s="204"/>
    </row>
    <row r="333" spans="17:20">
      <c r="Q333" s="204">
        <v>710</v>
      </c>
      <c r="R333" s="205">
        <v>2.0848494228192099E-3</v>
      </c>
      <c r="S333" s="204"/>
      <c r="T333" s="204"/>
    </row>
    <row r="334" spans="17:20">
      <c r="Q334" s="204">
        <v>711</v>
      </c>
      <c r="R334" s="205">
        <v>2.0312440240678E-3</v>
      </c>
      <c r="S334" s="204"/>
      <c r="T334" s="204"/>
    </row>
    <row r="335" spans="17:20">
      <c r="Q335" s="204">
        <v>712</v>
      </c>
      <c r="R335" s="205">
        <v>1.97900601801748E-3</v>
      </c>
      <c r="S335" s="204"/>
      <c r="T335" s="204"/>
    </row>
    <row r="336" spans="17:20">
      <c r="Q336" s="204">
        <v>713</v>
      </c>
      <c r="R336" s="205">
        <v>1.91961911599111E-3</v>
      </c>
      <c r="S336" s="204"/>
      <c r="T336" s="204"/>
    </row>
    <row r="337" spans="17:20">
      <c r="Q337" s="204">
        <v>714</v>
      </c>
      <c r="R337" s="205">
        <v>1.8773098297031701E-3</v>
      </c>
      <c r="S337" s="204"/>
      <c r="T337" s="204"/>
    </row>
    <row r="338" spans="17:20">
      <c r="Q338" s="204">
        <v>715</v>
      </c>
      <c r="R338" s="205">
        <v>1.8197883261768799E-3</v>
      </c>
      <c r="S338" s="204"/>
      <c r="T338" s="204"/>
    </row>
    <row r="339" spans="17:20">
      <c r="Q339" s="204">
        <v>716</v>
      </c>
      <c r="R339" s="205">
        <v>1.7696973417685E-3</v>
      </c>
      <c r="S339" s="204"/>
      <c r="T339" s="204"/>
    </row>
    <row r="340" spans="17:20">
      <c r="Q340" s="204">
        <v>717</v>
      </c>
      <c r="R340" s="205">
        <v>1.72426551079709E-3</v>
      </c>
      <c r="S340" s="204"/>
      <c r="T340" s="204"/>
    </row>
    <row r="341" spans="17:20">
      <c r="Q341" s="204">
        <v>718</v>
      </c>
      <c r="R341" s="205">
        <v>1.67526452909727E-3</v>
      </c>
      <c r="S341" s="204"/>
      <c r="T341" s="204"/>
    </row>
    <row r="342" spans="17:20">
      <c r="Q342" s="204">
        <v>719</v>
      </c>
      <c r="R342" s="205">
        <v>1.6361329741826701E-3</v>
      </c>
      <c r="S342" s="204"/>
      <c r="T342" s="204"/>
    </row>
    <row r="343" spans="17:20">
      <c r="Q343" s="204">
        <v>720</v>
      </c>
      <c r="R343" s="205">
        <v>1.58743749347293E-3</v>
      </c>
      <c r="S343" s="204"/>
      <c r="T343" s="204"/>
    </row>
    <row r="344" spans="17:20">
      <c r="Q344" s="204">
        <v>721</v>
      </c>
      <c r="R344" s="205">
        <v>1.54249183333267E-3</v>
      </c>
      <c r="S344" s="204"/>
      <c r="T344" s="204"/>
    </row>
    <row r="345" spans="17:20">
      <c r="Q345" s="204">
        <v>722</v>
      </c>
      <c r="R345" s="205">
        <v>1.50537052441471E-3</v>
      </c>
      <c r="S345" s="204"/>
      <c r="T345" s="204"/>
    </row>
    <row r="346" spans="17:20">
      <c r="Q346" s="204">
        <v>723</v>
      </c>
      <c r="R346" s="205">
        <v>1.4568809618923299E-3</v>
      </c>
      <c r="S346" s="204"/>
      <c r="T346" s="204"/>
    </row>
    <row r="347" spans="17:20">
      <c r="Q347" s="204">
        <v>724</v>
      </c>
      <c r="R347" s="205">
        <v>1.4211938434799099E-3</v>
      </c>
      <c r="S347" s="204"/>
      <c r="T347" s="204"/>
    </row>
    <row r="348" spans="17:20">
      <c r="Q348" s="204">
        <v>725</v>
      </c>
      <c r="R348" s="205">
        <v>1.38225227206883E-3</v>
      </c>
      <c r="S348" s="204"/>
      <c r="T348" s="204"/>
    </row>
    <row r="349" spans="17:20">
      <c r="Q349" s="204">
        <v>726</v>
      </c>
      <c r="R349" s="205">
        <v>1.3407402483131001E-3</v>
      </c>
      <c r="S349" s="204"/>
      <c r="T349" s="204"/>
    </row>
    <row r="350" spans="17:20">
      <c r="Q350" s="204">
        <v>727</v>
      </c>
      <c r="R350" s="205">
        <v>1.31061689071548E-3</v>
      </c>
      <c r="S350" s="204"/>
      <c r="T350" s="204"/>
    </row>
    <row r="351" spans="17:20">
      <c r="Q351" s="204">
        <v>728</v>
      </c>
      <c r="R351" s="205">
        <v>1.26778710685154E-3</v>
      </c>
      <c r="S351" s="204"/>
      <c r="T351" s="204"/>
    </row>
    <row r="352" spans="17:20">
      <c r="Q352" s="204">
        <v>729</v>
      </c>
      <c r="R352" s="205">
        <v>1.2356883170786101E-3</v>
      </c>
      <c r="S352" s="204"/>
      <c r="T352" s="204"/>
    </row>
    <row r="353" spans="17:20">
      <c r="Q353" s="204">
        <v>730</v>
      </c>
      <c r="R353" s="205">
        <v>1.20309052849101E-3</v>
      </c>
      <c r="S353" s="204"/>
      <c r="T353" s="204"/>
    </row>
    <row r="354" spans="17:20">
      <c r="Q354" s="204">
        <v>731</v>
      </c>
      <c r="R354" s="205">
        <v>1.16291189320011E-3</v>
      </c>
      <c r="S354" s="204"/>
      <c r="T354" s="204"/>
    </row>
    <row r="355" spans="17:20">
      <c r="Q355" s="204">
        <v>732</v>
      </c>
      <c r="R355" s="205">
        <v>1.1337118095171501E-3</v>
      </c>
      <c r="S355" s="204"/>
      <c r="T355" s="204"/>
    </row>
    <row r="356" spans="17:20">
      <c r="Q356" s="204">
        <v>733</v>
      </c>
      <c r="R356" s="205">
        <v>1.0992598460670699E-3</v>
      </c>
      <c r="S356" s="204"/>
      <c r="T356" s="204"/>
    </row>
    <row r="357" spans="17:20">
      <c r="Q357" s="204">
        <v>734</v>
      </c>
      <c r="R357" s="205">
        <v>1.0708194508521601E-3</v>
      </c>
      <c r="S357" s="204"/>
      <c r="T357" s="204"/>
    </row>
    <row r="358" spans="17:20">
      <c r="Q358" s="204">
        <v>735</v>
      </c>
      <c r="R358" s="205">
        <v>1.0327210198580699E-3</v>
      </c>
      <c r="S358" s="204"/>
      <c r="T358" s="204"/>
    </row>
    <row r="359" spans="17:20">
      <c r="Q359" s="204">
        <v>736</v>
      </c>
      <c r="R359" s="205">
        <v>1.0104032923906E-3</v>
      </c>
      <c r="S359" s="204"/>
      <c r="T359" s="204"/>
    </row>
    <row r="360" spans="17:20">
      <c r="Q360" s="204">
        <v>737</v>
      </c>
      <c r="R360" s="205">
        <v>9.8803777030825705E-4</v>
      </c>
      <c r="S360" s="204"/>
      <c r="T360" s="204"/>
    </row>
    <row r="361" spans="17:20">
      <c r="Q361" s="204">
        <v>738</v>
      </c>
      <c r="R361" s="205">
        <v>9.5726680499479903E-4</v>
      </c>
      <c r="S361" s="204"/>
      <c r="T361" s="204"/>
    </row>
    <row r="362" spans="17:20">
      <c r="Q362" s="204">
        <v>739</v>
      </c>
      <c r="R362" s="205">
        <v>9.2695639185840005E-4</v>
      </c>
      <c r="S362" s="204"/>
      <c r="T362" s="204"/>
    </row>
    <row r="363" spans="17:20">
      <c r="Q363" s="204">
        <v>740</v>
      </c>
      <c r="R363" s="205">
        <v>9.0469958092995E-4</v>
      </c>
      <c r="S363" s="204"/>
      <c r="T363" s="204"/>
    </row>
    <row r="364" spans="17:20">
      <c r="Q364" s="204">
        <v>741</v>
      </c>
      <c r="R364" s="205">
        <v>8.7824613467367397E-4</v>
      </c>
      <c r="S364" s="204"/>
      <c r="T364" s="204"/>
    </row>
    <row r="365" spans="17:20">
      <c r="Q365" s="204">
        <v>742</v>
      </c>
      <c r="R365" s="205">
        <v>8.5200157822916097E-4</v>
      </c>
      <c r="S365" s="204"/>
      <c r="T365" s="204"/>
    </row>
    <row r="366" spans="17:20">
      <c r="Q366" s="204">
        <v>743</v>
      </c>
      <c r="R366" s="205">
        <v>8.2931448140223399E-4</v>
      </c>
      <c r="S366" s="204"/>
      <c r="T366" s="204"/>
    </row>
    <row r="367" spans="17:20">
      <c r="Q367" s="204">
        <v>744</v>
      </c>
      <c r="R367" s="205">
        <v>8.0382040269491898E-4</v>
      </c>
      <c r="S367" s="204"/>
      <c r="T367" s="204"/>
    </row>
    <row r="368" spans="17:20">
      <c r="Q368" s="204">
        <v>745</v>
      </c>
      <c r="R368" s="205">
        <v>7.85885878178707E-4</v>
      </c>
      <c r="S368" s="204"/>
      <c r="T368" s="204"/>
    </row>
    <row r="369" spans="17:20">
      <c r="Q369" s="204">
        <v>746</v>
      </c>
      <c r="R369" s="205">
        <v>7.66204652569303E-4</v>
      </c>
      <c r="S369" s="204"/>
      <c r="T369" s="204"/>
    </row>
    <row r="370" spans="17:20">
      <c r="Q370" s="204">
        <v>747</v>
      </c>
      <c r="R370" s="205">
        <v>7.4093703257093304E-4</v>
      </c>
      <c r="S370" s="204"/>
      <c r="T370" s="204"/>
    </row>
    <row r="371" spans="17:20">
      <c r="Q371" s="204">
        <v>748</v>
      </c>
      <c r="R371" s="205">
        <v>7.2442848152340703E-4</v>
      </c>
      <c r="S371" s="204"/>
      <c r="T371" s="204"/>
    </row>
    <row r="372" spans="17:20">
      <c r="Q372" s="204">
        <v>749</v>
      </c>
      <c r="R372" s="205">
        <v>7.0321144636905199E-4</v>
      </c>
      <c r="S372" s="204"/>
      <c r="T372" s="204"/>
    </row>
    <row r="373" spans="17:20">
      <c r="Q373" s="204">
        <v>750</v>
      </c>
      <c r="R373" s="205">
        <v>6.8472437115487295E-4</v>
      </c>
      <c r="S373" s="204"/>
      <c r="T373" s="204"/>
    </row>
    <row r="374" spans="17:20">
      <c r="Q374" s="204">
        <v>751</v>
      </c>
      <c r="R374" s="205">
        <v>6.6442293745883302E-4</v>
      </c>
      <c r="S374" s="204"/>
      <c r="T374" s="204"/>
    </row>
    <row r="375" spans="17:20">
      <c r="Q375" s="204">
        <v>752</v>
      </c>
      <c r="R375" s="205">
        <v>6.4878993284004098E-4</v>
      </c>
      <c r="S375" s="204"/>
      <c r="T375" s="204"/>
    </row>
    <row r="376" spans="17:20">
      <c r="Q376" s="204">
        <v>753</v>
      </c>
      <c r="R376" s="205">
        <v>6.3432525305117499E-4</v>
      </c>
      <c r="S376" s="204"/>
      <c r="T376" s="204"/>
    </row>
    <row r="377" spans="17:20">
      <c r="Q377" s="204">
        <v>754</v>
      </c>
      <c r="R377" s="205">
        <v>6.1726625748981701E-4</v>
      </c>
      <c r="S377" s="204"/>
      <c r="T377" s="204"/>
    </row>
    <row r="378" spans="17:20">
      <c r="Q378" s="204">
        <v>755</v>
      </c>
      <c r="R378" s="205">
        <v>5.9566915913701504E-4</v>
      </c>
      <c r="S378" s="204"/>
      <c r="T378" s="204"/>
    </row>
    <row r="379" spans="17:20">
      <c r="Q379" s="204">
        <v>756</v>
      </c>
      <c r="R379" s="205">
        <v>5.8094698403299305E-4</v>
      </c>
      <c r="S379" s="204"/>
      <c r="T379" s="204"/>
    </row>
    <row r="380" spans="17:20">
      <c r="Q380" s="204">
        <v>757</v>
      </c>
      <c r="R380" s="205">
        <v>5.6862630841026296E-4</v>
      </c>
      <c r="S380" s="204"/>
      <c r="T380" s="204"/>
    </row>
    <row r="381" spans="17:20">
      <c r="Q381" s="204">
        <v>758</v>
      </c>
      <c r="R381" s="205">
        <v>5.5324567155859796E-4</v>
      </c>
      <c r="S381" s="204"/>
      <c r="T381" s="204"/>
    </row>
    <row r="382" spans="17:20">
      <c r="Q382" s="204">
        <v>759</v>
      </c>
      <c r="R382" s="205">
        <v>5.4094171861001196E-4</v>
      </c>
      <c r="S382" s="204"/>
      <c r="T382" s="204"/>
    </row>
    <row r="383" spans="17:20">
      <c r="Q383" s="204">
        <v>760</v>
      </c>
      <c r="R383" s="205">
        <v>5.2361454725959999E-4</v>
      </c>
      <c r="S383" s="204"/>
      <c r="T383" s="204"/>
    </row>
    <row r="384" spans="17:20">
      <c r="Q384" s="204">
        <v>761</v>
      </c>
      <c r="R384" s="205">
        <v>5.1381123186764897E-4</v>
      </c>
      <c r="S384" s="204"/>
      <c r="T384" s="204"/>
    </row>
    <row r="385" spans="17:20">
      <c r="Q385" s="204">
        <v>762</v>
      </c>
      <c r="R385" s="205">
        <v>4.9763262546993899E-4</v>
      </c>
      <c r="S385" s="204"/>
      <c r="T385" s="204"/>
    </row>
    <row r="386" spans="17:20">
      <c r="Q386" s="204">
        <v>763</v>
      </c>
      <c r="R386" s="205">
        <v>4.8513555249998601E-4</v>
      </c>
      <c r="S386" s="204"/>
      <c r="T386" s="204"/>
    </row>
    <row r="387" spans="17:20">
      <c r="Q387" s="204">
        <v>764</v>
      </c>
      <c r="R387" s="205">
        <v>4.7328589988063799E-4</v>
      </c>
      <c r="S387" s="204"/>
      <c r="T387" s="204"/>
    </row>
    <row r="388" spans="17:20">
      <c r="Q388" s="204">
        <v>765</v>
      </c>
      <c r="R388" s="205">
        <v>4.6111955924214799E-4</v>
      </c>
      <c r="S388" s="204"/>
      <c r="T388" s="204"/>
    </row>
    <row r="389" spans="17:20">
      <c r="Q389" s="204">
        <v>766</v>
      </c>
      <c r="R389" s="205">
        <v>4.4851677568615901E-4</v>
      </c>
      <c r="S389" s="204"/>
      <c r="T389" s="204"/>
    </row>
    <row r="390" spans="17:20">
      <c r="Q390" s="204">
        <v>767</v>
      </c>
      <c r="R390" s="205">
        <v>4.3852264772923001E-4</v>
      </c>
      <c r="S390" s="204"/>
      <c r="T390" s="204"/>
    </row>
    <row r="391" spans="17:20">
      <c r="Q391" s="204">
        <v>768</v>
      </c>
      <c r="R391" s="205">
        <v>4.27658008638269E-4</v>
      </c>
      <c r="S391" s="204"/>
      <c r="T391" s="204"/>
    </row>
    <row r="392" spans="17:20">
      <c r="Q392" s="204">
        <v>769</v>
      </c>
      <c r="R392" s="205">
        <v>4.1694147827516702E-4</v>
      </c>
      <c r="S392" s="204"/>
      <c r="T392" s="204"/>
    </row>
    <row r="393" spans="17:20">
      <c r="Q393" s="204">
        <v>770</v>
      </c>
      <c r="R393" s="205">
        <v>4.0453918093917102E-4</v>
      </c>
      <c r="S393" s="204"/>
      <c r="T393" s="204"/>
    </row>
    <row r="394" spans="17:20">
      <c r="Q394" s="204">
        <v>771</v>
      </c>
      <c r="R394" s="205">
        <v>3.9441633153784202E-4</v>
      </c>
      <c r="S394" s="204"/>
      <c r="T394" s="204"/>
    </row>
    <row r="395" spans="17:20">
      <c r="Q395" s="204">
        <v>772</v>
      </c>
      <c r="R395" s="205">
        <v>3.8470237986706598E-4</v>
      </c>
      <c r="S395" s="204"/>
      <c r="T395" s="204"/>
    </row>
    <row r="396" spans="17:20">
      <c r="Q396" s="204">
        <v>773</v>
      </c>
      <c r="R396" s="205">
        <v>3.7545386696852701E-4</v>
      </c>
      <c r="S396" s="204"/>
      <c r="T396" s="204"/>
    </row>
    <row r="397" spans="17:20">
      <c r="Q397" s="204">
        <v>774</v>
      </c>
      <c r="R397" s="205">
        <v>3.6381240518274698E-4</v>
      </c>
      <c r="S397" s="204"/>
      <c r="T397" s="204"/>
    </row>
    <row r="398" spans="17:20">
      <c r="Q398" s="204">
        <v>775</v>
      </c>
      <c r="R398" s="205">
        <v>3.56382035796382E-4</v>
      </c>
      <c r="S398" s="204"/>
      <c r="T398" s="204"/>
    </row>
    <row r="399" spans="17:20">
      <c r="Q399" s="204">
        <v>776</v>
      </c>
      <c r="R399" s="205">
        <v>3.4875716241162299E-4</v>
      </c>
      <c r="S399" s="204"/>
      <c r="T399" s="204"/>
    </row>
    <row r="400" spans="17:20">
      <c r="Q400" s="204">
        <v>777</v>
      </c>
      <c r="R400" s="205">
        <v>3.4227177919388601E-4</v>
      </c>
      <c r="S400" s="204"/>
      <c r="T400" s="204"/>
    </row>
    <row r="401" spans="17:20">
      <c r="Q401" s="204">
        <v>778</v>
      </c>
      <c r="R401" s="205">
        <v>3.3085889716857902E-4</v>
      </c>
      <c r="S401" s="204"/>
      <c r="T401" s="204"/>
    </row>
    <row r="402" spans="17:20">
      <c r="Q402" s="204">
        <v>779</v>
      </c>
      <c r="R402" s="205">
        <v>3.2740313618373902E-4</v>
      </c>
      <c r="S402" s="204"/>
      <c r="T402" s="204"/>
    </row>
    <row r="403" spans="17:20">
      <c r="Q403" s="204">
        <v>780</v>
      </c>
      <c r="R403" s="205">
        <v>3.16175758890274E-4</v>
      </c>
      <c r="S403" s="204"/>
      <c r="T403" s="204"/>
    </row>
    <row r="404" spans="17:20">
      <c r="Q404" s="204">
        <v>781</v>
      </c>
      <c r="R404" s="207">
        <v>0</v>
      </c>
      <c r="S404" s="204"/>
      <c r="T404" s="204"/>
    </row>
    <row r="405" spans="17:20">
      <c r="Q405" s="204">
        <v>782</v>
      </c>
      <c r="R405" s="207">
        <v>0</v>
      </c>
      <c r="S405" s="204"/>
      <c r="T405" s="204"/>
    </row>
    <row r="406" spans="17:20">
      <c r="Q406" s="204">
        <v>783</v>
      </c>
      <c r="R406" s="207">
        <v>0</v>
      </c>
      <c r="S406" s="204"/>
      <c r="T406" s="204"/>
    </row>
    <row r="407" spans="17:20">
      <c r="Q407" s="204">
        <v>784</v>
      </c>
      <c r="R407" s="207">
        <v>0</v>
      </c>
      <c r="S407" s="204"/>
      <c r="T407" s="204"/>
    </row>
    <row r="408" spans="17:20">
      <c r="Q408" s="204">
        <v>785</v>
      </c>
      <c r="R408" s="207">
        <v>0</v>
      </c>
      <c r="S408" s="204"/>
      <c r="T408" s="204"/>
    </row>
    <row r="409" spans="17:20">
      <c r="Q409" s="204">
        <v>786</v>
      </c>
      <c r="R409" s="207">
        <v>0</v>
      </c>
      <c r="S409" s="204"/>
      <c r="T409" s="204"/>
    </row>
    <row r="410" spans="17:20">
      <c r="Q410" s="204">
        <v>787</v>
      </c>
      <c r="R410" s="207">
        <v>0</v>
      </c>
      <c r="S410" s="204"/>
      <c r="T410" s="204"/>
    </row>
    <row r="411" spans="17:20">
      <c r="Q411" s="204">
        <v>788</v>
      </c>
      <c r="R411" s="207">
        <v>0</v>
      </c>
      <c r="S411" s="204"/>
      <c r="T411" s="204"/>
    </row>
    <row r="412" spans="17:20">
      <c r="Q412" s="204">
        <v>789</v>
      </c>
      <c r="R412" s="207">
        <v>0</v>
      </c>
      <c r="S412" s="204"/>
      <c r="T412" s="204"/>
    </row>
    <row r="413" spans="17:20">
      <c r="Q413" s="204">
        <v>790</v>
      </c>
      <c r="R413" s="207">
        <v>0</v>
      </c>
      <c r="S413" s="204"/>
      <c r="T413" s="204"/>
    </row>
    <row r="414" spans="17:20">
      <c r="Q414" s="204">
        <v>791</v>
      </c>
      <c r="R414" s="207">
        <v>0</v>
      </c>
      <c r="S414" s="204"/>
      <c r="T414" s="204"/>
    </row>
    <row r="415" spans="17:20">
      <c r="Q415" s="204">
        <v>792</v>
      </c>
      <c r="R415" s="207">
        <v>0</v>
      </c>
      <c r="S415" s="204"/>
      <c r="T415" s="204"/>
    </row>
    <row r="416" spans="17:20">
      <c r="Q416" s="204">
        <v>793</v>
      </c>
      <c r="R416" s="207">
        <v>0</v>
      </c>
      <c r="S416" s="204"/>
      <c r="T416" s="204"/>
    </row>
    <row r="417" spans="17:20">
      <c r="Q417" s="204">
        <v>794</v>
      </c>
      <c r="R417" s="207">
        <v>0</v>
      </c>
      <c r="S417" s="204"/>
      <c r="T417" s="204"/>
    </row>
    <row r="418" spans="17:20">
      <c r="Q418" s="204">
        <v>795</v>
      </c>
      <c r="R418" s="207">
        <v>0</v>
      </c>
      <c r="S418" s="204"/>
      <c r="T418" s="204"/>
    </row>
    <row r="419" spans="17:20">
      <c r="Q419" s="204">
        <v>796</v>
      </c>
      <c r="R419" s="207">
        <v>0</v>
      </c>
      <c r="S419" s="204"/>
      <c r="T419" s="204"/>
    </row>
    <row r="420" spans="17:20">
      <c r="Q420" s="204">
        <v>797</v>
      </c>
      <c r="R420" s="207">
        <v>0</v>
      </c>
      <c r="S420" s="204"/>
      <c r="T420" s="204"/>
    </row>
    <row r="421" spans="17:20">
      <c r="Q421" s="204">
        <v>798</v>
      </c>
      <c r="R421" s="207">
        <v>0</v>
      </c>
      <c r="S421" s="204"/>
      <c r="T421" s="204"/>
    </row>
    <row r="422" spans="17:20">
      <c r="Q422" s="204">
        <v>799</v>
      </c>
      <c r="R422" s="207">
        <v>0</v>
      </c>
      <c r="S422" s="204"/>
      <c r="T422" s="204"/>
    </row>
    <row r="423" spans="17:20">
      <c r="Q423" s="204">
        <v>800</v>
      </c>
      <c r="R423" s="207">
        <v>0</v>
      </c>
      <c r="S423" s="204"/>
      <c r="T423" s="204"/>
    </row>
    <row r="424" spans="17:20">
      <c r="Q424" s="204">
        <v>801</v>
      </c>
      <c r="R424" s="207">
        <v>0</v>
      </c>
      <c r="S424" s="204"/>
      <c r="T424" s="204"/>
    </row>
    <row r="425" spans="17:20">
      <c r="Q425" s="204">
        <v>802</v>
      </c>
      <c r="R425" s="207">
        <v>0</v>
      </c>
      <c r="S425" s="204"/>
      <c r="T425" s="204"/>
    </row>
    <row r="426" spans="17:20">
      <c r="Q426" s="204">
        <v>803</v>
      </c>
      <c r="R426" s="207">
        <v>0</v>
      </c>
      <c r="S426" s="204"/>
      <c r="T426" s="204"/>
    </row>
    <row r="427" spans="17:20">
      <c r="Q427" s="204">
        <v>804</v>
      </c>
      <c r="R427" s="207">
        <v>0</v>
      </c>
      <c r="S427" s="204"/>
      <c r="T427" s="204"/>
    </row>
    <row r="428" spans="17:20">
      <c r="Q428" s="204">
        <v>805</v>
      </c>
      <c r="R428" s="207">
        <v>0</v>
      </c>
      <c r="S428" s="204"/>
      <c r="T428" s="204"/>
    </row>
    <row r="429" spans="17:20">
      <c r="Q429" s="204">
        <v>806</v>
      </c>
      <c r="R429" s="207">
        <v>0</v>
      </c>
      <c r="S429" s="204"/>
      <c r="T429" s="204"/>
    </row>
    <row r="430" spans="17:20">
      <c r="Q430" s="204">
        <v>807</v>
      </c>
      <c r="R430" s="207">
        <v>0</v>
      </c>
      <c r="S430" s="204"/>
      <c r="T430" s="204"/>
    </row>
    <row r="431" spans="17:20">
      <c r="Q431" s="204">
        <v>808</v>
      </c>
      <c r="R431" s="207">
        <v>0</v>
      </c>
      <c r="S431" s="204"/>
      <c r="T431" s="204"/>
    </row>
    <row r="432" spans="17:20">
      <c r="Q432" s="204">
        <v>809</v>
      </c>
      <c r="R432" s="207">
        <v>0</v>
      </c>
      <c r="S432" s="204"/>
      <c r="T432" s="204"/>
    </row>
    <row r="433" spans="17:20">
      <c r="Q433" s="204">
        <v>810</v>
      </c>
      <c r="R433" s="207">
        <v>0</v>
      </c>
      <c r="S433" s="204"/>
      <c r="T433" s="204"/>
    </row>
    <row r="434" spans="17:20">
      <c r="Q434" s="204">
        <v>811</v>
      </c>
      <c r="R434" s="207">
        <v>0</v>
      </c>
      <c r="S434" s="204"/>
      <c r="T434" s="204"/>
    </row>
    <row r="435" spans="17:20">
      <c r="Q435" s="204">
        <v>812</v>
      </c>
      <c r="R435" s="207">
        <v>0</v>
      </c>
      <c r="S435" s="204"/>
      <c r="T435" s="204"/>
    </row>
    <row r="436" spans="17:20">
      <c r="Q436" s="204">
        <v>813</v>
      </c>
      <c r="R436" s="207">
        <v>0</v>
      </c>
      <c r="S436" s="204"/>
      <c r="T436" s="204"/>
    </row>
    <row r="437" spans="17:20">
      <c r="Q437" s="204">
        <v>814</v>
      </c>
      <c r="R437" s="207">
        <v>0</v>
      </c>
      <c r="S437" s="204"/>
      <c r="T437" s="204"/>
    </row>
    <row r="438" spans="17:20">
      <c r="Q438" s="204">
        <v>815</v>
      </c>
      <c r="R438" s="207">
        <v>0</v>
      </c>
      <c r="S438" s="204"/>
      <c r="T438" s="204"/>
    </row>
    <row r="439" spans="17:20">
      <c r="Q439" s="204">
        <v>816</v>
      </c>
      <c r="R439" s="207">
        <v>0</v>
      </c>
      <c r="S439" s="204"/>
      <c r="T439" s="204"/>
    </row>
    <row r="440" spans="17:20">
      <c r="Q440" s="204">
        <v>817</v>
      </c>
      <c r="R440" s="207">
        <v>0</v>
      </c>
      <c r="S440" s="204"/>
      <c r="T440" s="204"/>
    </row>
    <row r="441" spans="17:20">
      <c r="Q441" s="204">
        <v>818</v>
      </c>
      <c r="R441" s="207">
        <v>0</v>
      </c>
      <c r="S441" s="204"/>
      <c r="T441" s="204"/>
    </row>
    <row r="442" spans="17:20">
      <c r="Q442" s="204">
        <v>819</v>
      </c>
      <c r="R442" s="207">
        <v>0</v>
      </c>
      <c r="S442" s="204"/>
      <c r="T442" s="204"/>
    </row>
    <row r="443" spans="17:20">
      <c r="Q443" s="204">
        <v>820</v>
      </c>
      <c r="R443" s="207">
        <v>0</v>
      </c>
      <c r="S443" s="204"/>
      <c r="T443" s="204"/>
    </row>
    <row r="444" spans="17:20">
      <c r="Q444" s="204">
        <v>821</v>
      </c>
      <c r="R444" s="207">
        <v>0</v>
      </c>
      <c r="S444" s="204"/>
      <c r="T444" s="204"/>
    </row>
    <row r="445" spans="17:20">
      <c r="Q445" s="204">
        <v>822</v>
      </c>
      <c r="R445" s="207">
        <v>0</v>
      </c>
      <c r="S445" s="204"/>
      <c r="T445" s="204"/>
    </row>
    <row r="446" spans="17:20">
      <c r="Q446" s="204">
        <v>823</v>
      </c>
      <c r="R446" s="207">
        <v>0</v>
      </c>
      <c r="S446" s="204"/>
      <c r="T446" s="204"/>
    </row>
    <row r="447" spans="17:20">
      <c r="Q447" s="204">
        <v>824</v>
      </c>
      <c r="R447" s="207">
        <v>0</v>
      </c>
      <c r="S447" s="204"/>
      <c r="T447" s="204"/>
    </row>
    <row r="448" spans="17:20">
      <c r="Q448" s="204">
        <v>825</v>
      </c>
      <c r="R448" s="207">
        <v>0</v>
      </c>
      <c r="S448" s="204"/>
      <c r="T448" s="204"/>
    </row>
    <row r="449" spans="17:20">
      <c r="Q449" s="204">
        <v>826</v>
      </c>
      <c r="R449" s="207">
        <v>0</v>
      </c>
      <c r="S449" s="204"/>
      <c r="T449" s="204"/>
    </row>
    <row r="450" spans="17:20">
      <c r="Q450" s="204">
        <v>827</v>
      </c>
      <c r="R450" s="207">
        <v>0</v>
      </c>
      <c r="S450" s="204"/>
      <c r="T450" s="204"/>
    </row>
    <row r="451" spans="17:20">
      <c r="Q451" s="204">
        <v>828</v>
      </c>
      <c r="R451" s="207">
        <v>0</v>
      </c>
      <c r="S451" s="204"/>
      <c r="T451" s="204"/>
    </row>
    <row r="452" spans="17:20">
      <c r="Q452" s="204">
        <v>829</v>
      </c>
      <c r="R452" s="207">
        <v>0</v>
      </c>
      <c r="S452" s="204"/>
      <c r="T452" s="204"/>
    </row>
    <row r="453" spans="17:20">
      <c r="Q453" s="204">
        <v>830</v>
      </c>
      <c r="R453" s="207">
        <v>0</v>
      </c>
      <c r="S453" s="204"/>
      <c r="T453" s="204"/>
    </row>
  </sheetData>
  <protectedRanges>
    <protectedRange sqref="R3:R453" name="Bereik2"/>
    <protectedRange sqref="B3:B83" name="Bereik1"/>
    <protectedRange sqref="B2" name="Bereik3"/>
  </protectedRanges>
  <mergeCells count="1">
    <mergeCell ref="Q1:T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H211"/>
  <sheetViews>
    <sheetView topLeftCell="A31" workbookViewId="0">
      <selection activeCell="DX33" sqref="DX33"/>
    </sheetView>
  </sheetViews>
  <sheetFormatPr defaultColWidth="11.453125" defaultRowHeight="14.5"/>
  <cols>
    <col min="1" max="1" width="12.453125" customWidth="1"/>
    <col min="2" max="2" width="10.08984375" style="95" customWidth="1"/>
    <col min="3" max="3" width="8.90625" customWidth="1"/>
    <col min="4" max="4" width="5.08984375" customWidth="1"/>
    <col min="5" max="5" width="17.90625" style="96" customWidth="1"/>
    <col min="6" max="6" width="10.90625" style="97" customWidth="1"/>
    <col min="7" max="7" width="9.6328125" customWidth="1"/>
    <col min="8" max="8" width="10.453125" customWidth="1"/>
    <col min="9" max="12" width="9.6328125" customWidth="1"/>
    <col min="13" max="13" width="9.90625" customWidth="1"/>
    <col min="14" max="23" width="9.6328125" customWidth="1"/>
    <col min="111" max="111" width="11.6328125" bestFit="1" customWidth="1"/>
    <col min="112" max="113" width="12.54296875" bestFit="1" customWidth="1"/>
    <col min="257" max="257" width="12.453125" customWidth="1"/>
    <col min="258" max="258" width="10.08984375" customWidth="1"/>
    <col min="259" max="259" width="8.90625" customWidth="1"/>
    <col min="260" max="260" width="5.08984375" customWidth="1"/>
    <col min="261" max="261" width="17.90625" customWidth="1"/>
    <col min="262" max="262" width="10.90625" customWidth="1"/>
    <col min="263" max="263" width="9.6328125" customWidth="1"/>
    <col min="264" max="264" width="10.453125" customWidth="1"/>
    <col min="265" max="268" width="9.6328125" customWidth="1"/>
    <col min="269" max="269" width="9.90625" customWidth="1"/>
    <col min="270" max="279" width="9.6328125" customWidth="1"/>
    <col min="367" max="367" width="11.6328125" bestFit="1" customWidth="1"/>
    <col min="368" max="369" width="12.54296875" bestFit="1" customWidth="1"/>
    <col min="513" max="513" width="12.453125" customWidth="1"/>
    <col min="514" max="514" width="10.08984375" customWidth="1"/>
    <col min="515" max="515" width="8.90625" customWidth="1"/>
    <col min="516" max="516" width="5.08984375" customWidth="1"/>
    <col min="517" max="517" width="17.90625" customWidth="1"/>
    <col min="518" max="518" width="10.90625" customWidth="1"/>
    <col min="519" max="519" width="9.6328125" customWidth="1"/>
    <col min="520" max="520" width="10.453125" customWidth="1"/>
    <col min="521" max="524" width="9.6328125" customWidth="1"/>
    <col min="525" max="525" width="9.90625" customWidth="1"/>
    <col min="526" max="535" width="9.6328125" customWidth="1"/>
    <col min="623" max="623" width="11.6328125" bestFit="1" customWidth="1"/>
    <col min="624" max="625" width="12.54296875" bestFit="1" customWidth="1"/>
    <col min="769" max="769" width="12.453125" customWidth="1"/>
    <col min="770" max="770" width="10.08984375" customWidth="1"/>
    <col min="771" max="771" width="8.90625" customWidth="1"/>
    <col min="772" max="772" width="5.08984375" customWidth="1"/>
    <col min="773" max="773" width="17.90625" customWidth="1"/>
    <col min="774" max="774" width="10.90625" customWidth="1"/>
    <col min="775" max="775" width="9.6328125" customWidth="1"/>
    <col min="776" max="776" width="10.453125" customWidth="1"/>
    <col min="777" max="780" width="9.6328125" customWidth="1"/>
    <col min="781" max="781" width="9.90625" customWidth="1"/>
    <col min="782" max="791" width="9.6328125" customWidth="1"/>
    <col min="879" max="879" width="11.6328125" bestFit="1" customWidth="1"/>
    <col min="880" max="881" width="12.54296875" bestFit="1" customWidth="1"/>
    <col min="1025" max="1025" width="12.453125" customWidth="1"/>
    <col min="1026" max="1026" width="10.08984375" customWidth="1"/>
    <col min="1027" max="1027" width="8.90625" customWidth="1"/>
    <col min="1028" max="1028" width="5.08984375" customWidth="1"/>
    <col min="1029" max="1029" width="17.90625" customWidth="1"/>
    <col min="1030" max="1030" width="10.90625" customWidth="1"/>
    <col min="1031" max="1031" width="9.6328125" customWidth="1"/>
    <col min="1032" max="1032" width="10.453125" customWidth="1"/>
    <col min="1033" max="1036" width="9.6328125" customWidth="1"/>
    <col min="1037" max="1037" width="9.90625" customWidth="1"/>
    <col min="1038" max="1047" width="9.6328125" customWidth="1"/>
    <col min="1135" max="1135" width="11.6328125" bestFit="1" customWidth="1"/>
    <col min="1136" max="1137" width="12.54296875" bestFit="1" customWidth="1"/>
    <col min="1281" max="1281" width="12.453125" customWidth="1"/>
    <col min="1282" max="1282" width="10.08984375" customWidth="1"/>
    <col min="1283" max="1283" width="8.90625" customWidth="1"/>
    <col min="1284" max="1284" width="5.08984375" customWidth="1"/>
    <col min="1285" max="1285" width="17.90625" customWidth="1"/>
    <col min="1286" max="1286" width="10.90625" customWidth="1"/>
    <col min="1287" max="1287" width="9.6328125" customWidth="1"/>
    <col min="1288" max="1288" width="10.453125" customWidth="1"/>
    <col min="1289" max="1292" width="9.6328125" customWidth="1"/>
    <col min="1293" max="1293" width="9.90625" customWidth="1"/>
    <col min="1294" max="1303" width="9.6328125" customWidth="1"/>
    <col min="1391" max="1391" width="11.6328125" bestFit="1" customWidth="1"/>
    <col min="1392" max="1393" width="12.54296875" bestFit="1" customWidth="1"/>
    <col min="1537" max="1537" width="12.453125" customWidth="1"/>
    <col min="1538" max="1538" width="10.08984375" customWidth="1"/>
    <col min="1539" max="1539" width="8.90625" customWidth="1"/>
    <col min="1540" max="1540" width="5.08984375" customWidth="1"/>
    <col min="1541" max="1541" width="17.90625" customWidth="1"/>
    <col min="1542" max="1542" width="10.90625" customWidth="1"/>
    <col min="1543" max="1543" width="9.6328125" customWidth="1"/>
    <col min="1544" max="1544" width="10.453125" customWidth="1"/>
    <col min="1545" max="1548" width="9.6328125" customWidth="1"/>
    <col min="1549" max="1549" width="9.90625" customWidth="1"/>
    <col min="1550" max="1559" width="9.6328125" customWidth="1"/>
    <col min="1647" max="1647" width="11.6328125" bestFit="1" customWidth="1"/>
    <col min="1648" max="1649" width="12.54296875" bestFit="1" customWidth="1"/>
    <col min="1793" max="1793" width="12.453125" customWidth="1"/>
    <col min="1794" max="1794" width="10.08984375" customWidth="1"/>
    <col min="1795" max="1795" width="8.90625" customWidth="1"/>
    <col min="1796" max="1796" width="5.08984375" customWidth="1"/>
    <col min="1797" max="1797" width="17.90625" customWidth="1"/>
    <col min="1798" max="1798" width="10.90625" customWidth="1"/>
    <col min="1799" max="1799" width="9.6328125" customWidth="1"/>
    <col min="1800" max="1800" width="10.453125" customWidth="1"/>
    <col min="1801" max="1804" width="9.6328125" customWidth="1"/>
    <col min="1805" max="1805" width="9.90625" customWidth="1"/>
    <col min="1806" max="1815" width="9.6328125" customWidth="1"/>
    <col min="1903" max="1903" width="11.6328125" bestFit="1" customWidth="1"/>
    <col min="1904" max="1905" width="12.54296875" bestFit="1" customWidth="1"/>
    <col min="2049" max="2049" width="12.453125" customWidth="1"/>
    <col min="2050" max="2050" width="10.08984375" customWidth="1"/>
    <col min="2051" max="2051" width="8.90625" customWidth="1"/>
    <col min="2052" max="2052" width="5.08984375" customWidth="1"/>
    <col min="2053" max="2053" width="17.90625" customWidth="1"/>
    <col min="2054" max="2054" width="10.90625" customWidth="1"/>
    <col min="2055" max="2055" width="9.6328125" customWidth="1"/>
    <col min="2056" max="2056" width="10.453125" customWidth="1"/>
    <col min="2057" max="2060" width="9.6328125" customWidth="1"/>
    <col min="2061" max="2061" width="9.90625" customWidth="1"/>
    <col min="2062" max="2071" width="9.6328125" customWidth="1"/>
    <col min="2159" max="2159" width="11.6328125" bestFit="1" customWidth="1"/>
    <col min="2160" max="2161" width="12.54296875" bestFit="1" customWidth="1"/>
    <col min="2305" max="2305" width="12.453125" customWidth="1"/>
    <col min="2306" max="2306" width="10.08984375" customWidth="1"/>
    <col min="2307" max="2307" width="8.90625" customWidth="1"/>
    <col min="2308" max="2308" width="5.08984375" customWidth="1"/>
    <col min="2309" max="2309" width="17.90625" customWidth="1"/>
    <col min="2310" max="2310" width="10.90625" customWidth="1"/>
    <col min="2311" max="2311" width="9.6328125" customWidth="1"/>
    <col min="2312" max="2312" width="10.453125" customWidth="1"/>
    <col min="2313" max="2316" width="9.6328125" customWidth="1"/>
    <col min="2317" max="2317" width="9.90625" customWidth="1"/>
    <col min="2318" max="2327" width="9.6328125" customWidth="1"/>
    <col min="2415" max="2415" width="11.6328125" bestFit="1" customWidth="1"/>
    <col min="2416" max="2417" width="12.54296875" bestFit="1" customWidth="1"/>
    <col min="2561" max="2561" width="12.453125" customWidth="1"/>
    <col min="2562" max="2562" width="10.08984375" customWidth="1"/>
    <col min="2563" max="2563" width="8.90625" customWidth="1"/>
    <col min="2564" max="2564" width="5.08984375" customWidth="1"/>
    <col min="2565" max="2565" width="17.90625" customWidth="1"/>
    <col min="2566" max="2566" width="10.90625" customWidth="1"/>
    <col min="2567" max="2567" width="9.6328125" customWidth="1"/>
    <col min="2568" max="2568" width="10.453125" customWidth="1"/>
    <col min="2569" max="2572" width="9.6328125" customWidth="1"/>
    <col min="2573" max="2573" width="9.90625" customWidth="1"/>
    <col min="2574" max="2583" width="9.6328125" customWidth="1"/>
    <col min="2671" max="2671" width="11.6328125" bestFit="1" customWidth="1"/>
    <col min="2672" max="2673" width="12.54296875" bestFit="1" customWidth="1"/>
    <col min="2817" max="2817" width="12.453125" customWidth="1"/>
    <col min="2818" max="2818" width="10.08984375" customWidth="1"/>
    <col min="2819" max="2819" width="8.90625" customWidth="1"/>
    <col min="2820" max="2820" width="5.08984375" customWidth="1"/>
    <col min="2821" max="2821" width="17.90625" customWidth="1"/>
    <col min="2822" max="2822" width="10.90625" customWidth="1"/>
    <col min="2823" max="2823" width="9.6328125" customWidth="1"/>
    <col min="2824" max="2824" width="10.453125" customWidth="1"/>
    <col min="2825" max="2828" width="9.6328125" customWidth="1"/>
    <col min="2829" max="2829" width="9.90625" customWidth="1"/>
    <col min="2830" max="2839" width="9.6328125" customWidth="1"/>
    <col min="2927" max="2927" width="11.6328125" bestFit="1" customWidth="1"/>
    <col min="2928" max="2929" width="12.54296875" bestFit="1" customWidth="1"/>
    <col min="3073" max="3073" width="12.453125" customWidth="1"/>
    <col min="3074" max="3074" width="10.08984375" customWidth="1"/>
    <col min="3075" max="3075" width="8.90625" customWidth="1"/>
    <col min="3076" max="3076" width="5.08984375" customWidth="1"/>
    <col min="3077" max="3077" width="17.90625" customWidth="1"/>
    <col min="3078" max="3078" width="10.90625" customWidth="1"/>
    <col min="3079" max="3079" width="9.6328125" customWidth="1"/>
    <col min="3080" max="3080" width="10.453125" customWidth="1"/>
    <col min="3081" max="3084" width="9.6328125" customWidth="1"/>
    <col min="3085" max="3085" width="9.90625" customWidth="1"/>
    <col min="3086" max="3095" width="9.6328125" customWidth="1"/>
    <col min="3183" max="3183" width="11.6328125" bestFit="1" customWidth="1"/>
    <col min="3184" max="3185" width="12.54296875" bestFit="1" customWidth="1"/>
    <col min="3329" max="3329" width="12.453125" customWidth="1"/>
    <col min="3330" max="3330" width="10.08984375" customWidth="1"/>
    <col min="3331" max="3331" width="8.90625" customWidth="1"/>
    <col min="3332" max="3332" width="5.08984375" customWidth="1"/>
    <col min="3333" max="3333" width="17.90625" customWidth="1"/>
    <col min="3334" max="3334" width="10.90625" customWidth="1"/>
    <col min="3335" max="3335" width="9.6328125" customWidth="1"/>
    <col min="3336" max="3336" width="10.453125" customWidth="1"/>
    <col min="3337" max="3340" width="9.6328125" customWidth="1"/>
    <col min="3341" max="3341" width="9.90625" customWidth="1"/>
    <col min="3342" max="3351" width="9.6328125" customWidth="1"/>
    <col min="3439" max="3439" width="11.6328125" bestFit="1" customWidth="1"/>
    <col min="3440" max="3441" width="12.54296875" bestFit="1" customWidth="1"/>
    <col min="3585" max="3585" width="12.453125" customWidth="1"/>
    <col min="3586" max="3586" width="10.08984375" customWidth="1"/>
    <col min="3587" max="3587" width="8.90625" customWidth="1"/>
    <col min="3588" max="3588" width="5.08984375" customWidth="1"/>
    <col min="3589" max="3589" width="17.90625" customWidth="1"/>
    <col min="3590" max="3590" width="10.90625" customWidth="1"/>
    <col min="3591" max="3591" width="9.6328125" customWidth="1"/>
    <col min="3592" max="3592" width="10.453125" customWidth="1"/>
    <col min="3593" max="3596" width="9.6328125" customWidth="1"/>
    <col min="3597" max="3597" width="9.90625" customWidth="1"/>
    <col min="3598" max="3607" width="9.6328125" customWidth="1"/>
    <col min="3695" max="3695" width="11.6328125" bestFit="1" customWidth="1"/>
    <col min="3696" max="3697" width="12.54296875" bestFit="1" customWidth="1"/>
    <col min="3841" max="3841" width="12.453125" customWidth="1"/>
    <col min="3842" max="3842" width="10.08984375" customWidth="1"/>
    <col min="3843" max="3843" width="8.90625" customWidth="1"/>
    <col min="3844" max="3844" width="5.08984375" customWidth="1"/>
    <col min="3845" max="3845" width="17.90625" customWidth="1"/>
    <col min="3846" max="3846" width="10.90625" customWidth="1"/>
    <col min="3847" max="3847" width="9.6328125" customWidth="1"/>
    <col min="3848" max="3848" width="10.453125" customWidth="1"/>
    <col min="3849" max="3852" width="9.6328125" customWidth="1"/>
    <col min="3853" max="3853" width="9.90625" customWidth="1"/>
    <col min="3854" max="3863" width="9.6328125" customWidth="1"/>
    <col min="3951" max="3951" width="11.6328125" bestFit="1" customWidth="1"/>
    <col min="3952" max="3953" width="12.54296875" bestFit="1" customWidth="1"/>
    <col min="4097" max="4097" width="12.453125" customWidth="1"/>
    <col min="4098" max="4098" width="10.08984375" customWidth="1"/>
    <col min="4099" max="4099" width="8.90625" customWidth="1"/>
    <col min="4100" max="4100" width="5.08984375" customWidth="1"/>
    <col min="4101" max="4101" width="17.90625" customWidth="1"/>
    <col min="4102" max="4102" width="10.90625" customWidth="1"/>
    <col min="4103" max="4103" width="9.6328125" customWidth="1"/>
    <col min="4104" max="4104" width="10.453125" customWidth="1"/>
    <col min="4105" max="4108" width="9.6328125" customWidth="1"/>
    <col min="4109" max="4109" width="9.90625" customWidth="1"/>
    <col min="4110" max="4119" width="9.6328125" customWidth="1"/>
    <col min="4207" max="4207" width="11.6328125" bestFit="1" customWidth="1"/>
    <col min="4208" max="4209" width="12.54296875" bestFit="1" customWidth="1"/>
    <col min="4353" max="4353" width="12.453125" customWidth="1"/>
    <col min="4354" max="4354" width="10.08984375" customWidth="1"/>
    <col min="4355" max="4355" width="8.90625" customWidth="1"/>
    <col min="4356" max="4356" width="5.08984375" customWidth="1"/>
    <col min="4357" max="4357" width="17.90625" customWidth="1"/>
    <col min="4358" max="4358" width="10.90625" customWidth="1"/>
    <col min="4359" max="4359" width="9.6328125" customWidth="1"/>
    <col min="4360" max="4360" width="10.453125" customWidth="1"/>
    <col min="4361" max="4364" width="9.6328125" customWidth="1"/>
    <col min="4365" max="4365" width="9.90625" customWidth="1"/>
    <col min="4366" max="4375" width="9.6328125" customWidth="1"/>
    <col min="4463" max="4463" width="11.6328125" bestFit="1" customWidth="1"/>
    <col min="4464" max="4465" width="12.54296875" bestFit="1" customWidth="1"/>
    <col min="4609" max="4609" width="12.453125" customWidth="1"/>
    <col min="4610" max="4610" width="10.08984375" customWidth="1"/>
    <col min="4611" max="4611" width="8.90625" customWidth="1"/>
    <col min="4612" max="4612" width="5.08984375" customWidth="1"/>
    <col min="4613" max="4613" width="17.90625" customWidth="1"/>
    <col min="4614" max="4614" width="10.90625" customWidth="1"/>
    <col min="4615" max="4615" width="9.6328125" customWidth="1"/>
    <col min="4616" max="4616" width="10.453125" customWidth="1"/>
    <col min="4617" max="4620" width="9.6328125" customWidth="1"/>
    <col min="4621" max="4621" width="9.90625" customWidth="1"/>
    <col min="4622" max="4631" width="9.6328125" customWidth="1"/>
    <col min="4719" max="4719" width="11.6328125" bestFit="1" customWidth="1"/>
    <col min="4720" max="4721" width="12.54296875" bestFit="1" customWidth="1"/>
    <col min="4865" max="4865" width="12.453125" customWidth="1"/>
    <col min="4866" max="4866" width="10.08984375" customWidth="1"/>
    <col min="4867" max="4867" width="8.90625" customWidth="1"/>
    <col min="4868" max="4868" width="5.08984375" customWidth="1"/>
    <col min="4869" max="4869" width="17.90625" customWidth="1"/>
    <col min="4870" max="4870" width="10.90625" customWidth="1"/>
    <col min="4871" max="4871" width="9.6328125" customWidth="1"/>
    <col min="4872" max="4872" width="10.453125" customWidth="1"/>
    <col min="4873" max="4876" width="9.6328125" customWidth="1"/>
    <col min="4877" max="4877" width="9.90625" customWidth="1"/>
    <col min="4878" max="4887" width="9.6328125" customWidth="1"/>
    <col min="4975" max="4975" width="11.6328125" bestFit="1" customWidth="1"/>
    <col min="4976" max="4977" width="12.54296875" bestFit="1" customWidth="1"/>
    <col min="5121" max="5121" width="12.453125" customWidth="1"/>
    <col min="5122" max="5122" width="10.08984375" customWidth="1"/>
    <col min="5123" max="5123" width="8.90625" customWidth="1"/>
    <col min="5124" max="5124" width="5.08984375" customWidth="1"/>
    <col min="5125" max="5125" width="17.90625" customWidth="1"/>
    <col min="5126" max="5126" width="10.90625" customWidth="1"/>
    <col min="5127" max="5127" width="9.6328125" customWidth="1"/>
    <col min="5128" max="5128" width="10.453125" customWidth="1"/>
    <col min="5129" max="5132" width="9.6328125" customWidth="1"/>
    <col min="5133" max="5133" width="9.90625" customWidth="1"/>
    <col min="5134" max="5143" width="9.6328125" customWidth="1"/>
    <col min="5231" max="5231" width="11.6328125" bestFit="1" customWidth="1"/>
    <col min="5232" max="5233" width="12.54296875" bestFit="1" customWidth="1"/>
    <col min="5377" max="5377" width="12.453125" customWidth="1"/>
    <col min="5378" max="5378" width="10.08984375" customWidth="1"/>
    <col min="5379" max="5379" width="8.90625" customWidth="1"/>
    <col min="5380" max="5380" width="5.08984375" customWidth="1"/>
    <col min="5381" max="5381" width="17.90625" customWidth="1"/>
    <col min="5382" max="5382" width="10.90625" customWidth="1"/>
    <col min="5383" max="5383" width="9.6328125" customWidth="1"/>
    <col min="5384" max="5384" width="10.453125" customWidth="1"/>
    <col min="5385" max="5388" width="9.6328125" customWidth="1"/>
    <col min="5389" max="5389" width="9.90625" customWidth="1"/>
    <col min="5390" max="5399" width="9.6328125" customWidth="1"/>
    <col min="5487" max="5487" width="11.6328125" bestFit="1" customWidth="1"/>
    <col min="5488" max="5489" width="12.54296875" bestFit="1" customWidth="1"/>
    <col min="5633" max="5633" width="12.453125" customWidth="1"/>
    <col min="5634" max="5634" width="10.08984375" customWidth="1"/>
    <col min="5635" max="5635" width="8.90625" customWidth="1"/>
    <col min="5636" max="5636" width="5.08984375" customWidth="1"/>
    <col min="5637" max="5637" width="17.90625" customWidth="1"/>
    <col min="5638" max="5638" width="10.90625" customWidth="1"/>
    <col min="5639" max="5639" width="9.6328125" customWidth="1"/>
    <col min="5640" max="5640" width="10.453125" customWidth="1"/>
    <col min="5641" max="5644" width="9.6328125" customWidth="1"/>
    <col min="5645" max="5645" width="9.90625" customWidth="1"/>
    <col min="5646" max="5655" width="9.6328125" customWidth="1"/>
    <col min="5743" max="5743" width="11.6328125" bestFit="1" customWidth="1"/>
    <col min="5744" max="5745" width="12.54296875" bestFit="1" customWidth="1"/>
    <col min="5889" max="5889" width="12.453125" customWidth="1"/>
    <col min="5890" max="5890" width="10.08984375" customWidth="1"/>
    <col min="5891" max="5891" width="8.90625" customWidth="1"/>
    <col min="5892" max="5892" width="5.08984375" customWidth="1"/>
    <col min="5893" max="5893" width="17.90625" customWidth="1"/>
    <col min="5894" max="5894" width="10.90625" customWidth="1"/>
    <col min="5895" max="5895" width="9.6328125" customWidth="1"/>
    <col min="5896" max="5896" width="10.453125" customWidth="1"/>
    <col min="5897" max="5900" width="9.6328125" customWidth="1"/>
    <col min="5901" max="5901" width="9.90625" customWidth="1"/>
    <col min="5902" max="5911" width="9.6328125" customWidth="1"/>
    <col min="5999" max="5999" width="11.6328125" bestFit="1" customWidth="1"/>
    <col min="6000" max="6001" width="12.54296875" bestFit="1" customWidth="1"/>
    <col min="6145" max="6145" width="12.453125" customWidth="1"/>
    <col min="6146" max="6146" width="10.08984375" customWidth="1"/>
    <col min="6147" max="6147" width="8.90625" customWidth="1"/>
    <col min="6148" max="6148" width="5.08984375" customWidth="1"/>
    <col min="6149" max="6149" width="17.90625" customWidth="1"/>
    <col min="6150" max="6150" width="10.90625" customWidth="1"/>
    <col min="6151" max="6151" width="9.6328125" customWidth="1"/>
    <col min="6152" max="6152" width="10.453125" customWidth="1"/>
    <col min="6153" max="6156" width="9.6328125" customWidth="1"/>
    <col min="6157" max="6157" width="9.90625" customWidth="1"/>
    <col min="6158" max="6167" width="9.6328125" customWidth="1"/>
    <col min="6255" max="6255" width="11.6328125" bestFit="1" customWidth="1"/>
    <col min="6256" max="6257" width="12.54296875" bestFit="1" customWidth="1"/>
    <col min="6401" max="6401" width="12.453125" customWidth="1"/>
    <col min="6402" max="6402" width="10.08984375" customWidth="1"/>
    <col min="6403" max="6403" width="8.90625" customWidth="1"/>
    <col min="6404" max="6404" width="5.08984375" customWidth="1"/>
    <col min="6405" max="6405" width="17.90625" customWidth="1"/>
    <col min="6406" max="6406" width="10.90625" customWidth="1"/>
    <col min="6407" max="6407" width="9.6328125" customWidth="1"/>
    <col min="6408" max="6408" width="10.453125" customWidth="1"/>
    <col min="6409" max="6412" width="9.6328125" customWidth="1"/>
    <col min="6413" max="6413" width="9.90625" customWidth="1"/>
    <col min="6414" max="6423" width="9.6328125" customWidth="1"/>
    <col min="6511" max="6511" width="11.6328125" bestFit="1" customWidth="1"/>
    <col min="6512" max="6513" width="12.54296875" bestFit="1" customWidth="1"/>
    <col min="6657" max="6657" width="12.453125" customWidth="1"/>
    <col min="6658" max="6658" width="10.08984375" customWidth="1"/>
    <col min="6659" max="6659" width="8.90625" customWidth="1"/>
    <col min="6660" max="6660" width="5.08984375" customWidth="1"/>
    <col min="6661" max="6661" width="17.90625" customWidth="1"/>
    <col min="6662" max="6662" width="10.90625" customWidth="1"/>
    <col min="6663" max="6663" width="9.6328125" customWidth="1"/>
    <col min="6664" max="6664" width="10.453125" customWidth="1"/>
    <col min="6665" max="6668" width="9.6328125" customWidth="1"/>
    <col min="6669" max="6669" width="9.90625" customWidth="1"/>
    <col min="6670" max="6679" width="9.6328125" customWidth="1"/>
    <col min="6767" max="6767" width="11.6328125" bestFit="1" customWidth="1"/>
    <col min="6768" max="6769" width="12.54296875" bestFit="1" customWidth="1"/>
    <col min="6913" max="6913" width="12.453125" customWidth="1"/>
    <col min="6914" max="6914" width="10.08984375" customWidth="1"/>
    <col min="6915" max="6915" width="8.90625" customWidth="1"/>
    <col min="6916" max="6916" width="5.08984375" customWidth="1"/>
    <col min="6917" max="6917" width="17.90625" customWidth="1"/>
    <col min="6918" max="6918" width="10.90625" customWidth="1"/>
    <col min="6919" max="6919" width="9.6328125" customWidth="1"/>
    <col min="6920" max="6920" width="10.453125" customWidth="1"/>
    <col min="6921" max="6924" width="9.6328125" customWidth="1"/>
    <col min="6925" max="6925" width="9.90625" customWidth="1"/>
    <col min="6926" max="6935" width="9.6328125" customWidth="1"/>
    <col min="7023" max="7023" width="11.6328125" bestFit="1" customWidth="1"/>
    <col min="7024" max="7025" width="12.54296875" bestFit="1" customWidth="1"/>
    <col min="7169" max="7169" width="12.453125" customWidth="1"/>
    <col min="7170" max="7170" width="10.08984375" customWidth="1"/>
    <col min="7171" max="7171" width="8.90625" customWidth="1"/>
    <col min="7172" max="7172" width="5.08984375" customWidth="1"/>
    <col min="7173" max="7173" width="17.90625" customWidth="1"/>
    <col min="7174" max="7174" width="10.90625" customWidth="1"/>
    <col min="7175" max="7175" width="9.6328125" customWidth="1"/>
    <col min="7176" max="7176" width="10.453125" customWidth="1"/>
    <col min="7177" max="7180" width="9.6328125" customWidth="1"/>
    <col min="7181" max="7181" width="9.90625" customWidth="1"/>
    <col min="7182" max="7191" width="9.6328125" customWidth="1"/>
    <col min="7279" max="7279" width="11.6328125" bestFit="1" customWidth="1"/>
    <col min="7280" max="7281" width="12.54296875" bestFit="1" customWidth="1"/>
    <col min="7425" max="7425" width="12.453125" customWidth="1"/>
    <col min="7426" max="7426" width="10.08984375" customWidth="1"/>
    <col min="7427" max="7427" width="8.90625" customWidth="1"/>
    <col min="7428" max="7428" width="5.08984375" customWidth="1"/>
    <col min="7429" max="7429" width="17.90625" customWidth="1"/>
    <col min="7430" max="7430" width="10.90625" customWidth="1"/>
    <col min="7431" max="7431" width="9.6328125" customWidth="1"/>
    <col min="7432" max="7432" width="10.453125" customWidth="1"/>
    <col min="7433" max="7436" width="9.6328125" customWidth="1"/>
    <col min="7437" max="7437" width="9.90625" customWidth="1"/>
    <col min="7438" max="7447" width="9.6328125" customWidth="1"/>
    <col min="7535" max="7535" width="11.6328125" bestFit="1" customWidth="1"/>
    <col min="7536" max="7537" width="12.54296875" bestFit="1" customWidth="1"/>
    <col min="7681" max="7681" width="12.453125" customWidth="1"/>
    <col min="7682" max="7682" width="10.08984375" customWidth="1"/>
    <col min="7683" max="7683" width="8.90625" customWidth="1"/>
    <col min="7684" max="7684" width="5.08984375" customWidth="1"/>
    <col min="7685" max="7685" width="17.90625" customWidth="1"/>
    <col min="7686" max="7686" width="10.90625" customWidth="1"/>
    <col min="7687" max="7687" width="9.6328125" customWidth="1"/>
    <col min="7688" max="7688" width="10.453125" customWidth="1"/>
    <col min="7689" max="7692" width="9.6328125" customWidth="1"/>
    <col min="7693" max="7693" width="9.90625" customWidth="1"/>
    <col min="7694" max="7703" width="9.6328125" customWidth="1"/>
    <col min="7791" max="7791" width="11.6328125" bestFit="1" customWidth="1"/>
    <col min="7792" max="7793" width="12.54296875" bestFit="1" customWidth="1"/>
    <col min="7937" max="7937" width="12.453125" customWidth="1"/>
    <col min="7938" max="7938" width="10.08984375" customWidth="1"/>
    <col min="7939" max="7939" width="8.90625" customWidth="1"/>
    <col min="7940" max="7940" width="5.08984375" customWidth="1"/>
    <col min="7941" max="7941" width="17.90625" customWidth="1"/>
    <col min="7942" max="7942" width="10.90625" customWidth="1"/>
    <col min="7943" max="7943" width="9.6328125" customWidth="1"/>
    <col min="7944" max="7944" width="10.453125" customWidth="1"/>
    <col min="7945" max="7948" width="9.6328125" customWidth="1"/>
    <col min="7949" max="7949" width="9.90625" customWidth="1"/>
    <col min="7950" max="7959" width="9.6328125" customWidth="1"/>
    <col min="8047" max="8047" width="11.6328125" bestFit="1" customWidth="1"/>
    <col min="8048" max="8049" width="12.54296875" bestFit="1" customWidth="1"/>
    <col min="8193" max="8193" width="12.453125" customWidth="1"/>
    <col min="8194" max="8194" width="10.08984375" customWidth="1"/>
    <col min="8195" max="8195" width="8.90625" customWidth="1"/>
    <col min="8196" max="8196" width="5.08984375" customWidth="1"/>
    <col min="8197" max="8197" width="17.90625" customWidth="1"/>
    <col min="8198" max="8198" width="10.90625" customWidth="1"/>
    <col min="8199" max="8199" width="9.6328125" customWidth="1"/>
    <col min="8200" max="8200" width="10.453125" customWidth="1"/>
    <col min="8201" max="8204" width="9.6328125" customWidth="1"/>
    <col min="8205" max="8205" width="9.90625" customWidth="1"/>
    <col min="8206" max="8215" width="9.6328125" customWidth="1"/>
    <col min="8303" max="8303" width="11.6328125" bestFit="1" customWidth="1"/>
    <col min="8304" max="8305" width="12.54296875" bestFit="1" customWidth="1"/>
    <col min="8449" max="8449" width="12.453125" customWidth="1"/>
    <col min="8450" max="8450" width="10.08984375" customWidth="1"/>
    <col min="8451" max="8451" width="8.90625" customWidth="1"/>
    <col min="8452" max="8452" width="5.08984375" customWidth="1"/>
    <col min="8453" max="8453" width="17.90625" customWidth="1"/>
    <col min="8454" max="8454" width="10.90625" customWidth="1"/>
    <col min="8455" max="8455" width="9.6328125" customWidth="1"/>
    <col min="8456" max="8456" width="10.453125" customWidth="1"/>
    <col min="8457" max="8460" width="9.6328125" customWidth="1"/>
    <col min="8461" max="8461" width="9.90625" customWidth="1"/>
    <col min="8462" max="8471" width="9.6328125" customWidth="1"/>
    <col min="8559" max="8559" width="11.6328125" bestFit="1" customWidth="1"/>
    <col min="8560" max="8561" width="12.54296875" bestFit="1" customWidth="1"/>
    <col min="8705" max="8705" width="12.453125" customWidth="1"/>
    <col min="8706" max="8706" width="10.08984375" customWidth="1"/>
    <col min="8707" max="8707" width="8.90625" customWidth="1"/>
    <col min="8708" max="8708" width="5.08984375" customWidth="1"/>
    <col min="8709" max="8709" width="17.90625" customWidth="1"/>
    <col min="8710" max="8710" width="10.90625" customWidth="1"/>
    <col min="8711" max="8711" width="9.6328125" customWidth="1"/>
    <col min="8712" max="8712" width="10.453125" customWidth="1"/>
    <col min="8713" max="8716" width="9.6328125" customWidth="1"/>
    <col min="8717" max="8717" width="9.90625" customWidth="1"/>
    <col min="8718" max="8727" width="9.6328125" customWidth="1"/>
    <col min="8815" max="8815" width="11.6328125" bestFit="1" customWidth="1"/>
    <col min="8816" max="8817" width="12.54296875" bestFit="1" customWidth="1"/>
    <col min="8961" max="8961" width="12.453125" customWidth="1"/>
    <col min="8962" max="8962" width="10.08984375" customWidth="1"/>
    <col min="8963" max="8963" width="8.90625" customWidth="1"/>
    <col min="8964" max="8964" width="5.08984375" customWidth="1"/>
    <col min="8965" max="8965" width="17.90625" customWidth="1"/>
    <col min="8966" max="8966" width="10.90625" customWidth="1"/>
    <col min="8967" max="8967" width="9.6328125" customWidth="1"/>
    <col min="8968" max="8968" width="10.453125" customWidth="1"/>
    <col min="8969" max="8972" width="9.6328125" customWidth="1"/>
    <col min="8973" max="8973" width="9.90625" customWidth="1"/>
    <col min="8974" max="8983" width="9.6328125" customWidth="1"/>
    <col min="9071" max="9071" width="11.6328125" bestFit="1" customWidth="1"/>
    <col min="9072" max="9073" width="12.54296875" bestFit="1" customWidth="1"/>
    <col min="9217" max="9217" width="12.453125" customWidth="1"/>
    <col min="9218" max="9218" width="10.08984375" customWidth="1"/>
    <col min="9219" max="9219" width="8.90625" customWidth="1"/>
    <col min="9220" max="9220" width="5.08984375" customWidth="1"/>
    <col min="9221" max="9221" width="17.90625" customWidth="1"/>
    <col min="9222" max="9222" width="10.90625" customWidth="1"/>
    <col min="9223" max="9223" width="9.6328125" customWidth="1"/>
    <col min="9224" max="9224" width="10.453125" customWidth="1"/>
    <col min="9225" max="9228" width="9.6328125" customWidth="1"/>
    <col min="9229" max="9229" width="9.90625" customWidth="1"/>
    <col min="9230" max="9239" width="9.6328125" customWidth="1"/>
    <col min="9327" max="9327" width="11.6328125" bestFit="1" customWidth="1"/>
    <col min="9328" max="9329" width="12.54296875" bestFit="1" customWidth="1"/>
    <col min="9473" max="9473" width="12.453125" customWidth="1"/>
    <col min="9474" max="9474" width="10.08984375" customWidth="1"/>
    <col min="9475" max="9475" width="8.90625" customWidth="1"/>
    <col min="9476" max="9476" width="5.08984375" customWidth="1"/>
    <col min="9477" max="9477" width="17.90625" customWidth="1"/>
    <col min="9478" max="9478" width="10.90625" customWidth="1"/>
    <col min="9479" max="9479" width="9.6328125" customWidth="1"/>
    <col min="9480" max="9480" width="10.453125" customWidth="1"/>
    <col min="9481" max="9484" width="9.6328125" customWidth="1"/>
    <col min="9485" max="9485" width="9.90625" customWidth="1"/>
    <col min="9486" max="9495" width="9.6328125" customWidth="1"/>
    <col min="9583" max="9583" width="11.6328125" bestFit="1" customWidth="1"/>
    <col min="9584" max="9585" width="12.54296875" bestFit="1" customWidth="1"/>
    <col min="9729" max="9729" width="12.453125" customWidth="1"/>
    <col min="9730" max="9730" width="10.08984375" customWidth="1"/>
    <col min="9731" max="9731" width="8.90625" customWidth="1"/>
    <col min="9732" max="9732" width="5.08984375" customWidth="1"/>
    <col min="9733" max="9733" width="17.90625" customWidth="1"/>
    <col min="9734" max="9734" width="10.90625" customWidth="1"/>
    <col min="9735" max="9735" width="9.6328125" customWidth="1"/>
    <col min="9736" max="9736" width="10.453125" customWidth="1"/>
    <col min="9737" max="9740" width="9.6328125" customWidth="1"/>
    <col min="9741" max="9741" width="9.90625" customWidth="1"/>
    <col min="9742" max="9751" width="9.6328125" customWidth="1"/>
    <col min="9839" max="9839" width="11.6328125" bestFit="1" customWidth="1"/>
    <col min="9840" max="9841" width="12.54296875" bestFit="1" customWidth="1"/>
    <col min="9985" max="9985" width="12.453125" customWidth="1"/>
    <col min="9986" max="9986" width="10.08984375" customWidth="1"/>
    <col min="9987" max="9987" width="8.90625" customWidth="1"/>
    <col min="9988" max="9988" width="5.08984375" customWidth="1"/>
    <col min="9989" max="9989" width="17.90625" customWidth="1"/>
    <col min="9990" max="9990" width="10.90625" customWidth="1"/>
    <col min="9991" max="9991" width="9.6328125" customWidth="1"/>
    <col min="9992" max="9992" width="10.453125" customWidth="1"/>
    <col min="9993" max="9996" width="9.6328125" customWidth="1"/>
    <col min="9997" max="9997" width="9.90625" customWidth="1"/>
    <col min="9998" max="10007" width="9.6328125" customWidth="1"/>
    <col min="10095" max="10095" width="11.6328125" bestFit="1" customWidth="1"/>
    <col min="10096" max="10097" width="12.54296875" bestFit="1" customWidth="1"/>
    <col min="10241" max="10241" width="12.453125" customWidth="1"/>
    <col min="10242" max="10242" width="10.08984375" customWidth="1"/>
    <col min="10243" max="10243" width="8.90625" customWidth="1"/>
    <col min="10244" max="10244" width="5.08984375" customWidth="1"/>
    <col min="10245" max="10245" width="17.90625" customWidth="1"/>
    <col min="10246" max="10246" width="10.90625" customWidth="1"/>
    <col min="10247" max="10247" width="9.6328125" customWidth="1"/>
    <col min="10248" max="10248" width="10.453125" customWidth="1"/>
    <col min="10249" max="10252" width="9.6328125" customWidth="1"/>
    <col min="10253" max="10253" width="9.90625" customWidth="1"/>
    <col min="10254" max="10263" width="9.6328125" customWidth="1"/>
    <col min="10351" max="10351" width="11.6328125" bestFit="1" customWidth="1"/>
    <col min="10352" max="10353" width="12.54296875" bestFit="1" customWidth="1"/>
    <col min="10497" max="10497" width="12.453125" customWidth="1"/>
    <col min="10498" max="10498" width="10.08984375" customWidth="1"/>
    <col min="10499" max="10499" width="8.90625" customWidth="1"/>
    <col min="10500" max="10500" width="5.08984375" customWidth="1"/>
    <col min="10501" max="10501" width="17.90625" customWidth="1"/>
    <col min="10502" max="10502" width="10.90625" customWidth="1"/>
    <col min="10503" max="10503" width="9.6328125" customWidth="1"/>
    <col min="10504" max="10504" width="10.453125" customWidth="1"/>
    <col min="10505" max="10508" width="9.6328125" customWidth="1"/>
    <col min="10509" max="10509" width="9.90625" customWidth="1"/>
    <col min="10510" max="10519" width="9.6328125" customWidth="1"/>
    <col min="10607" max="10607" width="11.6328125" bestFit="1" customWidth="1"/>
    <col min="10608" max="10609" width="12.54296875" bestFit="1" customWidth="1"/>
    <col min="10753" max="10753" width="12.453125" customWidth="1"/>
    <col min="10754" max="10754" width="10.08984375" customWidth="1"/>
    <col min="10755" max="10755" width="8.90625" customWidth="1"/>
    <col min="10756" max="10756" width="5.08984375" customWidth="1"/>
    <col min="10757" max="10757" width="17.90625" customWidth="1"/>
    <col min="10758" max="10758" width="10.90625" customWidth="1"/>
    <col min="10759" max="10759" width="9.6328125" customWidth="1"/>
    <col min="10760" max="10760" width="10.453125" customWidth="1"/>
    <col min="10761" max="10764" width="9.6328125" customWidth="1"/>
    <col min="10765" max="10765" width="9.90625" customWidth="1"/>
    <col min="10766" max="10775" width="9.6328125" customWidth="1"/>
    <col min="10863" max="10863" width="11.6328125" bestFit="1" customWidth="1"/>
    <col min="10864" max="10865" width="12.54296875" bestFit="1" customWidth="1"/>
    <col min="11009" max="11009" width="12.453125" customWidth="1"/>
    <col min="11010" max="11010" width="10.08984375" customWidth="1"/>
    <col min="11011" max="11011" width="8.90625" customWidth="1"/>
    <col min="11012" max="11012" width="5.08984375" customWidth="1"/>
    <col min="11013" max="11013" width="17.90625" customWidth="1"/>
    <col min="11014" max="11014" width="10.90625" customWidth="1"/>
    <col min="11015" max="11015" width="9.6328125" customWidth="1"/>
    <col min="11016" max="11016" width="10.453125" customWidth="1"/>
    <col min="11017" max="11020" width="9.6328125" customWidth="1"/>
    <col min="11021" max="11021" width="9.90625" customWidth="1"/>
    <col min="11022" max="11031" width="9.6328125" customWidth="1"/>
    <col min="11119" max="11119" width="11.6328125" bestFit="1" customWidth="1"/>
    <col min="11120" max="11121" width="12.54296875" bestFit="1" customWidth="1"/>
    <col min="11265" max="11265" width="12.453125" customWidth="1"/>
    <col min="11266" max="11266" width="10.08984375" customWidth="1"/>
    <col min="11267" max="11267" width="8.90625" customWidth="1"/>
    <col min="11268" max="11268" width="5.08984375" customWidth="1"/>
    <col min="11269" max="11269" width="17.90625" customWidth="1"/>
    <col min="11270" max="11270" width="10.90625" customWidth="1"/>
    <col min="11271" max="11271" width="9.6328125" customWidth="1"/>
    <col min="11272" max="11272" width="10.453125" customWidth="1"/>
    <col min="11273" max="11276" width="9.6328125" customWidth="1"/>
    <col min="11277" max="11277" width="9.90625" customWidth="1"/>
    <col min="11278" max="11287" width="9.6328125" customWidth="1"/>
    <col min="11375" max="11375" width="11.6328125" bestFit="1" customWidth="1"/>
    <col min="11376" max="11377" width="12.54296875" bestFit="1" customWidth="1"/>
    <col min="11521" max="11521" width="12.453125" customWidth="1"/>
    <col min="11522" max="11522" width="10.08984375" customWidth="1"/>
    <col min="11523" max="11523" width="8.90625" customWidth="1"/>
    <col min="11524" max="11524" width="5.08984375" customWidth="1"/>
    <col min="11525" max="11525" width="17.90625" customWidth="1"/>
    <col min="11526" max="11526" width="10.90625" customWidth="1"/>
    <col min="11527" max="11527" width="9.6328125" customWidth="1"/>
    <col min="11528" max="11528" width="10.453125" customWidth="1"/>
    <col min="11529" max="11532" width="9.6328125" customWidth="1"/>
    <col min="11533" max="11533" width="9.90625" customWidth="1"/>
    <col min="11534" max="11543" width="9.6328125" customWidth="1"/>
    <col min="11631" max="11631" width="11.6328125" bestFit="1" customWidth="1"/>
    <col min="11632" max="11633" width="12.54296875" bestFit="1" customWidth="1"/>
    <col min="11777" max="11777" width="12.453125" customWidth="1"/>
    <col min="11778" max="11778" width="10.08984375" customWidth="1"/>
    <col min="11779" max="11779" width="8.90625" customWidth="1"/>
    <col min="11780" max="11780" width="5.08984375" customWidth="1"/>
    <col min="11781" max="11781" width="17.90625" customWidth="1"/>
    <col min="11782" max="11782" width="10.90625" customWidth="1"/>
    <col min="11783" max="11783" width="9.6328125" customWidth="1"/>
    <col min="11784" max="11784" width="10.453125" customWidth="1"/>
    <col min="11785" max="11788" width="9.6328125" customWidth="1"/>
    <col min="11789" max="11789" width="9.90625" customWidth="1"/>
    <col min="11790" max="11799" width="9.6328125" customWidth="1"/>
    <col min="11887" max="11887" width="11.6328125" bestFit="1" customWidth="1"/>
    <col min="11888" max="11889" width="12.54296875" bestFit="1" customWidth="1"/>
    <col min="12033" max="12033" width="12.453125" customWidth="1"/>
    <col min="12034" max="12034" width="10.08984375" customWidth="1"/>
    <col min="12035" max="12035" width="8.90625" customWidth="1"/>
    <col min="12036" max="12036" width="5.08984375" customWidth="1"/>
    <col min="12037" max="12037" width="17.90625" customWidth="1"/>
    <col min="12038" max="12038" width="10.90625" customWidth="1"/>
    <col min="12039" max="12039" width="9.6328125" customWidth="1"/>
    <col min="12040" max="12040" width="10.453125" customWidth="1"/>
    <col min="12041" max="12044" width="9.6328125" customWidth="1"/>
    <col min="12045" max="12045" width="9.90625" customWidth="1"/>
    <col min="12046" max="12055" width="9.6328125" customWidth="1"/>
    <col min="12143" max="12143" width="11.6328125" bestFit="1" customWidth="1"/>
    <col min="12144" max="12145" width="12.54296875" bestFit="1" customWidth="1"/>
    <col min="12289" max="12289" width="12.453125" customWidth="1"/>
    <col min="12290" max="12290" width="10.08984375" customWidth="1"/>
    <col min="12291" max="12291" width="8.90625" customWidth="1"/>
    <col min="12292" max="12292" width="5.08984375" customWidth="1"/>
    <col min="12293" max="12293" width="17.90625" customWidth="1"/>
    <col min="12294" max="12294" width="10.90625" customWidth="1"/>
    <col min="12295" max="12295" width="9.6328125" customWidth="1"/>
    <col min="12296" max="12296" width="10.453125" customWidth="1"/>
    <col min="12297" max="12300" width="9.6328125" customWidth="1"/>
    <col min="12301" max="12301" width="9.90625" customWidth="1"/>
    <col min="12302" max="12311" width="9.6328125" customWidth="1"/>
    <col min="12399" max="12399" width="11.6328125" bestFit="1" customWidth="1"/>
    <col min="12400" max="12401" width="12.54296875" bestFit="1" customWidth="1"/>
    <col min="12545" max="12545" width="12.453125" customWidth="1"/>
    <col min="12546" max="12546" width="10.08984375" customWidth="1"/>
    <col min="12547" max="12547" width="8.90625" customWidth="1"/>
    <col min="12548" max="12548" width="5.08984375" customWidth="1"/>
    <col min="12549" max="12549" width="17.90625" customWidth="1"/>
    <col min="12550" max="12550" width="10.90625" customWidth="1"/>
    <col min="12551" max="12551" width="9.6328125" customWidth="1"/>
    <col min="12552" max="12552" width="10.453125" customWidth="1"/>
    <col min="12553" max="12556" width="9.6328125" customWidth="1"/>
    <col min="12557" max="12557" width="9.90625" customWidth="1"/>
    <col min="12558" max="12567" width="9.6328125" customWidth="1"/>
    <col min="12655" max="12655" width="11.6328125" bestFit="1" customWidth="1"/>
    <col min="12656" max="12657" width="12.54296875" bestFit="1" customWidth="1"/>
    <col min="12801" max="12801" width="12.453125" customWidth="1"/>
    <col min="12802" max="12802" width="10.08984375" customWidth="1"/>
    <col min="12803" max="12803" width="8.90625" customWidth="1"/>
    <col min="12804" max="12804" width="5.08984375" customWidth="1"/>
    <col min="12805" max="12805" width="17.90625" customWidth="1"/>
    <col min="12806" max="12806" width="10.90625" customWidth="1"/>
    <col min="12807" max="12807" width="9.6328125" customWidth="1"/>
    <col min="12808" max="12808" width="10.453125" customWidth="1"/>
    <col min="12809" max="12812" width="9.6328125" customWidth="1"/>
    <col min="12813" max="12813" width="9.90625" customWidth="1"/>
    <col min="12814" max="12823" width="9.6328125" customWidth="1"/>
    <col min="12911" max="12911" width="11.6328125" bestFit="1" customWidth="1"/>
    <col min="12912" max="12913" width="12.54296875" bestFit="1" customWidth="1"/>
    <col min="13057" max="13057" width="12.453125" customWidth="1"/>
    <col min="13058" max="13058" width="10.08984375" customWidth="1"/>
    <col min="13059" max="13059" width="8.90625" customWidth="1"/>
    <col min="13060" max="13060" width="5.08984375" customWidth="1"/>
    <col min="13061" max="13061" width="17.90625" customWidth="1"/>
    <col min="13062" max="13062" width="10.90625" customWidth="1"/>
    <col min="13063" max="13063" width="9.6328125" customWidth="1"/>
    <col min="13064" max="13064" width="10.453125" customWidth="1"/>
    <col min="13065" max="13068" width="9.6328125" customWidth="1"/>
    <col min="13069" max="13069" width="9.90625" customWidth="1"/>
    <col min="13070" max="13079" width="9.6328125" customWidth="1"/>
    <col min="13167" max="13167" width="11.6328125" bestFit="1" customWidth="1"/>
    <col min="13168" max="13169" width="12.54296875" bestFit="1" customWidth="1"/>
    <col min="13313" max="13313" width="12.453125" customWidth="1"/>
    <col min="13314" max="13314" width="10.08984375" customWidth="1"/>
    <col min="13315" max="13315" width="8.90625" customWidth="1"/>
    <col min="13316" max="13316" width="5.08984375" customWidth="1"/>
    <col min="13317" max="13317" width="17.90625" customWidth="1"/>
    <col min="13318" max="13318" width="10.90625" customWidth="1"/>
    <col min="13319" max="13319" width="9.6328125" customWidth="1"/>
    <col min="13320" max="13320" width="10.453125" customWidth="1"/>
    <col min="13321" max="13324" width="9.6328125" customWidth="1"/>
    <col min="13325" max="13325" width="9.90625" customWidth="1"/>
    <col min="13326" max="13335" width="9.6328125" customWidth="1"/>
    <col min="13423" max="13423" width="11.6328125" bestFit="1" customWidth="1"/>
    <col min="13424" max="13425" width="12.54296875" bestFit="1" customWidth="1"/>
    <col min="13569" max="13569" width="12.453125" customWidth="1"/>
    <col min="13570" max="13570" width="10.08984375" customWidth="1"/>
    <col min="13571" max="13571" width="8.90625" customWidth="1"/>
    <col min="13572" max="13572" width="5.08984375" customWidth="1"/>
    <col min="13573" max="13573" width="17.90625" customWidth="1"/>
    <col min="13574" max="13574" width="10.90625" customWidth="1"/>
    <col min="13575" max="13575" width="9.6328125" customWidth="1"/>
    <col min="13576" max="13576" width="10.453125" customWidth="1"/>
    <col min="13577" max="13580" width="9.6328125" customWidth="1"/>
    <col min="13581" max="13581" width="9.90625" customWidth="1"/>
    <col min="13582" max="13591" width="9.6328125" customWidth="1"/>
    <col min="13679" max="13679" width="11.6328125" bestFit="1" customWidth="1"/>
    <col min="13680" max="13681" width="12.54296875" bestFit="1" customWidth="1"/>
    <col min="13825" max="13825" width="12.453125" customWidth="1"/>
    <col min="13826" max="13826" width="10.08984375" customWidth="1"/>
    <col min="13827" max="13827" width="8.90625" customWidth="1"/>
    <col min="13828" max="13828" width="5.08984375" customWidth="1"/>
    <col min="13829" max="13829" width="17.90625" customWidth="1"/>
    <col min="13830" max="13830" width="10.90625" customWidth="1"/>
    <col min="13831" max="13831" width="9.6328125" customWidth="1"/>
    <col min="13832" max="13832" width="10.453125" customWidth="1"/>
    <col min="13833" max="13836" width="9.6328125" customWidth="1"/>
    <col min="13837" max="13837" width="9.90625" customWidth="1"/>
    <col min="13838" max="13847" width="9.6328125" customWidth="1"/>
    <col min="13935" max="13935" width="11.6328125" bestFit="1" customWidth="1"/>
    <col min="13936" max="13937" width="12.54296875" bestFit="1" customWidth="1"/>
    <col min="14081" max="14081" width="12.453125" customWidth="1"/>
    <col min="14082" max="14082" width="10.08984375" customWidth="1"/>
    <col min="14083" max="14083" width="8.90625" customWidth="1"/>
    <col min="14084" max="14084" width="5.08984375" customWidth="1"/>
    <col min="14085" max="14085" width="17.90625" customWidth="1"/>
    <col min="14086" max="14086" width="10.90625" customWidth="1"/>
    <col min="14087" max="14087" width="9.6328125" customWidth="1"/>
    <col min="14088" max="14088" width="10.453125" customWidth="1"/>
    <col min="14089" max="14092" width="9.6328125" customWidth="1"/>
    <col min="14093" max="14093" width="9.90625" customWidth="1"/>
    <col min="14094" max="14103" width="9.6328125" customWidth="1"/>
    <col min="14191" max="14191" width="11.6328125" bestFit="1" customWidth="1"/>
    <col min="14192" max="14193" width="12.54296875" bestFit="1" customWidth="1"/>
    <col min="14337" max="14337" width="12.453125" customWidth="1"/>
    <col min="14338" max="14338" width="10.08984375" customWidth="1"/>
    <col min="14339" max="14339" width="8.90625" customWidth="1"/>
    <col min="14340" max="14340" width="5.08984375" customWidth="1"/>
    <col min="14341" max="14341" width="17.90625" customWidth="1"/>
    <col min="14342" max="14342" width="10.90625" customWidth="1"/>
    <col min="14343" max="14343" width="9.6328125" customWidth="1"/>
    <col min="14344" max="14344" width="10.453125" customWidth="1"/>
    <col min="14345" max="14348" width="9.6328125" customWidth="1"/>
    <col min="14349" max="14349" width="9.90625" customWidth="1"/>
    <col min="14350" max="14359" width="9.6328125" customWidth="1"/>
    <col min="14447" max="14447" width="11.6328125" bestFit="1" customWidth="1"/>
    <col min="14448" max="14449" width="12.54296875" bestFit="1" customWidth="1"/>
    <col min="14593" max="14593" width="12.453125" customWidth="1"/>
    <col min="14594" max="14594" width="10.08984375" customWidth="1"/>
    <col min="14595" max="14595" width="8.90625" customWidth="1"/>
    <col min="14596" max="14596" width="5.08984375" customWidth="1"/>
    <col min="14597" max="14597" width="17.90625" customWidth="1"/>
    <col min="14598" max="14598" width="10.90625" customWidth="1"/>
    <col min="14599" max="14599" width="9.6328125" customWidth="1"/>
    <col min="14600" max="14600" width="10.453125" customWidth="1"/>
    <col min="14601" max="14604" width="9.6328125" customWidth="1"/>
    <col min="14605" max="14605" width="9.90625" customWidth="1"/>
    <col min="14606" max="14615" width="9.6328125" customWidth="1"/>
    <col min="14703" max="14703" width="11.6328125" bestFit="1" customWidth="1"/>
    <col min="14704" max="14705" width="12.54296875" bestFit="1" customWidth="1"/>
    <col min="14849" max="14849" width="12.453125" customWidth="1"/>
    <col min="14850" max="14850" width="10.08984375" customWidth="1"/>
    <col min="14851" max="14851" width="8.90625" customWidth="1"/>
    <col min="14852" max="14852" width="5.08984375" customWidth="1"/>
    <col min="14853" max="14853" width="17.90625" customWidth="1"/>
    <col min="14854" max="14854" width="10.90625" customWidth="1"/>
    <col min="14855" max="14855" width="9.6328125" customWidth="1"/>
    <col min="14856" max="14856" width="10.453125" customWidth="1"/>
    <col min="14857" max="14860" width="9.6328125" customWidth="1"/>
    <col min="14861" max="14861" width="9.90625" customWidth="1"/>
    <col min="14862" max="14871" width="9.6328125" customWidth="1"/>
    <col min="14959" max="14959" width="11.6328125" bestFit="1" customWidth="1"/>
    <col min="14960" max="14961" width="12.54296875" bestFit="1" customWidth="1"/>
    <col min="15105" max="15105" width="12.453125" customWidth="1"/>
    <col min="15106" max="15106" width="10.08984375" customWidth="1"/>
    <col min="15107" max="15107" width="8.90625" customWidth="1"/>
    <col min="15108" max="15108" width="5.08984375" customWidth="1"/>
    <col min="15109" max="15109" width="17.90625" customWidth="1"/>
    <col min="15110" max="15110" width="10.90625" customWidth="1"/>
    <col min="15111" max="15111" width="9.6328125" customWidth="1"/>
    <col min="15112" max="15112" width="10.453125" customWidth="1"/>
    <col min="15113" max="15116" width="9.6328125" customWidth="1"/>
    <col min="15117" max="15117" width="9.90625" customWidth="1"/>
    <col min="15118" max="15127" width="9.6328125" customWidth="1"/>
    <col min="15215" max="15215" width="11.6328125" bestFit="1" customWidth="1"/>
    <col min="15216" max="15217" width="12.54296875" bestFit="1" customWidth="1"/>
    <col min="15361" max="15361" width="12.453125" customWidth="1"/>
    <col min="15362" max="15362" width="10.08984375" customWidth="1"/>
    <col min="15363" max="15363" width="8.90625" customWidth="1"/>
    <col min="15364" max="15364" width="5.08984375" customWidth="1"/>
    <col min="15365" max="15365" width="17.90625" customWidth="1"/>
    <col min="15366" max="15366" width="10.90625" customWidth="1"/>
    <col min="15367" max="15367" width="9.6328125" customWidth="1"/>
    <col min="15368" max="15368" width="10.453125" customWidth="1"/>
    <col min="15369" max="15372" width="9.6328125" customWidth="1"/>
    <col min="15373" max="15373" width="9.90625" customWidth="1"/>
    <col min="15374" max="15383" width="9.6328125" customWidth="1"/>
    <col min="15471" max="15471" width="11.6328125" bestFit="1" customWidth="1"/>
    <col min="15472" max="15473" width="12.54296875" bestFit="1" customWidth="1"/>
    <col min="15617" max="15617" width="12.453125" customWidth="1"/>
    <col min="15618" max="15618" width="10.08984375" customWidth="1"/>
    <col min="15619" max="15619" width="8.90625" customWidth="1"/>
    <col min="15620" max="15620" width="5.08984375" customWidth="1"/>
    <col min="15621" max="15621" width="17.90625" customWidth="1"/>
    <col min="15622" max="15622" width="10.90625" customWidth="1"/>
    <col min="15623" max="15623" width="9.6328125" customWidth="1"/>
    <col min="15624" max="15624" width="10.453125" customWidth="1"/>
    <col min="15625" max="15628" width="9.6328125" customWidth="1"/>
    <col min="15629" max="15629" width="9.90625" customWidth="1"/>
    <col min="15630" max="15639" width="9.6328125" customWidth="1"/>
    <col min="15727" max="15727" width="11.6328125" bestFit="1" customWidth="1"/>
    <col min="15728" max="15729" width="12.54296875" bestFit="1" customWidth="1"/>
    <col min="15873" max="15873" width="12.453125" customWidth="1"/>
    <col min="15874" max="15874" width="10.08984375" customWidth="1"/>
    <col min="15875" max="15875" width="8.90625" customWidth="1"/>
    <col min="15876" max="15876" width="5.08984375" customWidth="1"/>
    <col min="15877" max="15877" width="17.90625" customWidth="1"/>
    <col min="15878" max="15878" width="10.90625" customWidth="1"/>
    <col min="15879" max="15879" width="9.6328125" customWidth="1"/>
    <col min="15880" max="15880" width="10.453125" customWidth="1"/>
    <col min="15881" max="15884" width="9.6328125" customWidth="1"/>
    <col min="15885" max="15885" width="9.90625" customWidth="1"/>
    <col min="15886" max="15895" width="9.6328125" customWidth="1"/>
    <col min="15983" max="15983" width="11.6328125" bestFit="1" customWidth="1"/>
    <col min="15984" max="15985" width="12.54296875" bestFit="1" customWidth="1"/>
    <col min="16129" max="16129" width="12.453125" customWidth="1"/>
    <col min="16130" max="16130" width="10.08984375" customWidth="1"/>
    <col min="16131" max="16131" width="8.90625" customWidth="1"/>
    <col min="16132" max="16132" width="5.08984375" customWidth="1"/>
    <col min="16133" max="16133" width="17.90625" customWidth="1"/>
    <col min="16134" max="16134" width="10.90625" customWidth="1"/>
    <col min="16135" max="16135" width="9.6328125" customWidth="1"/>
    <col min="16136" max="16136" width="10.453125" customWidth="1"/>
    <col min="16137" max="16140" width="9.6328125" customWidth="1"/>
    <col min="16141" max="16141" width="9.90625" customWidth="1"/>
    <col min="16142" max="16151" width="9.6328125" customWidth="1"/>
    <col min="16239" max="16239" width="11.6328125" bestFit="1" customWidth="1"/>
    <col min="16240" max="16241" width="12.54296875" bestFit="1" customWidth="1"/>
  </cols>
  <sheetData>
    <row r="1" spans="1:138" ht="18">
      <c r="A1" s="94" t="s">
        <v>122</v>
      </c>
    </row>
    <row r="2" spans="1:138">
      <c r="A2" t="s">
        <v>123</v>
      </c>
      <c r="B2" s="98"/>
    </row>
    <row r="3" spans="1:138" s="99" customFormat="1" ht="13">
      <c r="B3" s="100" t="s">
        <v>77</v>
      </c>
      <c r="C3" s="99" t="s">
        <v>76</v>
      </c>
      <c r="E3" s="101"/>
      <c r="F3" s="102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DM3" s="99">
        <v>6</v>
      </c>
      <c r="DN3" s="99">
        <f>ROUNDDOWN(((DL3/2/PI()))*16,0)+1</f>
        <v>1</v>
      </c>
      <c r="DR3" s="104" t="s">
        <v>124</v>
      </c>
      <c r="EH3" s="99" t="s">
        <v>125</v>
      </c>
    </row>
    <row r="4" spans="1:138" s="103" customFormat="1" ht="13">
      <c r="A4" s="99" t="s">
        <v>85</v>
      </c>
      <c r="B4" s="100" t="s">
        <v>126</v>
      </c>
      <c r="C4" s="99" t="s">
        <v>80</v>
      </c>
      <c r="D4" s="99"/>
      <c r="E4" s="105" t="s">
        <v>80</v>
      </c>
      <c r="F4" s="106" t="s">
        <v>92</v>
      </c>
      <c r="G4" s="107" t="s">
        <v>127</v>
      </c>
      <c r="H4" s="107" t="s">
        <v>128</v>
      </c>
      <c r="I4" s="107" t="s">
        <v>129</v>
      </c>
      <c r="J4" s="107" t="s">
        <v>130</v>
      </c>
      <c r="K4" s="107" t="s">
        <v>131</v>
      </c>
      <c r="L4" s="107" t="s">
        <v>132</v>
      </c>
      <c r="M4" s="107" t="s">
        <v>133</v>
      </c>
      <c r="N4" s="107" t="s">
        <v>134</v>
      </c>
      <c r="O4" s="107" t="s">
        <v>135</v>
      </c>
      <c r="P4" s="107" t="s">
        <v>136</v>
      </c>
      <c r="Q4" s="107" t="s">
        <v>137</v>
      </c>
      <c r="R4" s="107" t="s">
        <v>138</v>
      </c>
      <c r="S4" s="107" t="s">
        <v>139</v>
      </c>
      <c r="T4" s="107" t="s">
        <v>140</v>
      </c>
      <c r="U4" s="107" t="s">
        <v>141</v>
      </c>
      <c r="V4" s="107" t="s">
        <v>142</v>
      </c>
      <c r="W4" s="107" t="s">
        <v>143</v>
      </c>
      <c r="X4" s="107" t="s">
        <v>144</v>
      </c>
      <c r="Y4" s="107" t="s">
        <v>145</v>
      </c>
      <c r="Z4" s="107" t="s">
        <v>146</v>
      </c>
      <c r="AA4" s="107" t="s">
        <v>147</v>
      </c>
      <c r="AB4" s="107" t="s">
        <v>148</v>
      </c>
      <c r="AC4" s="107" t="s">
        <v>149</v>
      </c>
      <c r="AD4" s="107" t="s">
        <v>150</v>
      </c>
      <c r="AE4" s="107" t="s">
        <v>151</v>
      </c>
      <c r="AF4" s="107" t="s">
        <v>152</v>
      </c>
      <c r="AG4" s="107" t="s">
        <v>153</v>
      </c>
      <c r="AH4" s="107" t="s">
        <v>154</v>
      </c>
      <c r="AI4" s="107" t="s">
        <v>155</v>
      </c>
      <c r="AJ4" s="107" t="s">
        <v>156</v>
      </c>
      <c r="AK4" s="107" t="s">
        <v>157</v>
      </c>
      <c r="AL4" s="107" t="s">
        <v>158</v>
      </c>
      <c r="AM4" s="107" t="s">
        <v>159</v>
      </c>
      <c r="AN4" s="107" t="s">
        <v>160</v>
      </c>
      <c r="AO4" s="107" t="s">
        <v>161</v>
      </c>
      <c r="AP4" s="107" t="s">
        <v>162</v>
      </c>
      <c r="AQ4" s="107" t="s">
        <v>163</v>
      </c>
      <c r="AR4" s="107" t="s">
        <v>164</v>
      </c>
      <c r="AS4" s="107" t="s">
        <v>165</v>
      </c>
      <c r="AT4" s="107" t="s">
        <v>166</v>
      </c>
      <c r="AU4" s="107" t="s">
        <v>167</v>
      </c>
      <c r="AV4" s="107" t="s">
        <v>168</v>
      </c>
      <c r="AW4" s="107" t="s">
        <v>169</v>
      </c>
      <c r="AX4" s="107" t="s">
        <v>170</v>
      </c>
      <c r="AY4" s="107" t="s">
        <v>171</v>
      </c>
      <c r="AZ4" s="107" t="s">
        <v>172</v>
      </c>
      <c r="BA4" s="107" t="s">
        <v>173</v>
      </c>
      <c r="BB4" s="107" t="s">
        <v>174</v>
      </c>
      <c r="BC4" s="107" t="s">
        <v>175</v>
      </c>
      <c r="BD4" s="107" t="s">
        <v>176</v>
      </c>
      <c r="BE4" s="107" t="s">
        <v>177</v>
      </c>
      <c r="BF4" s="107" t="s">
        <v>178</v>
      </c>
      <c r="BG4" s="107" t="s">
        <v>179</v>
      </c>
      <c r="BH4" s="107" t="s">
        <v>180</v>
      </c>
      <c r="BI4" s="107" t="s">
        <v>181</v>
      </c>
      <c r="BJ4" s="107" t="s">
        <v>182</v>
      </c>
      <c r="BK4" s="107" t="s">
        <v>183</v>
      </c>
      <c r="BL4" s="107" t="s">
        <v>184</v>
      </c>
      <c r="BM4" s="107" t="s">
        <v>185</v>
      </c>
      <c r="BN4" s="107" t="s">
        <v>186</v>
      </c>
      <c r="BO4" s="107" t="s">
        <v>187</v>
      </c>
      <c r="BP4" s="107" t="s">
        <v>188</v>
      </c>
      <c r="BQ4" s="107" t="s">
        <v>189</v>
      </c>
      <c r="BR4" s="107" t="s">
        <v>190</v>
      </c>
      <c r="BS4" s="107" t="s">
        <v>191</v>
      </c>
      <c r="BT4" s="107" t="s">
        <v>192</v>
      </c>
      <c r="BU4" s="107" t="s">
        <v>193</v>
      </c>
      <c r="BV4" s="107" t="s">
        <v>194</v>
      </c>
      <c r="BW4" s="107" t="s">
        <v>195</v>
      </c>
      <c r="BX4" s="107" t="s">
        <v>196</v>
      </c>
      <c r="BY4" s="107" t="s">
        <v>197</v>
      </c>
      <c r="BZ4" s="107" t="s">
        <v>198</v>
      </c>
      <c r="CA4" s="107" t="s">
        <v>199</v>
      </c>
      <c r="CB4" s="107" t="s">
        <v>200</v>
      </c>
      <c r="CC4" s="107" t="s">
        <v>201</v>
      </c>
      <c r="CD4" s="107" t="s">
        <v>202</v>
      </c>
      <c r="CE4" s="107" t="s">
        <v>203</v>
      </c>
      <c r="CF4" s="107" t="s">
        <v>204</v>
      </c>
      <c r="CG4" s="107" t="s">
        <v>205</v>
      </c>
      <c r="CH4" s="107" t="s">
        <v>206</v>
      </c>
      <c r="CI4" s="107" t="s">
        <v>207</v>
      </c>
      <c r="CJ4" s="107" t="s">
        <v>208</v>
      </c>
      <c r="CK4" s="107" t="s">
        <v>209</v>
      </c>
      <c r="CL4" s="107" t="s">
        <v>210</v>
      </c>
      <c r="CM4" s="107" t="s">
        <v>211</v>
      </c>
      <c r="CN4" s="107" t="s">
        <v>212</v>
      </c>
      <c r="CO4" s="107" t="s">
        <v>213</v>
      </c>
      <c r="CP4" s="107" t="s">
        <v>214</v>
      </c>
      <c r="CQ4" s="107" t="s">
        <v>215</v>
      </c>
      <c r="CR4" s="107" t="s">
        <v>216</v>
      </c>
      <c r="CS4" s="107" t="s">
        <v>217</v>
      </c>
      <c r="CT4" s="107" t="s">
        <v>218</v>
      </c>
      <c r="CU4" s="107" t="s">
        <v>219</v>
      </c>
      <c r="CV4" s="107" t="s">
        <v>220</v>
      </c>
      <c r="CW4" s="107" t="s">
        <v>221</v>
      </c>
      <c r="CX4" s="107" t="s">
        <v>222</v>
      </c>
      <c r="CY4" s="107" t="s">
        <v>223</v>
      </c>
      <c r="CZ4" s="107" t="s">
        <v>224</v>
      </c>
      <c r="DA4" s="107" t="s">
        <v>225</v>
      </c>
      <c r="DB4" s="108"/>
      <c r="DC4" s="108"/>
      <c r="DD4" s="109" t="s">
        <v>226</v>
      </c>
      <c r="DE4" s="109" t="s">
        <v>227</v>
      </c>
      <c r="DF4" s="109" t="s">
        <v>228</v>
      </c>
      <c r="DG4" s="109" t="s">
        <v>229</v>
      </c>
      <c r="DH4" s="109" t="s">
        <v>51</v>
      </c>
      <c r="DI4" s="109" t="s">
        <v>52</v>
      </c>
      <c r="DJ4" s="109" t="s">
        <v>230</v>
      </c>
      <c r="DK4" s="109" t="s">
        <v>231</v>
      </c>
      <c r="DL4" s="109" t="s">
        <v>232</v>
      </c>
      <c r="DM4" s="109" t="s">
        <v>233</v>
      </c>
      <c r="DN4" s="109" t="s">
        <v>234</v>
      </c>
      <c r="DO4" s="109" t="s">
        <v>235</v>
      </c>
      <c r="DP4" s="108"/>
      <c r="DQ4" s="108"/>
      <c r="DR4" s="110" t="s">
        <v>234</v>
      </c>
      <c r="DS4" s="110" t="s">
        <v>234</v>
      </c>
      <c r="DT4" s="110" t="s">
        <v>234</v>
      </c>
      <c r="DU4" s="110" t="s">
        <v>234</v>
      </c>
      <c r="DV4" s="110" t="s">
        <v>234</v>
      </c>
      <c r="DW4" s="110" t="s">
        <v>234</v>
      </c>
      <c r="DX4" s="110" t="s">
        <v>234</v>
      </c>
      <c r="DY4" s="110" t="s">
        <v>234</v>
      </c>
      <c r="DZ4" s="110" t="s">
        <v>234</v>
      </c>
      <c r="EA4" s="110" t="s">
        <v>234</v>
      </c>
      <c r="EB4" s="110" t="s">
        <v>234</v>
      </c>
      <c r="EC4" s="110" t="s">
        <v>234</v>
      </c>
      <c r="ED4" s="110" t="s">
        <v>234</v>
      </c>
      <c r="EE4" s="110" t="s">
        <v>234</v>
      </c>
      <c r="EF4" s="110" t="s">
        <v>234</v>
      </c>
      <c r="EG4" s="110" t="s">
        <v>234</v>
      </c>
      <c r="EH4" s="110" t="s">
        <v>234</v>
      </c>
    </row>
    <row r="5" spans="1:138">
      <c r="A5">
        <v>360</v>
      </c>
      <c r="B5" s="111">
        <f>B9</f>
        <v>1.8824306472919418E-2</v>
      </c>
      <c r="C5" s="112">
        <f>Reference!N5</f>
        <v>0.3288910725078098</v>
      </c>
      <c r="D5" s="112"/>
      <c r="E5" s="113" t="s">
        <v>107</v>
      </c>
      <c r="F5" s="106">
        <f>100*SUMPRODUCT($C5:$C99,xyzs!$F2:$F96,'99set'!B$10:B$104)/SUMPRODUCT($C5:$C99,xyzs!$G2:$G96)</f>
        <v>110.10945708331916</v>
      </c>
      <c r="G5" s="106">
        <f>100*SUMPRODUCT($C5:$C99,xyzs!$F2:$F96,'99set'!C$10:C$104)/SUMPRODUCT($C5:$C99,xyzs!$G2:$G96)</f>
        <v>79.383799593574025</v>
      </c>
      <c r="H5" s="106">
        <f>100*SUMPRODUCT($C5:$C99,xyzs!$F2:$F96,'99set'!D$10:D$104)/SUMPRODUCT($C5:$C99,xyzs!$G2:$G96)</f>
        <v>43.290464112055545</v>
      </c>
      <c r="I5" s="106">
        <f>100*SUMPRODUCT($C5:$C99,xyzs!$F2:$F96,'99set'!E$10:E$104)/SUMPRODUCT($C5:$C99,xyzs!$G2:$G96)</f>
        <v>8.3283778080517266</v>
      </c>
      <c r="J5" s="106">
        <f>100*SUMPRODUCT($C5:$C99,xyzs!$F2:$F96,'99set'!F$10:F$104)/SUMPRODUCT($C5:$C99,xyzs!$G2:$G96)</f>
        <v>48.729924149537446</v>
      </c>
      <c r="K5" s="106">
        <f>100*SUMPRODUCT($C5:$C99,xyzs!$F2:$F96,'99set'!G$10:G$104)/SUMPRODUCT($C5:$C99,xyzs!$G2:$G96)</f>
        <v>29.174383882421182</v>
      </c>
      <c r="L5" s="106">
        <f>100*SUMPRODUCT($C5:$C99,xyzs!$F2:$F96,'99set'!H$10:H$104)/SUMPRODUCT($C5:$C99,xyzs!$G2:$G96)</f>
        <v>23.473713260918423</v>
      </c>
      <c r="M5" s="106">
        <f>100*SUMPRODUCT($C5:$C99,xyzs!$F2:$F96,'99set'!I$10:I$104)/SUMPRODUCT($C5:$C99,xyzs!$G2:$G96)</f>
        <v>20.626670983855959</v>
      </c>
      <c r="N5" s="106">
        <f>100*SUMPRODUCT($C5:$C99,xyzs!$F2:$F96,'99set'!J$10:J$104)/SUMPRODUCT($C5:$C99,xyzs!$G2:$G96)</f>
        <v>19.144226279354726</v>
      </c>
      <c r="O5" s="106">
        <f>100*SUMPRODUCT($C5:$C99,xyzs!$F2:$F96,'99set'!K$10:K$104)/SUMPRODUCT($C5:$C99,xyzs!$G2:$G96)</f>
        <v>5.7593415630666112</v>
      </c>
      <c r="P5" s="106">
        <f>100*SUMPRODUCT($C5:$C99,xyzs!$F2:$F96,'99set'!L$10:L$104)/SUMPRODUCT($C5:$C99,xyzs!$G2:$G96)</f>
        <v>68.472982374634924</v>
      </c>
      <c r="Q5" s="106">
        <f>100*SUMPRODUCT($C5:$C99,xyzs!$F2:$F96,'99set'!M$10:M$104)/SUMPRODUCT($C5:$C99,xyzs!$G2:$G96)</f>
        <v>37.390047372983446</v>
      </c>
      <c r="R5" s="106">
        <f>100*SUMPRODUCT($C5:$C99,xyzs!$F2:$F96,'99set'!N$10:N$104)/SUMPRODUCT($C5:$C99,xyzs!$G2:$G96)</f>
        <v>48.320746010932488</v>
      </c>
      <c r="S5" s="106">
        <f>100*SUMPRODUCT($C5:$C99,xyzs!$F2:$F96,'99set'!O$10:O$104)/SUMPRODUCT($C5:$C99,xyzs!$G2:$G96)</f>
        <v>17.582800077024963</v>
      </c>
      <c r="T5" s="106">
        <f>100*SUMPRODUCT($C5:$C99,xyzs!$F2:$F96,'99set'!P$10:P$104)/SUMPRODUCT($C5:$C99,xyzs!$G2:$G96)</f>
        <v>49.691395135362939</v>
      </c>
      <c r="U5" s="106">
        <f>100*SUMPRODUCT($C5:$C99,xyzs!$F2:$F96,'99set'!Q$10:Q$104)/SUMPRODUCT($C5:$C99,xyzs!$G2:$G96)</f>
        <v>49.123667699785386</v>
      </c>
      <c r="V5" s="106">
        <f>100*SUMPRODUCT($C5:$C99,xyzs!$F2:$F96,'99set'!R$10:R$104)/SUMPRODUCT($C5:$C99,xyzs!$G2:$G96)</f>
        <v>21.42216865764221</v>
      </c>
      <c r="W5" s="106">
        <f>100*SUMPRODUCT($C5:$C99,xyzs!$F2:$F96,'99set'!S$10:S$104)/SUMPRODUCT($C5:$C99,xyzs!$G2:$G96)</f>
        <v>22.347589883681639</v>
      </c>
      <c r="X5" s="106">
        <f>100*SUMPRODUCT($C5:$C99,xyzs!$F2:$F96,'99set'!T$10:T$104)/SUMPRODUCT($C5:$C99,xyzs!$G2:$G96)</f>
        <v>28.018784467785512</v>
      </c>
      <c r="Y5" s="106">
        <f>100*SUMPRODUCT($C5:$C99,xyzs!$F2:$F96,'99set'!U$10:U$104)/SUMPRODUCT($C5:$C99,xyzs!$G2:$G96)</f>
        <v>51.58174799112205</v>
      </c>
      <c r="Z5" s="106">
        <f>100*SUMPRODUCT($C5:$C99,xyzs!$F2:$F96,'99set'!V$10:V$104)/SUMPRODUCT($C5:$C99,xyzs!$G2:$G96)</f>
        <v>48.768492931763603</v>
      </c>
      <c r="AA5" s="106">
        <f>100*SUMPRODUCT($C5:$C99,xyzs!$F2:$F96,'99set'!W$10:W$104)/SUMPRODUCT($C5:$C99,xyzs!$G2:$G96)</f>
        <v>85.081215799984989</v>
      </c>
      <c r="AB5" s="106">
        <f>100*SUMPRODUCT($C5:$C99,xyzs!$F2:$F96,'99set'!X$10:X$104)/SUMPRODUCT($C5:$C99,xyzs!$G2:$G96)</f>
        <v>68.084290151742096</v>
      </c>
      <c r="AC5" s="106">
        <f>100*SUMPRODUCT($C5:$C99,xyzs!$F2:$F96,'99set'!Y$10:Y$104)/SUMPRODUCT($C5:$C99,xyzs!$G2:$G96)</f>
        <v>87.869093657172556</v>
      </c>
      <c r="AD5" s="106">
        <f>100*SUMPRODUCT($C5:$C99,xyzs!$F2:$F96,'99set'!Z$10:Z$104)/SUMPRODUCT($C5:$C99,xyzs!$G2:$G96)</f>
        <v>89.501047731648484</v>
      </c>
      <c r="AE5" s="106">
        <f>100*SUMPRODUCT($C5:$C99,xyzs!$F2:$F96,'99set'!AA$10:AA$104)/SUMPRODUCT($C5:$C99,xyzs!$G2:$G96)</f>
        <v>50.693360957895628</v>
      </c>
      <c r="AF5" s="106">
        <f>100*SUMPRODUCT($C5:$C99,xyzs!$F2:$F96,'99set'!AB$10:AB$104)/SUMPRODUCT($C5:$C99,xyzs!$G2:$G96)</f>
        <v>88.874530777337796</v>
      </c>
      <c r="AG5" s="106">
        <f>100*SUMPRODUCT($C5:$C99,xyzs!$F2:$F96,'99set'!AC$10:AC$104)/SUMPRODUCT($C5:$C99,xyzs!$G2:$G96)</f>
        <v>47.372173754898817</v>
      </c>
      <c r="AH5" s="106">
        <f>100*SUMPRODUCT($C5:$C99,xyzs!$F2:$F96,'99set'!AD$10:AD$104)/SUMPRODUCT($C5:$C99,xyzs!$G2:$G96)</f>
        <v>12.657996057797778</v>
      </c>
      <c r="AI5" s="106">
        <f>100*SUMPRODUCT($C5:$C99,xyzs!$F2:$F96,'99set'!AE$10:AE$104)/SUMPRODUCT($C5:$C99,xyzs!$G2:$G96)</f>
        <v>77.807326392294115</v>
      </c>
      <c r="AJ5" s="106">
        <f>100*SUMPRODUCT($C5:$C99,xyzs!$F2:$F96,'99set'!AF$10:AF$104)/SUMPRODUCT($C5:$C99,xyzs!$G2:$G96)</f>
        <v>34.656022153397871</v>
      </c>
      <c r="AK5" s="106">
        <f>100*SUMPRODUCT($C5:$C99,xyzs!$F2:$F96,'99set'!AG$10:AG$104)/SUMPRODUCT($C5:$C99,xyzs!$G2:$G96)</f>
        <v>81.017840977730913</v>
      </c>
      <c r="AL5" s="106">
        <f>100*SUMPRODUCT($C5:$C99,xyzs!$F2:$F96,'99set'!AH$10:AH$104)/SUMPRODUCT($C5:$C99,xyzs!$G2:$G96)</f>
        <v>52.452366451282522</v>
      </c>
      <c r="AM5" s="106">
        <f>100*SUMPRODUCT($C5:$C99,xyzs!$F2:$F96,'99set'!AI$10:AI$104)/SUMPRODUCT($C5:$C99,xyzs!$G2:$G96)</f>
        <v>81.943399509315327</v>
      </c>
      <c r="AN5" s="106">
        <f>100*SUMPRODUCT($C5:$C99,xyzs!$F2:$F96,'99set'!AJ$10:AJ$104)/SUMPRODUCT($C5:$C99,xyzs!$G2:$G96)</f>
        <v>31.167401921100321</v>
      </c>
      <c r="AO5" s="106">
        <f>100*SUMPRODUCT($C5:$C99,xyzs!$F2:$F96,'99set'!AK$10:AK$104)/SUMPRODUCT($C5:$C99,xyzs!$G2:$G96)</f>
        <v>12.488477944413326</v>
      </c>
      <c r="AP5" s="106">
        <f>100*SUMPRODUCT($C5:$C99,xyzs!$F2:$F96,'99set'!AL$10:AL$104)/SUMPRODUCT($C5:$C99,xyzs!$G2:$G96)</f>
        <v>59.404292915780914</v>
      </c>
      <c r="AQ5" s="106">
        <f>100*SUMPRODUCT($C5:$C99,xyzs!$F2:$F96,'99set'!AM$10:AM$104)/SUMPRODUCT($C5:$C99,xyzs!$G2:$G96)</f>
        <v>16.140751765840729</v>
      </c>
      <c r="AR5" s="106">
        <f>100*SUMPRODUCT($C5:$C99,xyzs!$F2:$F96,'99set'!AN$10:AN$104)/SUMPRODUCT($C5:$C99,xyzs!$G2:$G96)</f>
        <v>71.462718474644547</v>
      </c>
      <c r="AS5" s="106">
        <f>100*SUMPRODUCT($C5:$C99,xyzs!$F2:$F96,'99set'!AO$10:AO$104)/SUMPRODUCT($C5:$C99,xyzs!$G2:$G96)</f>
        <v>8.3307946278120379</v>
      </c>
      <c r="AT5" s="106">
        <f>100*SUMPRODUCT($C5:$C99,xyzs!$F2:$F96,'99set'!AP$10:AP$104)/SUMPRODUCT($C5:$C99,xyzs!$G2:$G96)</f>
        <v>17.897452526300995</v>
      </c>
      <c r="AU5" s="106">
        <f>100*SUMPRODUCT($C5:$C99,xyzs!$F2:$F96,'99set'!AQ$10:AQ$104)/SUMPRODUCT($C5:$C99,xyzs!$G2:$G96)</f>
        <v>74.992259567859676</v>
      </c>
      <c r="AV5" s="106">
        <f>100*SUMPRODUCT($C5:$C99,xyzs!$F2:$F96,'99set'!AR$10:AR$104)/SUMPRODUCT($C5:$C99,xyzs!$G2:$G96)</f>
        <v>34.168454688539093</v>
      </c>
      <c r="AW5" s="106">
        <f>100*SUMPRODUCT($C5:$C99,xyzs!$F2:$F96,'99set'!AS$10:AS$104)/SUMPRODUCT($C5:$C99,xyzs!$G2:$G96)</f>
        <v>39.106916787337525</v>
      </c>
      <c r="AX5" s="106">
        <f>100*SUMPRODUCT($C5:$C99,xyzs!$F2:$F96,'99set'!AT$10:AT$104)/SUMPRODUCT($C5:$C99,xyzs!$G2:$G96)</f>
        <v>5.4219369368874064</v>
      </c>
      <c r="AY5" s="106">
        <f>100*SUMPRODUCT($C5:$C99,xyzs!$F2:$F96,'99set'!AU$10:AU$104)/SUMPRODUCT($C5:$C99,xyzs!$G2:$G96)</f>
        <v>21.845617394309247</v>
      </c>
      <c r="AZ5" s="106">
        <f>100*SUMPRODUCT($C5:$C99,xyzs!$F2:$F96,'99set'!AV$10:AV$104)/SUMPRODUCT($C5:$C99,xyzs!$G2:$G96)</f>
        <v>31.900874316628041</v>
      </c>
      <c r="BA5" s="106">
        <f>100*SUMPRODUCT($C5:$C99,xyzs!$F2:$F96,'99set'!AW$10:AW$104)/SUMPRODUCT($C5:$C99,xyzs!$G2:$G96)</f>
        <v>38.496394890784345</v>
      </c>
      <c r="BB5" s="106">
        <f>100*SUMPRODUCT($C5:$C99,xyzs!$F2:$F96,'99set'!AX$10:AX$104)/SUMPRODUCT($C5:$C99,xyzs!$G2:$G96)</f>
        <v>45.162302043637823</v>
      </c>
      <c r="BC5" s="106">
        <f>100*SUMPRODUCT($C5:$C99,xyzs!$F2:$F96,'99set'!AY$10:AY$104)/SUMPRODUCT($C5:$C99,xyzs!$G2:$G96)</f>
        <v>12.504418210491973</v>
      </c>
      <c r="BD5" s="106">
        <f>100*SUMPRODUCT($C5:$C99,xyzs!$F2:$F96,'99set'!AZ$10:AZ$104)/SUMPRODUCT($C5:$C99,xyzs!$G2:$G96)</f>
        <v>18.592335055444817</v>
      </c>
      <c r="BE5" s="106">
        <f>100*SUMPRODUCT($C5:$C99,xyzs!$F2:$F96,'99set'!BA$10:BA$104)/SUMPRODUCT($C5:$C99,xyzs!$G2:$G96)</f>
        <v>22.757476046222166</v>
      </c>
      <c r="BF5" s="106">
        <f>100*SUMPRODUCT($C5:$C99,xyzs!$F2:$F96,'99set'!BB$10:BB$104)/SUMPRODUCT($C5:$C99,xyzs!$G2:$G96)</f>
        <v>8.8916137958447905</v>
      </c>
      <c r="BG5" s="106">
        <f>100*SUMPRODUCT($C5:$C99,xyzs!$F2:$F96,'99set'!BC$10:BC$104)/SUMPRODUCT($C5:$C99,xyzs!$G2:$G96)</f>
        <v>11.151914334245769</v>
      </c>
      <c r="BH5" s="106">
        <f>100*SUMPRODUCT($C5:$C99,xyzs!$F2:$F96,'99set'!BD$10:BD$104)/SUMPRODUCT($C5:$C99,xyzs!$G2:$G96)</f>
        <v>65.83589432919409</v>
      </c>
      <c r="BI5" s="106">
        <f>100*SUMPRODUCT($C5:$C99,xyzs!$F2:$F96,'99set'!BE$10:BE$104)/SUMPRODUCT($C5:$C99,xyzs!$G2:$G96)</f>
        <v>57.563666083253864</v>
      </c>
      <c r="BJ5" s="106">
        <f>100*SUMPRODUCT($C5:$C99,xyzs!$F2:$F96,'99set'!BF$10:BF$104)/SUMPRODUCT($C5:$C99,xyzs!$G2:$G96)</f>
        <v>30.168946686559753</v>
      </c>
      <c r="BK5" s="106">
        <f>100*SUMPRODUCT($C5:$C99,xyzs!$F2:$F96,'99set'!BG$10:BG$104)/SUMPRODUCT($C5:$C99,xyzs!$G2:$G96)</f>
        <v>15.917397159471056</v>
      </c>
      <c r="BL5" s="106">
        <f>100*SUMPRODUCT($C5:$C99,xyzs!$F2:$F96,'99set'!BH$10:BH$104)/SUMPRODUCT($C5:$C99,xyzs!$G2:$G96)</f>
        <v>13.276744100679004</v>
      </c>
      <c r="BM5" s="106">
        <f>100*SUMPRODUCT($C5:$C99,xyzs!$F2:$F96,'99set'!BI$10:BI$104)/SUMPRODUCT($C5:$C99,xyzs!$G2:$G96)</f>
        <v>65.533726679431467</v>
      </c>
      <c r="BN5" s="106">
        <f>100*SUMPRODUCT($C5:$C99,xyzs!$F2:$F96,'99set'!BJ$10:BJ$104)/SUMPRODUCT($C5:$C99,xyzs!$G2:$G96)</f>
        <v>73.654615986640493</v>
      </c>
      <c r="BO5" s="106">
        <f>100*SUMPRODUCT($C5:$C99,xyzs!$F2:$F96,'99set'!BK$10:BK$104)/SUMPRODUCT($C5:$C99,xyzs!$G2:$G96)</f>
        <v>46.827446102011073</v>
      </c>
      <c r="BP5" s="106">
        <f>100*SUMPRODUCT($C5:$C99,xyzs!$F2:$F96,'99set'!BL$10:BL$104)/SUMPRODUCT($C5:$C99,xyzs!$G2:$G96)</f>
        <v>35.1612580302262</v>
      </c>
      <c r="BQ5" s="106">
        <f>100*SUMPRODUCT($C5:$C99,xyzs!$F2:$F96,'99set'!BM$10:BM$104)/SUMPRODUCT($C5:$C99,xyzs!$G2:$G96)</f>
        <v>7.9204226313184902</v>
      </c>
      <c r="BR5" s="106">
        <f>100*SUMPRODUCT($C5:$C99,xyzs!$F2:$F96,'99set'!BN$10:BN$104)/SUMPRODUCT($C5:$C99,xyzs!$G2:$G96)</f>
        <v>17.27310486259249</v>
      </c>
      <c r="BS5" s="106">
        <f>100*SUMPRODUCT($C5:$C99,xyzs!$F2:$F96,'99set'!BO$10:BO$104)/SUMPRODUCT($C5:$C99,xyzs!$G2:$G96)</f>
        <v>8.5552407778033448</v>
      </c>
      <c r="BT5" s="106">
        <f>100*SUMPRODUCT($C5:$C99,xyzs!$F2:$F96,'99set'!BP$10:BP$104)/SUMPRODUCT($C5:$C99,xyzs!$G2:$G96)</f>
        <v>9.0638863638576144</v>
      </c>
      <c r="BU5" s="106">
        <f>100*SUMPRODUCT($C5:$C99,xyzs!$F2:$F96,'99set'!BQ$10:BQ$104)/SUMPRODUCT($C5:$C99,xyzs!$G2:$G96)</f>
        <v>10.680828236422657</v>
      </c>
      <c r="BV5" s="106">
        <f>100*SUMPRODUCT($C5:$C99,xyzs!$F2:$F96,'99set'!BR$10:BR$104)/SUMPRODUCT($C5:$C99,xyzs!$G2:$G96)</f>
        <v>27.247553790062639</v>
      </c>
      <c r="BW5" s="106">
        <f>100*SUMPRODUCT($C5:$C99,xyzs!$F2:$F96,'99set'!BS$10:BS$104)/SUMPRODUCT($C5:$C99,xyzs!$G2:$G96)</f>
        <v>19.697111016801259</v>
      </c>
      <c r="BX5" s="106">
        <f>100*SUMPRODUCT($C5:$C99,xyzs!$F2:$F96,'99set'!BT$10:BT$104)/SUMPRODUCT($C5:$C99,xyzs!$G2:$G96)</f>
        <v>37.183209959401843</v>
      </c>
      <c r="BY5" s="106">
        <f>100*SUMPRODUCT($C5:$C99,xyzs!$F2:$F96,'99set'!BU$10:BU$104)/SUMPRODUCT($C5:$C99,xyzs!$G2:$G96)</f>
        <v>6.5384303532613464</v>
      </c>
      <c r="BZ5" s="106">
        <f>100*SUMPRODUCT($C5:$C99,xyzs!$F2:$F96,'99set'!BV$10:BV$104)/SUMPRODUCT($C5:$C99,xyzs!$G2:$G96)</f>
        <v>49.60873869672745</v>
      </c>
      <c r="CA5" s="106">
        <f>100*SUMPRODUCT($C5:$C99,xyzs!$F2:$F96,'99set'!BW$10:BW$104)/SUMPRODUCT($C5:$C99,xyzs!$G2:$G96)</f>
        <v>18.92553714127051</v>
      </c>
      <c r="CB5" s="106">
        <f>100*SUMPRODUCT($C5:$C99,xyzs!$F2:$F96,'99set'!BX$10:BX$104)/SUMPRODUCT($C5:$C99,xyzs!$G2:$G96)</f>
        <v>5.2516606671481227</v>
      </c>
      <c r="CC5" s="106">
        <f>100*SUMPRODUCT($C5:$C99,xyzs!$F2:$F96,'99set'!BY$10:BY$104)/SUMPRODUCT($C5:$C99,xyzs!$G2:$G96)</f>
        <v>6.0600273492821533</v>
      </c>
      <c r="CD5" s="106">
        <f>100*SUMPRODUCT($C5:$C99,xyzs!$F2:$F96,'99set'!BZ$10:BZ$104)/SUMPRODUCT($C5:$C99,xyzs!$G2:$G96)</f>
        <v>13.534711234759685</v>
      </c>
      <c r="CE5" s="106">
        <f>100*SUMPRODUCT($C5:$C99,xyzs!$F2:$F96,'99set'!CA$10:CA$104)/SUMPRODUCT($C5:$C99,xyzs!$G2:$G96)</f>
        <v>12.631089729997727</v>
      </c>
      <c r="CF5" s="106">
        <f>100*SUMPRODUCT($C5:$C99,xyzs!$F2:$F96,'99set'!CB$10:CB$104)/SUMPRODUCT($C5:$C99,xyzs!$G2:$G96)</f>
        <v>11.534700059987061</v>
      </c>
      <c r="CG5" s="106">
        <f>100*SUMPRODUCT($C5:$C99,xyzs!$F2:$F96,'99set'!CC$10:CC$104)/SUMPRODUCT($C5:$C99,xyzs!$G2:$G96)</f>
        <v>45.197107536539427</v>
      </c>
      <c r="CH5" s="106">
        <f>100*SUMPRODUCT($C5:$C99,xyzs!$F2:$F96,'99set'!CD$10:CD$104)/SUMPRODUCT($C5:$C99,xyzs!$G2:$G96)</f>
        <v>34.942017245739642</v>
      </c>
      <c r="CI5" s="106">
        <f>100*SUMPRODUCT($C5:$C99,xyzs!$F2:$F96,'99set'!CE$10:CE$104)/SUMPRODUCT($C5:$C99,xyzs!$G2:$G96)</f>
        <v>14.668087884672486</v>
      </c>
      <c r="CJ5" s="106">
        <f>100*SUMPRODUCT($C5:$C99,xyzs!$F2:$F96,'99set'!CF$10:CF$104)/SUMPRODUCT($C5:$C99,xyzs!$G2:$G96)</f>
        <v>73.827465212933106</v>
      </c>
      <c r="CK5" s="106">
        <f>100*SUMPRODUCT($C5:$C99,xyzs!$F2:$F96,'99set'!CG$10:CG$104)/SUMPRODUCT($C5:$C99,xyzs!$G2:$G96)</f>
        <v>46.009437917955545</v>
      </c>
      <c r="CL5" s="106">
        <f>100*SUMPRODUCT($C5:$C99,xyzs!$F2:$F96,'99set'!CH$10:CH$104)/SUMPRODUCT($C5:$C99,xyzs!$G2:$G96)</f>
        <v>5.4972453350246848</v>
      </c>
      <c r="CM5" s="106">
        <f>100*SUMPRODUCT($C5:$C99,xyzs!$F2:$F96,'99set'!CI$10:CI$104)/SUMPRODUCT($C5:$C99,xyzs!$G2:$G96)</f>
        <v>12.641212081124385</v>
      </c>
      <c r="CN5" s="106">
        <f>100*SUMPRODUCT($C5:$C99,xyzs!$F2:$F96,'99set'!CJ$10:CJ$104)/SUMPRODUCT($C5:$C99,xyzs!$G2:$G96)</f>
        <v>37.912648332336005</v>
      </c>
      <c r="CO5" s="106">
        <f>100*SUMPRODUCT($C5:$C99,xyzs!$F2:$F96,'99set'!CK$10:CK$104)/SUMPRODUCT($C5:$C99,xyzs!$G2:$G96)</f>
        <v>12.886025084900773</v>
      </c>
      <c r="CP5" s="106">
        <f>100*SUMPRODUCT($C5:$C99,xyzs!$F2:$F96,'99set'!CL$10:CL$104)/SUMPRODUCT($C5:$C99,xyzs!$G2:$G96)</f>
        <v>35.885273018184364</v>
      </c>
      <c r="CQ5" s="106">
        <f>100*SUMPRODUCT($C5:$C99,xyzs!$F2:$F96,'99set'!CM$10:CM$104)/SUMPRODUCT($C5:$C99,xyzs!$G2:$G96)</f>
        <v>12.545359567715462</v>
      </c>
      <c r="CR5" s="106">
        <f>100*SUMPRODUCT($C5:$C99,xyzs!$F2:$F96,'99set'!CN$10:CN$104)/SUMPRODUCT($C5:$C99,xyzs!$G2:$G96)</f>
        <v>17.133167276553273</v>
      </c>
      <c r="CS5" s="106">
        <f>100*SUMPRODUCT($C5:$C99,xyzs!$F2:$F96,'99set'!CO$10:CO$104)/SUMPRODUCT($C5:$C99,xyzs!$G2:$G96)</f>
        <v>60.249282256313954</v>
      </c>
      <c r="CT5" s="106">
        <f>100*SUMPRODUCT($C5:$C99,xyzs!$F2:$F96,'99set'!CP$10:CP$104)/SUMPRODUCT($C5:$C99,xyzs!$G2:$G96)</f>
        <v>28.326516932885831</v>
      </c>
      <c r="CU5" s="106">
        <f>100*SUMPRODUCT($C5:$C99,xyzs!$F2:$F96,'99set'!CQ$10:CQ$104)/SUMPRODUCT($C5:$C99,xyzs!$G2:$G96)</f>
        <v>41.623471044424072</v>
      </c>
      <c r="CV5" s="106">
        <f>100*SUMPRODUCT($C5:$C99,xyzs!$F2:$F96,'99set'!CR$10:CR$104)/SUMPRODUCT($C5:$C99,xyzs!$G2:$G96)</f>
        <v>14.892279277427546</v>
      </c>
      <c r="CW5" s="106">
        <f>100*SUMPRODUCT($C5:$C99,xyzs!$F2:$F96,'99set'!CS$10:CS$104)/SUMPRODUCT($C5:$C99,xyzs!$G2:$G96)</f>
        <v>48.548888491160533</v>
      </c>
      <c r="CX5" s="106">
        <f>100*SUMPRODUCT($C5:$C99,xyzs!$F2:$F96,'99set'!CT$10:CT$104)/SUMPRODUCT($C5:$C99,xyzs!$G2:$G96)</f>
        <v>62.981561257618033</v>
      </c>
      <c r="CY5" s="106">
        <f>100*SUMPRODUCT($C5:$C99,xyzs!$F2:$F96,'99set'!CU$10:CU$104)/SUMPRODUCT($C5:$C99,xyzs!$G2:$G96)</f>
        <v>25.955583206766509</v>
      </c>
      <c r="CZ5" s="106">
        <f>100*SUMPRODUCT($C5:$C99,xyzs!$F2:$F96,'99set'!CV$10:CV$104)/SUMPRODUCT($C5:$C99,xyzs!$G2:$G96)</f>
        <v>46.060315821888423</v>
      </c>
      <c r="DA5" s="106">
        <f>100*SUMPRODUCT($C5:$C99,xyzs!$F2:$F96,'99set'!CW$10:CW$104)/SUMPRODUCT($C5:$C99,xyzs!$G2:$G96)</f>
        <v>31.127501259930877</v>
      </c>
      <c r="DC5">
        <v>1</v>
      </c>
      <c r="DD5" s="114">
        <f t="array" ref="DD5:DF103">TRANSPOSE(G21:DA23)</f>
        <v>86.196505882897426</v>
      </c>
      <c r="DE5" s="114">
        <v>16.858692749221458</v>
      </c>
      <c r="DF5" s="114">
        <v>1.7688006336689717</v>
      </c>
      <c r="DG5" s="114">
        <f t="array" ref="DG5:DI103">TRANSPOSE(G25:DA27)</f>
        <v>86.149821526394874</v>
      </c>
      <c r="DH5" s="114">
        <v>12.918063527860733</v>
      </c>
      <c r="DI5" s="114">
        <v>0.34596299931652569</v>
      </c>
      <c r="DJ5" s="114">
        <f t="array" ref="DJ5:DJ103">TRANSPOSE(G30:DB30)</f>
        <v>4.1898931994877566</v>
      </c>
      <c r="DK5" s="114">
        <f>DJ5^2</f>
        <v>17.55520502311375</v>
      </c>
      <c r="DL5" s="114">
        <f>ATAN(DF5/DE5)+PI()*IF(AND((DE5&lt;0),(DF5&gt;0)),1,0)+PI()*IF(AND((DE5&lt;0),(DF5&lt;0)),1,0)+2*PI()*IF(AND((DE5&gt;0),(DF5&lt;0)),1,0)</f>
        <v>0.10453674260749389</v>
      </c>
      <c r="DM5" s="114">
        <f>DL5*180/PI()</f>
        <v>5.9895141554548088</v>
      </c>
      <c r="DN5" s="115">
        <f>ROUNDDOWN((((DL5/2)/PI()))*16,0)+1</f>
        <v>1</v>
      </c>
      <c r="DO5">
        <f t="array" ref="DO5:DO103">TRANSPOSE('99set'!C8:CW8)</f>
        <v>3</v>
      </c>
      <c r="DR5" s="116">
        <v>1</v>
      </c>
      <c r="DS5" s="116">
        <v>2</v>
      </c>
      <c r="DT5" s="116">
        <v>3</v>
      </c>
      <c r="DU5" s="116">
        <v>4</v>
      </c>
      <c r="DV5" s="116">
        <v>5</v>
      </c>
      <c r="DW5" s="116">
        <v>6</v>
      </c>
      <c r="DX5" s="116">
        <v>7</v>
      </c>
      <c r="DY5" s="116">
        <v>8</v>
      </c>
      <c r="DZ5" s="116">
        <v>9</v>
      </c>
      <c r="EA5" s="116">
        <v>10</v>
      </c>
      <c r="EB5" s="116">
        <v>11</v>
      </c>
      <c r="EC5" s="116">
        <v>12</v>
      </c>
      <c r="ED5" s="116">
        <v>13</v>
      </c>
      <c r="EE5" s="116">
        <v>14</v>
      </c>
      <c r="EF5" s="116">
        <v>15</v>
      </c>
      <c r="EG5" s="116">
        <v>16</v>
      </c>
      <c r="EH5" s="116">
        <v>1</v>
      </c>
    </row>
    <row r="6" spans="1:138">
      <c r="A6">
        <v>365</v>
      </c>
      <c r="B6" s="111">
        <f>B5</f>
        <v>1.8824306472919418E-2</v>
      </c>
      <c r="C6" s="112">
        <f>Reference!N6</f>
        <v>0.3698550390489353</v>
      </c>
      <c r="D6" s="112"/>
      <c r="E6" s="113" t="s">
        <v>108</v>
      </c>
      <c r="F6" s="106">
        <f>100*SUMPRODUCT($C5:$C99,xyzs!$G2:$G96,'99set'!B$10:B$104)/SUMPRODUCT($C5:$C99,xyzs!$G2:$G96)</f>
        <v>100</v>
      </c>
      <c r="G6" s="106">
        <f>100*SUMPRODUCT($C5:$C99,xyzs!$G2:$G96,'99set'!C$10:C$104)/SUMPRODUCT($C5:$C99,xyzs!$G2:$G96)</f>
        <v>63.357105355319376</v>
      </c>
      <c r="H6" s="106">
        <f>100*SUMPRODUCT($C5:$C99,xyzs!$G2:$G96,'99set'!D$10:D$104)/SUMPRODUCT($C5:$C99,xyzs!$G2:$G96)</f>
        <v>27.654216001640705</v>
      </c>
      <c r="I6" s="106">
        <f>100*SUMPRODUCT($C5:$C99,xyzs!$G2:$G96,'99set'!E$10:E$104)/SUMPRODUCT($C5:$C99,xyzs!$G2:$G96)</f>
        <v>6.0469085082296434</v>
      </c>
      <c r="J6" s="106">
        <f>100*SUMPRODUCT($C5:$C99,xyzs!$G2:$G96,'99set'!F$10:F$104)/SUMPRODUCT($C5:$C99,xyzs!$G2:$G96)</f>
        <v>36.20724210569243</v>
      </c>
      <c r="K6" s="106">
        <f>100*SUMPRODUCT($C5:$C99,xyzs!$G2:$G96,'99set'!G$10:G$104)/SUMPRODUCT($C5:$C99,xyzs!$G2:$G96)</f>
        <v>16.958297113178606</v>
      </c>
      <c r="L6" s="106">
        <f>100*SUMPRODUCT($C5:$C99,xyzs!$G2:$G96,'99set'!H$10:H$104)/SUMPRODUCT($C5:$C99,xyzs!$G2:$G96)</f>
        <v>17.187273257466941</v>
      </c>
      <c r="M6" s="106">
        <f>100*SUMPRODUCT($C5:$C99,xyzs!$G2:$G96,'99set'!I$10:I$104)/SUMPRODUCT($C5:$C99,xyzs!$G2:$G96)</f>
        <v>11.858120769090705</v>
      </c>
      <c r="N6" s="106">
        <f>100*SUMPRODUCT($C5:$C99,xyzs!$G2:$G96,'99set'!J$10:J$104)/SUMPRODUCT($C5:$C99,xyzs!$G2:$G96)</f>
        <v>11.335728508204026</v>
      </c>
      <c r="O6" s="106">
        <f>100*SUMPRODUCT($C5:$C99,xyzs!$G2:$G96,'99set'!K$10:K$104)/SUMPRODUCT($C5:$C99,xyzs!$G2:$G96)</f>
        <v>5.00990408113437</v>
      </c>
      <c r="P6" s="106">
        <f>100*SUMPRODUCT($C5:$C99,xyzs!$G2:$G96,'99set'!L$10:L$104)/SUMPRODUCT($C5:$C99,xyzs!$G2:$G96)</f>
        <v>44.869124194699225</v>
      </c>
      <c r="Q6" s="106">
        <f>100*SUMPRODUCT($C5:$C99,xyzs!$G2:$G96,'99set'!M$10:M$104)/SUMPRODUCT($C5:$C99,xyzs!$G2:$G96)</f>
        <v>23.545397145286216</v>
      </c>
      <c r="R6" s="106">
        <f>100*SUMPRODUCT($C5:$C99,xyzs!$G2:$G96,'99set'!N$10:N$104)/SUMPRODUCT($C5:$C99,xyzs!$G2:$G96)</f>
        <v>30.147548562599418</v>
      </c>
      <c r="S6" s="106">
        <f>100*SUMPRODUCT($C5:$C99,xyzs!$G2:$G96,'99set'!O$10:O$104)/SUMPRODUCT($C5:$C99,xyzs!$G2:$G96)</f>
        <v>12.128801224556732</v>
      </c>
      <c r="T6" s="106">
        <f>100*SUMPRODUCT($C5:$C99,xyzs!$G2:$G96,'99set'!P$10:P$104)/SUMPRODUCT($C5:$C99,xyzs!$G2:$G96)</f>
        <v>42.629828843200869</v>
      </c>
      <c r="U6" s="106">
        <f>100*SUMPRODUCT($C5:$C99,xyzs!$G2:$G96,'99set'!Q$10:Q$104)/SUMPRODUCT($C5:$C99,xyzs!$G2:$G96)</f>
        <v>39.095491900047648</v>
      </c>
      <c r="V6" s="106">
        <f>100*SUMPRODUCT($C5:$C99,xyzs!$G2:$G96,'99set'!R$10:R$104)/SUMPRODUCT($C5:$C99,xyzs!$G2:$G96)</f>
        <v>15.118254863947904</v>
      </c>
      <c r="W6" s="106">
        <f>100*SUMPRODUCT($C5:$C99,xyzs!$G2:$G96,'99set'!S$10:S$104)/SUMPRODUCT($C5:$C99,xyzs!$G2:$G96)</f>
        <v>16.416197706122713</v>
      </c>
      <c r="X6" s="106">
        <f>100*SUMPRODUCT($C5:$C99,xyzs!$G2:$G96,'99set'!T$10:T$104)/SUMPRODUCT($C5:$C99,xyzs!$G2:$G96)</f>
        <v>21.885020609698273</v>
      </c>
      <c r="Y6" s="106">
        <f>100*SUMPRODUCT($C5:$C99,xyzs!$G2:$G96,'99set'!U$10:U$104)/SUMPRODUCT($C5:$C99,xyzs!$G2:$G96)</f>
        <v>39.30438593585216</v>
      </c>
      <c r="Z6" s="106">
        <f>100*SUMPRODUCT($C5:$C99,xyzs!$G2:$G96,'99set'!V$10:V$104)/SUMPRODUCT($C5:$C99,xyzs!$G2:$G96)</f>
        <v>33.680552922811358</v>
      </c>
      <c r="AA6" s="106">
        <f>100*SUMPRODUCT($C5:$C99,xyzs!$G2:$G96,'99set'!W$10:W$104)/SUMPRODUCT($C5:$C99,xyzs!$G2:$G96)</f>
        <v>65.198461152748422</v>
      </c>
      <c r="AB6" s="106">
        <f>100*SUMPRODUCT($C5:$C99,xyzs!$G2:$G96,'99set'!X$10:X$104)/SUMPRODUCT($C5:$C99,xyzs!$G2:$G96)</f>
        <v>50.66094396300425</v>
      </c>
      <c r="AC6" s="106">
        <f>100*SUMPRODUCT($C5:$C99,xyzs!$G2:$G96,'99set'!Y$10:Y$104)/SUMPRODUCT($C5:$C99,xyzs!$G2:$G96)</f>
        <v>76.975835018173754</v>
      </c>
      <c r="AD6" s="106">
        <f>100*SUMPRODUCT($C5:$C99,xyzs!$G2:$G96,'99set'!Z$10:Z$104)/SUMPRODUCT($C5:$C99,xyzs!$G2:$G96)</f>
        <v>74.937644701714291</v>
      </c>
      <c r="AE6" s="106">
        <f>100*SUMPRODUCT($C5:$C99,xyzs!$G2:$G96,'99set'!AA$10:AA$104)/SUMPRODUCT($C5:$C99,xyzs!$G2:$G96)</f>
        <v>39.704134862355374</v>
      </c>
      <c r="AF6" s="106">
        <f>100*SUMPRODUCT($C5:$C99,xyzs!$G2:$G96,'99set'!AB$10:AB$104)/SUMPRODUCT($C5:$C99,xyzs!$G2:$G96)</f>
        <v>73.197535369133234</v>
      </c>
      <c r="AG6" s="106">
        <f>100*SUMPRODUCT($C5:$C99,xyzs!$G2:$G96,'99set'!AC$10:AC$104)/SUMPRODUCT($C5:$C99,xyzs!$G2:$G96)</f>
        <v>41.945599458786219</v>
      </c>
      <c r="AH6" s="106">
        <f>100*SUMPRODUCT($C5:$C99,xyzs!$G2:$G96,'99set'!AD$10:AD$104)/SUMPRODUCT($C5:$C99,xyzs!$G2:$G96)</f>
        <v>11.203488090139686</v>
      </c>
      <c r="AI6" s="106">
        <f>100*SUMPRODUCT($C5:$C99,xyzs!$G2:$G96,'99set'!AE$10:AE$104)/SUMPRODUCT($C5:$C99,xyzs!$G2:$G96)</f>
        <v>66.876054339144048</v>
      </c>
      <c r="AJ6" s="106">
        <f>100*SUMPRODUCT($C5:$C99,xyzs!$G2:$G96,'99set'!AF$10:AF$104)/SUMPRODUCT($C5:$C99,xyzs!$G2:$G96)</f>
        <v>30.288000757123278</v>
      </c>
      <c r="AK6" s="106">
        <f>100*SUMPRODUCT($C5:$C99,xyzs!$G2:$G96,'99set'!AG$10:AG$104)/SUMPRODUCT($C5:$C99,xyzs!$G2:$G96)</f>
        <v>70.75391203516476</v>
      </c>
      <c r="AL6" s="106">
        <f>100*SUMPRODUCT($C5:$C99,xyzs!$G2:$G96,'99set'!AH$10:AH$104)/SUMPRODUCT($C5:$C99,xyzs!$G2:$G96)</f>
        <v>45.565464820865166</v>
      </c>
      <c r="AM6" s="106">
        <f>100*SUMPRODUCT($C5:$C99,xyzs!$G2:$G96,'99set'!AI$10:AI$104)/SUMPRODUCT($C5:$C99,xyzs!$G2:$G96)</f>
        <v>73.142581064972731</v>
      </c>
      <c r="AN6" s="106">
        <f>100*SUMPRODUCT($C5:$C99,xyzs!$G2:$G96,'99set'!AJ$10:AJ$104)/SUMPRODUCT($C5:$C99,xyzs!$G2:$G96)</f>
        <v>28.013967238740211</v>
      </c>
      <c r="AO6" s="106">
        <f>100*SUMPRODUCT($C5:$C99,xyzs!$G2:$G96,'99set'!AK$10:AK$104)/SUMPRODUCT($C5:$C99,xyzs!$G2:$G96)</f>
        <v>11.511659291274601</v>
      </c>
      <c r="AP6" s="106">
        <f>100*SUMPRODUCT($C5:$C99,xyzs!$G2:$G96,'99set'!AL$10:AL$104)/SUMPRODUCT($C5:$C99,xyzs!$G2:$G96)</f>
        <v>53.75646704464836</v>
      </c>
      <c r="AQ6" s="106">
        <f>100*SUMPRODUCT($C5:$C99,xyzs!$G2:$G96,'99set'!AM$10:AM$104)/SUMPRODUCT($C5:$C99,xyzs!$G2:$G96)</f>
        <v>15.24026463070261</v>
      </c>
      <c r="AR6" s="106">
        <f>100*SUMPRODUCT($C5:$C99,xyzs!$G2:$G96,'99set'!AN$10:AN$104)/SUMPRODUCT($C5:$C99,xyzs!$G2:$G96)</f>
        <v>65.551800724092544</v>
      </c>
      <c r="AS6" s="106">
        <f>100*SUMPRODUCT($C5:$C99,xyzs!$G2:$G96,'99set'!AO$10:AO$104)/SUMPRODUCT($C5:$C99,xyzs!$G2:$G96)</f>
        <v>7.6997356277765023</v>
      </c>
      <c r="AT6" s="106">
        <f>100*SUMPRODUCT($C5:$C99,xyzs!$G2:$G96,'99set'!AP$10:AP$104)/SUMPRODUCT($C5:$C99,xyzs!$G2:$G96)</f>
        <v>16.780052627176673</v>
      </c>
      <c r="AU6" s="106">
        <f>100*SUMPRODUCT($C5:$C99,xyzs!$G2:$G96,'99set'!AQ$10:AQ$104)/SUMPRODUCT($C5:$C99,xyzs!$G2:$G96)</f>
        <v>69.286281813339954</v>
      </c>
      <c r="AV6" s="106">
        <f>100*SUMPRODUCT($C5:$C99,xyzs!$G2:$G96,'99set'!AR$10:AR$104)/SUMPRODUCT($C5:$C99,xyzs!$G2:$G96)</f>
        <v>36.226049117128923</v>
      </c>
      <c r="AW6" s="106">
        <f>100*SUMPRODUCT($C5:$C99,xyzs!$G2:$G96,'99set'!AS$10:AS$104)/SUMPRODUCT($C5:$C99,xyzs!$G2:$G96)</f>
        <v>41.566022135595503</v>
      </c>
      <c r="AX6" s="106">
        <f>100*SUMPRODUCT($C5:$C99,xyzs!$G2:$G96,'99set'!AT$10:AT$104)/SUMPRODUCT($C5:$C99,xyzs!$G2:$G96)</f>
        <v>4.9611791052537573</v>
      </c>
      <c r="AY6" s="106">
        <f>100*SUMPRODUCT($C5:$C99,xyzs!$G2:$G96,'99set'!AU$10:AU$104)/SUMPRODUCT($C5:$C99,xyzs!$G2:$G96)</f>
        <v>24.236180523382806</v>
      </c>
      <c r="AZ6" s="106">
        <f>100*SUMPRODUCT($C5:$C99,xyzs!$G2:$G96,'99set'!AV$10:AV$104)/SUMPRODUCT($C5:$C99,xyzs!$G2:$G96)</f>
        <v>33.130950446048182</v>
      </c>
      <c r="BA6" s="106">
        <f>100*SUMPRODUCT($C5:$C99,xyzs!$G2:$G96,'99set'!AW$10:AW$104)/SUMPRODUCT($C5:$C99,xyzs!$G2:$G96)</f>
        <v>37.506124956815313</v>
      </c>
      <c r="BB6" s="106">
        <f>100*SUMPRODUCT($C5:$C99,xyzs!$G2:$G96,'99set'!AX$10:AX$104)/SUMPRODUCT($C5:$C99,xyzs!$G2:$G96)</f>
        <v>49.087948676335294</v>
      </c>
      <c r="BC6" s="106">
        <f>100*SUMPRODUCT($C5:$C99,xyzs!$G2:$G96,'99set'!AY$10:AY$104)/SUMPRODUCT($C5:$C99,xyzs!$G2:$G96)</f>
        <v>14.119626886377878</v>
      </c>
      <c r="BD6" s="106">
        <f>100*SUMPRODUCT($C5:$C99,xyzs!$G2:$G96,'99set'!AZ$10:AZ$104)/SUMPRODUCT($C5:$C99,xyzs!$G2:$G96)</f>
        <v>20.481395871469275</v>
      </c>
      <c r="BE6" s="106">
        <f>100*SUMPRODUCT($C5:$C99,xyzs!$G2:$G96,'99set'!BA$10:BA$104)/SUMPRODUCT($C5:$C99,xyzs!$G2:$G96)</f>
        <v>24.024895767174744</v>
      </c>
      <c r="BF6" s="106">
        <f>100*SUMPRODUCT($C5:$C99,xyzs!$G2:$G96,'99set'!BB$10:BB$104)/SUMPRODUCT($C5:$C99,xyzs!$G2:$G96)</f>
        <v>10.918180188801617</v>
      </c>
      <c r="BG6" s="106">
        <f>100*SUMPRODUCT($C5:$C99,xyzs!$G2:$G96,'99set'!BC$10:BC$104)/SUMPRODUCT($C5:$C99,xyzs!$G2:$G96)</f>
        <v>16.537856794116589</v>
      </c>
      <c r="BH6" s="106">
        <f>100*SUMPRODUCT($C5:$C99,xyzs!$G2:$G96,'99set'!BD$10:BD$104)/SUMPRODUCT($C5:$C99,xyzs!$G2:$G96)</f>
        <v>66.488368994310093</v>
      </c>
      <c r="BI6" s="106">
        <f>100*SUMPRODUCT($C5:$C99,xyzs!$G2:$G96,'99set'!BE$10:BE$104)/SUMPRODUCT($C5:$C99,xyzs!$G2:$G96)</f>
        <v>59.34766843367931</v>
      </c>
      <c r="BJ6" s="106">
        <f>100*SUMPRODUCT($C5:$C99,xyzs!$G2:$G96,'99set'!BF$10:BF$104)/SUMPRODUCT($C5:$C99,xyzs!$G2:$G96)</f>
        <v>38.678714265678764</v>
      </c>
      <c r="BK6" s="106">
        <f>100*SUMPRODUCT($C5:$C99,xyzs!$G2:$G96,'99set'!BG$10:BG$104)/SUMPRODUCT($C5:$C99,xyzs!$G2:$G96)</f>
        <v>23.070074872562671</v>
      </c>
      <c r="BL6" s="106">
        <f>100*SUMPRODUCT($C5:$C99,xyzs!$G2:$G96,'99set'!BH$10:BH$104)/SUMPRODUCT($C5:$C99,xyzs!$G2:$G96)</f>
        <v>19.664999083587045</v>
      </c>
      <c r="BM6" s="106">
        <f>100*SUMPRODUCT($C5:$C99,xyzs!$G2:$G96,'99set'!BI$10:BI$104)/SUMPRODUCT($C5:$C99,xyzs!$G2:$G96)</f>
        <v>65.97448512024603</v>
      </c>
      <c r="BN6" s="106">
        <f>100*SUMPRODUCT($C5:$C99,xyzs!$G2:$G96,'99set'!BJ$10:BJ$104)/SUMPRODUCT($C5:$C99,xyzs!$G2:$G96)</f>
        <v>69.075051903141201</v>
      </c>
      <c r="BO6" s="106">
        <f>100*SUMPRODUCT($C5:$C99,xyzs!$G2:$G96,'99set'!BK$10:BK$104)/SUMPRODUCT($C5:$C99,xyzs!$G2:$G96)</f>
        <v>47.005381370258782</v>
      </c>
      <c r="BP6" s="106">
        <f>100*SUMPRODUCT($C5:$C99,xyzs!$G2:$G96,'99set'!BL$10:BL$104)/SUMPRODUCT($C5:$C99,xyzs!$G2:$G96)</f>
        <v>33.090428929136728</v>
      </c>
      <c r="BQ6" s="106">
        <f>100*SUMPRODUCT($C5:$C99,xyzs!$G2:$G96,'99set'!BM$10:BM$104)/SUMPRODUCT($C5:$C99,xyzs!$G2:$G96)</f>
        <v>7.3050706267972396</v>
      </c>
      <c r="BR6" s="106">
        <f>100*SUMPRODUCT($C5:$C99,xyzs!$G2:$G96,'99set'!BN$10:BN$104)/SUMPRODUCT($C5:$C99,xyzs!$G2:$G96)</f>
        <v>23.490867868883903</v>
      </c>
      <c r="BS6" s="106">
        <f>100*SUMPRODUCT($C5:$C99,xyzs!$G2:$G96,'99set'!BO$10:BO$104)/SUMPRODUCT($C5:$C99,xyzs!$G2:$G96)</f>
        <v>9.9356248853731106</v>
      </c>
      <c r="BT6" s="106">
        <f>100*SUMPRODUCT($C5:$C99,xyzs!$G2:$G96,'99set'!BP$10:BP$104)/SUMPRODUCT($C5:$C99,xyzs!$G2:$G96)</f>
        <v>12.454190245947091</v>
      </c>
      <c r="BU6" s="106">
        <f>100*SUMPRODUCT($C5:$C99,xyzs!$G2:$G96,'99set'!BQ$10:BQ$104)/SUMPRODUCT($C5:$C99,xyzs!$G2:$G96)</f>
        <v>14.534012105870728</v>
      </c>
      <c r="BV6" s="106">
        <f>100*SUMPRODUCT($C5:$C99,xyzs!$G2:$G96,'99set'!BR$10:BR$104)/SUMPRODUCT($C5:$C99,xyzs!$G2:$G96)</f>
        <v>29.022789546546758</v>
      </c>
      <c r="BW6" s="106">
        <f>100*SUMPRODUCT($C5:$C99,xyzs!$G2:$G96,'99set'!BS$10:BS$104)/SUMPRODUCT($C5:$C99,xyzs!$G2:$G96)</f>
        <v>18.921439651308493</v>
      </c>
      <c r="BX6" s="106">
        <f>100*SUMPRODUCT($C5:$C99,xyzs!$G2:$G96,'99set'!BT$10:BT$104)/SUMPRODUCT($C5:$C99,xyzs!$G2:$G96)</f>
        <v>39.573582198363489</v>
      </c>
      <c r="BY6" s="106">
        <f>100*SUMPRODUCT($C5:$C99,xyzs!$G2:$G96,'99set'!BU$10:BU$104)/SUMPRODUCT($C5:$C99,xyzs!$G2:$G96)</f>
        <v>7.3211754258252926</v>
      </c>
      <c r="BZ6" s="106">
        <f>100*SUMPRODUCT($C5:$C99,xyzs!$G2:$G96,'99set'!BV$10:BV$104)/SUMPRODUCT($C5:$C99,xyzs!$G2:$G96)</f>
        <v>46.62522025371463</v>
      </c>
      <c r="CA6" s="106">
        <f>100*SUMPRODUCT($C5:$C99,xyzs!$G2:$G96,'99set'!BW$10:BW$104)/SUMPRODUCT($C5:$C99,xyzs!$G2:$G96)</f>
        <v>22.119027619896148</v>
      </c>
      <c r="CB6" s="106">
        <f>100*SUMPRODUCT($C5:$C99,xyzs!$G2:$G96,'99set'!BX$10:BX$104)/SUMPRODUCT($C5:$C99,xyzs!$G2:$G96)</f>
        <v>4.8113280588419851</v>
      </c>
      <c r="CC6" s="106">
        <f>100*SUMPRODUCT($C5:$C99,xyzs!$G2:$G96,'99set'!BY$10:BY$104)/SUMPRODUCT($C5:$C99,xyzs!$G2:$G96)</f>
        <v>6.4448469123587548</v>
      </c>
      <c r="CD6" s="106">
        <f>100*SUMPRODUCT($C5:$C99,xyzs!$G2:$G96,'99set'!BZ$10:BZ$104)/SUMPRODUCT($C5:$C99,xyzs!$G2:$G96)</f>
        <v>14.225393891857058</v>
      </c>
      <c r="CE6" s="106">
        <f>100*SUMPRODUCT($C5:$C99,xyzs!$G2:$G96,'99set'!CA$10:CA$104)/SUMPRODUCT($C5:$C99,xyzs!$G2:$G96)</f>
        <v>12.390527990434883</v>
      </c>
      <c r="CF6" s="106">
        <f>100*SUMPRODUCT($C5:$C99,xyzs!$G2:$G96,'99set'!CB$10:CB$104)/SUMPRODUCT($C5:$C99,xyzs!$G2:$G96)</f>
        <v>11.794837496205652</v>
      </c>
      <c r="CG6" s="106">
        <f>100*SUMPRODUCT($C5:$C99,xyzs!$G2:$G96,'99set'!CC$10:CC$104)/SUMPRODUCT($C5:$C99,xyzs!$G2:$G96)</f>
        <v>41.812139386708139</v>
      </c>
      <c r="CH6" s="106">
        <f>100*SUMPRODUCT($C5:$C99,xyzs!$G2:$G96,'99set'!CD$10:CD$104)/SUMPRODUCT($C5:$C99,xyzs!$G2:$G96)</f>
        <v>31.113810801179778</v>
      </c>
      <c r="CI6" s="106">
        <f>100*SUMPRODUCT($C5:$C99,xyzs!$G2:$G96,'99set'!CE$10:CE$104)/SUMPRODUCT($C5:$C99,xyzs!$G2:$G96)</f>
        <v>12.058883787108053</v>
      </c>
      <c r="CJ6" s="106">
        <f>100*SUMPRODUCT($C5:$C99,xyzs!$G2:$G96,'99set'!CF$10:CF$104)/SUMPRODUCT($C5:$C99,xyzs!$G2:$G96)</f>
        <v>66.644386863015072</v>
      </c>
      <c r="CK6" s="106">
        <f>100*SUMPRODUCT($C5:$C99,xyzs!$G2:$G96,'99set'!CG$10:CG$104)/SUMPRODUCT($C5:$C99,xyzs!$G2:$G96)</f>
        <v>40.748853993876381</v>
      </c>
      <c r="CL6" s="106">
        <f>100*SUMPRODUCT($C5:$C99,xyzs!$G2:$G96,'99set'!CH$10:CH$104)/SUMPRODUCT($C5:$C99,xyzs!$G2:$G96)</f>
        <v>4.7429008916648572</v>
      </c>
      <c r="CM6" s="106">
        <f>100*SUMPRODUCT($C5:$C99,xyzs!$G2:$G96,'99set'!CI$10:CI$104)/SUMPRODUCT($C5:$C99,xyzs!$G2:$G96)</f>
        <v>10.680882943600988</v>
      </c>
      <c r="CN6" s="106">
        <f>100*SUMPRODUCT($C5:$C99,xyzs!$G2:$G96,'99set'!CJ$10:CJ$104)/SUMPRODUCT($C5:$C99,xyzs!$G2:$G96)</f>
        <v>31.091191103274344</v>
      </c>
      <c r="CO6" s="106">
        <f>100*SUMPRODUCT($C5:$C99,xyzs!$G2:$G96,'99set'!CK$10:CK$104)/SUMPRODUCT($C5:$C99,xyzs!$G2:$G96)</f>
        <v>9.571107041637184</v>
      </c>
      <c r="CP6" s="106">
        <f>100*SUMPRODUCT($C5:$C99,xyzs!$G2:$G96,'99set'!CL$10:CL$104)/SUMPRODUCT($C5:$C99,xyzs!$G2:$G96)</f>
        <v>27.329833739115589</v>
      </c>
      <c r="CQ6" s="106">
        <f>100*SUMPRODUCT($C5:$C99,xyzs!$G2:$G96,'99set'!CM$10:CM$104)/SUMPRODUCT($C5:$C99,xyzs!$G2:$G96)</f>
        <v>8.9891841583103869</v>
      </c>
      <c r="CR6" s="106">
        <f>100*SUMPRODUCT($C5:$C99,xyzs!$G2:$G96,'99set'!CN$10:CN$104)/SUMPRODUCT($C5:$C99,xyzs!$G2:$G96)</f>
        <v>12.036368667465863</v>
      </c>
      <c r="CS6" s="106">
        <f>100*SUMPRODUCT($C5:$C99,xyzs!$G2:$G96,'99set'!CO$10:CO$104)/SUMPRODUCT($C5:$C99,xyzs!$G2:$G96)</f>
        <v>53.54574015906563</v>
      </c>
      <c r="CT6" s="106">
        <f>100*SUMPRODUCT($C5:$C99,xyzs!$G2:$G96,'99set'!CP$10:CP$104)/SUMPRODUCT($C5:$C99,xyzs!$G2:$G96)</f>
        <v>21.880378798657343</v>
      </c>
      <c r="CU6" s="106">
        <f>100*SUMPRODUCT($C5:$C99,xyzs!$G2:$G96,'99set'!CQ$10:CQ$104)/SUMPRODUCT($C5:$C99,xyzs!$G2:$G96)</f>
        <v>33.708553997612057</v>
      </c>
      <c r="CV6" s="106">
        <f>100*SUMPRODUCT($C5:$C99,xyzs!$G2:$G96,'99set'!CR$10:CR$104)/SUMPRODUCT($C5:$C99,xyzs!$G2:$G96)</f>
        <v>9.8832024585606746</v>
      </c>
      <c r="CW6" s="106">
        <f>100*SUMPRODUCT($C5:$C99,xyzs!$G2:$G96,'99set'!CS$10:CS$104)/SUMPRODUCT($C5:$C99,xyzs!$G2:$G96)</f>
        <v>37.585928568661259</v>
      </c>
      <c r="CX6" s="106">
        <f>100*SUMPRODUCT($C5:$C99,xyzs!$G2:$G96,'99set'!CT$10:CT$104)/SUMPRODUCT($C5:$C99,xyzs!$G2:$G96)</f>
        <v>49.854692844584513</v>
      </c>
      <c r="CY6" s="106">
        <f>100*SUMPRODUCT($C5:$C99,xyzs!$G2:$G96,'99set'!CU$10:CU$104)/SUMPRODUCT($C5:$C99,xyzs!$G2:$G96)</f>
        <v>18.203563342659784</v>
      </c>
      <c r="CZ6" s="106">
        <f>100*SUMPRODUCT($C5:$C99,xyzs!$G2:$G96,'99set'!CV$10:CV$104)/SUMPRODUCT($C5:$C99,xyzs!$G2:$G96)</f>
        <v>30.3903004863032</v>
      </c>
      <c r="DA6" s="106">
        <f>100*SUMPRODUCT($C5:$C99,xyzs!$G2:$G96,'99set'!CW$10:CW$104)/SUMPRODUCT($C5:$C99,xyzs!$G2:$G96)</f>
        <v>18.951953713652543</v>
      </c>
      <c r="DC6">
        <v>2</v>
      </c>
      <c r="DD6" s="114">
        <v>63.42126252438991</v>
      </c>
      <c r="DE6" s="114">
        <v>31.315010834098434</v>
      </c>
      <c r="DF6" s="114">
        <v>4.9339433064894198</v>
      </c>
      <c r="DG6" s="114">
        <v>61.985918419424905</v>
      </c>
      <c r="DH6" s="114">
        <v>24.478163269030087</v>
      </c>
      <c r="DI6" s="114">
        <v>1.7618603008961586</v>
      </c>
      <c r="DJ6" s="114">
        <v>7.6723404461749709</v>
      </c>
      <c r="DK6" s="114">
        <f t="shared" ref="DK6:DK69" si="0">DJ6^2</f>
        <v>58.864807922012353</v>
      </c>
      <c r="DL6" s="114">
        <f t="shared" ref="DL6:DL69" si="1">ATAN(DF6/DE6)+PI()*IF(AND((DE6&lt;0),(DF6&gt;0)),1,0)+PI()*IF(AND((DE6&lt;0),(DF6&lt;0)),1,0)+2*PI()*IF(AND((DE6&gt;0),(DF6&lt;0)),1,0)</f>
        <v>0.15627371377080315</v>
      </c>
      <c r="DM6" s="114">
        <f t="shared" ref="DM6:DM69" si="2">DL6*180/PI()</f>
        <v>8.9538242479024746</v>
      </c>
      <c r="DN6" s="115">
        <f t="shared" ref="DN6:DN69" si="3">ROUNDDOWN((((DL6/2)/PI()))*16,0)+1</f>
        <v>1</v>
      </c>
      <c r="DO6">
        <v>3</v>
      </c>
      <c r="DQ6" t="s">
        <v>236</v>
      </c>
      <c r="DR6" s="117">
        <f>DAVERAGE($DE$4:$DN$103,"a_r",DR$4:DR$5)</f>
        <v>24.045840128124151</v>
      </c>
      <c r="DS6" s="117">
        <f t="shared" ref="DS6:EH6" si="4">DAVERAGE($DE$4:$DN$103,"a_r",DS4:DS5)</f>
        <v>20.576674306367874</v>
      </c>
      <c r="DT6" s="117">
        <f t="shared" si="4"/>
        <v>14.839810279213639</v>
      </c>
      <c r="DU6" s="117">
        <f t="shared" si="4"/>
        <v>2.7226970030650839</v>
      </c>
      <c r="DV6" s="117">
        <f t="shared" si="4"/>
        <v>-2.9284614844235128</v>
      </c>
      <c r="DW6" s="117">
        <f t="shared" si="4"/>
        <v>-12.73985775839766</v>
      </c>
      <c r="DX6" s="117">
        <f t="shared" si="4"/>
        <v>-18.746784263271142</v>
      </c>
      <c r="DY6" s="117">
        <f t="shared" si="4"/>
        <v>-21.445625670631173</v>
      </c>
      <c r="DZ6" s="117">
        <f t="shared" si="4"/>
        <v>-22.582012872043485</v>
      </c>
      <c r="EA6" s="117">
        <f t="shared" si="4"/>
        <v>-18.075884442516962</v>
      </c>
      <c r="EB6" s="117">
        <f t="shared" si="4"/>
        <v>-10.871766917958265</v>
      </c>
      <c r="EC6" s="117">
        <f t="shared" si="4"/>
        <v>-6.5969307606156899</v>
      </c>
      <c r="ED6" s="117">
        <f t="shared" si="4"/>
        <v>3.2787094752389438</v>
      </c>
      <c r="EE6" s="117">
        <f t="shared" si="4"/>
        <v>9.3866607635046098</v>
      </c>
      <c r="EF6" s="117">
        <f t="shared" si="4"/>
        <v>18.917276654218711</v>
      </c>
      <c r="EG6" s="117">
        <f t="shared" si="4"/>
        <v>16.89163908186314</v>
      </c>
      <c r="EH6" s="117">
        <f t="shared" si="4"/>
        <v>24.045840128124151</v>
      </c>
    </row>
    <row r="7" spans="1:138">
      <c r="A7">
        <v>370</v>
      </c>
      <c r="B7" s="111">
        <f>B6</f>
        <v>1.8824306472919418E-2</v>
      </c>
      <c r="C7" s="112">
        <f>Reference!N7</f>
        <v>0.4142201345046056</v>
      </c>
      <c r="D7" s="112"/>
      <c r="E7" s="118" t="s">
        <v>111</v>
      </c>
      <c r="F7" s="106">
        <f>100*SUMPRODUCT($C5:$C99,xyzs!$H2:$H96,'99set'!B$10:B$104)/SUMPRODUCT($C5:$C99,xyzs!$G2:$G96)</f>
        <v>37.361966081683555</v>
      </c>
      <c r="G7" s="106">
        <f>100*SUMPRODUCT($C5:$C99,xyzs!$H2:$H96,'99set'!C$10:C$104)/SUMPRODUCT($C5:$C99,xyzs!$G2:$G96)</f>
        <v>22.524427725209559</v>
      </c>
      <c r="H7" s="106">
        <f>100*SUMPRODUCT($C5:$C99,xyzs!$H2:$H96,'99set'!D$10:D$104)/SUMPRODUCT($C5:$C99,xyzs!$G2:$G96)</f>
        <v>8.1275692658028191</v>
      </c>
      <c r="I7" s="106">
        <f>100*SUMPRODUCT($C5:$C99,xyzs!$H2:$H96,'99set'!E$10:E$104)/SUMPRODUCT($C5:$C99,xyzs!$G2:$G96)</f>
        <v>1.9654999015159036</v>
      </c>
      <c r="J7" s="106">
        <f>100*SUMPRODUCT($C5:$C99,xyzs!$H2:$H96,'99set'!F$10:F$104)/SUMPRODUCT($C5:$C99,xyzs!$G2:$G96)</f>
        <v>10.476960796060947</v>
      </c>
      <c r="K7" s="106">
        <f>100*SUMPRODUCT($C5:$C99,xyzs!$H2:$H96,'99set'!G$10:G$104)/SUMPRODUCT($C5:$C99,xyzs!$G2:$G96)</f>
        <v>3.3655224224008231</v>
      </c>
      <c r="L7" s="106">
        <f>100*SUMPRODUCT($C5:$C99,xyzs!$H2:$H96,'99set'!H$10:H$104)/SUMPRODUCT($C5:$C99,xyzs!$G2:$G96)</f>
        <v>4.6240465554392998</v>
      </c>
      <c r="M7" s="106">
        <f>100*SUMPRODUCT($C5:$C99,xyzs!$H2:$H96,'99set'!I$10:I$104)/SUMPRODUCT($C5:$C99,xyzs!$G2:$G96)</f>
        <v>2.0466689366441173</v>
      </c>
      <c r="N7" s="106">
        <f>100*SUMPRODUCT($C5:$C99,xyzs!$H2:$H96,'99set'!J$10:J$104)/SUMPRODUCT($C5:$C99,xyzs!$G2:$G96)</f>
        <v>2.1314359268837619</v>
      </c>
      <c r="O7" s="106">
        <f>100*SUMPRODUCT($C5:$C99,xyzs!$H2:$H96,'99set'!K$10:K$104)/SUMPRODUCT($C5:$C99,xyzs!$G2:$G96)</f>
        <v>1.8233099915684494</v>
      </c>
      <c r="P7" s="106">
        <f>100*SUMPRODUCT($C5:$C99,xyzs!$H2:$H96,'99set'!L$10:L$104)/SUMPRODUCT($C5:$C99,xyzs!$G2:$G96)</f>
        <v>6.7748130544184324</v>
      </c>
      <c r="Q7" s="106">
        <f>100*SUMPRODUCT($C5:$C99,xyzs!$H2:$H96,'99set'!M$10:M$104)/SUMPRODUCT($C5:$C99,xyzs!$G2:$G96)</f>
        <v>2.6088475801635034</v>
      </c>
      <c r="R7" s="106">
        <f>100*SUMPRODUCT($C5:$C99,xyzs!$H2:$H96,'99set'!N$10:N$104)/SUMPRODUCT($C5:$C99,xyzs!$G2:$G96)</f>
        <v>3.1425966161180114</v>
      </c>
      <c r="S7" s="106">
        <f>100*SUMPRODUCT($C5:$C99,xyzs!$H2:$H96,'99set'!O$10:O$104)/SUMPRODUCT($C5:$C99,xyzs!$G2:$G96)</f>
        <v>1.8499010891839489</v>
      </c>
      <c r="T7" s="106">
        <f>100*SUMPRODUCT($C5:$C99,xyzs!$H2:$H96,'99set'!P$10:P$104)/SUMPRODUCT($C5:$C99,xyzs!$G2:$G96)</f>
        <v>13.382085809241087</v>
      </c>
      <c r="U7" s="106">
        <f>100*SUMPRODUCT($C5:$C99,xyzs!$H2:$H96,'99set'!Q$10:Q$104)/SUMPRODUCT($C5:$C99,xyzs!$G2:$G96)</f>
        <v>9.9892239145484325</v>
      </c>
      <c r="V7" s="106">
        <f>100*SUMPRODUCT($C5:$C99,xyzs!$H2:$H96,'99set'!R$10:R$104)/SUMPRODUCT($C5:$C99,xyzs!$G2:$G96)</f>
        <v>2.149529632204763</v>
      </c>
      <c r="W7" s="106">
        <f>100*SUMPRODUCT($C5:$C99,xyzs!$H2:$H96,'99set'!S$10:S$104)/SUMPRODUCT($C5:$C99,xyzs!$G2:$G96)</f>
        <v>2.3173499576672696</v>
      </c>
      <c r="X7" s="106">
        <f>100*SUMPRODUCT($C5:$C99,xyzs!$H2:$H96,'99set'!T$10:T$104)/SUMPRODUCT($C5:$C99,xyzs!$G2:$G96)</f>
        <v>4.4460484155160547</v>
      </c>
      <c r="Y7" s="106">
        <f>100*SUMPRODUCT($C5:$C99,xyzs!$H2:$H96,'99set'!U$10:U$104)/SUMPRODUCT($C5:$C99,xyzs!$G2:$G96)</f>
        <v>4.752899209184215</v>
      </c>
      <c r="Z7" s="106">
        <f>100*SUMPRODUCT($C5:$C99,xyzs!$H2:$H96,'99set'!V$10:V$104)/SUMPRODUCT($C5:$C99,xyzs!$G2:$G96)</f>
        <v>2.3777126172242382</v>
      </c>
      <c r="AA7" s="106">
        <f>100*SUMPRODUCT($C5:$C99,xyzs!$H2:$H96,'99set'!W$10:W$104)/SUMPRODUCT($C5:$C99,xyzs!$G2:$G96)</f>
        <v>6.8029329120298883</v>
      </c>
      <c r="AB7" s="106">
        <f>100*SUMPRODUCT($C5:$C99,xyzs!$H2:$H96,'99set'!X$10:X$104)/SUMPRODUCT($C5:$C99,xyzs!$G2:$G96)</f>
        <v>4.3421797823878174</v>
      </c>
      <c r="AC7" s="106">
        <f>100*SUMPRODUCT($C5:$C99,xyzs!$H2:$H96,'99set'!Y$10:Y$104)/SUMPRODUCT($C5:$C99,xyzs!$G2:$G96)</f>
        <v>20.50837862890393</v>
      </c>
      <c r="AD7" s="106">
        <f>100*SUMPRODUCT($C5:$C99,xyzs!$H2:$H96,'99set'!Z$10:Z$104)/SUMPRODUCT($C5:$C99,xyzs!$G2:$G96)</f>
        <v>11.356257949429731</v>
      </c>
      <c r="AE7" s="106">
        <f>100*SUMPRODUCT($C5:$C99,xyzs!$H2:$H96,'99set'!AA$10:AA$104)/SUMPRODUCT($C5:$C99,xyzs!$G2:$G96)</f>
        <v>2.1604058014257554</v>
      </c>
      <c r="AF7" s="106">
        <f>100*SUMPRODUCT($C5:$C99,xyzs!$H2:$H96,'99set'!AB$10:AB$104)/SUMPRODUCT($C5:$C99,xyzs!$G2:$G96)</f>
        <v>8.3413660127370299</v>
      </c>
      <c r="AG7" s="106">
        <f>100*SUMPRODUCT($C5:$C99,xyzs!$H2:$H96,'99set'!AC$10:AC$104)/SUMPRODUCT($C5:$C99,xyzs!$G2:$G96)</f>
        <v>9.41398803956778</v>
      </c>
      <c r="AH7" s="106">
        <f>100*SUMPRODUCT($C5:$C99,xyzs!$H2:$H96,'99set'!AD$10:AD$104)/SUMPRODUCT($C5:$C99,xyzs!$G2:$G96)</f>
        <v>1.8416003052984011</v>
      </c>
      <c r="AI7" s="106">
        <f>100*SUMPRODUCT($C5:$C99,xyzs!$H2:$H96,'99set'!AE$10:AE$104)/SUMPRODUCT($C5:$C99,xyzs!$G2:$G96)</f>
        <v>7.7337627878566062</v>
      </c>
      <c r="AJ7" s="106">
        <f>100*SUMPRODUCT($C5:$C99,xyzs!$H2:$H96,'99set'!AF$10:AF$104)/SUMPRODUCT($C5:$C99,xyzs!$G2:$G96)</f>
        <v>5.873716977865171</v>
      </c>
      <c r="AK7" s="106">
        <f>100*SUMPRODUCT($C5:$C99,xyzs!$H2:$H96,'99set'!AG$10:AG$104)/SUMPRODUCT($C5:$C99,xyzs!$G2:$G96)</f>
        <v>8.4891629165195539</v>
      </c>
      <c r="AL7" s="106">
        <f>100*SUMPRODUCT($C5:$C99,xyzs!$H2:$H96,'99set'!AH$10:AH$104)/SUMPRODUCT($C5:$C99,xyzs!$G2:$G96)</f>
        <v>3.5978435759270964</v>
      </c>
      <c r="AM7" s="106">
        <f>100*SUMPRODUCT($C5:$C99,xyzs!$H2:$H96,'99set'!AI$10:AI$104)/SUMPRODUCT($C5:$C99,xyzs!$G2:$G96)</f>
        <v>15.015116230838533</v>
      </c>
      <c r="AN7" s="106">
        <f>100*SUMPRODUCT($C5:$C99,xyzs!$H2:$H96,'99set'!AJ$10:AJ$104)/SUMPRODUCT($C5:$C99,xyzs!$G2:$G96)</f>
        <v>2.3114706330587009</v>
      </c>
      <c r="AO7" s="106">
        <f>100*SUMPRODUCT($C5:$C99,xyzs!$H2:$H96,'99set'!AK$10:AK$104)/SUMPRODUCT($C5:$C99,xyzs!$G2:$G96)</f>
        <v>1.9997183226884996</v>
      </c>
      <c r="AP7" s="106">
        <f>100*SUMPRODUCT($C5:$C99,xyzs!$H2:$H96,'99set'!AL$10:AL$104)/SUMPRODUCT($C5:$C99,xyzs!$G2:$G96)</f>
        <v>16.913945245690527</v>
      </c>
      <c r="AQ7" s="106">
        <f>100*SUMPRODUCT($C5:$C99,xyzs!$H2:$H96,'99set'!AM$10:AM$104)/SUMPRODUCT($C5:$C99,xyzs!$G2:$G96)</f>
        <v>2.2406291842135828</v>
      </c>
      <c r="AR7" s="106">
        <f>100*SUMPRODUCT($C5:$C99,xyzs!$H2:$H96,'99set'!AN$10:AN$104)/SUMPRODUCT($C5:$C99,xyzs!$G2:$G96)</f>
        <v>15.388358426173015</v>
      </c>
      <c r="AS7" s="106">
        <f>100*SUMPRODUCT($C5:$C99,xyzs!$H2:$H96,'99set'!AO$10:AO$104)/SUMPRODUCT($C5:$C99,xyzs!$G2:$G96)</f>
        <v>2.1404169985750165</v>
      </c>
      <c r="AT7" s="106">
        <f>100*SUMPRODUCT($C5:$C99,xyzs!$H2:$H96,'99set'!AP$10:AP$104)/SUMPRODUCT($C5:$C99,xyzs!$G2:$G96)</f>
        <v>3.7094536203145942</v>
      </c>
      <c r="AU7" s="106">
        <f>100*SUMPRODUCT($C5:$C99,xyzs!$H2:$H96,'99set'!AQ$10:AQ$104)/SUMPRODUCT($C5:$C99,xyzs!$G2:$G96)</f>
        <v>21.544255574581104</v>
      </c>
      <c r="AV7" s="106">
        <f>100*SUMPRODUCT($C5:$C99,xyzs!$H2:$H96,'99set'!AR$10:AR$104)/SUMPRODUCT($C5:$C99,xyzs!$G2:$G96)</f>
        <v>3.6366165332887221</v>
      </c>
      <c r="AW7" s="106">
        <f>100*SUMPRODUCT($C5:$C99,xyzs!$H2:$H96,'99set'!AS$10:AS$104)/SUMPRODUCT($C5:$C99,xyzs!$G2:$G96)</f>
        <v>4.3009549749131351</v>
      </c>
      <c r="AX7" s="106">
        <f>100*SUMPRODUCT($C5:$C99,xyzs!$H2:$H96,'99set'!AT$10:AT$104)/SUMPRODUCT($C5:$C99,xyzs!$G2:$G96)</f>
        <v>1.7681388032357686</v>
      </c>
      <c r="AY7" s="106">
        <f>100*SUMPRODUCT($C5:$C99,xyzs!$H2:$H96,'99set'!AU$10:AU$104)/SUMPRODUCT($C5:$C99,xyzs!$G2:$G96)</f>
        <v>3.8165362859746876</v>
      </c>
      <c r="AZ7" s="106">
        <f>100*SUMPRODUCT($C5:$C99,xyzs!$H2:$H96,'99set'!AV$10:AV$104)/SUMPRODUCT($C5:$C99,xyzs!$G2:$G96)</f>
        <v>7.2032205303109116</v>
      </c>
      <c r="BA7" s="106">
        <f>100*SUMPRODUCT($C5:$C99,xyzs!$H2:$H96,'99set'!AW$10:AW$104)/SUMPRODUCT($C5:$C99,xyzs!$G2:$G96)</f>
        <v>10.213695012666678</v>
      </c>
      <c r="BB7" s="106">
        <f>100*SUMPRODUCT($C5:$C99,xyzs!$H2:$H96,'99set'!AX$10:AX$104)/SUMPRODUCT($C5:$C99,xyzs!$G2:$G96)</f>
        <v>11.996639770828315</v>
      </c>
      <c r="BC7" s="106">
        <f>100*SUMPRODUCT($C5:$C99,xyzs!$H2:$H96,'99set'!AY$10:AY$104)/SUMPRODUCT($C5:$C99,xyzs!$G2:$G96)</f>
        <v>2.999380860888972</v>
      </c>
      <c r="BD7" s="106">
        <f>100*SUMPRODUCT($C5:$C99,xyzs!$H2:$H96,'99set'!AZ$10:AZ$104)/SUMPRODUCT($C5:$C99,xyzs!$G2:$G96)</f>
        <v>6.0710076757061806</v>
      </c>
      <c r="BE7" s="106">
        <f>100*SUMPRODUCT($C5:$C99,xyzs!$H2:$H96,'99set'!BA$10:BA$104)/SUMPRODUCT($C5:$C99,xyzs!$G2:$G96)</f>
        <v>7.5759359749063773</v>
      </c>
      <c r="BF7" s="106">
        <f>100*SUMPRODUCT($C5:$C99,xyzs!$H2:$H96,'99set'!BB$10:BB$104)/SUMPRODUCT($C5:$C99,xyzs!$G2:$G96)</f>
        <v>2.9772203619029103</v>
      </c>
      <c r="BG7" s="106">
        <f>100*SUMPRODUCT($C5:$C99,xyzs!$H2:$H96,'99set'!BC$10:BC$104)/SUMPRODUCT($C5:$C99,xyzs!$G2:$G96)</f>
        <v>5.3618361595704265</v>
      </c>
      <c r="BH7" s="106">
        <f>100*SUMPRODUCT($C5:$C99,xyzs!$H2:$H96,'99set'!BD$10:BD$104)/SUMPRODUCT($C5:$C99,xyzs!$G2:$G96)</f>
        <v>25.266489434996622</v>
      </c>
      <c r="BI7" s="106">
        <f>100*SUMPRODUCT($C5:$C99,xyzs!$H2:$H96,'99set'!BE$10:BE$104)/SUMPRODUCT($C5:$C99,xyzs!$G2:$G96)</f>
        <v>23.374591372161102</v>
      </c>
      <c r="BJ7" s="106">
        <f>100*SUMPRODUCT($C5:$C99,xyzs!$H2:$H96,'99set'!BF$10:BF$104)/SUMPRODUCT($C5:$C99,xyzs!$G2:$G96)</f>
        <v>16.336563094538107</v>
      </c>
      <c r="BK7" s="106">
        <f>100*SUMPRODUCT($C5:$C99,xyzs!$H2:$H96,'99set'!BG$10:BG$104)/SUMPRODUCT($C5:$C99,xyzs!$G2:$G96)</f>
        <v>10.117369022180933</v>
      </c>
      <c r="BL7" s="106">
        <f>100*SUMPRODUCT($C5:$C99,xyzs!$H2:$H96,'99set'!BH$10:BH$104)/SUMPRODUCT($C5:$C99,xyzs!$G2:$G96)</f>
        <v>9.3808461888989694</v>
      </c>
      <c r="BM7" s="106">
        <f>100*SUMPRODUCT($C5:$C99,xyzs!$H2:$H96,'99set'!BI$10:BI$104)/SUMPRODUCT($C5:$C99,xyzs!$G2:$G96)</f>
        <v>26.338653614187859</v>
      </c>
      <c r="BN7" s="106">
        <f>100*SUMPRODUCT($C5:$C99,xyzs!$H2:$H96,'99set'!BJ$10:BJ$104)/SUMPRODUCT($C5:$C99,xyzs!$G2:$G96)</f>
        <v>26.960209562099248</v>
      </c>
      <c r="BO7" s="106">
        <f>100*SUMPRODUCT($C5:$C99,xyzs!$H2:$H96,'99set'!BK$10:BK$104)/SUMPRODUCT($C5:$C99,xyzs!$G2:$G96)</f>
        <v>19.769674362496392</v>
      </c>
      <c r="BP7" s="106">
        <f>100*SUMPRODUCT($C5:$C99,xyzs!$H2:$H96,'99set'!BL$10:BL$104)/SUMPRODUCT($C5:$C99,xyzs!$G2:$G96)</f>
        <v>13.406576131534333</v>
      </c>
      <c r="BQ7" s="106">
        <f>100*SUMPRODUCT($C5:$C99,xyzs!$H2:$H96,'99set'!BM$10:BM$104)/SUMPRODUCT($C5:$C99,xyzs!$G2:$G96)</f>
        <v>2.930341743312245</v>
      </c>
      <c r="BR7" s="106">
        <f>100*SUMPRODUCT($C5:$C99,xyzs!$H2:$H96,'99set'!BN$10:BN$104)/SUMPRODUCT($C5:$C99,xyzs!$G2:$G96)</f>
        <v>14.585342011112942</v>
      </c>
      <c r="BS7" s="106">
        <f>100*SUMPRODUCT($C5:$C99,xyzs!$H2:$H96,'99set'!BO$10:BO$104)/SUMPRODUCT($C5:$C99,xyzs!$G2:$G96)</f>
        <v>5.4117950383483802</v>
      </c>
      <c r="BT7" s="106">
        <f>100*SUMPRODUCT($C5:$C99,xyzs!$H2:$H96,'99set'!BP$10:BP$104)/SUMPRODUCT($C5:$C99,xyzs!$G2:$G96)</f>
        <v>9.0887000966709639</v>
      </c>
      <c r="BU7" s="106">
        <f>100*SUMPRODUCT($C5:$C99,xyzs!$H2:$H96,'99set'!BQ$10:BQ$104)/SUMPRODUCT($C5:$C99,xyzs!$G2:$G96)</f>
        <v>10.933997627198117</v>
      </c>
      <c r="BV7" s="106">
        <f>100*SUMPRODUCT($C5:$C99,xyzs!$H2:$H96,'99set'!BR$10:BR$104)/SUMPRODUCT($C5:$C99,xyzs!$G2:$G96)</f>
        <v>16.181870655189794</v>
      </c>
      <c r="BW7" s="106">
        <f>100*SUMPRODUCT($C5:$C99,xyzs!$H2:$H96,'99set'!BS$10:BS$104)/SUMPRODUCT($C5:$C99,xyzs!$G2:$G96)</f>
        <v>9.1088687710253833</v>
      </c>
      <c r="BX7" s="106">
        <f>100*SUMPRODUCT($C5:$C99,xyzs!$H2:$H96,'99set'!BT$10:BT$104)/SUMPRODUCT($C5:$C99,xyzs!$G2:$G96)</f>
        <v>25.257222869756415</v>
      </c>
      <c r="BY7" s="106">
        <f>100*SUMPRODUCT($C5:$C99,xyzs!$H2:$H96,'99set'!BU$10:BU$104)/SUMPRODUCT($C5:$C99,xyzs!$G2:$G96)</f>
        <v>6.215153145852983</v>
      </c>
      <c r="BZ7" s="106">
        <f>100*SUMPRODUCT($C5:$C99,xyzs!$H2:$H96,'99set'!BV$10:BV$104)/SUMPRODUCT($C5:$C99,xyzs!$G2:$G96)</f>
        <v>20.09217673466037</v>
      </c>
      <c r="CA7" s="106">
        <f>100*SUMPRODUCT($C5:$C99,xyzs!$H2:$H96,'99set'!BW$10:BW$104)/SUMPRODUCT($C5:$C99,xyzs!$G2:$G96)</f>
        <v>19.256154734562834</v>
      </c>
      <c r="CB7" s="106">
        <f>100*SUMPRODUCT($C5:$C99,xyzs!$H2:$H96,'99set'!BX$10:BX$104)/SUMPRODUCT($C5:$C99,xyzs!$G2:$G96)</f>
        <v>2.0015246560273905</v>
      </c>
      <c r="CC7" s="106">
        <f>100*SUMPRODUCT($C5:$C99,xyzs!$H2:$H96,'99set'!BY$10:BY$104)/SUMPRODUCT($C5:$C99,xyzs!$G2:$G96)</f>
        <v>5.8844464222483124</v>
      </c>
      <c r="CD7" s="106">
        <f>100*SUMPRODUCT($C5:$C99,xyzs!$H2:$H96,'99set'!BZ$10:BZ$104)/SUMPRODUCT($C5:$C99,xyzs!$G2:$G96)</f>
        <v>16.251610057925966</v>
      </c>
      <c r="CE7" s="106">
        <f>100*SUMPRODUCT($C5:$C99,xyzs!$H2:$H96,'99set'!CA$10:CA$104)/SUMPRODUCT($C5:$C99,xyzs!$G2:$G96)</f>
        <v>9.9733681097772759</v>
      </c>
      <c r="CF7" s="106">
        <f>100*SUMPRODUCT($C5:$C99,xyzs!$H2:$H96,'99set'!CB$10:CB$104)/SUMPRODUCT($C5:$C99,xyzs!$G2:$G96)</f>
        <v>13.835962809457515</v>
      </c>
      <c r="CG7" s="106">
        <f>100*SUMPRODUCT($C5:$C99,xyzs!$H2:$H96,'99set'!CC$10:CC$104)/SUMPRODUCT($C5:$C99,xyzs!$G2:$G96)</f>
        <v>23.692313305880674</v>
      </c>
      <c r="CH7" s="106">
        <f>100*SUMPRODUCT($C5:$C99,xyzs!$H2:$H96,'99set'!CD$10:CD$104)/SUMPRODUCT($C5:$C99,xyzs!$G2:$G96)</f>
        <v>20.195830744941034</v>
      </c>
      <c r="CI7" s="106">
        <f>100*SUMPRODUCT($C5:$C99,xyzs!$H2:$H96,'99set'!CE$10:CE$104)/SUMPRODUCT($C5:$C99,xyzs!$G2:$G96)</f>
        <v>11.420184197300703</v>
      </c>
      <c r="CJ7" s="106">
        <f>100*SUMPRODUCT($C5:$C99,xyzs!$H2:$H96,'99set'!CF$10:CF$104)/SUMPRODUCT($C5:$C99,xyzs!$G2:$G96)</f>
        <v>28.827636492642565</v>
      </c>
      <c r="CK7" s="106">
        <f>100*SUMPRODUCT($C5:$C99,xyzs!$H2:$H96,'99set'!CG$10:CG$104)/SUMPRODUCT($C5:$C99,xyzs!$G2:$G96)</f>
        <v>21.108638953577827</v>
      </c>
      <c r="CL7" s="106">
        <f>100*SUMPRODUCT($C5:$C99,xyzs!$H2:$H96,'99set'!CH$10:CH$104)/SUMPRODUCT($C5:$C99,xyzs!$G2:$G96)</f>
        <v>2.2084658603378435</v>
      </c>
      <c r="CM7" s="106">
        <f>100*SUMPRODUCT($C5:$C99,xyzs!$H2:$H96,'99set'!CI$10:CI$104)/SUMPRODUCT($C5:$C99,xyzs!$G2:$G96)</f>
        <v>5.7560669733595162</v>
      </c>
      <c r="CN7" s="106">
        <f>100*SUMPRODUCT($C5:$C99,xyzs!$H2:$H96,'99set'!CJ$10:CJ$104)/SUMPRODUCT($C5:$C99,xyzs!$G2:$G96)</f>
        <v>19.718415743414713</v>
      </c>
      <c r="CO7" s="106">
        <f>100*SUMPRODUCT($C5:$C99,xyzs!$H2:$H96,'99set'!CK$10:CK$104)/SUMPRODUCT($C5:$C99,xyzs!$G2:$G96)</f>
        <v>7.630540894022424</v>
      </c>
      <c r="CP7" s="106">
        <f>100*SUMPRODUCT($C5:$C99,xyzs!$H2:$H96,'99set'!CL$10:CL$104)/SUMPRODUCT($C5:$C99,xyzs!$G2:$G96)</f>
        <v>16.057600654084172</v>
      </c>
      <c r="CQ7" s="106">
        <f>100*SUMPRODUCT($C5:$C99,xyzs!$H2:$H96,'99set'!CM$10:CM$104)/SUMPRODUCT($C5:$C99,xyzs!$G2:$G96)</f>
        <v>5.7802182548259999</v>
      </c>
      <c r="CR7" s="106">
        <f>100*SUMPRODUCT($C5:$C99,xyzs!$H2:$H96,'99set'!CN$10:CN$104)/SUMPRODUCT($C5:$C99,xyzs!$G2:$G96)</f>
        <v>7.6578825697683817</v>
      </c>
      <c r="CS7" s="106">
        <f>100*SUMPRODUCT($C5:$C99,xyzs!$H2:$H96,'99set'!CO$10:CO$104)/SUMPRODUCT($C5:$C99,xyzs!$G2:$G96)</f>
        <v>20.599771296851557</v>
      </c>
      <c r="CT7" s="106">
        <f>100*SUMPRODUCT($C5:$C99,xyzs!$H2:$H96,'99set'!CP$10:CP$104)/SUMPRODUCT($C5:$C99,xyzs!$G2:$G96)</f>
        <v>10.223339350486926</v>
      </c>
      <c r="CU7" s="106">
        <f>100*SUMPRODUCT($C5:$C99,xyzs!$H2:$H96,'99set'!CQ$10:CQ$104)/SUMPRODUCT($C5:$C99,xyzs!$G2:$G96)</f>
        <v>14.554190828162964</v>
      </c>
      <c r="CV7" s="106">
        <f>100*SUMPRODUCT($C5:$C99,xyzs!$H2:$H96,'99set'!CR$10:CR$104)/SUMPRODUCT($C5:$C99,xyzs!$G2:$G96)</f>
        <v>4.8331249247817567</v>
      </c>
      <c r="CW7" s="106">
        <f>100*SUMPRODUCT($C5:$C99,xyzs!$H2:$H96,'99set'!CS$10:CS$104)/SUMPRODUCT($C5:$C99,xyzs!$G2:$G96)</f>
        <v>15.91706325719022</v>
      </c>
      <c r="CX7" s="106">
        <f>100*SUMPRODUCT($C5:$C99,xyzs!$H2:$H96,'99set'!CT$10:CT$104)/SUMPRODUCT($C5:$C99,xyzs!$G2:$G96)</f>
        <v>20.354667959440409</v>
      </c>
      <c r="CY7" s="106">
        <f>100*SUMPRODUCT($C5:$C99,xyzs!$H2:$H96,'99set'!CU$10:CU$104)/SUMPRODUCT($C5:$C99,xyzs!$G2:$G96)</f>
        <v>7.4187190421368694</v>
      </c>
      <c r="CZ7" s="106">
        <f>100*SUMPRODUCT($C5:$C99,xyzs!$H2:$H96,'99set'!CV$10:CV$104)/SUMPRODUCT($C5:$C99,xyzs!$G2:$G96)</f>
        <v>10.937507414376698</v>
      </c>
      <c r="DA7" s="106">
        <f>100*SUMPRODUCT($C5:$C99,xyzs!$H2:$H96,'99set'!CW$10:CW$104)/SUMPRODUCT($C5:$C99,xyzs!$G2:$G96)</f>
        <v>6.7026698073098165</v>
      </c>
      <c r="DC7">
        <v>3</v>
      </c>
      <c r="DD7" s="114">
        <v>32.072786588010501</v>
      </c>
      <c r="DE7" s="114">
        <v>15.423968187323448</v>
      </c>
      <c r="DF7" s="114">
        <v>2.4600718472207164</v>
      </c>
      <c r="DG7" s="114">
        <v>30.297207749478545</v>
      </c>
      <c r="DH7" s="114">
        <v>9.8042102950301384</v>
      </c>
      <c r="DI7" s="114">
        <v>1.5392452920032682</v>
      </c>
      <c r="DJ7" s="114">
        <v>5.9650884758425056</v>
      </c>
      <c r="DK7" s="114">
        <f t="shared" si="0"/>
        <v>35.582280524629063</v>
      </c>
      <c r="DL7" s="114">
        <f t="shared" si="1"/>
        <v>0.15816447520866062</v>
      </c>
      <c r="DM7" s="114">
        <f t="shared" si="2"/>
        <v>9.0621568983577951</v>
      </c>
      <c r="DN7" s="115">
        <f t="shared" si="3"/>
        <v>1</v>
      </c>
      <c r="DO7">
        <v>1</v>
      </c>
      <c r="DQ7" t="s">
        <v>237</v>
      </c>
      <c r="DR7" s="117">
        <f t="shared" ref="DR7:EH7" si="5">DAVERAGE($DE$4:$DN$103,"b_r",DR$4:DR$5)</f>
        <v>5.1129108493268003</v>
      </c>
      <c r="DS7" s="117">
        <f t="shared" si="5"/>
        <v>15.098393482422157</v>
      </c>
      <c r="DT7" s="117">
        <f t="shared" si="5"/>
        <v>22.884477714472325</v>
      </c>
      <c r="DU7" s="117">
        <f t="shared" si="5"/>
        <v>20.392999261286207</v>
      </c>
      <c r="DV7" s="117">
        <f t="shared" si="5"/>
        <v>16.773893910958822</v>
      </c>
      <c r="DW7" s="117">
        <f t="shared" si="5"/>
        <v>16.868438594148195</v>
      </c>
      <c r="DX7" s="117">
        <f t="shared" si="5"/>
        <v>13.086282360334996</v>
      </c>
      <c r="DY7" s="117">
        <f t="shared" si="5"/>
        <v>5.6400347022905635</v>
      </c>
      <c r="DZ7" s="117">
        <f t="shared" si="5"/>
        <v>-3.8826816866696272</v>
      </c>
      <c r="EA7" s="117">
        <f t="shared" si="5"/>
        <v>-11.976686769364724</v>
      </c>
      <c r="EB7" s="117">
        <f t="shared" si="5"/>
        <v>-15.825243457683298</v>
      </c>
      <c r="EC7" s="117">
        <f t="shared" si="5"/>
        <v>-21.172851428612496</v>
      </c>
      <c r="ED7" s="117">
        <f t="shared" si="5"/>
        <v>-18.027661705270209</v>
      </c>
      <c r="EE7" s="117">
        <f t="shared" si="5"/>
        <v>-13.980186576717589</v>
      </c>
      <c r="EF7" s="117">
        <f t="shared" si="5"/>
        <v>-13.431554731291508</v>
      </c>
      <c r="EG7" s="117">
        <f t="shared" si="5"/>
        <v>-4.1767669974805965</v>
      </c>
      <c r="EH7" s="117">
        <f t="shared" si="5"/>
        <v>5.1129108493268003</v>
      </c>
    </row>
    <row r="8" spans="1:138">
      <c r="A8">
        <v>375</v>
      </c>
      <c r="B8" s="111">
        <f>B7</f>
        <v>1.8824306472919418E-2</v>
      </c>
      <c r="C8" s="112">
        <f>Reference!N8</f>
        <v>0.46209113393437218</v>
      </c>
      <c r="D8" s="112"/>
      <c r="E8" s="118" t="s">
        <v>112</v>
      </c>
      <c r="F8" s="119">
        <f t="shared" ref="F8:T8" si="6">F5/(F5+F6+F7)</f>
        <v>0.4449380687074449</v>
      </c>
      <c r="G8" s="119">
        <f t="shared" si="6"/>
        <v>0.48034151088489868</v>
      </c>
      <c r="H8" s="119">
        <f t="shared" si="6"/>
        <v>0.54747986116200442</v>
      </c>
      <c r="I8" s="119">
        <f t="shared" si="6"/>
        <v>0.50966812104677217</v>
      </c>
      <c r="J8" s="119">
        <f t="shared" si="6"/>
        <v>0.51072022199964362</v>
      </c>
      <c r="K8" s="119">
        <f t="shared" si="6"/>
        <v>0.58940288470776236</v>
      </c>
      <c r="L8" s="119">
        <f t="shared" si="6"/>
        <v>0.51835477789430018</v>
      </c>
      <c r="M8" s="119">
        <f t="shared" si="6"/>
        <v>0.5973298137971238</v>
      </c>
      <c r="N8" s="119">
        <f t="shared" si="6"/>
        <v>0.5870410877901131</v>
      </c>
      <c r="O8" s="119">
        <f t="shared" si="6"/>
        <v>0.45736081933258049</v>
      </c>
      <c r="P8" s="119">
        <f t="shared" si="6"/>
        <v>0.57005276683015027</v>
      </c>
      <c r="Q8" s="119">
        <f t="shared" si="6"/>
        <v>0.58840922037599319</v>
      </c>
      <c r="R8" s="119">
        <f t="shared" si="6"/>
        <v>0.59208697891367512</v>
      </c>
      <c r="S8" s="119">
        <f t="shared" si="6"/>
        <v>0.5570964227029126</v>
      </c>
      <c r="T8" s="119">
        <f t="shared" si="6"/>
        <v>0.47010254678984409</v>
      </c>
      <c r="U8" s="119">
        <f>U5/(U5+U6+U7)</f>
        <v>0.50019831242402846</v>
      </c>
      <c r="V8" s="119">
        <f>V5/(V5+V6+V7)</f>
        <v>0.55368815186949982</v>
      </c>
      <c r="W8" s="119">
        <f>W5/(W5+W6+W7)</f>
        <v>0.54398663761094035</v>
      </c>
      <c r="X8" s="119">
        <f t="shared" ref="X8:CI8" si="7">X5/(X5+X6+X7)</f>
        <v>0.51552640287051155</v>
      </c>
      <c r="Y8" s="119">
        <f t="shared" si="7"/>
        <v>0.53933782368634631</v>
      </c>
      <c r="Z8" s="119">
        <f t="shared" si="7"/>
        <v>0.57491873802977833</v>
      </c>
      <c r="AA8" s="119">
        <f t="shared" si="7"/>
        <v>0.54163357658262568</v>
      </c>
      <c r="AB8" s="119">
        <f t="shared" si="7"/>
        <v>0.55313770917830041</v>
      </c>
      <c r="AC8" s="119">
        <f t="shared" si="7"/>
        <v>0.47406272342871586</v>
      </c>
      <c r="AD8" s="119">
        <f t="shared" si="7"/>
        <v>0.50912183505135078</v>
      </c>
      <c r="AE8" s="119">
        <f t="shared" si="7"/>
        <v>0.54769349855294691</v>
      </c>
      <c r="AF8" s="119">
        <f t="shared" si="7"/>
        <v>0.52152303754029861</v>
      </c>
      <c r="AG8" s="119">
        <f t="shared" si="7"/>
        <v>0.47980683372381444</v>
      </c>
      <c r="AH8" s="119">
        <f t="shared" si="7"/>
        <v>0.49246992441034493</v>
      </c>
      <c r="AI8" s="119">
        <f t="shared" si="7"/>
        <v>0.51048933601386082</v>
      </c>
      <c r="AJ8" s="119">
        <f t="shared" si="7"/>
        <v>0.48936922031143854</v>
      </c>
      <c r="AK8" s="119">
        <f t="shared" si="7"/>
        <v>0.5055371143230839</v>
      </c>
      <c r="AL8" s="119">
        <f t="shared" si="7"/>
        <v>0.51618381248467682</v>
      </c>
      <c r="AM8" s="119">
        <f t="shared" si="7"/>
        <v>0.48173351641108098</v>
      </c>
      <c r="AN8" s="119">
        <f t="shared" si="7"/>
        <v>0.50684603323034882</v>
      </c>
      <c r="AO8" s="119">
        <f t="shared" si="7"/>
        <v>0.48032874322603258</v>
      </c>
      <c r="AP8" s="119">
        <f t="shared" si="7"/>
        <v>0.45669365786105232</v>
      </c>
      <c r="AQ8" s="119">
        <f t="shared" si="7"/>
        <v>0.4800702490028852</v>
      </c>
      <c r="AR8" s="119">
        <f t="shared" si="7"/>
        <v>0.4689066216356273</v>
      </c>
      <c r="AS8" s="119">
        <f t="shared" si="7"/>
        <v>0.45846782290907706</v>
      </c>
      <c r="AT8" s="119">
        <f t="shared" si="7"/>
        <v>0.46623783435847582</v>
      </c>
      <c r="AU8" s="119">
        <f t="shared" si="7"/>
        <v>0.45224336426949513</v>
      </c>
      <c r="AV8" s="119">
        <f t="shared" si="7"/>
        <v>0.46154177502780447</v>
      </c>
      <c r="AW8" s="119">
        <f t="shared" si="7"/>
        <v>0.46022272245580553</v>
      </c>
      <c r="AX8" s="119">
        <f t="shared" si="7"/>
        <v>0.4462038699608244</v>
      </c>
      <c r="AY8" s="119">
        <f t="shared" si="7"/>
        <v>0.43780253876098207</v>
      </c>
      <c r="AZ8" s="119">
        <f t="shared" si="7"/>
        <v>0.44162600282504572</v>
      </c>
      <c r="BA8" s="119">
        <f t="shared" si="7"/>
        <v>0.44650991641394616</v>
      </c>
      <c r="BB8" s="119">
        <f t="shared" si="7"/>
        <v>0.4250694004785755</v>
      </c>
      <c r="BC8" s="119">
        <f t="shared" si="7"/>
        <v>0.42211249395402484</v>
      </c>
      <c r="BD8" s="119">
        <f t="shared" si="7"/>
        <v>0.41183835881964076</v>
      </c>
      <c r="BE8" s="119">
        <f t="shared" si="7"/>
        <v>0.41865681571344049</v>
      </c>
      <c r="BF8" s="119">
        <f t="shared" si="7"/>
        <v>0.39020530116931551</v>
      </c>
      <c r="BG8" s="119">
        <f t="shared" si="7"/>
        <v>0.33740913829377844</v>
      </c>
      <c r="BH8" s="119">
        <f t="shared" si="7"/>
        <v>0.41776495877320918</v>
      </c>
      <c r="BI8" s="119">
        <f t="shared" si="7"/>
        <v>0.41033101302522623</v>
      </c>
      <c r="BJ8" s="119">
        <f t="shared" si="7"/>
        <v>0.35416119620920994</v>
      </c>
      <c r="BK8" s="119">
        <f t="shared" si="7"/>
        <v>0.3241512815792908</v>
      </c>
      <c r="BL8" s="119">
        <f t="shared" si="7"/>
        <v>0.31370349256317553</v>
      </c>
      <c r="BM8" s="119">
        <f t="shared" si="7"/>
        <v>0.41517281010050994</v>
      </c>
      <c r="BN8" s="119">
        <f t="shared" si="7"/>
        <v>0.43405427060625218</v>
      </c>
      <c r="BO8" s="119">
        <f t="shared" si="7"/>
        <v>0.41220435594033966</v>
      </c>
      <c r="BP8" s="119">
        <f t="shared" si="7"/>
        <v>0.43059032484057025</v>
      </c>
      <c r="BQ8" s="119">
        <f t="shared" si="7"/>
        <v>0.43624667390376382</v>
      </c>
      <c r="BR8" s="119">
        <f t="shared" si="7"/>
        <v>0.31207441217517817</v>
      </c>
      <c r="BS8" s="119">
        <f t="shared" si="7"/>
        <v>0.35792001922436922</v>
      </c>
      <c r="BT8" s="119">
        <f t="shared" si="7"/>
        <v>0.29613985330052445</v>
      </c>
      <c r="BU8" s="119">
        <f t="shared" si="7"/>
        <v>0.29546809348164788</v>
      </c>
      <c r="BV8" s="119">
        <f t="shared" si="7"/>
        <v>0.37607620649310686</v>
      </c>
      <c r="BW8" s="119">
        <f t="shared" si="7"/>
        <v>0.41270010506057625</v>
      </c>
      <c r="BX8" s="119">
        <f t="shared" si="7"/>
        <v>0.36449119220893722</v>
      </c>
      <c r="BY8" s="119">
        <f t="shared" si="7"/>
        <v>0.32570405341896336</v>
      </c>
      <c r="BZ8" s="119">
        <f t="shared" si="7"/>
        <v>0.42646253487711011</v>
      </c>
      <c r="CA8" s="119">
        <f t="shared" si="7"/>
        <v>0.31385259246551478</v>
      </c>
      <c r="CB8" s="119">
        <f t="shared" si="7"/>
        <v>0.4352981758034164</v>
      </c>
      <c r="CC8" s="119">
        <f t="shared" si="7"/>
        <v>0.32954057702584461</v>
      </c>
      <c r="CD8" s="119">
        <f t="shared" si="7"/>
        <v>0.30752519364465014</v>
      </c>
      <c r="CE8" s="119">
        <f t="shared" si="7"/>
        <v>0.36093998698218566</v>
      </c>
      <c r="CF8" s="119">
        <f t="shared" si="7"/>
        <v>0.31036041346150883</v>
      </c>
      <c r="CG8" s="119">
        <f t="shared" si="7"/>
        <v>0.40827886655789863</v>
      </c>
      <c r="CH8" s="119">
        <f t="shared" si="7"/>
        <v>0.40511704627108125</v>
      </c>
      <c r="CI8" s="119">
        <f t="shared" si="7"/>
        <v>0.38451327629804133</v>
      </c>
      <c r="CJ8" s="119">
        <f t="shared" ref="CJ8:DA8" si="8">CJ5/(CJ5+CJ6+CJ7)</f>
        <v>0.43607612661524564</v>
      </c>
      <c r="CK8" s="119">
        <f t="shared" si="8"/>
        <v>0.42653886180708639</v>
      </c>
      <c r="CL8" s="119">
        <f t="shared" si="8"/>
        <v>0.44159503859497129</v>
      </c>
      <c r="CM8" s="119">
        <f t="shared" si="8"/>
        <v>0.4347321567971506</v>
      </c>
      <c r="CN8" s="119">
        <f t="shared" si="8"/>
        <v>0.42731835722429862</v>
      </c>
      <c r="CO8" s="119">
        <f t="shared" si="8"/>
        <v>0.42828254202626836</v>
      </c>
      <c r="CP8" s="119">
        <f t="shared" si="8"/>
        <v>0.45268130974710452</v>
      </c>
      <c r="CQ8" s="119">
        <f t="shared" si="8"/>
        <v>0.45928862848997148</v>
      </c>
      <c r="CR8" s="119">
        <f t="shared" si="8"/>
        <v>0.46522857066777362</v>
      </c>
      <c r="CS8" s="119">
        <f t="shared" si="8"/>
        <v>0.44830071606286281</v>
      </c>
      <c r="CT8" s="119">
        <f t="shared" si="8"/>
        <v>0.46874742245226142</v>
      </c>
      <c r="CU8" s="119">
        <f t="shared" si="8"/>
        <v>0.46306845428369997</v>
      </c>
      <c r="CV8" s="119">
        <f t="shared" si="8"/>
        <v>0.50297129642237171</v>
      </c>
      <c r="CW8" s="119">
        <f t="shared" si="8"/>
        <v>0.47572752545420227</v>
      </c>
      <c r="CX8" s="119">
        <f t="shared" si="8"/>
        <v>0.47286677111874881</v>
      </c>
      <c r="CY8" s="119">
        <f t="shared" si="8"/>
        <v>0.50323104512126582</v>
      </c>
      <c r="CZ8" s="119">
        <f t="shared" si="8"/>
        <v>0.52707752334992819</v>
      </c>
      <c r="DA8" s="119">
        <f t="shared" si="8"/>
        <v>0.5481919068728659</v>
      </c>
      <c r="DC8">
        <v>4</v>
      </c>
      <c r="DD8" s="114">
        <v>70.0876777089114</v>
      </c>
      <c r="DE8" s="114">
        <v>20.321726428435085</v>
      </c>
      <c r="DF8" s="114">
        <v>6.7482181178731304</v>
      </c>
      <c r="DG8" s="114">
        <v>71.617316487888274</v>
      </c>
      <c r="DH8" s="114">
        <v>13.332490042212665</v>
      </c>
      <c r="DI8" s="114">
        <v>6.000420778271816</v>
      </c>
      <c r="DJ8" s="114">
        <v>7.1936375303291511</v>
      </c>
      <c r="DK8" s="114">
        <f t="shared" si="0"/>
        <v>51.748420917760086</v>
      </c>
      <c r="DL8" s="114">
        <f t="shared" si="1"/>
        <v>0.3206123447588366</v>
      </c>
      <c r="DM8" s="114">
        <f t="shared" si="2"/>
        <v>18.369734214474637</v>
      </c>
      <c r="DN8" s="115">
        <f t="shared" si="3"/>
        <v>1</v>
      </c>
      <c r="DO8">
        <v>1</v>
      </c>
      <c r="DQ8" t="s">
        <v>51</v>
      </c>
      <c r="DR8" s="117">
        <f t="shared" ref="DR8:EH8" si="9">DAVERAGE($DE$4:$DN$103,"a",DR$4:DR$5)</f>
        <v>17.559209612207439</v>
      </c>
      <c r="DS8" s="117">
        <f t="shared" si="9"/>
        <v>12.741773547220658</v>
      </c>
      <c r="DT8" s="117">
        <f t="shared" si="9"/>
        <v>5.6194120518319233</v>
      </c>
      <c r="DU8" s="117">
        <f t="shared" si="9"/>
        <v>-2.7263316954633123</v>
      </c>
      <c r="DV8" s="117">
        <f t="shared" si="9"/>
        <v>-5.580936979742507</v>
      </c>
      <c r="DW8" s="117">
        <f t="shared" si="9"/>
        <v>-11.785175645393373</v>
      </c>
      <c r="DX8" s="117">
        <f t="shared" si="9"/>
        <v>-14.905141973685389</v>
      </c>
      <c r="DY8" s="117">
        <f t="shared" si="9"/>
        <v>-16.26113038613876</v>
      </c>
      <c r="DZ8" s="117">
        <f t="shared" si="9"/>
        <v>-17.126793651410228</v>
      </c>
      <c r="EA8" s="117">
        <f t="shared" si="9"/>
        <v>-11.386948254153568</v>
      </c>
      <c r="EB8" s="117">
        <f t="shared" si="9"/>
        <v>-4.2290918281123897</v>
      </c>
      <c r="EC8" s="117">
        <f t="shared" si="9"/>
        <v>-2.2696187178637679</v>
      </c>
      <c r="ED8" s="117">
        <f t="shared" si="9"/>
        <v>3.7553454849216856</v>
      </c>
      <c r="EE8" s="117">
        <f t="shared" si="9"/>
        <v>7.9360816837083714</v>
      </c>
      <c r="EF8" s="117">
        <f t="shared" si="9"/>
        <v>15.570388154215472</v>
      </c>
      <c r="EG8" s="117">
        <f t="shared" si="9"/>
        <v>12.390483634246154</v>
      </c>
      <c r="EH8" s="117">
        <f t="shared" si="9"/>
        <v>17.559209612207439</v>
      </c>
    </row>
    <row r="9" spans="1:138">
      <c r="A9">
        <v>380</v>
      </c>
      <c r="B9" s="120">
        <f>'Color metric'!B3</f>
        <v>1.8824306472919418E-2</v>
      </c>
      <c r="C9" s="112">
        <f>Reference!N9</f>
        <v>0.51356239633563705</v>
      </c>
      <c r="D9" s="112"/>
      <c r="E9" s="118" t="s">
        <v>114</v>
      </c>
      <c r="F9" s="119">
        <f>F6/(F5+F6+F7)</f>
        <v>0.40408706072427819</v>
      </c>
      <c r="G9" s="119">
        <f t="shared" ref="G9:S9" si="10">G6/(G5+G6+G7)</f>
        <v>0.38336597476409173</v>
      </c>
      <c r="H9" s="119">
        <f t="shared" si="10"/>
        <v>0.34973351863201918</v>
      </c>
      <c r="I9" s="119">
        <f t="shared" si="10"/>
        <v>0.37005003478007453</v>
      </c>
      <c r="J9" s="119">
        <f t="shared" si="10"/>
        <v>0.37947464620442278</v>
      </c>
      <c r="K9" s="119">
        <f t="shared" si="10"/>
        <v>0.34260429555331134</v>
      </c>
      <c r="L9" s="119">
        <f t="shared" si="10"/>
        <v>0.37953540255668727</v>
      </c>
      <c r="M9" s="119">
        <f t="shared" si="10"/>
        <v>0.3434004971780773</v>
      </c>
      <c r="N9" s="119">
        <f t="shared" si="10"/>
        <v>0.34760027891677137</v>
      </c>
      <c r="O9" s="119">
        <f t="shared" si="10"/>
        <v>0.39784649169257014</v>
      </c>
      <c r="P9" s="119">
        <f t="shared" si="10"/>
        <v>0.37354541171422578</v>
      </c>
      <c r="Q9" s="119">
        <f t="shared" si="10"/>
        <v>0.37053520257670447</v>
      </c>
      <c r="R9" s="119">
        <f t="shared" si="10"/>
        <v>0.3694059472104233</v>
      </c>
      <c r="S9" s="119">
        <f t="shared" si="10"/>
        <v>0.38429099712646797</v>
      </c>
      <c r="T9" s="119">
        <f>T6/(T5+T6+T7)</f>
        <v>0.40329701055509537</v>
      </c>
      <c r="U9" s="119">
        <f>U6/(U5+U6+U7)</f>
        <v>0.39808711335038494</v>
      </c>
      <c r="V9" s="119">
        <f>V6/(V5+V6+V7)</f>
        <v>0.39075402350196542</v>
      </c>
      <c r="W9" s="119">
        <f>W6/(W5+W6+W7)</f>
        <v>0.39960426332286564</v>
      </c>
      <c r="X9" s="119">
        <f t="shared" ref="X9:CI9" si="11">X6/(X5+X6+X7)</f>
        <v>0.40266935793151726</v>
      </c>
      <c r="Y9" s="119">
        <f t="shared" si="11"/>
        <v>0.41096594818033849</v>
      </c>
      <c r="Z9" s="119">
        <f t="shared" si="11"/>
        <v>0.39705104296786864</v>
      </c>
      <c r="AA9" s="119">
        <f t="shared" si="11"/>
        <v>0.41505842823008576</v>
      </c>
      <c r="AB9" s="119">
        <f t="shared" si="11"/>
        <v>0.41158508704506774</v>
      </c>
      <c r="AC9" s="119">
        <f t="shared" si="11"/>
        <v>0.41529248189686158</v>
      </c>
      <c r="AD9" s="119">
        <f t="shared" si="11"/>
        <v>0.4262787101594101</v>
      </c>
      <c r="AE9" s="119">
        <f t="shared" si="11"/>
        <v>0.42896537374672716</v>
      </c>
      <c r="AF9" s="119">
        <f t="shared" si="11"/>
        <v>0.42952914240204215</v>
      </c>
      <c r="AG9" s="119">
        <f t="shared" si="11"/>
        <v>0.42484403120484476</v>
      </c>
      <c r="AH9" s="119">
        <f t="shared" si="11"/>
        <v>0.43588107530531162</v>
      </c>
      <c r="AI9" s="119">
        <f t="shared" si="11"/>
        <v>0.43876989684351408</v>
      </c>
      <c r="AJ9" s="119">
        <f t="shared" si="11"/>
        <v>0.4276894575407133</v>
      </c>
      <c r="AK9" s="119">
        <f t="shared" si="11"/>
        <v>0.44149199837549524</v>
      </c>
      <c r="AL9" s="119">
        <f t="shared" si="11"/>
        <v>0.44840980379247514</v>
      </c>
      <c r="AM9" s="119">
        <f t="shared" si="11"/>
        <v>0.42999476451799296</v>
      </c>
      <c r="AN9" s="119">
        <f t="shared" si="11"/>
        <v>0.4555647020545483</v>
      </c>
      <c r="AO9" s="119">
        <f t="shared" si="11"/>
        <v>0.44275858630937154</v>
      </c>
      <c r="AP9" s="119">
        <f t="shared" si="11"/>
        <v>0.41327379492780281</v>
      </c>
      <c r="AQ9" s="119">
        <f t="shared" si="11"/>
        <v>0.45328729059666412</v>
      </c>
      <c r="AR9" s="119">
        <f t="shared" si="11"/>
        <v>0.43012180442830533</v>
      </c>
      <c r="AS9" s="119">
        <f t="shared" si="11"/>
        <v>0.4237388133968768</v>
      </c>
      <c r="AT9" s="119">
        <f t="shared" si="11"/>
        <v>0.43712899284516482</v>
      </c>
      <c r="AU9" s="119">
        <f t="shared" si="11"/>
        <v>0.41783327193435432</v>
      </c>
      <c r="AV9" s="119">
        <f t="shared" si="11"/>
        <v>0.48933541666349756</v>
      </c>
      <c r="AW9" s="119">
        <f t="shared" si="11"/>
        <v>0.4891622618302664</v>
      </c>
      <c r="AX9" s="119">
        <f t="shared" si="11"/>
        <v>0.40828533088838048</v>
      </c>
      <c r="AY9" s="119">
        <f t="shared" si="11"/>
        <v>0.48571121481650242</v>
      </c>
      <c r="AZ9" s="119">
        <f t="shared" si="11"/>
        <v>0.45865480268847653</v>
      </c>
      <c r="BA9" s="119">
        <f t="shared" si="11"/>
        <v>0.43502402671704871</v>
      </c>
      <c r="BB9" s="119">
        <f t="shared" si="11"/>
        <v>0.4620177442330437</v>
      </c>
      <c r="BC9" s="119">
        <f t="shared" si="11"/>
        <v>0.47663720281751321</v>
      </c>
      <c r="BD9" s="119">
        <f t="shared" si="11"/>
        <v>0.45368289872610978</v>
      </c>
      <c r="BE9" s="119">
        <f t="shared" si="11"/>
        <v>0.44197284177312773</v>
      </c>
      <c r="BF9" s="119">
        <f t="shared" si="11"/>
        <v>0.47914044476190792</v>
      </c>
      <c r="BG9" s="119">
        <f t="shared" si="11"/>
        <v>0.50036467667200557</v>
      </c>
      <c r="BH9" s="119">
        <f t="shared" si="11"/>
        <v>0.42190526937960554</v>
      </c>
      <c r="BI9" s="119">
        <f t="shared" si="11"/>
        <v>0.42304791487492299</v>
      </c>
      <c r="BJ9" s="119">
        <f t="shared" si="11"/>
        <v>0.45405959493672665</v>
      </c>
      <c r="BK9" s="119">
        <f t="shared" si="11"/>
        <v>0.46981263715102833</v>
      </c>
      <c r="BL9" s="119">
        <f t="shared" si="11"/>
        <v>0.4646454617934081</v>
      </c>
      <c r="BM9" s="119">
        <f t="shared" si="11"/>
        <v>0.4179651268162009</v>
      </c>
      <c r="BN9" s="119">
        <f t="shared" si="11"/>
        <v>0.40706642576678659</v>
      </c>
      <c r="BO9" s="119">
        <f t="shared" si="11"/>
        <v>0.41377065303216348</v>
      </c>
      <c r="BP9" s="119">
        <f t="shared" si="11"/>
        <v>0.40523062427010448</v>
      </c>
      <c r="BQ9" s="119">
        <f t="shared" si="11"/>
        <v>0.40235387831089503</v>
      </c>
      <c r="BR9" s="119">
        <f t="shared" si="11"/>
        <v>0.4244111779546299</v>
      </c>
      <c r="BS9" s="119">
        <f t="shared" si="11"/>
        <v>0.41567024731850377</v>
      </c>
      <c r="BT9" s="119">
        <f t="shared" si="11"/>
        <v>0.40690956664221617</v>
      </c>
      <c r="BU9" s="119">
        <f t="shared" si="11"/>
        <v>0.40206028526109144</v>
      </c>
      <c r="BV9" s="119">
        <f t="shared" si="11"/>
        <v>0.4005783667264029</v>
      </c>
      <c r="BW9" s="119">
        <f t="shared" si="11"/>
        <v>0.39644799307530648</v>
      </c>
      <c r="BX9" s="119">
        <f t="shared" si="11"/>
        <v>0.38792299457762908</v>
      </c>
      <c r="BY9" s="119">
        <f t="shared" si="11"/>
        <v>0.36469555889560012</v>
      </c>
      <c r="BZ9" s="119">
        <f t="shared" si="11"/>
        <v>0.40081465767873681</v>
      </c>
      <c r="CA9" s="119">
        <f t="shared" si="11"/>
        <v>0.36681200166214639</v>
      </c>
      <c r="CB9" s="119">
        <f t="shared" si="11"/>
        <v>0.39880001012004407</v>
      </c>
      <c r="CC9" s="119">
        <f t="shared" si="11"/>
        <v>0.350466829261673</v>
      </c>
      <c r="CD9" s="119">
        <f t="shared" si="11"/>
        <v>0.32321834839222846</v>
      </c>
      <c r="CE9" s="119">
        <f t="shared" si="11"/>
        <v>0.35406580961489048</v>
      </c>
      <c r="CF9" s="119">
        <f t="shared" si="11"/>
        <v>0.31735984663634159</v>
      </c>
      <c r="CG9" s="119">
        <f t="shared" si="11"/>
        <v>0.37770144612384932</v>
      </c>
      <c r="CH9" s="119">
        <f t="shared" si="11"/>
        <v>0.36073289762765676</v>
      </c>
      <c r="CI9" s="119">
        <f t="shared" si="11"/>
        <v>0.31611488490763034</v>
      </c>
      <c r="CJ9" s="119">
        <f t="shared" ref="CJ9:DA9" si="12">CJ6/(CJ5+CJ6+CJ7)</f>
        <v>0.39364789242121351</v>
      </c>
      <c r="CK9" s="119">
        <f t="shared" si="12"/>
        <v>0.3777696618134106</v>
      </c>
      <c r="CL9" s="119">
        <f t="shared" si="12"/>
        <v>0.38099836821226052</v>
      </c>
      <c r="CM9" s="119">
        <f t="shared" si="12"/>
        <v>0.36731630232696416</v>
      </c>
      <c r="CN9" s="119">
        <f t="shared" si="12"/>
        <v>0.35043283154309013</v>
      </c>
      <c r="CO9" s="119">
        <f t="shared" si="12"/>
        <v>0.31810725392743994</v>
      </c>
      <c r="CP9" s="119">
        <f t="shared" si="12"/>
        <v>0.34475716336125584</v>
      </c>
      <c r="CQ9" s="119">
        <f t="shared" si="12"/>
        <v>0.32909619218399089</v>
      </c>
      <c r="CR9" s="119">
        <f t="shared" si="12"/>
        <v>0.32683172356921147</v>
      </c>
      <c r="CS9" s="119">
        <f t="shared" si="12"/>
        <v>0.39842123850213168</v>
      </c>
      <c r="CT9" s="119">
        <f t="shared" si="12"/>
        <v>0.36207667848645897</v>
      </c>
      <c r="CU9" s="119">
        <f t="shared" si="12"/>
        <v>0.37501360660559085</v>
      </c>
      <c r="CV9" s="119">
        <f t="shared" si="12"/>
        <v>0.3337949188826726</v>
      </c>
      <c r="CW9" s="119">
        <f t="shared" si="12"/>
        <v>0.36830216603461935</v>
      </c>
      <c r="CX9" s="119">
        <f t="shared" si="12"/>
        <v>0.37430999104812063</v>
      </c>
      <c r="CY9" s="119">
        <f t="shared" si="12"/>
        <v>0.35293363022834018</v>
      </c>
      <c r="CZ9" s="119">
        <f t="shared" si="12"/>
        <v>0.34776236394299409</v>
      </c>
      <c r="DA9" s="119">
        <f t="shared" si="12"/>
        <v>0.33376619467452073</v>
      </c>
      <c r="DC9">
        <v>5</v>
      </c>
      <c r="DD9" s="114">
        <v>51.633021308856691</v>
      </c>
      <c r="DE9" s="114">
        <v>34.034875445785211</v>
      </c>
      <c r="DF9" s="114">
        <v>9.9938199666139393</v>
      </c>
      <c r="DG9" s="114">
        <v>48.18972477716062</v>
      </c>
      <c r="DH9" s="114">
        <v>23.518874292303686</v>
      </c>
      <c r="DI9" s="114">
        <v>5.508509444962888</v>
      </c>
      <c r="DJ9" s="114">
        <v>11.939873606569233</v>
      </c>
      <c r="DK9" s="114">
        <f t="shared" si="0"/>
        <v>142.56058174084856</v>
      </c>
      <c r="DL9" s="114">
        <f t="shared" si="1"/>
        <v>0.28560687493488618</v>
      </c>
      <c r="DM9" s="114">
        <f t="shared" si="2"/>
        <v>16.364068533689718</v>
      </c>
      <c r="DN9" s="115">
        <f t="shared" si="3"/>
        <v>1</v>
      </c>
      <c r="DO9">
        <v>4</v>
      </c>
      <c r="DQ9" t="s">
        <v>52</v>
      </c>
      <c r="DR9" s="117">
        <f t="shared" ref="DR9:EH9" si="13">DAVERAGE($DE$4:$DN$103,"b",DR$4:DR$5)</f>
        <v>2.7244404163207205</v>
      </c>
      <c r="DS9" s="117">
        <f t="shared" si="13"/>
        <v>16.220570187311971</v>
      </c>
      <c r="DT9" s="117">
        <f t="shared" si="13"/>
        <v>26.207832112155639</v>
      </c>
      <c r="DU9" s="117">
        <f t="shared" si="13"/>
        <v>24.472443232846754</v>
      </c>
      <c r="DV9" s="117">
        <f t="shared" si="13"/>
        <v>19.687461037728955</v>
      </c>
      <c r="DW9" s="117">
        <f t="shared" si="13"/>
        <v>20.189992329625898</v>
      </c>
      <c r="DX9" s="117">
        <f t="shared" si="13"/>
        <v>18.720144933837211</v>
      </c>
      <c r="DY9" s="117">
        <f t="shared" si="13"/>
        <v>7.5241943979350676</v>
      </c>
      <c r="DZ9" s="117">
        <f t="shared" si="13"/>
        <v>-2.005560418846803</v>
      </c>
      <c r="EA9" s="117">
        <f t="shared" si="13"/>
        <v>-12.317735798733407</v>
      </c>
      <c r="EB9" s="117">
        <f t="shared" si="13"/>
        <v>-16.640080268131364</v>
      </c>
      <c r="EC9" s="117">
        <f t="shared" si="13"/>
        <v>-23.006209998965311</v>
      </c>
      <c r="ED9" s="117">
        <f t="shared" si="13"/>
        <v>-20.374103674376393</v>
      </c>
      <c r="EE9" s="117">
        <f t="shared" si="13"/>
        <v>-17.234242197203422</v>
      </c>
      <c r="EF9" s="117">
        <f t="shared" si="13"/>
        <v>-18.614433026993467</v>
      </c>
      <c r="EG9" s="117">
        <f t="shared" si="13"/>
        <v>-6.8928398788124268</v>
      </c>
      <c r="EH9" s="117">
        <f t="shared" si="13"/>
        <v>2.7244404163207205</v>
      </c>
    </row>
    <row r="10" spans="1:138">
      <c r="A10">
        <v>385</v>
      </c>
      <c r="B10" s="120">
        <f>'Color metric'!B4</f>
        <v>2.3117569352708055E-2</v>
      </c>
      <c r="C10" s="112">
        <f>Reference!N10</f>
        <v>0.56871729967613449</v>
      </c>
      <c r="D10" s="112"/>
      <c r="E10" s="121" t="s">
        <v>238</v>
      </c>
      <c r="F10" s="122" t="s">
        <v>92</v>
      </c>
      <c r="G10" s="123" t="s">
        <v>127</v>
      </c>
      <c r="H10" s="123" t="s">
        <v>128</v>
      </c>
      <c r="I10" s="123" t="s">
        <v>129</v>
      </c>
      <c r="J10" s="123" t="s">
        <v>130</v>
      </c>
      <c r="K10" s="123" t="s">
        <v>131</v>
      </c>
      <c r="L10" s="123" t="s">
        <v>132</v>
      </c>
      <c r="M10" s="123" t="s">
        <v>133</v>
      </c>
      <c r="N10" s="123" t="s">
        <v>134</v>
      </c>
      <c r="O10" s="123" t="s">
        <v>135</v>
      </c>
      <c r="P10" s="123" t="s">
        <v>136</v>
      </c>
      <c r="Q10" s="123" t="s">
        <v>137</v>
      </c>
      <c r="R10" s="123" t="s">
        <v>138</v>
      </c>
      <c r="S10" s="123" t="s">
        <v>139</v>
      </c>
      <c r="T10" s="123" t="s">
        <v>140</v>
      </c>
      <c r="U10" s="123" t="s">
        <v>141</v>
      </c>
      <c r="V10" s="123" t="s">
        <v>142</v>
      </c>
      <c r="W10" s="123" t="s">
        <v>143</v>
      </c>
      <c r="X10" s="123" t="s">
        <v>144</v>
      </c>
      <c r="Y10" s="123" t="s">
        <v>145</v>
      </c>
      <c r="Z10" s="123" t="s">
        <v>146</v>
      </c>
      <c r="AA10" s="123" t="s">
        <v>147</v>
      </c>
      <c r="AB10" s="123" t="s">
        <v>148</v>
      </c>
      <c r="AC10" s="123" t="s">
        <v>149</v>
      </c>
      <c r="AD10" s="123" t="s">
        <v>150</v>
      </c>
      <c r="AE10" s="123" t="s">
        <v>151</v>
      </c>
      <c r="AF10" s="123" t="s">
        <v>152</v>
      </c>
      <c r="AG10" s="123" t="s">
        <v>153</v>
      </c>
      <c r="AH10" s="123" t="s">
        <v>154</v>
      </c>
      <c r="AI10" s="123" t="s">
        <v>155</v>
      </c>
      <c r="AJ10" s="123" t="s">
        <v>156</v>
      </c>
      <c r="AK10" s="123" t="s">
        <v>157</v>
      </c>
      <c r="AL10" s="123" t="s">
        <v>158</v>
      </c>
      <c r="AM10" s="123" t="s">
        <v>159</v>
      </c>
      <c r="AN10" s="123" t="s">
        <v>160</v>
      </c>
      <c r="AO10" s="123" t="s">
        <v>161</v>
      </c>
      <c r="AP10" s="123" t="s">
        <v>162</v>
      </c>
      <c r="AQ10" s="123" t="s">
        <v>163</v>
      </c>
      <c r="AR10" s="123" t="s">
        <v>164</v>
      </c>
      <c r="AS10" s="123" t="s">
        <v>165</v>
      </c>
      <c r="AT10" s="123" t="s">
        <v>166</v>
      </c>
      <c r="AU10" s="123" t="s">
        <v>167</v>
      </c>
      <c r="AV10" s="123" t="s">
        <v>168</v>
      </c>
      <c r="AW10" s="123" t="s">
        <v>169</v>
      </c>
      <c r="AX10" s="123" t="s">
        <v>170</v>
      </c>
      <c r="AY10" s="123" t="s">
        <v>171</v>
      </c>
      <c r="AZ10" s="123" t="s">
        <v>172</v>
      </c>
      <c r="BA10" s="123" t="s">
        <v>173</v>
      </c>
      <c r="BB10" s="123" t="s">
        <v>174</v>
      </c>
      <c r="BC10" s="123" t="s">
        <v>175</v>
      </c>
      <c r="BD10" s="123" t="s">
        <v>176</v>
      </c>
      <c r="BE10" s="123" t="s">
        <v>177</v>
      </c>
      <c r="BF10" s="123" t="s">
        <v>178</v>
      </c>
      <c r="BG10" s="123" t="s">
        <v>179</v>
      </c>
      <c r="BH10" s="123" t="s">
        <v>180</v>
      </c>
      <c r="BI10" s="123" t="s">
        <v>181</v>
      </c>
      <c r="BJ10" s="123" t="s">
        <v>182</v>
      </c>
      <c r="BK10" s="123" t="s">
        <v>183</v>
      </c>
      <c r="BL10" s="123" t="s">
        <v>184</v>
      </c>
      <c r="BM10" s="123" t="s">
        <v>185</v>
      </c>
      <c r="BN10" s="123" t="s">
        <v>186</v>
      </c>
      <c r="BO10" s="123" t="s">
        <v>187</v>
      </c>
      <c r="BP10" s="123" t="s">
        <v>188</v>
      </c>
      <c r="BQ10" s="123" t="s">
        <v>189</v>
      </c>
      <c r="BR10" s="123" t="s">
        <v>190</v>
      </c>
      <c r="BS10" s="123" t="s">
        <v>191</v>
      </c>
      <c r="BT10" s="123" t="s">
        <v>192</v>
      </c>
      <c r="BU10" s="123" t="s">
        <v>193</v>
      </c>
      <c r="BV10" s="123" t="s">
        <v>194</v>
      </c>
      <c r="BW10" s="123" t="s">
        <v>195</v>
      </c>
      <c r="BX10" s="123" t="s">
        <v>196</v>
      </c>
      <c r="BY10" s="123" t="s">
        <v>197</v>
      </c>
      <c r="BZ10" s="123" t="s">
        <v>198</v>
      </c>
      <c r="CA10" s="123" t="s">
        <v>199</v>
      </c>
      <c r="CB10" s="123" t="s">
        <v>200</v>
      </c>
      <c r="CC10" s="123" t="s">
        <v>201</v>
      </c>
      <c r="CD10" s="123" t="s">
        <v>202</v>
      </c>
      <c r="CE10" s="123" t="s">
        <v>203</v>
      </c>
      <c r="CF10" s="123" t="s">
        <v>204</v>
      </c>
      <c r="CG10" s="123" t="s">
        <v>205</v>
      </c>
      <c r="CH10" s="123" t="s">
        <v>206</v>
      </c>
      <c r="CI10" s="123" t="s">
        <v>207</v>
      </c>
      <c r="CJ10" s="123" t="s">
        <v>208</v>
      </c>
      <c r="CK10" s="123" t="s">
        <v>209</v>
      </c>
      <c r="CL10" s="123" t="s">
        <v>210</v>
      </c>
      <c r="CM10" s="123" t="s">
        <v>211</v>
      </c>
      <c r="CN10" s="123" t="s">
        <v>212</v>
      </c>
      <c r="CO10" s="123" t="s">
        <v>213</v>
      </c>
      <c r="CP10" s="123" t="s">
        <v>214</v>
      </c>
      <c r="CQ10" s="123" t="s">
        <v>215</v>
      </c>
      <c r="CR10" s="123" t="s">
        <v>216</v>
      </c>
      <c r="CS10" s="123" t="s">
        <v>217</v>
      </c>
      <c r="CT10" s="123" t="s">
        <v>218</v>
      </c>
      <c r="CU10" s="123" t="s">
        <v>219</v>
      </c>
      <c r="CV10" s="123" t="s">
        <v>220</v>
      </c>
      <c r="CW10" s="123" t="s">
        <v>221</v>
      </c>
      <c r="CX10" s="123" t="s">
        <v>222</v>
      </c>
      <c r="CY10" s="123" t="s">
        <v>223</v>
      </c>
      <c r="CZ10" s="123" t="s">
        <v>224</v>
      </c>
      <c r="DA10" s="123" t="s">
        <v>225</v>
      </c>
      <c r="DC10">
        <v>6</v>
      </c>
      <c r="DD10" s="114">
        <v>51.559958722857083</v>
      </c>
      <c r="DE10" s="114">
        <v>18.087006709280683</v>
      </c>
      <c r="DF10" s="114">
        <v>7.07395231697339</v>
      </c>
      <c r="DG10" s="114">
        <v>51.523901936214038</v>
      </c>
      <c r="DH10" s="114">
        <v>11.077134181499529</v>
      </c>
      <c r="DI10" s="114">
        <v>6.5727030628600014</v>
      </c>
      <c r="DJ10" s="114">
        <v>7.0278633852937968</v>
      </c>
      <c r="DK10" s="114">
        <f t="shared" si="0"/>
        <v>49.390863762353185</v>
      </c>
      <c r="DL10" s="114">
        <f t="shared" si="1"/>
        <v>0.3728164422677851</v>
      </c>
      <c r="DM10" s="114">
        <f t="shared" si="2"/>
        <v>21.360808675026803</v>
      </c>
      <c r="DN10" s="115">
        <f t="shared" si="3"/>
        <v>1</v>
      </c>
      <c r="DO10">
        <v>3</v>
      </c>
      <c r="DQ10" t="s">
        <v>230</v>
      </c>
      <c r="DR10" s="117">
        <f t="shared" ref="DR10:EH10" si="14">DAVERAGE($DE$4:$DN$103,"dE",DR$4:DR$5)</f>
        <v>7.4669521830076127</v>
      </c>
      <c r="DS10" s="117">
        <f t="shared" si="14"/>
        <v>8.0329245365580384</v>
      </c>
      <c r="DT10" s="117">
        <f t="shared" si="14"/>
        <v>9.9291189269854776</v>
      </c>
      <c r="DU10" s="117">
        <f t="shared" si="14"/>
        <v>7.104815935205516</v>
      </c>
      <c r="DV10" s="117">
        <f t="shared" si="14"/>
        <v>4.4229621333792126</v>
      </c>
      <c r="DW10" s="117">
        <f t="shared" si="14"/>
        <v>3.6092744565277806</v>
      </c>
      <c r="DX10" s="117">
        <f t="shared" si="14"/>
        <v>6.8806833783005548</v>
      </c>
      <c r="DY10" s="117">
        <f t="shared" si="14"/>
        <v>5.8972924357193266</v>
      </c>
      <c r="DZ10" s="117">
        <f t="shared" si="14"/>
        <v>6.1179141823921626</v>
      </c>
      <c r="EA10" s="117">
        <f t="shared" si="14"/>
        <v>7.581335879289381</v>
      </c>
      <c r="EB10" s="117">
        <f t="shared" si="14"/>
        <v>7.2596426730125581</v>
      </c>
      <c r="EC10" s="117">
        <f t="shared" si="14"/>
        <v>5.779206699919988</v>
      </c>
      <c r="ED10" s="117">
        <f t="shared" si="14"/>
        <v>3.1019745419581417</v>
      </c>
      <c r="EE10" s="117">
        <f t="shared" si="14"/>
        <v>4.4346863058542993</v>
      </c>
      <c r="EF10" s="117">
        <f t="shared" si="14"/>
        <v>6.4371177234565709</v>
      </c>
      <c r="EG10" s="117">
        <f t="shared" si="14"/>
        <v>5.9841974804666878</v>
      </c>
      <c r="EH10" s="117">
        <f t="shared" si="14"/>
        <v>7.4669521830076127</v>
      </c>
    </row>
    <row r="11" spans="1:138">
      <c r="A11">
        <v>390</v>
      </c>
      <c r="B11" s="120">
        <f>'Color metric'!B5</f>
        <v>2.8731836195508585E-2</v>
      </c>
      <c r="C11" s="112">
        <f>Reference!N11</f>
        <v>0.62762777694334881</v>
      </c>
      <c r="D11" s="112"/>
      <c r="E11" s="124" t="s">
        <v>107</v>
      </c>
      <c r="F11" s="125">
        <f>100*SUMPRODUCT($B5:$B99,xyzs!$F2:$F96,'99set'!B$10:B$104)/SUMPRODUCT($B5:$B99,xyzs!$G2:$G96)</f>
        <v>115.01316616285051</v>
      </c>
      <c r="G11" s="125">
        <f>100*SUMPRODUCT($B5:$B99,xyzs!$F2:$F96,'99set'!C$10:C$104)/SUMPRODUCT($B5:$B99,xyzs!$G2:$G96)</f>
        <v>79.700117018239524</v>
      </c>
      <c r="H11" s="125">
        <f>100*SUMPRODUCT($B5:$B99,xyzs!$F2:$F96,'99set'!D$10:D$104)/SUMPRODUCT($B5:$B99,xyzs!$G2:$G96)</f>
        <v>38.825706808694882</v>
      </c>
      <c r="I11" s="125">
        <f>100*SUMPRODUCT($B5:$B99,xyzs!$F2:$F96,'99set'!E$10:E$104)/SUMPRODUCT($B5:$B99,xyzs!$G2:$G96)</f>
        <v>7.1129639093576129</v>
      </c>
      <c r="J11" s="125">
        <f>100*SUMPRODUCT($B5:$B99,xyzs!$F2:$F96,'99set'!F$10:F$104)/SUMPRODUCT($B5:$B99,xyzs!$G2:$G96)</f>
        <v>49.904392408069256</v>
      </c>
      <c r="K11" s="125">
        <f>100*SUMPRODUCT($B5:$B99,xyzs!$F2:$F96,'99set'!G$10:G$104)/SUMPRODUCT($B5:$B99,xyzs!$G2:$G96)</f>
        <v>22.326331001061558</v>
      </c>
      <c r="L11" s="125">
        <f>100*SUMPRODUCT($B5:$B99,xyzs!$F2:$F96,'99set'!H$10:H$104)/SUMPRODUCT($B5:$B99,xyzs!$G2:$G96)</f>
        <v>22.504946826671556</v>
      </c>
      <c r="M11" s="125">
        <f>100*SUMPRODUCT($B5:$B99,xyzs!$F2:$F96,'99set'!I$10:I$104)/SUMPRODUCT($B5:$B99,xyzs!$G2:$G96)</f>
        <v>15.115724916720412</v>
      </c>
      <c r="N11" s="125">
        <f>100*SUMPRODUCT($B5:$B99,xyzs!$F2:$F96,'99set'!J$10:J$104)/SUMPRODUCT($B5:$B99,xyzs!$G2:$G96)</f>
        <v>13.574124569564587</v>
      </c>
      <c r="O11" s="125">
        <f>100*SUMPRODUCT($B5:$B99,xyzs!$F2:$F96,'99set'!K$10:K$104)/SUMPRODUCT($B5:$B99,xyzs!$G2:$G96)</f>
        <v>5.7303378556421274</v>
      </c>
      <c r="P11" s="125">
        <f>100*SUMPRODUCT($B5:$B99,xyzs!$F2:$F96,'99set'!L$10:L$104)/SUMPRODUCT($B5:$B99,xyzs!$G2:$G96)</f>
        <v>65.043717014940256</v>
      </c>
      <c r="Q11" s="125">
        <f>100*SUMPRODUCT($B5:$B99,xyzs!$F2:$F96,'99set'!M$10:M$104)/SUMPRODUCT($B5:$B99,xyzs!$G2:$G96)</f>
        <v>35.699824129841325</v>
      </c>
      <c r="R11" s="125">
        <f>100*SUMPRODUCT($B5:$B99,xyzs!$F2:$F96,'99set'!N$10:N$104)/SUMPRODUCT($B5:$B99,xyzs!$G2:$G96)</f>
        <v>44.881063651453992</v>
      </c>
      <c r="S11" s="125">
        <f>100*SUMPRODUCT($B5:$B99,xyzs!$F2:$F96,'99set'!O$10:O$104)/SUMPRODUCT($B5:$B99,xyzs!$G2:$G96)</f>
        <v>15.38372994927488</v>
      </c>
      <c r="T11" s="125">
        <f>100*SUMPRODUCT($B5:$B99,xyzs!$F2:$F96,'99set'!P$10:P$104)/SUMPRODUCT($B5:$B99,xyzs!$G2:$G96)</f>
        <v>50.952206212108848</v>
      </c>
      <c r="U11" s="125">
        <f>100*SUMPRODUCT($B5:$B99,xyzs!$F2:$F96,'99set'!Q$10:Q$104)/SUMPRODUCT($B5:$B99,xyzs!$G2:$G96)</f>
        <v>47.098788802606514</v>
      </c>
      <c r="V11" s="125">
        <f>100*SUMPRODUCT($B5:$B99,xyzs!$F2:$F96,'99set'!R$10:R$104)/SUMPRODUCT($B5:$B99,xyzs!$G2:$G96)</f>
        <v>18.425318561822824</v>
      </c>
      <c r="W11" s="125">
        <f>100*SUMPRODUCT($B5:$B99,xyzs!$F2:$F96,'99set'!S$10:S$104)/SUMPRODUCT($B5:$B99,xyzs!$G2:$G96)</f>
        <v>21.646481228875309</v>
      </c>
      <c r="X11" s="125">
        <f>100*SUMPRODUCT($B5:$B99,xyzs!$F2:$F96,'99set'!T$10:T$104)/SUMPRODUCT($B5:$B99,xyzs!$G2:$G96)</f>
        <v>26.735160743908718</v>
      </c>
      <c r="Y11" s="125">
        <f>100*SUMPRODUCT($B5:$B99,xyzs!$F2:$F96,'99set'!U$10:U$104)/SUMPRODUCT($B5:$B99,xyzs!$G2:$G96)</f>
        <v>53.300850269143837</v>
      </c>
      <c r="Z11" s="125">
        <f>100*SUMPRODUCT($B5:$B99,xyzs!$F2:$F96,'99set'!V$10:V$104)/SUMPRODUCT($B5:$B99,xyzs!$G2:$G96)</f>
        <v>42.697095172273663</v>
      </c>
      <c r="AA11" s="125">
        <f>100*SUMPRODUCT($B5:$B99,xyzs!$F2:$F96,'99set'!W$10:W$104)/SUMPRODUCT($B5:$B99,xyzs!$G2:$G96)</f>
        <v>86.727714064556068</v>
      </c>
      <c r="AB11" s="125">
        <f>100*SUMPRODUCT($B5:$B99,xyzs!$F2:$F96,'99set'!X$10:X$104)/SUMPRODUCT($B5:$B99,xyzs!$G2:$G96)</f>
        <v>67.414620666038616</v>
      </c>
      <c r="AC11" s="125">
        <f>100*SUMPRODUCT($B5:$B99,xyzs!$F2:$F96,'99set'!Y$10:Y$104)/SUMPRODUCT($B5:$B99,xyzs!$G2:$G96)</f>
        <v>91.006679435271437</v>
      </c>
      <c r="AD11" s="125">
        <f>100*SUMPRODUCT($B5:$B99,xyzs!$F2:$F96,'99set'!Z$10:Z$104)/SUMPRODUCT($B5:$B99,xyzs!$G2:$G96)</f>
        <v>93.199520733258026</v>
      </c>
      <c r="AE11" s="125">
        <f>100*SUMPRODUCT($B5:$B99,xyzs!$F2:$F96,'99set'!AA$10:AA$104)/SUMPRODUCT($B5:$B99,xyzs!$G2:$G96)</f>
        <v>52.370370433862377</v>
      </c>
      <c r="AF11" s="125">
        <f>100*SUMPRODUCT($B5:$B99,xyzs!$F2:$F96,'99set'!AB$10:AB$104)/SUMPRODUCT($B5:$B99,xyzs!$G2:$G96)</f>
        <v>90.953784349703525</v>
      </c>
      <c r="AG11" s="125">
        <f>100*SUMPRODUCT($B5:$B99,xyzs!$F2:$F96,'99set'!AC$10:AC$104)/SUMPRODUCT($B5:$B99,xyzs!$G2:$G96)</f>
        <v>48.899264888174237</v>
      </c>
      <c r="AH11" s="125">
        <f>100*SUMPRODUCT($B5:$B99,xyzs!$F2:$F96,'99set'!AD$10:AD$104)/SUMPRODUCT($B5:$B99,xyzs!$G2:$G96)</f>
        <v>13.20895372521548</v>
      </c>
      <c r="AI11" s="125">
        <f>100*SUMPRODUCT($B5:$B99,xyzs!$F2:$F96,'99set'!AE$10:AE$104)/SUMPRODUCT($B5:$B99,xyzs!$G2:$G96)</f>
        <v>79.186779060815709</v>
      </c>
      <c r="AJ11" s="125">
        <f>100*SUMPRODUCT($B5:$B99,xyzs!$F2:$F96,'99set'!AF$10:AF$104)/SUMPRODUCT($B5:$B99,xyzs!$G2:$G96)</f>
        <v>34.932287642626612</v>
      </c>
      <c r="AK11" s="125">
        <f>100*SUMPRODUCT($B5:$B99,xyzs!$F2:$F96,'99set'!AG$10:AG$104)/SUMPRODUCT($B5:$B99,xyzs!$G2:$G96)</f>
        <v>82.853117501402139</v>
      </c>
      <c r="AL11" s="125">
        <f>100*SUMPRODUCT($B5:$B99,xyzs!$F2:$F96,'99set'!AH$10:AH$104)/SUMPRODUCT($B5:$B99,xyzs!$G2:$G96)</f>
        <v>53.385914776962757</v>
      </c>
      <c r="AM11" s="125">
        <f>100*SUMPRODUCT($B5:$B99,xyzs!$F2:$F96,'99set'!AI$10:AI$104)/SUMPRODUCT($B5:$B99,xyzs!$G2:$G96)</f>
        <v>83.884115541936154</v>
      </c>
      <c r="AN11" s="125">
        <f>100*SUMPRODUCT($B5:$B99,xyzs!$F2:$F96,'99set'!AJ$10:AJ$104)/SUMPRODUCT($B5:$B99,xyzs!$G2:$G96)</f>
        <v>33.067070279260228</v>
      </c>
      <c r="AO11" s="125">
        <f>100*SUMPRODUCT($B5:$B99,xyzs!$F2:$F96,'99set'!AK$10:AK$104)/SUMPRODUCT($B5:$B99,xyzs!$G2:$G96)</f>
        <v>13.357857100488083</v>
      </c>
      <c r="AP11" s="125">
        <f>100*SUMPRODUCT($B5:$B99,xyzs!$F2:$F96,'99set'!AL$10:AL$104)/SUMPRODUCT($B5:$B99,xyzs!$G2:$G96)</f>
        <v>61.241806524720204</v>
      </c>
      <c r="AQ11" s="125">
        <f>100*SUMPRODUCT($B5:$B99,xyzs!$F2:$F96,'99set'!AM$10:AM$104)/SUMPRODUCT($B5:$B99,xyzs!$G2:$G96)</f>
        <v>17.406472573027227</v>
      </c>
      <c r="AR11" s="125">
        <f>100*SUMPRODUCT($B5:$B99,xyzs!$F2:$F96,'99set'!AN$10:AN$104)/SUMPRODUCT($B5:$B99,xyzs!$G2:$G96)</f>
        <v>73.43378612171162</v>
      </c>
      <c r="AS11" s="125">
        <f>100*SUMPRODUCT($B5:$B99,xyzs!$F2:$F96,'99set'!AO$10:AO$104)/SUMPRODUCT($B5:$B99,xyzs!$G2:$G96)</f>
        <v>8.3827007689380117</v>
      </c>
      <c r="AT11" s="125">
        <f>100*SUMPRODUCT($B5:$B99,xyzs!$F2:$F96,'99set'!AP$10:AP$104)/SUMPRODUCT($B5:$B99,xyzs!$G2:$G96)</f>
        <v>17.564387592409389</v>
      </c>
      <c r="AU11" s="125">
        <f>100*SUMPRODUCT($B5:$B99,xyzs!$F2:$F96,'99set'!AQ$10:AQ$104)/SUMPRODUCT($B5:$B99,xyzs!$G2:$G96)</f>
        <v>76.981854853602457</v>
      </c>
      <c r="AV11" s="125">
        <f>100*SUMPRODUCT($B5:$B99,xyzs!$F2:$F96,'99set'!AR$10:AR$104)/SUMPRODUCT($B5:$B99,xyzs!$G2:$G96)</f>
        <v>36.682007182572207</v>
      </c>
      <c r="AW11" s="125">
        <f>100*SUMPRODUCT($B5:$B99,xyzs!$F2:$F96,'99set'!AS$10:AS$104)/SUMPRODUCT($B5:$B99,xyzs!$G2:$G96)</f>
        <v>42.26411074915017</v>
      </c>
      <c r="AX11" s="125">
        <f>100*SUMPRODUCT($B5:$B99,xyzs!$F2:$F96,'99set'!AT$10:AT$104)/SUMPRODUCT($B5:$B99,xyzs!$G2:$G96)</f>
        <v>5.6271596412119411</v>
      </c>
      <c r="AY11" s="125">
        <f>100*SUMPRODUCT($B5:$B99,xyzs!$F2:$F96,'99set'!AU$10:AU$104)/SUMPRODUCT($B5:$B99,xyzs!$G2:$G96)</f>
        <v>23.799556515266712</v>
      </c>
      <c r="AZ11" s="125">
        <f>100*SUMPRODUCT($B5:$B99,xyzs!$F2:$F96,'99set'!AV$10:AV$104)/SUMPRODUCT($B5:$B99,xyzs!$G2:$G96)</f>
        <v>34.799737771629324</v>
      </c>
      <c r="BA11" s="125">
        <f>100*SUMPRODUCT($B5:$B99,xyzs!$F2:$F96,'99set'!AW$10:AW$104)/SUMPRODUCT($B5:$B99,xyzs!$G2:$G96)</f>
        <v>38.53688152491992</v>
      </c>
      <c r="BB11" s="125">
        <f>100*SUMPRODUCT($B5:$B99,xyzs!$F2:$F96,'99set'!AX$10:AX$104)/SUMPRODUCT($B5:$B99,xyzs!$G2:$G96)</f>
        <v>50.798462356010781</v>
      </c>
      <c r="BC11" s="125">
        <f>100*SUMPRODUCT($B5:$B99,xyzs!$F2:$F96,'99set'!AY$10:AY$104)/SUMPRODUCT($B5:$B99,xyzs!$G2:$G96)</f>
        <v>13.403569461336637</v>
      </c>
      <c r="BD11" s="125">
        <f>100*SUMPRODUCT($B5:$B99,xyzs!$F2:$F96,'99set'!AZ$10:AZ$104)/SUMPRODUCT($B5:$B99,xyzs!$G2:$G96)</f>
        <v>19.169238530230093</v>
      </c>
      <c r="BE11" s="125">
        <f>100*SUMPRODUCT($B5:$B99,xyzs!$F2:$F96,'99set'!BA$10:BA$104)/SUMPRODUCT($B5:$B99,xyzs!$G2:$G96)</f>
        <v>23.016595078953799</v>
      </c>
      <c r="BF11" s="125">
        <f>100*SUMPRODUCT($B5:$B99,xyzs!$F2:$F96,'99set'!BB$10:BB$104)/SUMPRODUCT($B5:$B99,xyzs!$G2:$G96)</f>
        <v>9.0730563361822831</v>
      </c>
      <c r="BG11" s="125">
        <f>100*SUMPRODUCT($B5:$B99,xyzs!$F2:$F96,'99set'!BC$10:BC$104)/SUMPRODUCT($B5:$B99,xyzs!$G2:$G96)</f>
        <v>12.097478048022779</v>
      </c>
      <c r="BH11" s="125">
        <f>100*SUMPRODUCT($B5:$B99,xyzs!$F2:$F96,'99set'!BD$10:BD$104)/SUMPRODUCT($B5:$B99,xyzs!$G2:$G96)</f>
        <v>70.968436208684722</v>
      </c>
      <c r="BI11" s="125">
        <f>100*SUMPRODUCT($B5:$B99,xyzs!$F2:$F96,'99set'!BE$10:BE$104)/SUMPRODUCT($B5:$B99,xyzs!$G2:$G96)</f>
        <v>61.286229485474109</v>
      </c>
      <c r="BJ11" s="125">
        <f>100*SUMPRODUCT($B5:$B99,xyzs!$F2:$F96,'99set'!BF$10:BF$104)/SUMPRODUCT($B5:$B99,xyzs!$G2:$G96)</f>
        <v>33.647697902877496</v>
      </c>
      <c r="BK11" s="125">
        <f>100*SUMPRODUCT($B5:$B99,xyzs!$F2:$F96,'99set'!BG$10:BG$104)/SUMPRODUCT($B5:$B99,xyzs!$G2:$G96)</f>
        <v>17.973853621331379</v>
      </c>
      <c r="BL11" s="125">
        <f>100*SUMPRODUCT($B5:$B99,xyzs!$F2:$F96,'99set'!BH$10:BH$104)/SUMPRODUCT($B5:$B99,xyzs!$G2:$G96)</f>
        <v>14.989551957322043</v>
      </c>
      <c r="BM11" s="125">
        <f>100*SUMPRODUCT($B5:$B99,xyzs!$F2:$F96,'99set'!BI$10:BI$104)/SUMPRODUCT($B5:$B99,xyzs!$G2:$G96)</f>
        <v>69.587089508028825</v>
      </c>
      <c r="BN11" s="125">
        <f>100*SUMPRODUCT($B5:$B99,xyzs!$F2:$F96,'99set'!BJ$10:BJ$104)/SUMPRODUCT($B5:$B99,xyzs!$G2:$G96)</f>
        <v>76.666490628898259</v>
      </c>
      <c r="BO11" s="125">
        <f>100*SUMPRODUCT($B5:$B99,xyzs!$F2:$F96,'99set'!BK$10:BK$104)/SUMPRODUCT($B5:$B99,xyzs!$G2:$G96)</f>
        <v>48.876749009783033</v>
      </c>
      <c r="BP11" s="125">
        <f>100*SUMPRODUCT($B5:$B99,xyzs!$F2:$F96,'99set'!BL$10:BL$104)/SUMPRODUCT($B5:$B99,xyzs!$G2:$G96)</f>
        <v>36.039601420742862</v>
      </c>
      <c r="BQ11" s="125">
        <f>100*SUMPRODUCT($B5:$B99,xyzs!$F2:$F96,'99set'!BM$10:BM$104)/SUMPRODUCT($B5:$B99,xyzs!$G2:$G96)</f>
        <v>8.3879405994665674</v>
      </c>
      <c r="BR11" s="125">
        <f>100*SUMPRODUCT($B5:$B99,xyzs!$F2:$F96,'99set'!BN$10:BN$104)/SUMPRODUCT($B5:$B99,xyzs!$G2:$G96)</f>
        <v>18.721063879258178</v>
      </c>
      <c r="BS11" s="125">
        <f>100*SUMPRODUCT($B5:$B99,xyzs!$F2:$F96,'99set'!BO$10:BO$104)/SUMPRODUCT($B5:$B99,xyzs!$G2:$G96)</f>
        <v>10.191714087851414</v>
      </c>
      <c r="BT11" s="125">
        <f>100*SUMPRODUCT($B5:$B99,xyzs!$F2:$F96,'99set'!BP$10:BP$104)/SUMPRODUCT($B5:$B99,xyzs!$G2:$G96)</f>
        <v>9.4993695699779703</v>
      </c>
      <c r="BU11" s="125">
        <f>100*SUMPRODUCT($B5:$B99,xyzs!$F2:$F96,'99set'!BQ$10:BQ$104)/SUMPRODUCT($B5:$B99,xyzs!$G2:$G96)</f>
        <v>11.253233899308064</v>
      </c>
      <c r="BV11" s="125">
        <f>100*SUMPRODUCT($B5:$B99,xyzs!$F2:$F96,'99set'!BR$10:BR$104)/SUMPRODUCT($B5:$B99,xyzs!$G2:$G96)</f>
        <v>28.138577011984687</v>
      </c>
      <c r="BW11" s="125">
        <f>100*SUMPRODUCT($B5:$B99,xyzs!$F2:$F96,'99set'!BS$10:BS$104)/SUMPRODUCT($B5:$B99,xyzs!$G2:$G96)</f>
        <v>19.518554972396945</v>
      </c>
      <c r="BX11" s="125">
        <f>100*SUMPRODUCT($B5:$B99,xyzs!$F2:$F96,'99set'!BT$10:BT$104)/SUMPRODUCT($B5:$B99,xyzs!$G2:$G96)</f>
        <v>39.040194294090028</v>
      </c>
      <c r="BY11" s="125">
        <f>100*SUMPRODUCT($B5:$B99,xyzs!$F2:$F96,'99set'!BU$10:BU$104)/SUMPRODUCT($B5:$B99,xyzs!$G2:$G96)</f>
        <v>6.6370041541359281</v>
      </c>
      <c r="BZ11" s="125">
        <f>100*SUMPRODUCT($B5:$B99,xyzs!$F2:$F96,'99set'!BV$10:BV$104)/SUMPRODUCT($B5:$B99,xyzs!$G2:$G96)</f>
        <v>51.654333983753531</v>
      </c>
      <c r="CA11" s="125">
        <f>100*SUMPRODUCT($B5:$B99,xyzs!$F2:$F96,'99set'!BW$10:BW$104)/SUMPRODUCT($B5:$B99,xyzs!$G2:$G96)</f>
        <v>19.834653994108553</v>
      </c>
      <c r="CB11" s="125">
        <f>100*SUMPRODUCT($B5:$B99,xyzs!$F2:$F96,'99set'!BX$10:BX$104)/SUMPRODUCT($B5:$B99,xyzs!$G2:$G96)</f>
        <v>5.3456174803882677</v>
      </c>
      <c r="CC11" s="125">
        <f>100*SUMPRODUCT($B5:$B99,xyzs!$F2:$F96,'99set'!BY$10:BY$104)/SUMPRODUCT($B5:$B99,xyzs!$G2:$G96)</f>
        <v>6.3009283708237351</v>
      </c>
      <c r="CD11" s="125">
        <f>100*SUMPRODUCT($B5:$B99,xyzs!$F2:$F96,'99set'!BZ$10:BZ$104)/SUMPRODUCT($B5:$B99,xyzs!$G2:$G96)</f>
        <v>13.371840536624674</v>
      </c>
      <c r="CE11" s="125">
        <f>100*SUMPRODUCT($B5:$B99,xyzs!$F2:$F96,'99set'!CA$10:CA$104)/SUMPRODUCT($B5:$B99,xyzs!$G2:$G96)</f>
        <v>11.829188189593703</v>
      </c>
      <c r="CF11" s="125">
        <f>100*SUMPRODUCT($B5:$B99,xyzs!$F2:$F96,'99set'!CB$10:CB$104)/SUMPRODUCT($B5:$B99,xyzs!$G2:$G96)</f>
        <v>11.791984803568937</v>
      </c>
      <c r="CG11" s="125">
        <f>100*SUMPRODUCT($B5:$B99,xyzs!$F2:$F96,'99set'!CC$10:CC$104)/SUMPRODUCT($B5:$B99,xyzs!$G2:$G96)</f>
        <v>45.053930772297093</v>
      </c>
      <c r="CH11" s="125">
        <f>100*SUMPRODUCT($B5:$B99,xyzs!$F2:$F96,'99set'!CD$10:CD$104)/SUMPRODUCT($B5:$B99,xyzs!$G2:$G96)</f>
        <v>34.776726464095148</v>
      </c>
      <c r="CI11" s="125">
        <f>100*SUMPRODUCT($B5:$B99,xyzs!$F2:$F96,'99set'!CE$10:CE$104)/SUMPRODUCT($B5:$B99,xyzs!$G2:$G96)</f>
        <v>12.965588785478435</v>
      </c>
      <c r="CJ11" s="125">
        <f>100*SUMPRODUCT($B5:$B99,xyzs!$F2:$F96,'99set'!CF$10:CF$104)/SUMPRODUCT($B5:$B99,xyzs!$G2:$G96)</f>
        <v>76.423582314548881</v>
      </c>
      <c r="CK11" s="125">
        <f>100*SUMPRODUCT($B5:$B99,xyzs!$F2:$F96,'99set'!CG$10:CG$104)/SUMPRODUCT($B5:$B99,xyzs!$G2:$G96)</f>
        <v>47.546689201270233</v>
      </c>
      <c r="CL11" s="125">
        <f>100*SUMPRODUCT($B5:$B99,xyzs!$F2:$F96,'99set'!CH$10:CH$104)/SUMPRODUCT($B5:$B99,xyzs!$G2:$G96)</f>
        <v>5.2785135946067365</v>
      </c>
      <c r="CM11" s="125">
        <f>100*SUMPRODUCT($B5:$B99,xyzs!$F2:$F96,'99set'!CI$10:CI$104)/SUMPRODUCT($B5:$B99,xyzs!$G2:$G96)</f>
        <v>11.870530146943432</v>
      </c>
      <c r="CN11" s="125">
        <f>100*SUMPRODUCT($B5:$B99,xyzs!$F2:$F96,'99set'!CJ$10:CJ$104)/SUMPRODUCT($B5:$B99,xyzs!$G2:$G96)</f>
        <v>34.528631046229485</v>
      </c>
      <c r="CO11" s="125">
        <f>100*SUMPRODUCT($B5:$B99,xyzs!$F2:$F96,'99set'!CK$10:CK$104)/SUMPRODUCT($B5:$B99,xyzs!$G2:$G96)</f>
        <v>11.701457666573575</v>
      </c>
      <c r="CP11" s="125">
        <f>100*SUMPRODUCT($B5:$B99,xyzs!$F2:$F96,'99set'!CL$10:CL$104)/SUMPRODUCT($B5:$B99,xyzs!$G2:$G96)</f>
        <v>34.05942481709949</v>
      </c>
      <c r="CQ11" s="125">
        <f>100*SUMPRODUCT($B5:$B99,xyzs!$F2:$F96,'99set'!CM$10:CM$104)/SUMPRODUCT($B5:$B99,xyzs!$G2:$G96)</f>
        <v>11.379343567512255</v>
      </c>
      <c r="CR11" s="125">
        <f>100*SUMPRODUCT($B5:$B99,xyzs!$F2:$F96,'99set'!CN$10:CN$104)/SUMPRODUCT($B5:$B99,xyzs!$G2:$G96)</f>
        <v>16.132612231229924</v>
      </c>
      <c r="CS11" s="125">
        <f>100*SUMPRODUCT($B5:$B99,xyzs!$F2:$F96,'99set'!CO$10:CO$104)/SUMPRODUCT($B5:$B99,xyzs!$G2:$G96)</f>
        <v>61.077435057253844</v>
      </c>
      <c r="CT11" s="125">
        <f>100*SUMPRODUCT($B5:$B99,xyzs!$F2:$F96,'99set'!CP$10:CP$104)/SUMPRODUCT($B5:$B99,xyzs!$G2:$G96)</f>
        <v>24.393758936984675</v>
      </c>
      <c r="CU11" s="125">
        <f>100*SUMPRODUCT($B5:$B99,xyzs!$F2:$F96,'99set'!CQ$10:CQ$104)/SUMPRODUCT($B5:$B99,xyzs!$G2:$G96)</f>
        <v>39.306302840985339</v>
      </c>
      <c r="CV11" s="125">
        <f>100*SUMPRODUCT($B5:$B99,xyzs!$F2:$F96,'99set'!CR$10:CR$104)/SUMPRODUCT($B5:$B99,xyzs!$G2:$G96)</f>
        <v>11.626039771023324</v>
      </c>
      <c r="CW11" s="125">
        <f>100*SUMPRODUCT($B5:$B99,xyzs!$F2:$F96,'99set'!CS$10:CS$104)/SUMPRODUCT($B5:$B99,xyzs!$G2:$G96)</f>
        <v>44.245074933830246</v>
      </c>
      <c r="CX11" s="125">
        <f>100*SUMPRODUCT($B5:$B99,xyzs!$F2:$F96,'99set'!CT$10:CT$104)/SUMPRODUCT($B5:$B99,xyzs!$G2:$G96)</f>
        <v>60.394128783383742</v>
      </c>
      <c r="CY11" s="125">
        <f>100*SUMPRODUCT($B5:$B99,xyzs!$F2:$F96,'99set'!CU$10:CU$104)/SUMPRODUCT($B5:$B99,xyzs!$G2:$G96)</f>
        <v>27.013345471356196</v>
      </c>
      <c r="CZ11" s="125">
        <f>100*SUMPRODUCT($B5:$B99,xyzs!$F2:$F96,'99set'!CV$10:CV$104)/SUMPRODUCT($B5:$B99,xyzs!$G2:$G96)</f>
        <v>43.557688633149404</v>
      </c>
      <c r="DA11" s="125">
        <f>100*SUMPRODUCT($B5:$B99,xyzs!$F2:$F96,'99set'!CW$10:CW$104)/SUMPRODUCT($B5:$B99,xyzs!$G2:$G96)</f>
        <v>25.038611764892376</v>
      </c>
      <c r="DC11">
        <v>7</v>
      </c>
      <c r="DD11" s="114">
        <v>44.034205146059193</v>
      </c>
      <c r="DE11" s="114">
        <v>32.229906787768876</v>
      </c>
      <c r="DF11" s="114">
        <v>10.983502196816929</v>
      </c>
      <c r="DG11" s="114">
        <v>39.656082001857229</v>
      </c>
      <c r="DH11" s="114">
        <v>23.403117199592884</v>
      </c>
      <c r="DI11" s="114">
        <v>8.381723781042691</v>
      </c>
      <c r="DJ11" s="114">
        <v>10.190653935077851</v>
      </c>
      <c r="DK11" s="114">
        <f t="shared" si="0"/>
        <v>103.84942762451769</v>
      </c>
      <c r="DL11" s="114">
        <f t="shared" si="1"/>
        <v>0.32844292439807787</v>
      </c>
      <c r="DM11" s="114">
        <f t="shared" si="2"/>
        <v>18.818393378944236</v>
      </c>
      <c r="DN11" s="115">
        <f t="shared" si="3"/>
        <v>1</v>
      </c>
      <c r="DO11">
        <v>5</v>
      </c>
      <c r="DQ11" t="s">
        <v>232</v>
      </c>
      <c r="DR11" s="117">
        <f t="shared" ref="DR11:EH11" si="15">DAVERAGE($DE$4:$DN$103,"theta",DR$4:DR$5)</f>
        <v>0.20694612678321062</v>
      </c>
      <c r="DS11" s="117">
        <f t="shared" si="15"/>
        <v>0.65309316055816891</v>
      </c>
      <c r="DT11" s="117">
        <f t="shared" si="15"/>
        <v>0.97890565941793428</v>
      </c>
      <c r="DU11" s="117">
        <f t="shared" si="15"/>
        <v>1.4502655513630496</v>
      </c>
      <c r="DV11" s="117">
        <f t="shared" si="15"/>
        <v>1.7849808298302927</v>
      </c>
      <c r="DW11" s="117">
        <f t="shared" si="15"/>
        <v>2.2122667381300776</v>
      </c>
      <c r="DX11" s="117">
        <f t="shared" si="15"/>
        <v>2.5312926596060459</v>
      </c>
      <c r="DY11" s="117">
        <f t="shared" si="15"/>
        <v>2.8615150750323628</v>
      </c>
      <c r="DZ11" s="117">
        <f t="shared" si="15"/>
        <v>3.3186375895243407</v>
      </c>
      <c r="EA11" s="117">
        <f t="shared" si="15"/>
        <v>3.7160887113471395</v>
      </c>
      <c r="EB11" s="117">
        <f t="shared" si="15"/>
        <v>4.1167262401743914</v>
      </c>
      <c r="EC11" s="117">
        <f t="shared" si="15"/>
        <v>4.4389491701025205</v>
      </c>
      <c r="ED11" s="117">
        <f t="shared" si="15"/>
        <v>4.8922030373143759</v>
      </c>
      <c r="EE11" s="117">
        <f t="shared" si="15"/>
        <v>5.3104764050456854</v>
      </c>
      <c r="EF11" s="117">
        <f t="shared" si="15"/>
        <v>5.6651698179574161</v>
      </c>
      <c r="EG11" s="117">
        <f t="shared" si="15"/>
        <v>6.0166202566863012</v>
      </c>
      <c r="EH11" s="117">
        <f t="shared" si="15"/>
        <v>0.20694612678321062</v>
      </c>
    </row>
    <row r="12" spans="1:138">
      <c r="A12">
        <v>395</v>
      </c>
      <c r="B12" s="120">
        <f>'Color metric'!B6</f>
        <v>3.2364597093791282E-2</v>
      </c>
      <c r="C12" s="112">
        <f>Reference!N12</f>
        <v>0.69035395274121736</v>
      </c>
      <c r="D12" s="112"/>
      <c r="E12" s="124" t="s">
        <v>108</v>
      </c>
      <c r="F12" s="125">
        <f>100*SUMPRODUCT($B5:$B99,xyzs!$G2:$G96,'99set'!B$10:B$104)/SUMPRODUCT($B5:$B99,xyzs!$G2:$G96)</f>
        <v>100</v>
      </c>
      <c r="G12" s="125">
        <f>100*SUMPRODUCT($B5:$B99,xyzs!$G2:$G96,'99set'!C$10:C$104)/SUMPRODUCT($B5:$B99,xyzs!$G2:$G96)</f>
        <v>63.561172251121938</v>
      </c>
      <c r="H12" s="125">
        <f>100*SUMPRODUCT($B5:$B99,xyzs!$G2:$G96,'99set'!D$10:D$104)/SUMPRODUCT($B5:$B99,xyzs!$G2:$G96)</f>
        <v>26.430772092998893</v>
      </c>
      <c r="I12" s="125">
        <f>100*SUMPRODUCT($B5:$B99,xyzs!$G2:$G96,'99set'!E$10:E$104)/SUMPRODUCT($B5:$B99,xyzs!$G2:$G96)</f>
        <v>5.4304810851266909</v>
      </c>
      <c r="J12" s="125">
        <f>100*SUMPRODUCT($B5:$B99,xyzs!$G2:$G96,'99set'!F$10:F$104)/SUMPRODUCT($B5:$B99,xyzs!$G2:$G96)</f>
        <v>38.645260522950231</v>
      </c>
      <c r="K12" s="125">
        <f>100*SUMPRODUCT($B5:$B99,xyzs!$G2:$G96,'99set'!G$10:G$104)/SUMPRODUCT($B5:$B99,xyzs!$G2:$G96)</f>
        <v>14.680492826022517</v>
      </c>
      <c r="L12" s="125">
        <f>100*SUMPRODUCT($B5:$B99,xyzs!$G2:$G96,'99set'!H$10:H$104)/SUMPRODUCT($B5:$B99,xyzs!$G2:$G96)</f>
        <v>17.343498353858813</v>
      </c>
      <c r="M12" s="125">
        <f>100*SUMPRODUCT($B5:$B99,xyzs!$G2:$G96,'99set'!I$10:I$104)/SUMPRODUCT($B5:$B99,xyzs!$G2:$G96)</f>
        <v>9.5713785999783259</v>
      </c>
      <c r="N12" s="125">
        <f>100*SUMPRODUCT($B5:$B99,xyzs!$G2:$G96,'99set'!J$10:J$104)/SUMPRODUCT($B5:$B99,xyzs!$G2:$G96)</f>
        <v>8.9812213597707764</v>
      </c>
      <c r="O12" s="125">
        <f>100*SUMPRODUCT($B5:$B99,xyzs!$G2:$G96,'99set'!K$10:K$104)/SUMPRODUCT($B5:$B99,xyzs!$G2:$G96)</f>
        <v>4.7795296795527058</v>
      </c>
      <c r="P12" s="125">
        <f>100*SUMPRODUCT($B5:$B99,xyzs!$G2:$G96,'99set'!L$10:L$104)/SUMPRODUCT($B5:$B99,xyzs!$G2:$G96)</f>
        <v>45.682720524932591</v>
      </c>
      <c r="Q12" s="125">
        <f>100*SUMPRODUCT($B5:$B99,xyzs!$G2:$G96,'99set'!M$10:M$104)/SUMPRODUCT($B5:$B99,xyzs!$G2:$G96)</f>
        <v>24.880172150422084</v>
      </c>
      <c r="R12" s="125">
        <f>100*SUMPRODUCT($B5:$B99,xyzs!$G2:$G96,'99set'!N$10:N$104)/SUMPRODUCT($B5:$B99,xyzs!$G2:$G96)</f>
        <v>30.913300751234285</v>
      </c>
      <c r="S12" s="125">
        <f>100*SUMPRODUCT($B5:$B99,xyzs!$G2:$G96,'99set'!O$10:O$104)/SUMPRODUCT($B5:$B99,xyzs!$G2:$G96)</f>
        <v>11.091611011629345</v>
      </c>
      <c r="T12" s="125">
        <f>100*SUMPRODUCT($B5:$B99,xyzs!$G2:$G96,'99set'!P$10:P$104)/SUMPRODUCT($B5:$B99,xyzs!$G2:$G96)</f>
        <v>42.880440204502172</v>
      </c>
      <c r="U12" s="125">
        <f>100*SUMPRODUCT($B5:$B99,xyzs!$G2:$G96,'99set'!Q$10:Q$104)/SUMPRODUCT($B5:$B99,xyzs!$G2:$G96)</f>
        <v>37.811331373574788</v>
      </c>
      <c r="V12" s="125">
        <f>100*SUMPRODUCT($B5:$B99,xyzs!$G2:$G96,'99set'!R$10:R$104)/SUMPRODUCT($B5:$B99,xyzs!$G2:$G96)</f>
        <v>14.111220567019101</v>
      </c>
      <c r="W12" s="125">
        <f>100*SUMPRODUCT($B5:$B99,xyzs!$G2:$G96,'99set'!S$10:S$104)/SUMPRODUCT($B5:$B99,xyzs!$G2:$G96)</f>
        <v>17.046666292355393</v>
      </c>
      <c r="X12" s="125">
        <f>100*SUMPRODUCT($B5:$B99,xyzs!$G2:$G96,'99set'!T$10:T$104)/SUMPRODUCT($B5:$B99,xyzs!$G2:$G96)</f>
        <v>21.424587826013223</v>
      </c>
      <c r="Y12" s="125">
        <f>100*SUMPRODUCT($B5:$B99,xyzs!$G2:$G96,'99set'!U$10:U$104)/SUMPRODUCT($B5:$B99,xyzs!$G2:$G96)</f>
        <v>42.595374323187748</v>
      </c>
      <c r="Z12" s="125">
        <f>100*SUMPRODUCT($B5:$B99,xyzs!$G2:$G96,'99set'!V$10:V$104)/SUMPRODUCT($B5:$B99,xyzs!$G2:$G96)</f>
        <v>31.417807733285709</v>
      </c>
      <c r="AA12" s="125">
        <f>100*SUMPRODUCT($B5:$B99,xyzs!$G2:$G96,'99set'!W$10:W$104)/SUMPRODUCT($B5:$B99,xyzs!$G2:$G96)</f>
        <v>70.278363736602373</v>
      </c>
      <c r="AB12" s="125">
        <f>100*SUMPRODUCT($B5:$B99,xyzs!$G2:$G96,'99set'!X$10:X$104)/SUMPRODUCT($B5:$B99,xyzs!$G2:$G96)</f>
        <v>53.327876591422473</v>
      </c>
      <c r="AC12" s="125">
        <f>100*SUMPRODUCT($B5:$B99,xyzs!$G2:$G96,'99set'!Y$10:Y$104)/SUMPRODUCT($B5:$B99,xyzs!$G2:$G96)</f>
        <v>78.620687113653318</v>
      </c>
      <c r="AD12" s="125">
        <f>100*SUMPRODUCT($B5:$B99,xyzs!$G2:$G96,'99set'!Z$10:Z$104)/SUMPRODUCT($B5:$B99,xyzs!$G2:$G96)</f>
        <v>79.562578897408528</v>
      </c>
      <c r="AE12" s="125">
        <f>100*SUMPRODUCT($B5:$B99,xyzs!$G2:$G96,'99set'!AA$10:AA$104)/SUMPRODUCT($B5:$B99,xyzs!$G2:$G96)</f>
        <v>43.733090157059749</v>
      </c>
      <c r="AF12" s="125">
        <f>100*SUMPRODUCT($B5:$B99,xyzs!$G2:$G96,'99set'!AB$10:AB$104)/SUMPRODUCT($B5:$B99,xyzs!$G2:$G96)</f>
        <v>76.953129271411029</v>
      </c>
      <c r="AG12" s="125">
        <f>100*SUMPRODUCT($B5:$B99,xyzs!$G2:$G96,'99set'!AC$10:AC$104)/SUMPRODUCT($B5:$B99,xyzs!$G2:$G96)</f>
        <v>42.6922382023414</v>
      </c>
      <c r="AH12" s="125">
        <f>100*SUMPRODUCT($B5:$B99,xyzs!$G2:$G96,'99set'!AD$10:AD$104)/SUMPRODUCT($B5:$B99,xyzs!$G2:$G96)</f>
        <v>11.616477213969425</v>
      </c>
      <c r="AI12" s="125">
        <f>100*SUMPRODUCT($B5:$B99,xyzs!$G2:$G96,'99set'!AE$10:AE$104)/SUMPRODUCT($B5:$B99,xyzs!$G2:$G96)</f>
        <v>68.93249012405721</v>
      </c>
      <c r="AJ12" s="125">
        <f>100*SUMPRODUCT($B5:$B99,xyzs!$G2:$G96,'99set'!AF$10:AF$104)/SUMPRODUCT($B5:$B99,xyzs!$G2:$G96)</f>
        <v>30.358820129074712</v>
      </c>
      <c r="AK12" s="125">
        <f>100*SUMPRODUCT($B5:$B99,xyzs!$G2:$G96,'99set'!AG$10:AG$104)/SUMPRODUCT($B5:$B99,xyzs!$G2:$G96)</f>
        <v>72.557228987398773</v>
      </c>
      <c r="AL12" s="125">
        <f>100*SUMPRODUCT($B5:$B99,xyzs!$G2:$G96,'99set'!AH$10:AH$104)/SUMPRODUCT($B5:$B99,xyzs!$G2:$G96)</f>
        <v>47.533872562554556</v>
      </c>
      <c r="AM12" s="125">
        <f>100*SUMPRODUCT($B5:$B99,xyzs!$G2:$G96,'99set'!AI$10:AI$104)/SUMPRODUCT($B5:$B99,xyzs!$G2:$G96)</f>
        <v>73.82022508081036</v>
      </c>
      <c r="AN12" s="125">
        <f>100*SUMPRODUCT($B5:$B99,xyzs!$G2:$G96,'99set'!AJ$10:AJ$104)/SUMPRODUCT($B5:$B99,xyzs!$G2:$G96)</f>
        <v>29.862103807581128</v>
      </c>
      <c r="AO12" s="125">
        <f>100*SUMPRODUCT($B5:$B99,xyzs!$G2:$G96,'99set'!AK$10:AK$104)/SUMPRODUCT($B5:$B99,xyzs!$G2:$G96)</f>
        <v>12.105004182250113</v>
      </c>
      <c r="AP12" s="125">
        <f>100*SUMPRODUCT($B5:$B99,xyzs!$G2:$G96,'99set'!AL$10:AL$104)/SUMPRODUCT($B5:$B99,xyzs!$G2:$G96)</f>
        <v>53.626041405377613</v>
      </c>
      <c r="AQ12" s="125">
        <f>100*SUMPRODUCT($B5:$B99,xyzs!$G2:$G96,'99set'!AM$10:AM$104)/SUMPRODUCT($B5:$B99,xyzs!$G2:$G96)</f>
        <v>16.311868104199192</v>
      </c>
      <c r="AR12" s="125">
        <f>100*SUMPRODUCT($B5:$B99,xyzs!$G2:$G96,'99set'!AN$10:AN$104)/SUMPRODUCT($B5:$B99,xyzs!$G2:$G96)</f>
        <v>65.600408921090505</v>
      </c>
      <c r="AS12" s="125">
        <f>100*SUMPRODUCT($B5:$B99,xyzs!$G2:$G96,'99set'!AO$10:AO$104)/SUMPRODUCT($B5:$B99,xyzs!$G2:$G96)</f>
        <v>7.3980862101131537</v>
      </c>
      <c r="AT12" s="125">
        <f>100*SUMPRODUCT($B5:$B99,xyzs!$G2:$G96,'99set'!AP$10:AP$104)/SUMPRODUCT($B5:$B99,xyzs!$G2:$G96)</f>
        <v>15.700578090324058</v>
      </c>
      <c r="AU12" s="125">
        <f>100*SUMPRODUCT($B5:$B99,xyzs!$G2:$G96,'99set'!AQ$10:AQ$104)/SUMPRODUCT($B5:$B99,xyzs!$G2:$G96)</f>
        <v>68.427489541304311</v>
      </c>
      <c r="AV12" s="125">
        <f>100*SUMPRODUCT($B5:$B99,xyzs!$G2:$G96,'99set'!AR$10:AR$104)/SUMPRODUCT($B5:$B99,xyzs!$G2:$G96)</f>
        <v>36.875674705323824</v>
      </c>
      <c r="AW12" s="125">
        <f>100*SUMPRODUCT($B5:$B99,xyzs!$G2:$G96,'99set'!AS$10:AS$104)/SUMPRODUCT($B5:$B99,xyzs!$G2:$G96)</f>
        <v>41.879399504290681</v>
      </c>
      <c r="AX12" s="125">
        <f>100*SUMPRODUCT($B5:$B99,xyzs!$G2:$G96,'99set'!AT$10:AT$104)/SUMPRODUCT($B5:$B99,xyzs!$G2:$G96)</f>
        <v>4.93103386362601</v>
      </c>
      <c r="AY12" s="125">
        <f>100*SUMPRODUCT($B5:$B99,xyzs!$G2:$G96,'99set'!AU$10:AU$104)/SUMPRODUCT($B5:$B99,xyzs!$G2:$G96)</f>
        <v>24.231275553404142</v>
      </c>
      <c r="AZ12" s="125">
        <f>100*SUMPRODUCT($B5:$B99,xyzs!$G2:$G96,'99set'!AV$10:AV$104)/SUMPRODUCT($B5:$B99,xyzs!$G2:$G96)</f>
        <v>33.500395764225232</v>
      </c>
      <c r="BA12" s="125">
        <f>100*SUMPRODUCT($B5:$B99,xyzs!$G2:$G96,'99set'!AW$10:AW$104)/SUMPRODUCT($B5:$B99,xyzs!$G2:$G96)</f>
        <v>35.815469631804199</v>
      </c>
      <c r="BB12" s="125">
        <f>100*SUMPRODUCT($B5:$B99,xyzs!$G2:$G96,'99set'!AX$10:AX$104)/SUMPRODUCT($B5:$B99,xyzs!$G2:$G96)</f>
        <v>50.279555967746269</v>
      </c>
      <c r="BC12" s="125">
        <f>100*SUMPRODUCT($B5:$B99,xyzs!$G2:$G96,'99set'!AY$10:AY$104)/SUMPRODUCT($B5:$B99,xyzs!$G2:$G96)</f>
        <v>13.656794382030423</v>
      </c>
      <c r="BD12" s="125">
        <f>100*SUMPRODUCT($B5:$B99,xyzs!$G2:$G96,'99set'!AZ$10:AZ$104)/SUMPRODUCT($B5:$B99,xyzs!$G2:$G96)</f>
        <v>19.064812826893188</v>
      </c>
      <c r="BE12" s="125">
        <f>100*SUMPRODUCT($B5:$B99,xyzs!$G2:$G96,'99set'!BA$10:BA$104)/SUMPRODUCT($B5:$B99,xyzs!$G2:$G96)</f>
        <v>22.102192788374321</v>
      </c>
      <c r="BF12" s="125">
        <f>100*SUMPRODUCT($B5:$B99,xyzs!$G2:$G96,'99set'!BB$10:BB$104)/SUMPRODUCT($B5:$B99,xyzs!$G2:$G96)</f>
        <v>9.5970020760941139</v>
      </c>
      <c r="BG12" s="125">
        <f>100*SUMPRODUCT($B5:$B99,xyzs!$G2:$G96,'99set'!BC$10:BC$104)/SUMPRODUCT($B5:$B99,xyzs!$G2:$G96)</f>
        <v>14.467154258583578</v>
      </c>
      <c r="BH12" s="125">
        <f>100*SUMPRODUCT($B5:$B99,xyzs!$G2:$G96,'99set'!BD$10:BD$104)/SUMPRODUCT($B5:$B99,xyzs!$G2:$G96)</f>
        <v>66.300317423088131</v>
      </c>
      <c r="BI12" s="125">
        <f>100*SUMPRODUCT($B5:$B99,xyzs!$G2:$G96,'99set'!BE$10:BE$104)/SUMPRODUCT($B5:$B99,xyzs!$G2:$G96)</f>
        <v>57.860535650817837</v>
      </c>
      <c r="BJ12" s="125">
        <f>100*SUMPRODUCT($B5:$B99,xyzs!$G2:$G96,'99set'!BF$10:BF$104)/SUMPRODUCT($B5:$B99,xyzs!$G2:$G96)</f>
        <v>36.206812687199026</v>
      </c>
      <c r="BK12" s="125">
        <f>100*SUMPRODUCT($B5:$B99,xyzs!$G2:$G96,'99set'!BG$10:BG$104)/SUMPRODUCT($B5:$B99,xyzs!$G2:$G96)</f>
        <v>20.8357184059522</v>
      </c>
      <c r="BL12" s="125">
        <f>100*SUMPRODUCT($B5:$B99,xyzs!$G2:$G96,'99set'!BH$10:BH$104)/SUMPRODUCT($B5:$B99,xyzs!$G2:$G96)</f>
        <v>17.657069587574302</v>
      </c>
      <c r="BM12" s="125">
        <f>100*SUMPRODUCT($B5:$B99,xyzs!$G2:$G96,'99set'!BI$10:BI$104)/SUMPRODUCT($B5:$B99,xyzs!$G2:$G96)</f>
        <v>64.349231413332205</v>
      </c>
      <c r="BN12" s="125">
        <f>100*SUMPRODUCT($B5:$B99,xyzs!$G2:$G96,'99set'!BJ$10:BJ$104)/SUMPRODUCT($B5:$B99,xyzs!$G2:$G96)</f>
        <v>67.939144219950393</v>
      </c>
      <c r="BO12" s="125">
        <f>100*SUMPRODUCT($B5:$B99,xyzs!$G2:$G96,'99set'!BK$10:BK$104)/SUMPRODUCT($B5:$B99,xyzs!$G2:$G96)</f>
        <v>44.938197359400952</v>
      </c>
      <c r="BP12" s="125">
        <f>100*SUMPRODUCT($B5:$B99,xyzs!$G2:$G96,'99set'!BL$10:BL$104)/SUMPRODUCT($B5:$B99,xyzs!$G2:$G96)</f>
        <v>32.050728197028221</v>
      </c>
      <c r="BQ12" s="125">
        <f>100*SUMPRODUCT($B5:$B99,xyzs!$G2:$G96,'99set'!BM$10:BM$104)/SUMPRODUCT($B5:$B99,xyzs!$G2:$G96)</f>
        <v>7.1536581885080199</v>
      </c>
      <c r="BR12" s="125">
        <f>100*SUMPRODUCT($B5:$B99,xyzs!$G2:$G96,'99set'!BN$10:BN$104)/SUMPRODUCT($B5:$B99,xyzs!$G2:$G96)</f>
        <v>20.332342073791953</v>
      </c>
      <c r="BS12" s="125">
        <f>100*SUMPRODUCT($B5:$B99,xyzs!$G2:$G96,'99set'!BO$10:BO$104)/SUMPRODUCT($B5:$B99,xyzs!$G2:$G96)</f>
        <v>9.839012736602184</v>
      </c>
      <c r="BT12" s="125">
        <f>100*SUMPRODUCT($B5:$B99,xyzs!$G2:$G96,'99set'!BP$10:BP$104)/SUMPRODUCT($B5:$B99,xyzs!$G2:$G96)</f>
        <v>10.149100576050152</v>
      </c>
      <c r="BU12" s="125">
        <f>100*SUMPRODUCT($B5:$B99,xyzs!$G2:$G96,'99set'!BQ$10:BQ$104)/SUMPRODUCT($B5:$B99,xyzs!$G2:$G96)</f>
        <v>11.929444670941162</v>
      </c>
      <c r="BV12" s="125">
        <f>100*SUMPRODUCT($B5:$B99,xyzs!$G2:$G96,'99set'!BR$10:BR$104)/SUMPRODUCT($B5:$B99,xyzs!$G2:$G96)</f>
        <v>26.290242831511137</v>
      </c>
      <c r="BW12" s="125">
        <f>100*SUMPRODUCT($B5:$B99,xyzs!$G2:$G96,'99set'!BS$10:BS$104)/SUMPRODUCT($B5:$B99,xyzs!$G2:$G96)</f>
        <v>17.149603741210726</v>
      </c>
      <c r="BX12" s="125">
        <f>100*SUMPRODUCT($B5:$B99,xyzs!$G2:$G96,'99set'!BT$10:BT$104)/SUMPRODUCT($B5:$B99,xyzs!$G2:$G96)</f>
        <v>36.197305961288244</v>
      </c>
      <c r="BY12" s="125">
        <f>100*SUMPRODUCT($B5:$B99,xyzs!$G2:$G96,'99set'!BU$10:BU$104)/SUMPRODUCT($B5:$B99,xyzs!$G2:$G96)</f>
        <v>6.1411134178368147</v>
      </c>
      <c r="BZ12" s="125">
        <f>100*SUMPRODUCT($B5:$B99,xyzs!$G2:$G96,'99set'!BV$10:BV$104)/SUMPRODUCT($B5:$B99,xyzs!$G2:$G96)</f>
        <v>45.55714994862381</v>
      </c>
      <c r="CA12" s="125">
        <f>100*SUMPRODUCT($B5:$B99,xyzs!$G2:$G96,'99set'!BW$10:BW$104)/SUMPRODUCT($B5:$B99,xyzs!$G2:$G96)</f>
        <v>18.996464201330795</v>
      </c>
      <c r="CB12" s="125">
        <f>100*SUMPRODUCT($B5:$B99,xyzs!$G2:$G96,'99set'!BX$10:BX$104)/SUMPRODUCT($B5:$B99,xyzs!$G2:$G96)</f>
        <v>4.6937315284062233</v>
      </c>
      <c r="CC12" s="125">
        <f>100*SUMPRODUCT($B5:$B99,xyzs!$G2:$G96,'99set'!BY$10:BY$104)/SUMPRODUCT($B5:$B99,xyzs!$G2:$G96)</f>
        <v>5.6402099179811058</v>
      </c>
      <c r="CD12" s="125">
        <f>100*SUMPRODUCT($B5:$B99,xyzs!$G2:$G96,'99set'!BZ$10:BZ$104)/SUMPRODUCT($B5:$B99,xyzs!$G2:$G96)</f>
        <v>11.334263322465214</v>
      </c>
      <c r="CE12" s="125">
        <f>100*SUMPRODUCT($B5:$B99,xyzs!$G2:$G96,'99set'!CA$10:CA$104)/SUMPRODUCT($B5:$B99,xyzs!$G2:$G96)</f>
        <v>10.525510956489772</v>
      </c>
      <c r="CF12" s="125">
        <f>100*SUMPRODUCT($B5:$B99,xyzs!$G2:$G96,'99set'!CB$10:CB$104)/SUMPRODUCT($B5:$B99,xyzs!$G2:$G96)</f>
        <v>9.9734469384018638</v>
      </c>
      <c r="CG12" s="125">
        <f>100*SUMPRODUCT($B5:$B99,xyzs!$G2:$G96,'99set'!CC$10:CC$104)/SUMPRODUCT($B5:$B99,xyzs!$G2:$G96)</f>
        <v>39.033532664422033</v>
      </c>
      <c r="CH12" s="125">
        <f>100*SUMPRODUCT($B5:$B99,xyzs!$G2:$G96,'99set'!CD$10:CD$104)/SUMPRODUCT($B5:$B99,xyzs!$G2:$G96)</f>
        <v>29.003633648641145</v>
      </c>
      <c r="CI12" s="125">
        <f>100*SUMPRODUCT($B5:$B99,xyzs!$G2:$G96,'99set'!CE$10:CE$104)/SUMPRODUCT($B5:$B99,xyzs!$G2:$G96)</f>
        <v>10.017773509495481</v>
      </c>
      <c r="CJ12" s="125">
        <f>100*SUMPRODUCT($B5:$B99,xyzs!$G2:$G96,'99set'!CF$10:CF$104)/SUMPRODUCT($B5:$B99,xyzs!$G2:$G96)</f>
        <v>65.770441084462561</v>
      </c>
      <c r="CK12" s="125">
        <f>100*SUMPRODUCT($B5:$B99,xyzs!$G2:$G96,'99set'!CG$10:CG$104)/SUMPRODUCT($B5:$B99,xyzs!$G2:$G96)</f>
        <v>40.039047978698392</v>
      </c>
      <c r="CL12" s="125">
        <f>100*SUMPRODUCT($B5:$B99,xyzs!$G2:$G96,'99set'!CH$10:CH$104)/SUMPRODUCT($B5:$B99,xyzs!$G2:$G96)</f>
        <v>4.2916562781611365</v>
      </c>
      <c r="CM12" s="125">
        <f>100*SUMPRODUCT($B5:$B99,xyzs!$G2:$G96,'99set'!CI$10:CI$104)/SUMPRODUCT($B5:$B99,xyzs!$G2:$G96)</f>
        <v>9.7913509842162476</v>
      </c>
      <c r="CN12" s="125">
        <f>100*SUMPRODUCT($B5:$B99,xyzs!$G2:$G96,'99set'!CJ$10:CJ$104)/SUMPRODUCT($B5:$B99,xyzs!$G2:$G96)</f>
        <v>27.743292683760718</v>
      </c>
      <c r="CO12" s="125">
        <f>100*SUMPRODUCT($B5:$B99,xyzs!$G2:$G96,'99set'!CK$10:CK$104)/SUMPRODUCT($B5:$B99,xyzs!$G2:$G96)</f>
        <v>8.2099740147845477</v>
      </c>
      <c r="CP12" s="125">
        <f>100*SUMPRODUCT($B5:$B99,xyzs!$G2:$G96,'99set'!CL$10:CL$104)/SUMPRODUCT($B5:$B99,xyzs!$G2:$G96)</f>
        <v>25.301354567295441</v>
      </c>
      <c r="CQ12" s="125">
        <f>100*SUMPRODUCT($B5:$B99,xyzs!$G2:$G96,'99set'!CM$10:CM$104)/SUMPRODUCT($B5:$B99,xyzs!$G2:$G96)</f>
        <v>8.2604744341423846</v>
      </c>
      <c r="CR12" s="125">
        <f>100*SUMPRODUCT($B5:$B99,xyzs!$G2:$G96,'99set'!CN$10:CN$104)/SUMPRODUCT($B5:$B99,xyzs!$G2:$G96)</f>
        <v>11.204824689038942</v>
      </c>
      <c r="CS12" s="125">
        <f>100*SUMPRODUCT($B5:$B99,xyzs!$G2:$G96,'99set'!CO$10:CO$104)/SUMPRODUCT($B5:$B99,xyzs!$G2:$G96)</f>
        <v>52.405303995748696</v>
      </c>
      <c r="CT12" s="125">
        <f>100*SUMPRODUCT($B5:$B99,xyzs!$G2:$G96,'99set'!CP$10:CP$104)/SUMPRODUCT($B5:$B99,xyzs!$G2:$G96)</f>
        <v>19.179326154048887</v>
      </c>
      <c r="CU12" s="125">
        <f>100*SUMPRODUCT($B5:$B99,xyzs!$G2:$G96,'99set'!CQ$10:CQ$104)/SUMPRODUCT($B5:$B99,xyzs!$G2:$G96)</f>
        <v>31.811643088608584</v>
      </c>
      <c r="CV12" s="125">
        <f>100*SUMPRODUCT($B5:$B99,xyzs!$G2:$G96,'99set'!CR$10:CR$104)/SUMPRODUCT($B5:$B99,xyzs!$G2:$G96)</f>
        <v>8.2808452185484409</v>
      </c>
      <c r="CW12" s="125">
        <f>100*SUMPRODUCT($B5:$B99,xyzs!$G2:$G96,'99set'!CS$10:CS$104)/SUMPRODUCT($B5:$B99,xyzs!$G2:$G96)</f>
        <v>34.545428049373811</v>
      </c>
      <c r="CX12" s="125">
        <f>100*SUMPRODUCT($B5:$B99,xyzs!$G2:$G96,'99set'!CT$10:CT$104)/SUMPRODUCT($B5:$B99,xyzs!$G2:$G96)</f>
        <v>47.88600543182757</v>
      </c>
      <c r="CY12" s="125">
        <f>100*SUMPRODUCT($B5:$B99,xyzs!$G2:$G96,'99set'!CU$10:CU$104)/SUMPRODUCT($B5:$B99,xyzs!$G2:$G96)</f>
        <v>19.561883389796563</v>
      </c>
      <c r="CZ12" s="125">
        <f>100*SUMPRODUCT($B5:$B99,xyzs!$G2:$G96,'99set'!CV$10:CV$104)/SUMPRODUCT($B5:$B99,xyzs!$G2:$G96)</f>
        <v>29.976711251021552</v>
      </c>
      <c r="DA12" s="125">
        <f>100*SUMPRODUCT($B5:$B99,xyzs!$G2:$G96,'99set'!CW$10:CW$104)/SUMPRODUCT($B5:$B99,xyzs!$G2:$G96)</f>
        <v>16.171703735526883</v>
      </c>
      <c r="DC12">
        <v>8</v>
      </c>
      <c r="DD12" s="114">
        <v>43.126069477105972</v>
      </c>
      <c r="DE12" s="114">
        <v>30.16008821079787</v>
      </c>
      <c r="DF12" s="114">
        <v>10.112756431216827</v>
      </c>
      <c r="DG12" s="114">
        <v>38.480038631706691</v>
      </c>
      <c r="DH12" s="114">
        <v>20.23877265137331</v>
      </c>
      <c r="DI12" s="114">
        <v>7.3990002624888573</v>
      </c>
      <c r="DJ12" s="114">
        <v>11.286389041203149</v>
      </c>
      <c r="DK12" s="114">
        <f t="shared" si="0"/>
        <v>127.38257758939054</v>
      </c>
      <c r="DL12" s="114">
        <f t="shared" si="1"/>
        <v>0.32352185915138221</v>
      </c>
      <c r="DM12" s="114">
        <f t="shared" si="2"/>
        <v>18.536437109600069</v>
      </c>
      <c r="DN12" s="115">
        <f t="shared" si="3"/>
        <v>1</v>
      </c>
      <c r="DO12">
        <v>4</v>
      </c>
      <c r="DQ12" t="s">
        <v>239</v>
      </c>
      <c r="DR12" s="117">
        <f t="shared" ref="DR12:EH12" si="16">DS6-DR6</f>
        <v>-3.4691658217562775</v>
      </c>
      <c r="DS12" s="117">
        <f t="shared" si="16"/>
        <v>-5.736864027154235</v>
      </c>
      <c r="DT12" s="117">
        <f t="shared" si="16"/>
        <v>-12.117113276148554</v>
      </c>
      <c r="DU12" s="117">
        <f t="shared" si="16"/>
        <v>-5.6511584874885967</v>
      </c>
      <c r="DV12" s="117">
        <f t="shared" si="16"/>
        <v>-9.8113962739741467</v>
      </c>
      <c r="DW12" s="117">
        <f t="shared" si="16"/>
        <v>-6.0069265048734817</v>
      </c>
      <c r="DX12" s="117">
        <f t="shared" si="16"/>
        <v>-2.6988414073600318</v>
      </c>
      <c r="DY12" s="117">
        <f t="shared" si="16"/>
        <v>-1.1363872014123118</v>
      </c>
      <c r="DZ12" s="117">
        <f t="shared" si="16"/>
        <v>4.5061284295265231</v>
      </c>
      <c r="EA12" s="117">
        <f t="shared" si="16"/>
        <v>7.204117524558697</v>
      </c>
      <c r="EB12" s="117">
        <f t="shared" si="16"/>
        <v>4.274836157342575</v>
      </c>
      <c r="EC12" s="117">
        <f t="shared" si="16"/>
        <v>9.8756402358546342</v>
      </c>
      <c r="ED12" s="117">
        <f t="shared" si="16"/>
        <v>6.1079512882656655</v>
      </c>
      <c r="EE12" s="117">
        <f t="shared" si="16"/>
        <v>9.5306158907141008</v>
      </c>
      <c r="EF12" s="117">
        <f t="shared" si="16"/>
        <v>-2.0256375723555706</v>
      </c>
      <c r="EG12" s="117">
        <f t="shared" si="16"/>
        <v>7.1542010462610115</v>
      </c>
      <c r="EH12" s="117">
        <f t="shared" si="16"/>
        <v>-24.045840128124151</v>
      </c>
    </row>
    <row r="13" spans="1:138">
      <c r="A13">
        <v>400</v>
      </c>
      <c r="B13" s="120">
        <f>'Color metric'!B7</f>
        <v>6.6380449141347414E-2</v>
      </c>
      <c r="C13" s="112">
        <f>Reference!N13</f>
        <v>0.75694387871463786</v>
      </c>
      <c r="D13" s="112"/>
      <c r="E13" s="126" t="s">
        <v>111</v>
      </c>
      <c r="F13" s="125">
        <f>100*SUMPRODUCT($B5:$B99,xyzs!$H2:$H96,'99set'!B$10:B$104)/SUMPRODUCT($B5:$B99,xyzs!$G2:$G96)</f>
        <v>40.999669335399368</v>
      </c>
      <c r="G13" s="125">
        <f>100*SUMPRODUCT($B5:$B99,xyzs!$H2:$H96,'99set'!C$10:C$104)/SUMPRODUCT($B5:$B99,xyzs!$G2:$G96)</f>
        <v>25.759298137780416</v>
      </c>
      <c r="H13" s="125">
        <f>100*SUMPRODUCT($B5:$B99,xyzs!$H2:$H96,'99set'!D$10:D$104)/SUMPRODUCT($B5:$B99,xyzs!$G2:$G96)</f>
        <v>9.9757678249898483</v>
      </c>
      <c r="I13" s="125">
        <f>100*SUMPRODUCT($B5:$B99,xyzs!$H2:$H96,'99set'!E$10:E$104)/SUMPRODUCT($B5:$B99,xyzs!$G2:$G96)</f>
        <v>2.0516540010792728</v>
      </c>
      <c r="J13" s="125">
        <f>100*SUMPRODUCT($B5:$B99,xyzs!$H2:$H96,'99set'!F$10:F$104)/SUMPRODUCT($B5:$B99,xyzs!$G2:$G96)</f>
        <v>12.974572997892279</v>
      </c>
      <c r="K13" s="125">
        <f>100*SUMPRODUCT($B5:$B99,xyzs!$H2:$H96,'99set'!G$10:G$104)/SUMPRODUCT($B5:$B99,xyzs!$G2:$G96)</f>
        <v>4.4921376011258038</v>
      </c>
      <c r="L13" s="125">
        <f>100*SUMPRODUCT($B5:$B99,xyzs!$H2:$H96,'99set'!H$10:H$104)/SUMPRODUCT($B5:$B99,xyzs!$G2:$G96)</f>
        <v>5.4010943791385566</v>
      </c>
      <c r="M13" s="125">
        <f>100*SUMPRODUCT($B5:$B99,xyzs!$H2:$H96,'99set'!I$10:I$104)/SUMPRODUCT($B5:$B99,xyzs!$G2:$G96)</f>
        <v>2.3098878140799894</v>
      </c>
      <c r="N13" s="125">
        <f>100*SUMPRODUCT($B5:$B99,xyzs!$H2:$H96,'99set'!J$10:J$104)/SUMPRODUCT($B5:$B99,xyzs!$G2:$G96)</f>
        <v>2.3582001240302457</v>
      </c>
      <c r="O13" s="125">
        <f>100*SUMPRODUCT($B5:$B99,xyzs!$H2:$H96,'99set'!K$10:K$104)/SUMPRODUCT($B5:$B99,xyzs!$G2:$G96)</f>
        <v>1.9150262764953743</v>
      </c>
      <c r="P13" s="125">
        <f>100*SUMPRODUCT($B5:$B99,xyzs!$H2:$H96,'99set'!L$10:L$104)/SUMPRODUCT($B5:$B99,xyzs!$G2:$G96)</f>
        <v>7.6755638960513473</v>
      </c>
      <c r="Q13" s="125">
        <f>100*SUMPRODUCT($B5:$B99,xyzs!$H2:$H96,'99set'!M$10:M$104)/SUMPRODUCT($B5:$B99,xyzs!$G2:$G96)</f>
        <v>3.2050558128009135</v>
      </c>
      <c r="R13" s="125">
        <f>100*SUMPRODUCT($B5:$B99,xyzs!$H2:$H96,'99set'!N$10:N$104)/SUMPRODUCT($B5:$B99,xyzs!$G2:$G96)</f>
        <v>3.8064567762878219</v>
      </c>
      <c r="S13" s="125">
        <f>100*SUMPRODUCT($B5:$B99,xyzs!$H2:$H96,'99set'!O$10:O$104)/SUMPRODUCT($B5:$B99,xyzs!$G2:$G96)</f>
        <v>1.9304392705688866</v>
      </c>
      <c r="T13" s="125">
        <f>100*SUMPRODUCT($B5:$B99,xyzs!$H2:$H96,'99set'!P$10:P$104)/SUMPRODUCT($B5:$B99,xyzs!$G2:$G96)</f>
        <v>14.551622193575547</v>
      </c>
      <c r="U13" s="125">
        <f>100*SUMPRODUCT($B5:$B99,xyzs!$H2:$H96,'99set'!Q$10:Q$104)/SUMPRODUCT($B5:$B99,xyzs!$G2:$G96)</f>
        <v>9.9194398012515403</v>
      </c>
      <c r="V13" s="125">
        <f>100*SUMPRODUCT($B5:$B99,xyzs!$H2:$H96,'99set'!R$10:R$104)/SUMPRODUCT($B5:$B99,xyzs!$G2:$G96)</f>
        <v>2.0740130416938212</v>
      </c>
      <c r="W13" s="125">
        <f>100*SUMPRODUCT($B5:$B99,xyzs!$H2:$H96,'99set'!S$10:S$104)/SUMPRODUCT($B5:$B99,xyzs!$G2:$G96)</f>
        <v>2.3422107972379314</v>
      </c>
      <c r="X13" s="125">
        <f>100*SUMPRODUCT($B5:$B99,xyzs!$H2:$H96,'99set'!T$10:T$104)/SUMPRODUCT($B5:$B99,xyzs!$G2:$G96)</f>
        <v>4.3684676284745594</v>
      </c>
      <c r="Y13" s="125">
        <f>100*SUMPRODUCT($B5:$B99,xyzs!$H2:$H96,'99set'!U$10:U$104)/SUMPRODUCT($B5:$B99,xyzs!$G2:$G96)</f>
        <v>5.1184530010804297</v>
      </c>
      <c r="Z13" s="125">
        <f>100*SUMPRODUCT($B5:$B99,xyzs!$H2:$H96,'99set'!V$10:V$104)/SUMPRODUCT($B5:$B99,xyzs!$G2:$G96)</f>
        <v>1.5855548398650241</v>
      </c>
      <c r="AA13" s="125">
        <f>100*SUMPRODUCT($B5:$B99,xyzs!$H2:$H96,'99set'!W$10:W$104)/SUMPRODUCT($B5:$B99,xyzs!$G2:$G96)</f>
        <v>7.2084223243402157</v>
      </c>
      <c r="AB13" s="125">
        <f>100*SUMPRODUCT($B5:$B99,xyzs!$H2:$H96,'99set'!X$10:X$104)/SUMPRODUCT($B5:$B99,xyzs!$G2:$G96)</f>
        <v>4.0362242648451661</v>
      </c>
      <c r="AC13" s="125">
        <f>100*SUMPRODUCT($B5:$B99,xyzs!$H2:$H96,'99set'!Y$10:Y$104)/SUMPRODUCT($B5:$B99,xyzs!$G2:$G96)</f>
        <v>21.569006881366256</v>
      </c>
      <c r="AD13" s="125">
        <f>100*SUMPRODUCT($B5:$B99,xyzs!$H2:$H96,'99set'!Z$10:Z$104)/SUMPRODUCT($B5:$B99,xyzs!$G2:$G96)</f>
        <v>11.90860561517891</v>
      </c>
      <c r="AE13" s="125">
        <f>100*SUMPRODUCT($B5:$B99,xyzs!$H2:$H96,'99set'!AA$10:AA$104)/SUMPRODUCT($B5:$B99,xyzs!$G2:$G96)</f>
        <v>2.3789313893117199</v>
      </c>
      <c r="AF13" s="125">
        <f>100*SUMPRODUCT($B5:$B99,xyzs!$H2:$H96,'99set'!AB$10:AB$104)/SUMPRODUCT($B5:$B99,xyzs!$G2:$G96)</f>
        <v>7.8203495417736129</v>
      </c>
      <c r="AG13" s="125">
        <f>100*SUMPRODUCT($B5:$B99,xyzs!$H2:$H96,'99set'!AC$10:AC$104)/SUMPRODUCT($B5:$B99,xyzs!$G2:$G96)</f>
        <v>9.2427459907961858</v>
      </c>
      <c r="AH13" s="125">
        <f>100*SUMPRODUCT($B5:$B99,xyzs!$H2:$H96,'99set'!AD$10:AD$104)/SUMPRODUCT($B5:$B99,xyzs!$G2:$G96)</f>
        <v>1.9547684271000438</v>
      </c>
      <c r="AI13" s="125">
        <f>100*SUMPRODUCT($B5:$B99,xyzs!$H2:$H96,'99set'!AE$10:AE$104)/SUMPRODUCT($B5:$B99,xyzs!$G2:$G96)</f>
        <v>5.7142917047128776</v>
      </c>
      <c r="AJ13" s="125">
        <f>100*SUMPRODUCT($B5:$B99,xyzs!$H2:$H96,'99set'!AF$10:AF$104)/SUMPRODUCT($B5:$B99,xyzs!$G2:$G96)</f>
        <v>4.226662220500665</v>
      </c>
      <c r="AK13" s="125">
        <f>100*SUMPRODUCT($B5:$B99,xyzs!$H2:$H96,'99set'!AG$10:AG$104)/SUMPRODUCT($B5:$B99,xyzs!$G2:$G96)</f>
        <v>6.5886241155775345</v>
      </c>
      <c r="AL13" s="125">
        <f>100*SUMPRODUCT($B5:$B99,xyzs!$H2:$H96,'99set'!AH$10:AH$104)/SUMPRODUCT($B5:$B99,xyzs!$G2:$G96)</f>
        <v>2.7796198497570344</v>
      </c>
      <c r="AM13" s="125">
        <f>100*SUMPRODUCT($B5:$B99,xyzs!$H2:$H96,'99set'!AI$10:AI$104)/SUMPRODUCT($B5:$B99,xyzs!$G2:$G96)</f>
        <v>12.774980413645828</v>
      </c>
      <c r="AN13" s="125">
        <f>100*SUMPRODUCT($B5:$B99,xyzs!$H2:$H96,'99set'!AJ$10:AJ$104)/SUMPRODUCT($B5:$B99,xyzs!$G2:$G96)</f>
        <v>2.1243563227010056</v>
      </c>
      <c r="AO13" s="125">
        <f>100*SUMPRODUCT($B5:$B99,xyzs!$H2:$H96,'99set'!AK$10:AK$104)/SUMPRODUCT($B5:$B99,xyzs!$G2:$G96)</f>
        <v>2.0922411836078809</v>
      </c>
      <c r="AP13" s="125">
        <f>100*SUMPRODUCT($B5:$B99,xyzs!$H2:$H96,'99set'!AL$10:AL$104)/SUMPRODUCT($B5:$B99,xyzs!$G2:$G96)</f>
        <v>16.346470428715243</v>
      </c>
      <c r="AQ13" s="125">
        <f>100*SUMPRODUCT($B5:$B99,xyzs!$H2:$H96,'99set'!AM$10:AM$104)/SUMPRODUCT($B5:$B99,xyzs!$G2:$G96)</f>
        <v>2.2784522533182288</v>
      </c>
      <c r="AR13" s="125">
        <f>100*SUMPRODUCT($B5:$B99,xyzs!$H2:$H96,'99set'!AN$10:AN$104)/SUMPRODUCT($B5:$B99,xyzs!$G2:$G96)</f>
        <v>12.367259602724301</v>
      </c>
      <c r="AS13" s="125">
        <f>100*SUMPRODUCT($B5:$B99,xyzs!$H2:$H96,'99set'!AO$10:AO$104)/SUMPRODUCT($B5:$B99,xyzs!$G2:$G96)</f>
        <v>2.1562446633591437</v>
      </c>
      <c r="AT13" s="125">
        <f>100*SUMPRODUCT($B5:$B99,xyzs!$H2:$H96,'99set'!AP$10:AP$104)/SUMPRODUCT($B5:$B99,xyzs!$G2:$G96)</f>
        <v>3.5867429301935472</v>
      </c>
      <c r="AU13" s="125">
        <f>100*SUMPRODUCT($B5:$B99,xyzs!$H2:$H96,'99set'!AQ$10:AQ$104)/SUMPRODUCT($B5:$B99,xyzs!$G2:$G96)</f>
        <v>21.239833764265516</v>
      </c>
      <c r="AV13" s="125">
        <f>100*SUMPRODUCT($B5:$B99,xyzs!$H2:$H96,'99set'!AR$10:AR$104)/SUMPRODUCT($B5:$B99,xyzs!$G2:$G96)</f>
        <v>3.2144713288176261</v>
      </c>
      <c r="AW13" s="125">
        <f>100*SUMPRODUCT($B5:$B99,xyzs!$H2:$H96,'99set'!AS$10:AS$104)/SUMPRODUCT($B5:$B99,xyzs!$G2:$G96)</f>
        <v>3.1213367214187717</v>
      </c>
      <c r="AX13" s="125">
        <f>100*SUMPRODUCT($B5:$B99,xyzs!$H2:$H96,'99set'!AT$10:AT$104)/SUMPRODUCT($B5:$B99,xyzs!$G2:$G96)</f>
        <v>1.9148416683419549</v>
      </c>
      <c r="AY13" s="125">
        <f>100*SUMPRODUCT($B5:$B99,xyzs!$H2:$H96,'99set'!AU$10:AU$104)/SUMPRODUCT($B5:$B99,xyzs!$G2:$G96)</f>
        <v>3.2957258875610798</v>
      </c>
      <c r="AZ13" s="125">
        <f>100*SUMPRODUCT($B5:$B99,xyzs!$H2:$H96,'99set'!AV$10:AV$104)/SUMPRODUCT($B5:$B99,xyzs!$G2:$G96)</f>
        <v>6.4442455895946829</v>
      </c>
      <c r="BA13" s="125">
        <f>100*SUMPRODUCT($B5:$B99,xyzs!$H2:$H96,'99set'!AW$10:AW$104)/SUMPRODUCT($B5:$B99,xyzs!$G2:$G96)</f>
        <v>8.7954817854528304</v>
      </c>
      <c r="BB13" s="125">
        <f>100*SUMPRODUCT($B5:$B99,xyzs!$H2:$H96,'99set'!AX$10:AX$104)/SUMPRODUCT($B5:$B99,xyzs!$G2:$G96)</f>
        <v>9.7629763257596398</v>
      </c>
      <c r="BC13" s="125">
        <f>100*SUMPRODUCT($B5:$B99,xyzs!$H2:$H96,'99set'!AY$10:AY$104)/SUMPRODUCT($B5:$B99,xyzs!$G2:$G96)</f>
        <v>2.4903602821849171</v>
      </c>
      <c r="BD13" s="125">
        <f>100*SUMPRODUCT($B5:$B99,xyzs!$H2:$H96,'99set'!AZ$10:AZ$104)/SUMPRODUCT($B5:$B99,xyzs!$G2:$G96)</f>
        <v>5.7324422226646643</v>
      </c>
      <c r="BE13" s="125">
        <f>100*SUMPRODUCT($B5:$B99,xyzs!$H2:$H96,'99set'!BA$10:BA$104)/SUMPRODUCT($B5:$B99,xyzs!$G2:$G96)</f>
        <v>7.2598073666464762</v>
      </c>
      <c r="BF13" s="125">
        <f>100*SUMPRODUCT($B5:$B99,xyzs!$H2:$H96,'99set'!BB$10:BB$104)/SUMPRODUCT($B5:$B99,xyzs!$G2:$G96)</f>
        <v>2.764378553786992</v>
      </c>
      <c r="BG13" s="125">
        <f>100*SUMPRODUCT($B5:$B99,xyzs!$H2:$H96,'99set'!BC$10:BC$104)/SUMPRODUCT($B5:$B99,xyzs!$G2:$G96)</f>
        <v>4.6832934330988616</v>
      </c>
      <c r="BH13" s="125">
        <f>100*SUMPRODUCT($B5:$B99,xyzs!$H2:$H96,'99set'!BD$10:BD$104)/SUMPRODUCT($B5:$B99,xyzs!$G2:$G96)</f>
        <v>26.007765557761847</v>
      </c>
      <c r="BI13" s="125">
        <f>100*SUMPRODUCT($B5:$B99,xyzs!$H2:$H96,'99set'!BE$10:BE$104)/SUMPRODUCT($B5:$B99,xyzs!$G2:$G96)</f>
        <v>23.583639423331128</v>
      </c>
      <c r="BJ13" s="125">
        <f>100*SUMPRODUCT($B5:$B99,xyzs!$H2:$H96,'99set'!BF$10:BF$104)/SUMPRODUCT($B5:$B99,xyzs!$G2:$G96)</f>
        <v>15.42379321176643</v>
      </c>
      <c r="BK13" s="125">
        <f>100*SUMPRODUCT($B5:$B99,xyzs!$H2:$H96,'99set'!BG$10:BG$104)/SUMPRODUCT($B5:$B99,xyzs!$G2:$G96)</f>
        <v>8.9483434283230547</v>
      </c>
      <c r="BL13" s="125">
        <f>100*SUMPRODUCT($B5:$B99,xyzs!$H2:$H96,'99set'!BH$10:BH$104)/SUMPRODUCT($B5:$B99,xyzs!$G2:$G96)</f>
        <v>8.4166740805634159</v>
      </c>
      <c r="BM13" s="125">
        <f>100*SUMPRODUCT($B5:$B99,xyzs!$H2:$H96,'99set'!BI$10:BI$104)/SUMPRODUCT($B5:$B99,xyzs!$G2:$G96)</f>
        <v>28.108141655630472</v>
      </c>
      <c r="BN13" s="125">
        <f>100*SUMPRODUCT($B5:$B99,xyzs!$H2:$H96,'99set'!BJ$10:BJ$104)/SUMPRODUCT($B5:$B99,xyzs!$G2:$G96)</f>
        <v>28.669340465796314</v>
      </c>
      <c r="BO13" s="125">
        <f>100*SUMPRODUCT($B5:$B99,xyzs!$H2:$H96,'99set'!BK$10:BK$104)/SUMPRODUCT($B5:$B99,xyzs!$G2:$G96)</f>
        <v>20.932325517324848</v>
      </c>
      <c r="BP13" s="125">
        <f>100*SUMPRODUCT($B5:$B99,xyzs!$H2:$H96,'99set'!BL$10:BL$104)/SUMPRODUCT($B5:$B99,xyzs!$G2:$G96)</f>
        <v>13.222938605677767</v>
      </c>
      <c r="BQ13" s="125">
        <f>100*SUMPRODUCT($B5:$B99,xyzs!$H2:$H96,'99set'!BM$10:BM$104)/SUMPRODUCT($B5:$B99,xyzs!$G2:$G96)</f>
        <v>2.8942641679983967</v>
      </c>
      <c r="BR13" s="125">
        <f>100*SUMPRODUCT($B5:$B99,xyzs!$H2:$H96,'99set'!BN$10:BN$104)/SUMPRODUCT($B5:$B99,xyzs!$G2:$G96)</f>
        <v>14.032162667857337</v>
      </c>
      <c r="BS13" s="125">
        <f>100*SUMPRODUCT($B5:$B99,xyzs!$H2:$H96,'99set'!BO$10:BO$104)/SUMPRODUCT($B5:$B99,xyzs!$G2:$G96)</f>
        <v>5.3456374721932436</v>
      </c>
      <c r="BT13" s="125">
        <f>100*SUMPRODUCT($B5:$B99,xyzs!$H2:$H96,'99set'!BP$10:BP$104)/SUMPRODUCT($B5:$B99,xyzs!$G2:$G96)</f>
        <v>8.3842240413535318</v>
      </c>
      <c r="BU13" s="125">
        <f>100*SUMPRODUCT($B5:$B99,xyzs!$H2:$H96,'99set'!BQ$10:BQ$104)/SUMPRODUCT($B5:$B99,xyzs!$G2:$G96)</f>
        <v>10.218689426044723</v>
      </c>
      <c r="BV13" s="125">
        <f>100*SUMPRODUCT($B5:$B99,xyzs!$H2:$H96,'99set'!BR$10:BR$104)/SUMPRODUCT($B5:$B99,xyzs!$G2:$G96)</f>
        <v>16.956614312061362</v>
      </c>
      <c r="BW13" s="125">
        <f>100*SUMPRODUCT($B5:$B99,xyzs!$H2:$H96,'99set'!BS$10:BS$104)/SUMPRODUCT($B5:$B99,xyzs!$G2:$G96)</f>
        <v>9.5534246863743419</v>
      </c>
      <c r="BX13" s="125">
        <f>100*SUMPRODUCT($B5:$B99,xyzs!$H2:$H96,'99set'!BT$10:BT$104)/SUMPRODUCT($B5:$B99,xyzs!$G2:$G96)</f>
        <v>26.770166194805579</v>
      </c>
      <c r="BY13" s="125">
        <f>100*SUMPRODUCT($B5:$B99,xyzs!$H2:$H96,'99set'!BU$10:BU$104)/SUMPRODUCT($B5:$B99,xyzs!$G2:$G96)</f>
        <v>5.7413202394738798</v>
      </c>
      <c r="BZ13" s="125">
        <f>100*SUMPRODUCT($B5:$B99,xyzs!$H2:$H96,'99set'!BV$10:BV$104)/SUMPRODUCT($B5:$B99,xyzs!$G2:$G96)</f>
        <v>21.733400103209579</v>
      </c>
      <c r="CA13" s="125">
        <f>100*SUMPRODUCT($B5:$B99,xyzs!$H2:$H96,'99set'!BW$10:BW$104)/SUMPRODUCT($B5:$B99,xyzs!$G2:$G96)</f>
        <v>20.511847944975749</v>
      </c>
      <c r="CB13" s="125">
        <f>100*SUMPRODUCT($B5:$B99,xyzs!$H2:$H96,'99set'!BX$10:BX$104)/SUMPRODUCT($B5:$B99,xyzs!$G2:$G96)</f>
        <v>2.045228332280367</v>
      </c>
      <c r="CC13" s="125">
        <f>100*SUMPRODUCT($B5:$B99,xyzs!$H2:$H96,'99set'!BY$10:BY$104)/SUMPRODUCT($B5:$B99,xyzs!$G2:$G96)</f>
        <v>5.6116381610196031</v>
      </c>
      <c r="CD13" s="125">
        <f>100*SUMPRODUCT($B5:$B99,xyzs!$H2:$H96,'99set'!BZ$10:BZ$104)/SUMPRODUCT($B5:$B99,xyzs!$G2:$G96)</f>
        <v>17.916850442712775</v>
      </c>
      <c r="CE13" s="125">
        <f>100*SUMPRODUCT($B5:$B99,xyzs!$H2:$H96,'99set'!CA$10:CA$104)/SUMPRODUCT($B5:$B99,xyzs!$G2:$G96)</f>
        <v>10.788719370146042</v>
      </c>
      <c r="CF13" s="125">
        <f>100*SUMPRODUCT($B5:$B99,xyzs!$H2:$H96,'99set'!CB$10:CB$104)/SUMPRODUCT($B5:$B99,xyzs!$G2:$G96)</f>
        <v>15.293512381373816</v>
      </c>
      <c r="CG13" s="125">
        <f>100*SUMPRODUCT($B5:$B99,xyzs!$H2:$H96,'99set'!CC$10:CC$104)/SUMPRODUCT($B5:$B99,xyzs!$G2:$G96)</f>
        <v>26.417792838812296</v>
      </c>
      <c r="CH13" s="125">
        <f>100*SUMPRODUCT($B5:$B99,xyzs!$H2:$H96,'99set'!CD$10:CD$104)/SUMPRODUCT($B5:$B99,xyzs!$G2:$G96)</f>
        <v>22.558677363633276</v>
      </c>
      <c r="CI13" s="125">
        <f>100*SUMPRODUCT($B5:$B99,xyzs!$H2:$H96,'99set'!CE$10:CE$104)/SUMPRODUCT($B5:$B99,xyzs!$G2:$G96)</f>
        <v>13.579596072918092</v>
      </c>
      <c r="CJ13" s="125">
        <f>100*SUMPRODUCT($B5:$B99,xyzs!$H2:$H96,'99set'!CF$10:CF$104)/SUMPRODUCT($B5:$B99,xyzs!$G2:$G96)</f>
        <v>31.865749080809906</v>
      </c>
      <c r="CK13" s="125">
        <f>100*SUMPRODUCT($B5:$B99,xyzs!$H2:$H96,'99set'!CG$10:CG$104)/SUMPRODUCT($B5:$B99,xyzs!$G2:$G96)</f>
        <v>24.251837957496207</v>
      </c>
      <c r="CL13" s="125">
        <f>100*SUMPRODUCT($B5:$B99,xyzs!$H2:$H96,'99set'!CH$10:CH$104)/SUMPRODUCT($B5:$B99,xyzs!$G2:$G96)</f>
        <v>2.3967021465698988</v>
      </c>
      <c r="CM13" s="125">
        <f>100*SUMPRODUCT($B5:$B99,xyzs!$H2:$H96,'99set'!CI$10:CI$104)/SUMPRODUCT($B5:$B99,xyzs!$G2:$G96)</f>
        <v>6.1642140246903052</v>
      </c>
      <c r="CN13" s="125">
        <f>100*SUMPRODUCT($B5:$B99,xyzs!$H2:$H96,'99set'!CJ$10:CJ$104)/SUMPRODUCT($B5:$B99,xyzs!$G2:$G96)</f>
        <v>23.081968014794704</v>
      </c>
      <c r="CO13" s="125">
        <f>100*SUMPRODUCT($B5:$B99,xyzs!$H2:$H96,'99set'!CK$10:CK$104)/SUMPRODUCT($B5:$B99,xyzs!$G2:$G96)</f>
        <v>8.7819288514514913</v>
      </c>
      <c r="CP13" s="125">
        <f>100*SUMPRODUCT($B5:$B99,xyzs!$H2:$H96,'99set'!CL$10:CL$104)/SUMPRODUCT($B5:$B99,xyzs!$G2:$G96)</f>
        <v>19.05811787865289</v>
      </c>
      <c r="CQ13" s="125">
        <f>100*SUMPRODUCT($B5:$B99,xyzs!$H2:$H96,'99set'!CM$10:CM$104)/SUMPRODUCT($B5:$B99,xyzs!$G2:$G96)</f>
        <v>6.8315797487873215</v>
      </c>
      <c r="CR13" s="125">
        <f>100*SUMPRODUCT($B5:$B99,xyzs!$H2:$H96,'99set'!CN$10:CN$104)/SUMPRODUCT($B5:$B99,xyzs!$G2:$G96)</f>
        <v>9.6595940871934101</v>
      </c>
      <c r="CS13" s="125">
        <f>100*SUMPRODUCT($B5:$B99,xyzs!$H2:$H96,'99set'!CO$10:CO$104)/SUMPRODUCT($B5:$B99,xyzs!$G2:$G96)</f>
        <v>21.336475170190081</v>
      </c>
      <c r="CT13" s="125">
        <f>100*SUMPRODUCT($B5:$B99,xyzs!$H2:$H96,'99set'!CP$10:CP$104)/SUMPRODUCT($B5:$B99,xyzs!$G2:$G96)</f>
        <v>10.935255027157346</v>
      </c>
      <c r="CU13" s="125">
        <f>100*SUMPRODUCT($B5:$B99,xyzs!$H2:$H96,'99set'!CQ$10:CQ$104)/SUMPRODUCT($B5:$B99,xyzs!$G2:$G96)</f>
        <v>15.765385295665538</v>
      </c>
      <c r="CV13" s="125">
        <f>100*SUMPRODUCT($B5:$B99,xyzs!$H2:$H96,'99set'!CR$10:CR$104)/SUMPRODUCT($B5:$B99,xyzs!$G2:$G96)</f>
        <v>5.5783001682301236</v>
      </c>
      <c r="CW13" s="125">
        <f>100*SUMPRODUCT($B5:$B99,xyzs!$H2:$H96,'99set'!CS$10:CS$104)/SUMPRODUCT($B5:$B99,xyzs!$G2:$G96)</f>
        <v>17.299285210258187</v>
      </c>
      <c r="CX13" s="125">
        <f>100*SUMPRODUCT($B5:$B99,xyzs!$H2:$H96,'99set'!CT$10:CT$104)/SUMPRODUCT($B5:$B99,xyzs!$G2:$G96)</f>
        <v>22.836601823472151</v>
      </c>
      <c r="CY13" s="125">
        <f>100*SUMPRODUCT($B5:$B99,xyzs!$H2:$H96,'99set'!CU$10:CU$104)/SUMPRODUCT($B5:$B99,xyzs!$G2:$G96)</f>
        <v>9.0211386694933768</v>
      </c>
      <c r="CZ13" s="125">
        <f>100*SUMPRODUCT($B5:$B99,xyzs!$H2:$H96,'99set'!CV$10:CV$104)/SUMPRODUCT($B5:$B99,xyzs!$G2:$G96)</f>
        <v>13.517956139213135</v>
      </c>
      <c r="DA13" s="125">
        <f>100*SUMPRODUCT($B5:$B99,xyzs!$H2:$H96,'99set'!CW$10:CW$104)/SUMPRODUCT($B5:$B99,xyzs!$G2:$G96)</f>
        <v>8.1995617529154572</v>
      </c>
      <c r="DC13">
        <v>9</v>
      </c>
      <c r="DD13" s="114">
        <v>29.062731177101636</v>
      </c>
      <c r="DE13" s="114">
        <v>3.4341025517946386</v>
      </c>
      <c r="DF13" s="114">
        <v>0.61411044619183597</v>
      </c>
      <c r="DG13" s="114">
        <v>28.39270505656847</v>
      </c>
      <c r="DH13" s="114">
        <v>3.4754082118550689</v>
      </c>
      <c r="DI13" s="114">
        <v>0.51106545782658364</v>
      </c>
      <c r="DJ13" s="114">
        <v>0.67916082732806893</v>
      </c>
      <c r="DK13" s="114">
        <f t="shared" si="0"/>
        <v>0.46125942937694708</v>
      </c>
      <c r="DL13" s="114">
        <f t="shared" si="1"/>
        <v>0.17695657215915525</v>
      </c>
      <c r="DM13" s="114">
        <f t="shared" si="2"/>
        <v>10.138864741821802</v>
      </c>
      <c r="DN13" s="115">
        <f t="shared" si="3"/>
        <v>1</v>
      </c>
      <c r="DO13">
        <v>6</v>
      </c>
      <c r="DQ13" t="s">
        <v>240</v>
      </c>
      <c r="DR13" s="117">
        <f t="shared" ref="DR13:EH13" si="17">(DR7+DS7)/2</f>
        <v>10.105652165874478</v>
      </c>
      <c r="DS13" s="117">
        <f t="shared" si="17"/>
        <v>18.991435598447239</v>
      </c>
      <c r="DT13" s="117">
        <f t="shared" si="17"/>
        <v>21.638738487879266</v>
      </c>
      <c r="DU13" s="117">
        <f t="shared" si="17"/>
        <v>18.583446586122513</v>
      </c>
      <c r="DV13" s="117">
        <f t="shared" si="17"/>
        <v>16.82116625255351</v>
      </c>
      <c r="DW13" s="117">
        <f t="shared" si="17"/>
        <v>14.977360477241596</v>
      </c>
      <c r="DX13" s="117">
        <f t="shared" si="17"/>
        <v>9.3631585313127808</v>
      </c>
      <c r="DY13" s="117">
        <f t="shared" si="17"/>
        <v>0.87867650781046813</v>
      </c>
      <c r="DZ13" s="117">
        <f t="shared" si="17"/>
        <v>-7.9296842280171758</v>
      </c>
      <c r="EA13" s="117">
        <f t="shared" si="17"/>
        <v>-13.900965113524011</v>
      </c>
      <c r="EB13" s="117">
        <f t="shared" si="17"/>
        <v>-18.499047443147898</v>
      </c>
      <c r="EC13" s="117">
        <f t="shared" si="17"/>
        <v>-19.600256566941354</v>
      </c>
      <c r="ED13" s="117">
        <f t="shared" si="17"/>
        <v>-16.003924140993899</v>
      </c>
      <c r="EE13" s="117">
        <f t="shared" si="17"/>
        <v>-13.705870654004549</v>
      </c>
      <c r="EF13" s="117">
        <f t="shared" si="17"/>
        <v>-8.8041608643860521</v>
      </c>
      <c r="EG13" s="117">
        <f t="shared" si="17"/>
        <v>0.46807192592310187</v>
      </c>
      <c r="EH13" s="117">
        <f t="shared" si="17"/>
        <v>2.5564554246634001</v>
      </c>
    </row>
    <row r="14" spans="1:138">
      <c r="A14">
        <v>405</v>
      </c>
      <c r="B14" s="120">
        <f>'Color metric'!B8</f>
        <v>0.45409511228533683</v>
      </c>
      <c r="C14" s="112">
        <f>Reference!N14</f>
        <v>0.82743336498568754</v>
      </c>
      <c r="D14" s="112"/>
      <c r="E14" s="126" t="s">
        <v>112</v>
      </c>
      <c r="F14" s="122">
        <f t="shared" ref="F14:U14" si="18">F11/(F11+F12+F13)</f>
        <v>0.44924765564590907</v>
      </c>
      <c r="G14" s="122">
        <f t="shared" si="18"/>
        <v>0.47154088292366114</v>
      </c>
      <c r="H14" s="122">
        <f t="shared" si="18"/>
        <v>0.51607799179183689</v>
      </c>
      <c r="I14" s="122">
        <f t="shared" si="18"/>
        <v>0.4873529060350818</v>
      </c>
      <c r="J14" s="122">
        <f t="shared" si="18"/>
        <v>0.49155156763286023</v>
      </c>
      <c r="K14" s="122">
        <f t="shared" si="18"/>
        <v>0.5379973433716998</v>
      </c>
      <c r="L14" s="122">
        <f t="shared" si="18"/>
        <v>0.49735195199047494</v>
      </c>
      <c r="M14" s="122">
        <f t="shared" si="18"/>
        <v>0.55990405491915973</v>
      </c>
      <c r="N14" s="122">
        <f t="shared" si="18"/>
        <v>0.54484915718093208</v>
      </c>
      <c r="O14" s="122">
        <f t="shared" si="18"/>
        <v>0.46119813517042901</v>
      </c>
      <c r="P14" s="122">
        <f t="shared" si="18"/>
        <v>0.54934643186872201</v>
      </c>
      <c r="Q14" s="122">
        <f t="shared" si="18"/>
        <v>0.55968950339264756</v>
      </c>
      <c r="R14" s="122">
        <f t="shared" si="18"/>
        <v>0.56382664131746207</v>
      </c>
      <c r="S14" s="122">
        <f t="shared" si="18"/>
        <v>0.54157040658330424</v>
      </c>
      <c r="T14" s="122">
        <f t="shared" si="18"/>
        <v>0.47010702628222623</v>
      </c>
      <c r="U14" s="122">
        <f t="shared" si="18"/>
        <v>0.49666779866757682</v>
      </c>
      <c r="V14" s="122">
        <f>V11/(V11+V12+V13)</f>
        <v>0.53236130042179597</v>
      </c>
      <c r="W14" s="122">
        <f>W11/(W11+W12+W13)</f>
        <v>0.52750803492150711</v>
      </c>
      <c r="X14" s="122">
        <f t="shared" ref="X14:CI14" si="19">X11/(X11+X12+X13)</f>
        <v>0.50896761167238802</v>
      </c>
      <c r="Y14" s="122">
        <f t="shared" si="19"/>
        <v>0.52765451060173485</v>
      </c>
      <c r="Z14" s="122">
        <f t="shared" si="19"/>
        <v>0.56402690873892936</v>
      </c>
      <c r="AA14" s="122">
        <f t="shared" si="19"/>
        <v>0.52813676014161737</v>
      </c>
      <c r="AB14" s="122">
        <f t="shared" si="19"/>
        <v>0.5402733722831673</v>
      </c>
      <c r="AC14" s="122">
        <f t="shared" si="19"/>
        <v>0.47598538509127059</v>
      </c>
      <c r="AD14" s="122">
        <f t="shared" si="19"/>
        <v>0.50467950836698683</v>
      </c>
      <c r="AE14" s="122">
        <f t="shared" si="19"/>
        <v>0.53177394842697878</v>
      </c>
      <c r="AF14" s="122">
        <f t="shared" si="19"/>
        <v>0.51758493652402171</v>
      </c>
      <c r="AG14" s="122">
        <f t="shared" si="19"/>
        <v>0.4849469831301299</v>
      </c>
      <c r="AH14" s="122">
        <f t="shared" si="19"/>
        <v>0.49323582489251189</v>
      </c>
      <c r="AI14" s="122">
        <f t="shared" si="19"/>
        <v>0.51475619886126223</v>
      </c>
      <c r="AJ14" s="122">
        <f t="shared" si="19"/>
        <v>0.5024943643408738</v>
      </c>
      <c r="AK14" s="122">
        <f t="shared" si="19"/>
        <v>0.51144224677661509</v>
      </c>
      <c r="AL14" s="122">
        <f t="shared" si="19"/>
        <v>0.51481407872970431</v>
      </c>
      <c r="AM14" s="122">
        <f t="shared" si="19"/>
        <v>0.49204862520557169</v>
      </c>
      <c r="AN14" s="122">
        <f t="shared" si="19"/>
        <v>0.50830554577265175</v>
      </c>
      <c r="AO14" s="122">
        <f t="shared" si="19"/>
        <v>0.48476891409866679</v>
      </c>
      <c r="AP14" s="122">
        <f t="shared" si="19"/>
        <v>0.46673112576975773</v>
      </c>
      <c r="AQ14" s="122">
        <f t="shared" si="19"/>
        <v>0.48355620476004046</v>
      </c>
      <c r="AR14" s="122">
        <f t="shared" si="19"/>
        <v>0.48502695230796067</v>
      </c>
      <c r="AS14" s="122">
        <f t="shared" si="19"/>
        <v>0.46734046837036064</v>
      </c>
      <c r="AT14" s="122">
        <f t="shared" si="19"/>
        <v>0.47662342543998304</v>
      </c>
      <c r="AU14" s="122">
        <f t="shared" si="19"/>
        <v>0.46193960092665126</v>
      </c>
      <c r="AV14" s="122">
        <f t="shared" si="19"/>
        <v>0.47780354784404255</v>
      </c>
      <c r="AW14" s="122">
        <f t="shared" si="19"/>
        <v>0.48432000071376002</v>
      </c>
      <c r="AX14" s="122">
        <f t="shared" si="19"/>
        <v>0.45114597714850657</v>
      </c>
      <c r="AY14" s="122">
        <f t="shared" si="19"/>
        <v>0.46368892563497982</v>
      </c>
      <c r="AZ14" s="122">
        <f t="shared" si="19"/>
        <v>0.46558334123322165</v>
      </c>
      <c r="BA14" s="122">
        <f t="shared" si="19"/>
        <v>0.46347427420891907</v>
      </c>
      <c r="BB14" s="122">
        <f t="shared" si="19"/>
        <v>0.45830031133009397</v>
      </c>
      <c r="BC14" s="122">
        <f t="shared" si="19"/>
        <v>0.45357837609626672</v>
      </c>
      <c r="BD14" s="122">
        <f t="shared" si="19"/>
        <v>0.43599652757031504</v>
      </c>
      <c r="BE14" s="122">
        <f t="shared" si="19"/>
        <v>0.43942749850657364</v>
      </c>
      <c r="BF14" s="122">
        <f t="shared" si="19"/>
        <v>0.42329342965935746</v>
      </c>
      <c r="BG14" s="122">
        <f t="shared" si="19"/>
        <v>0.38714499480044218</v>
      </c>
      <c r="BH14" s="122">
        <f t="shared" si="19"/>
        <v>0.43465181987560086</v>
      </c>
      <c r="BI14" s="122">
        <f t="shared" si="19"/>
        <v>0.42938454265974479</v>
      </c>
      <c r="BJ14" s="122">
        <f t="shared" si="19"/>
        <v>0.39456340479124696</v>
      </c>
      <c r="BK14" s="122">
        <f t="shared" si="19"/>
        <v>0.37635339503121684</v>
      </c>
      <c r="BL14" s="122">
        <f t="shared" si="19"/>
        <v>0.36503528830326831</v>
      </c>
      <c r="BM14" s="122">
        <f t="shared" si="19"/>
        <v>0.42943207315687326</v>
      </c>
      <c r="BN14" s="122">
        <f t="shared" si="19"/>
        <v>0.44245564305914237</v>
      </c>
      <c r="BO14" s="122">
        <f t="shared" si="19"/>
        <v>0.42595129458175479</v>
      </c>
      <c r="BP14" s="122">
        <f t="shared" si="19"/>
        <v>0.44321919667164328</v>
      </c>
      <c r="BQ14" s="122">
        <f t="shared" si="19"/>
        <v>0.4549795482586283</v>
      </c>
      <c r="BR14" s="122">
        <f t="shared" si="19"/>
        <v>0.35265825280969088</v>
      </c>
      <c r="BS14" s="122">
        <f t="shared" si="19"/>
        <v>0.40162231156171246</v>
      </c>
      <c r="BT14" s="122">
        <f t="shared" si="19"/>
        <v>0.33886752042027829</v>
      </c>
      <c r="BU14" s="122">
        <f t="shared" si="19"/>
        <v>0.33690937151306699</v>
      </c>
      <c r="BV14" s="122">
        <f t="shared" si="19"/>
        <v>0.39417813094289578</v>
      </c>
      <c r="BW14" s="122">
        <f t="shared" si="19"/>
        <v>0.42228226591658785</v>
      </c>
      <c r="BX14" s="122">
        <f t="shared" si="19"/>
        <v>0.38271823729205268</v>
      </c>
      <c r="BY14" s="122">
        <f t="shared" si="19"/>
        <v>0.35838043366703515</v>
      </c>
      <c r="BZ14" s="122">
        <f t="shared" si="19"/>
        <v>0.43427117023628486</v>
      </c>
      <c r="CA14" s="122">
        <f t="shared" si="19"/>
        <v>0.33423765753765228</v>
      </c>
      <c r="CB14" s="122">
        <f t="shared" si="19"/>
        <v>0.4423503883928806</v>
      </c>
      <c r="CC14" s="122">
        <f t="shared" si="19"/>
        <v>0.35897046765423568</v>
      </c>
      <c r="CD14" s="122">
        <f t="shared" si="19"/>
        <v>0.31372392542154531</v>
      </c>
      <c r="CE14" s="122">
        <f t="shared" si="19"/>
        <v>0.35690911556999588</v>
      </c>
      <c r="CF14" s="122">
        <f t="shared" si="19"/>
        <v>0.31819537988781466</v>
      </c>
      <c r="CG14" s="122">
        <f t="shared" si="19"/>
        <v>0.40770848637245449</v>
      </c>
      <c r="CH14" s="122">
        <f t="shared" si="19"/>
        <v>0.402792612479764</v>
      </c>
      <c r="CI14" s="122">
        <f t="shared" si="19"/>
        <v>0.35460994854465189</v>
      </c>
      <c r="CJ14" s="122">
        <f t="shared" ref="CJ14:DA14" si="20">CJ11/(CJ11+CJ12+CJ13)</f>
        <v>0.43906516264927686</v>
      </c>
      <c r="CK14" s="122">
        <f t="shared" si="20"/>
        <v>0.42514055891169278</v>
      </c>
      <c r="CL14" s="122">
        <f t="shared" si="20"/>
        <v>0.44109384524852979</v>
      </c>
      <c r="CM14" s="122">
        <f t="shared" si="20"/>
        <v>0.42659705145325949</v>
      </c>
      <c r="CN14" s="122">
        <f t="shared" si="20"/>
        <v>0.4045349349678502</v>
      </c>
      <c r="CO14" s="122">
        <f t="shared" si="20"/>
        <v>0.4078106380461593</v>
      </c>
      <c r="CP14" s="122">
        <f t="shared" si="20"/>
        <v>0.4343267503858258</v>
      </c>
      <c r="CQ14" s="122">
        <f t="shared" si="20"/>
        <v>0.42987316630540479</v>
      </c>
      <c r="CR14" s="122">
        <f t="shared" si="20"/>
        <v>0.43605153689159509</v>
      </c>
      <c r="CS14" s="122">
        <f t="shared" si="20"/>
        <v>0.45303212460606995</v>
      </c>
      <c r="CT14" s="122">
        <f t="shared" si="20"/>
        <v>0.4475234227292828</v>
      </c>
      <c r="CU14" s="122">
        <f t="shared" si="20"/>
        <v>0.45240326638808565</v>
      </c>
      <c r="CV14" s="122">
        <f t="shared" si="20"/>
        <v>0.45618816182954808</v>
      </c>
      <c r="CW14" s="122">
        <f t="shared" si="20"/>
        <v>0.46045553607371353</v>
      </c>
      <c r="CX14" s="122">
        <f t="shared" si="20"/>
        <v>0.46061342440346909</v>
      </c>
      <c r="CY14" s="122">
        <f t="shared" si="20"/>
        <v>0.4858832810698604</v>
      </c>
      <c r="CZ14" s="122">
        <f t="shared" si="20"/>
        <v>0.50036197321815035</v>
      </c>
      <c r="DA14" s="122">
        <f t="shared" si="20"/>
        <v>0.50675316671025528</v>
      </c>
      <c r="DC14">
        <v>10</v>
      </c>
      <c r="DD14" s="114">
        <v>75.953927346449063</v>
      </c>
      <c r="DE14" s="114">
        <v>29.421679892095884</v>
      </c>
      <c r="DF14" s="114">
        <v>18.213688540452381</v>
      </c>
      <c r="DG14" s="114">
        <v>76.021296995925397</v>
      </c>
      <c r="DH14" s="114">
        <v>20.110618690619688</v>
      </c>
      <c r="DI14" s="114">
        <v>19.612428642278154</v>
      </c>
      <c r="DJ14" s="114">
        <v>9.4157778881917924</v>
      </c>
      <c r="DK14" s="114">
        <f t="shared" si="0"/>
        <v>88.656873239761495</v>
      </c>
      <c r="DL14" s="114">
        <f t="shared" si="1"/>
        <v>0.55431407300205959</v>
      </c>
      <c r="DM14" s="114">
        <f t="shared" si="2"/>
        <v>31.759856907724625</v>
      </c>
      <c r="DN14" s="115">
        <f t="shared" si="3"/>
        <v>2</v>
      </c>
      <c r="DO14">
        <v>7</v>
      </c>
      <c r="DQ14" t="s">
        <v>241</v>
      </c>
      <c r="DR14" s="117">
        <f t="shared" ref="DR14:EH14" si="21">DS8-DR8</f>
        <v>-4.8174360649867811</v>
      </c>
      <c r="DS14" s="117">
        <f t="shared" si="21"/>
        <v>-7.1223614953887351</v>
      </c>
      <c r="DT14" s="117">
        <f t="shared" si="21"/>
        <v>-8.345743747295236</v>
      </c>
      <c r="DU14" s="117">
        <f t="shared" si="21"/>
        <v>-2.8546052842791947</v>
      </c>
      <c r="DV14" s="117">
        <f t="shared" si="21"/>
        <v>-6.2042386656508661</v>
      </c>
      <c r="DW14" s="117">
        <f t="shared" si="21"/>
        <v>-3.1199663282920156</v>
      </c>
      <c r="DX14" s="117">
        <f t="shared" si="21"/>
        <v>-1.355988412453371</v>
      </c>
      <c r="DY14" s="117">
        <f t="shared" si="21"/>
        <v>-0.86566326527146842</v>
      </c>
      <c r="DZ14" s="117">
        <f t="shared" si="21"/>
        <v>5.7398453972566603</v>
      </c>
      <c r="EA14" s="117">
        <f t="shared" si="21"/>
        <v>7.1578564260411781</v>
      </c>
      <c r="EB14" s="117">
        <f t="shared" si="21"/>
        <v>1.9594731102486218</v>
      </c>
      <c r="EC14" s="117">
        <f t="shared" si="21"/>
        <v>6.0249642027854531</v>
      </c>
      <c r="ED14" s="117">
        <f t="shared" si="21"/>
        <v>4.1807361987866862</v>
      </c>
      <c r="EE14" s="117">
        <f t="shared" si="21"/>
        <v>7.6343064705071004</v>
      </c>
      <c r="EF14" s="117">
        <f t="shared" si="21"/>
        <v>-3.1799045199693179</v>
      </c>
      <c r="EG14" s="117">
        <f t="shared" si="21"/>
        <v>5.1687259779612855</v>
      </c>
      <c r="EH14" s="117">
        <f t="shared" si="21"/>
        <v>-17.559209612207439</v>
      </c>
    </row>
    <row r="15" spans="1:138">
      <c r="A15">
        <v>410</v>
      </c>
      <c r="B15" s="120">
        <f>'Color metric'!B9</f>
        <v>6.4398943196829581E-2</v>
      </c>
      <c r="C15" s="112">
        <f>Reference!N15</f>
        <v>0.90184590384311203</v>
      </c>
      <c r="D15" s="112"/>
      <c r="E15" s="126" t="s">
        <v>114</v>
      </c>
      <c r="F15" s="122">
        <f>F12/(F11+F12+F13)</f>
        <v>0.39060541556590672</v>
      </c>
      <c r="G15" s="122">
        <f t="shared" ref="G15:S15" si="22">G12/(G11+G12+G13)</f>
        <v>0.37605580022044222</v>
      </c>
      <c r="H15" s="122">
        <f t="shared" si="22"/>
        <v>0.35132238159816032</v>
      </c>
      <c r="I15" s="122">
        <f t="shared" si="22"/>
        <v>0.3720756595606084</v>
      </c>
      <c r="J15" s="122">
        <f t="shared" si="22"/>
        <v>0.38065062963405411</v>
      </c>
      <c r="K15" s="122">
        <f t="shared" si="22"/>
        <v>0.35375566811277143</v>
      </c>
      <c r="L15" s="122">
        <f t="shared" si="22"/>
        <v>0.38328563169109314</v>
      </c>
      <c r="M15" s="122">
        <f t="shared" si="22"/>
        <v>0.35453501031673074</v>
      </c>
      <c r="N15" s="122">
        <f t="shared" si="22"/>
        <v>0.3604955047560357</v>
      </c>
      <c r="O15" s="122">
        <f t="shared" si="22"/>
        <v>0.3846736842978723</v>
      </c>
      <c r="P15" s="122">
        <f t="shared" si="22"/>
        <v>0.38582726618565466</v>
      </c>
      <c r="Q15" s="122">
        <f t="shared" si="22"/>
        <v>0.390062739372246</v>
      </c>
      <c r="R15" s="122">
        <f t="shared" si="22"/>
        <v>0.38835404325450606</v>
      </c>
      <c r="S15" s="122">
        <f t="shared" si="22"/>
        <v>0.39047021138817484</v>
      </c>
      <c r="T15" s="122">
        <f>T12/(T11+T12+T13)</f>
        <v>0.39563343236392906</v>
      </c>
      <c r="U15" s="122">
        <f>U12/(U11+U12+U13)</f>
        <v>0.3987293770273001</v>
      </c>
      <c r="V15" s="122">
        <f>V12/(V11+V12+V13)</f>
        <v>0.40771440159316791</v>
      </c>
      <c r="W15" s="122">
        <f>W12/(W11+W12+W13)</f>
        <v>0.41541409630346188</v>
      </c>
      <c r="X15" s="122">
        <f t="shared" ref="X15:CI15" si="23">X12/(X11+X12+X13)</f>
        <v>0.4078681778397652</v>
      </c>
      <c r="Y15" s="122">
        <f t="shared" si="23"/>
        <v>0.42167510047040674</v>
      </c>
      <c r="Z15" s="122">
        <f t="shared" si="23"/>
        <v>0.41502797564238919</v>
      </c>
      <c r="AA15" s="122">
        <f t="shared" si="23"/>
        <v>0.42796685848626714</v>
      </c>
      <c r="AB15" s="122">
        <f t="shared" si="23"/>
        <v>0.4273795719399901</v>
      </c>
      <c r="AC15" s="122">
        <f t="shared" si="23"/>
        <v>0.41120386178411444</v>
      </c>
      <c r="AD15" s="122">
        <f t="shared" si="23"/>
        <v>0.43083486788816733</v>
      </c>
      <c r="AE15" s="122">
        <f t="shared" si="23"/>
        <v>0.44407014571536108</v>
      </c>
      <c r="AF15" s="122">
        <f t="shared" si="23"/>
        <v>0.43791229594283443</v>
      </c>
      <c r="AG15" s="122">
        <f t="shared" si="23"/>
        <v>0.42339025272965314</v>
      </c>
      <c r="AH15" s="122">
        <f t="shared" si="23"/>
        <v>0.43377112526630557</v>
      </c>
      <c r="AI15" s="122">
        <f t="shared" si="23"/>
        <v>0.44809786450652067</v>
      </c>
      <c r="AJ15" s="122">
        <f t="shared" si="23"/>
        <v>0.43670589739112958</v>
      </c>
      <c r="AK15" s="122">
        <f t="shared" si="23"/>
        <v>0.44788697555734791</v>
      </c>
      <c r="AL15" s="122">
        <f t="shared" si="23"/>
        <v>0.45838133361548272</v>
      </c>
      <c r="AM15" s="122">
        <f t="shared" si="23"/>
        <v>0.43301571493854024</v>
      </c>
      <c r="AN15" s="122">
        <f t="shared" si="23"/>
        <v>0.45903894253832556</v>
      </c>
      <c r="AO15" s="122">
        <f t="shared" si="23"/>
        <v>0.43930172994400363</v>
      </c>
      <c r="AP15" s="122">
        <f t="shared" si="23"/>
        <v>0.4086904697300956</v>
      </c>
      <c r="AQ15" s="122">
        <f t="shared" si="23"/>
        <v>0.45314781613108512</v>
      </c>
      <c r="AR15" s="122">
        <f t="shared" si="23"/>
        <v>0.43328783778649677</v>
      </c>
      <c r="AS15" s="122">
        <f t="shared" si="23"/>
        <v>0.412447631113117</v>
      </c>
      <c r="AT15" s="122">
        <f t="shared" si="23"/>
        <v>0.42604749362466587</v>
      </c>
      <c r="AU15" s="122">
        <f t="shared" si="23"/>
        <v>0.41060802277672737</v>
      </c>
      <c r="AV15" s="122">
        <f t="shared" si="23"/>
        <v>0.48032617505504355</v>
      </c>
      <c r="AW15" s="122">
        <f t="shared" si="23"/>
        <v>0.47991145296290771</v>
      </c>
      <c r="AX15" s="122">
        <f t="shared" si="23"/>
        <v>0.39533552139971073</v>
      </c>
      <c r="AY15" s="122">
        <f t="shared" si="23"/>
        <v>0.47210014694667529</v>
      </c>
      <c r="AZ15" s="122">
        <f t="shared" si="23"/>
        <v>0.44819953227518206</v>
      </c>
      <c r="BA15" s="122">
        <f t="shared" si="23"/>
        <v>0.4307444748044264</v>
      </c>
      <c r="BB15" s="122">
        <f t="shared" si="23"/>
        <v>0.45361877279008617</v>
      </c>
      <c r="BC15" s="122">
        <f t="shared" si="23"/>
        <v>0.46214753736683023</v>
      </c>
      <c r="BD15" s="122">
        <f t="shared" si="23"/>
        <v>0.43362140745418842</v>
      </c>
      <c r="BE15" s="122">
        <f t="shared" si="23"/>
        <v>0.42196994191318177</v>
      </c>
      <c r="BF15" s="122">
        <f t="shared" si="23"/>
        <v>0.44773753988914239</v>
      </c>
      <c r="BG15" s="122">
        <f t="shared" si="23"/>
        <v>0.46297966716558309</v>
      </c>
      <c r="BH15" s="122">
        <f t="shared" si="23"/>
        <v>0.40606155589417836</v>
      </c>
      <c r="BI15" s="122">
        <f t="shared" si="23"/>
        <v>0.40538339276301588</v>
      </c>
      <c r="BJ15" s="122">
        <f t="shared" si="23"/>
        <v>0.42457238327970309</v>
      </c>
      <c r="BK15" s="122">
        <f t="shared" si="23"/>
        <v>0.43627780247904746</v>
      </c>
      <c r="BL15" s="122">
        <f t="shared" si="23"/>
        <v>0.42999640722033755</v>
      </c>
      <c r="BM15" s="122">
        <f t="shared" si="23"/>
        <v>0.39710848732494164</v>
      </c>
      <c r="BN15" s="122">
        <f t="shared" si="23"/>
        <v>0.39208861000604206</v>
      </c>
      <c r="BO15" s="122">
        <f t="shared" si="23"/>
        <v>0.39162758835649902</v>
      </c>
      <c r="BP15" s="122">
        <f t="shared" si="23"/>
        <v>0.39416357129998542</v>
      </c>
      <c r="BQ15" s="122">
        <f t="shared" si="23"/>
        <v>0.38802947307602581</v>
      </c>
      <c r="BR15" s="122">
        <f t="shared" si="23"/>
        <v>0.38301072404420228</v>
      </c>
      <c r="BS15" s="122">
        <f t="shared" si="23"/>
        <v>0.38772349819640173</v>
      </c>
      <c r="BT15" s="122">
        <f t="shared" si="23"/>
        <v>0.36204513587632836</v>
      </c>
      <c r="BU15" s="122">
        <f t="shared" si="23"/>
        <v>0.35715437380483323</v>
      </c>
      <c r="BV15" s="122">
        <f t="shared" si="23"/>
        <v>0.3682858154819319</v>
      </c>
      <c r="BW15" s="122">
        <f t="shared" si="23"/>
        <v>0.37103020882701737</v>
      </c>
      <c r="BX15" s="122">
        <f t="shared" si="23"/>
        <v>0.35484887774553148</v>
      </c>
      <c r="BY15" s="122">
        <f t="shared" si="23"/>
        <v>0.33160366315445455</v>
      </c>
      <c r="BZ15" s="122">
        <f t="shared" si="23"/>
        <v>0.38301058778613495</v>
      </c>
      <c r="CA15" s="122">
        <f t="shared" si="23"/>
        <v>0.32011315639973364</v>
      </c>
      <c r="CB15" s="122">
        <f t="shared" si="23"/>
        <v>0.38840675978401584</v>
      </c>
      <c r="CC15" s="122">
        <f t="shared" si="23"/>
        <v>0.32132864758483937</v>
      </c>
      <c r="CD15" s="122">
        <f t="shared" si="23"/>
        <v>0.26591923314864757</v>
      </c>
      <c r="CE15" s="122">
        <f t="shared" si="23"/>
        <v>0.31757469288618156</v>
      </c>
      <c r="CF15" s="122">
        <f t="shared" si="23"/>
        <v>0.26912388289334099</v>
      </c>
      <c r="CG15" s="122">
        <f t="shared" si="23"/>
        <v>0.35322783711841421</v>
      </c>
      <c r="CH15" s="122">
        <f t="shared" si="23"/>
        <v>0.33592722940163944</v>
      </c>
      <c r="CI15" s="122">
        <f t="shared" si="23"/>
        <v>0.27398695173125409</v>
      </c>
      <c r="CJ15" s="122">
        <f t="shared" ref="CJ15:DA15" si="24">CJ12/(CJ11+CJ12+CJ13)</f>
        <v>0.37786123782327302</v>
      </c>
      <c r="CK15" s="122">
        <f t="shared" si="24"/>
        <v>0.35801069479094583</v>
      </c>
      <c r="CL15" s="122">
        <f t="shared" si="24"/>
        <v>0.35862807517503892</v>
      </c>
      <c r="CM15" s="122">
        <f t="shared" si="24"/>
        <v>0.35187657231013869</v>
      </c>
      <c r="CN15" s="122">
        <f t="shared" si="24"/>
        <v>0.32503840324838879</v>
      </c>
      <c r="CO15" s="122">
        <f t="shared" si="24"/>
        <v>0.28612800530620308</v>
      </c>
      <c r="CP15" s="122">
        <f t="shared" si="24"/>
        <v>0.32264359038899443</v>
      </c>
      <c r="CQ15" s="122">
        <f t="shared" si="24"/>
        <v>0.31205282441137699</v>
      </c>
      <c r="CR15" s="122">
        <f t="shared" si="24"/>
        <v>0.30285740190284288</v>
      </c>
      <c r="CS15" s="122">
        <f t="shared" si="24"/>
        <v>0.3887079768095365</v>
      </c>
      <c r="CT15" s="122">
        <f t="shared" si="24"/>
        <v>0.35186039627077592</v>
      </c>
      <c r="CU15" s="122">
        <f t="shared" si="24"/>
        <v>0.36614207397425425</v>
      </c>
      <c r="CV15" s="122">
        <f t="shared" si="24"/>
        <v>0.32492780284993894</v>
      </c>
      <c r="CW15" s="122">
        <f t="shared" si="24"/>
        <v>0.35951195958327875</v>
      </c>
      <c r="CX15" s="122">
        <f t="shared" si="24"/>
        <v>0.36521657630113458</v>
      </c>
      <c r="CY15" s="122">
        <f t="shared" si="24"/>
        <v>0.35185542255100666</v>
      </c>
      <c r="CZ15" s="122">
        <f t="shared" si="24"/>
        <v>0.3443526702823434</v>
      </c>
      <c r="DA15" s="122">
        <f t="shared" si="24"/>
        <v>0.32729698259745105</v>
      </c>
      <c r="DC15">
        <v>11</v>
      </c>
      <c r="DD15" s="114">
        <v>58.808602419853074</v>
      </c>
      <c r="DE15" s="114">
        <v>28.167255796538232</v>
      </c>
      <c r="DF15" s="114">
        <v>19.444792202516233</v>
      </c>
      <c r="DG15" s="114">
        <v>59.710630582570154</v>
      </c>
      <c r="DH15" s="114">
        <v>17.376100138609768</v>
      </c>
      <c r="DI15" s="114">
        <v>20.808578102084549</v>
      </c>
      <c r="DJ15" s="114">
        <v>10.914330360578134</v>
      </c>
      <c r="DK15" s="114">
        <f t="shared" si="0"/>
        <v>119.12260721983762</v>
      </c>
      <c r="DL15" s="114">
        <f t="shared" si="1"/>
        <v>0.60420868203540246</v>
      </c>
      <c r="DM15" s="114">
        <f t="shared" si="2"/>
        <v>34.618607425790486</v>
      </c>
      <c r="DN15" s="115">
        <f t="shared" si="3"/>
        <v>2</v>
      </c>
      <c r="DO15">
        <v>3</v>
      </c>
      <c r="DQ15" t="s">
        <v>242</v>
      </c>
      <c r="DR15" s="117">
        <f t="shared" ref="DR15:EH15" si="25">(DR9+DS9)/2</f>
        <v>9.4725053018163461</v>
      </c>
      <c r="DS15" s="117">
        <f t="shared" si="25"/>
        <v>21.214201149733803</v>
      </c>
      <c r="DT15" s="117">
        <f t="shared" si="25"/>
        <v>25.340137672501196</v>
      </c>
      <c r="DU15" s="117">
        <f t="shared" si="25"/>
        <v>22.079952135287854</v>
      </c>
      <c r="DV15" s="117">
        <f t="shared" si="25"/>
        <v>19.938726683677427</v>
      </c>
      <c r="DW15" s="117">
        <f t="shared" si="25"/>
        <v>19.455068631731557</v>
      </c>
      <c r="DX15" s="117">
        <f t="shared" si="25"/>
        <v>13.12216966588614</v>
      </c>
      <c r="DY15" s="117">
        <f t="shared" si="25"/>
        <v>2.7593169895441321</v>
      </c>
      <c r="DZ15" s="117">
        <f t="shared" si="25"/>
        <v>-7.1616481087901054</v>
      </c>
      <c r="EA15" s="117">
        <f t="shared" si="25"/>
        <v>-14.478908033432386</v>
      </c>
      <c r="EB15" s="117">
        <f t="shared" si="25"/>
        <v>-19.823145133548337</v>
      </c>
      <c r="EC15" s="117">
        <f t="shared" si="25"/>
        <v>-21.690156836670852</v>
      </c>
      <c r="ED15" s="117">
        <f t="shared" si="25"/>
        <v>-18.804172935789907</v>
      </c>
      <c r="EE15" s="117">
        <f t="shared" si="25"/>
        <v>-17.924337612098444</v>
      </c>
      <c r="EF15" s="117">
        <f t="shared" si="25"/>
        <v>-12.753636452902947</v>
      </c>
      <c r="EG15" s="117">
        <f t="shared" si="25"/>
        <v>-2.0841997312458531</v>
      </c>
      <c r="EH15" s="117">
        <f t="shared" si="25"/>
        <v>1.3622202081603603</v>
      </c>
    </row>
    <row r="16" spans="1:138">
      <c r="A16">
        <v>415</v>
      </c>
      <c r="B16" s="120">
        <f>'Color metric'!B10</f>
        <v>5.2509907529722587E-2</v>
      </c>
      <c r="C16" s="112">
        <f>Reference!N16</f>
        <v>0.98019268113629998</v>
      </c>
      <c r="D16" s="112"/>
      <c r="E16" s="127"/>
      <c r="F16" s="125"/>
      <c r="G16" s="128"/>
      <c r="H16" s="128"/>
      <c r="I16" s="128"/>
      <c r="J16" s="128"/>
      <c r="K16" s="128"/>
      <c r="L16" s="128"/>
      <c r="M16" s="128"/>
      <c r="N16" s="128"/>
      <c r="O16" s="128"/>
      <c r="P16" s="128"/>
      <c r="Q16" s="128"/>
      <c r="R16" s="128"/>
      <c r="S16" s="128"/>
      <c r="T16" s="128"/>
      <c r="U16" s="128"/>
      <c r="V16" s="128"/>
      <c r="W16" s="128"/>
      <c r="X16" s="128"/>
      <c r="Y16" s="128"/>
      <c r="Z16" s="128"/>
      <c r="AA16" s="128"/>
      <c r="AB16" s="128"/>
      <c r="AC16" s="128"/>
      <c r="AD16" s="128"/>
      <c r="AE16" s="128"/>
      <c r="AF16" s="128"/>
      <c r="AG16" s="128"/>
      <c r="AH16" s="128"/>
      <c r="AI16" s="128"/>
      <c r="AJ16" s="128"/>
      <c r="AK16" s="128"/>
      <c r="AL16" s="128"/>
      <c r="AM16" s="128"/>
      <c r="AN16" s="128"/>
      <c r="AO16" s="128"/>
      <c r="AP16" s="128"/>
      <c r="AQ16" s="128"/>
      <c r="AR16" s="128"/>
      <c r="AS16" s="128"/>
      <c r="AT16" s="128"/>
      <c r="AU16" s="128"/>
      <c r="AV16" s="128"/>
      <c r="AW16" s="128"/>
      <c r="AX16" s="128"/>
      <c r="AY16" s="128"/>
      <c r="AZ16" s="128"/>
      <c r="BA16" s="128"/>
      <c r="BB16" s="128"/>
      <c r="BC16" s="128"/>
      <c r="BD16" s="128"/>
      <c r="BE16" s="128"/>
      <c r="BF16" s="128"/>
      <c r="BG16" s="128"/>
      <c r="BH16" s="128"/>
      <c r="BI16" s="128"/>
      <c r="BJ16" s="128"/>
      <c r="BK16" s="128"/>
      <c r="BL16" s="128"/>
      <c r="BM16" s="128"/>
      <c r="BN16" s="128"/>
      <c r="BO16" s="128"/>
      <c r="BP16" s="128"/>
      <c r="BQ16" s="128"/>
      <c r="BR16" s="128"/>
      <c r="BS16" s="128"/>
      <c r="BT16" s="128"/>
      <c r="BU16" s="128"/>
      <c r="BV16" s="128"/>
      <c r="BW16" s="128"/>
      <c r="BX16" s="128"/>
      <c r="BY16" s="128"/>
      <c r="BZ16" s="128"/>
      <c r="CA16" s="128"/>
      <c r="CB16" s="128"/>
      <c r="CC16" s="128"/>
      <c r="CD16" s="128"/>
      <c r="CE16" s="128"/>
      <c r="CF16" s="128"/>
      <c r="CG16" s="128"/>
      <c r="CH16" s="128"/>
      <c r="CI16" s="128"/>
      <c r="CJ16" s="128"/>
      <c r="CK16" s="128"/>
      <c r="CL16" s="128"/>
      <c r="CM16" s="128"/>
      <c r="CN16" s="128"/>
      <c r="CO16" s="128"/>
      <c r="CP16" s="128"/>
      <c r="CQ16" s="128"/>
      <c r="CR16" s="128"/>
      <c r="CS16" s="128"/>
      <c r="CT16" s="128"/>
      <c r="CU16" s="128"/>
      <c r="CV16" s="128"/>
      <c r="CW16" s="128"/>
      <c r="CX16" s="128"/>
      <c r="CY16" s="128"/>
      <c r="CZ16" s="128"/>
      <c r="DA16" s="128"/>
      <c r="DC16">
        <v>12</v>
      </c>
      <c r="DD16" s="114">
        <v>65.051509547114748</v>
      </c>
      <c r="DE16" s="114">
        <v>30.066641713101795</v>
      </c>
      <c r="DF16" s="114">
        <v>20.953084346989336</v>
      </c>
      <c r="DG16" s="114">
        <v>65.232591514865561</v>
      </c>
      <c r="DH16" s="114">
        <v>19.07931764678283</v>
      </c>
      <c r="DI16" s="114">
        <v>22.155596984982246</v>
      </c>
      <c r="DJ16" s="114">
        <v>11.054416197243937</v>
      </c>
      <c r="DK16" s="114">
        <f t="shared" si="0"/>
        <v>122.20011746188909</v>
      </c>
      <c r="DL16" s="114">
        <f t="shared" si="1"/>
        <v>0.60863437560936196</v>
      </c>
      <c r="DM16" s="114">
        <f t="shared" si="2"/>
        <v>34.872180988996533</v>
      </c>
      <c r="DN16" s="115">
        <f t="shared" si="3"/>
        <v>2</v>
      </c>
      <c r="DO16">
        <v>1</v>
      </c>
      <c r="DQ16" t="s">
        <v>243</v>
      </c>
      <c r="DR16" s="117">
        <f t="shared" ref="DR16:EH16" si="26">(DR8-DR6)/SQRT(DR6^2+DR7^2)</f>
        <v>-0.2638620614811848</v>
      </c>
      <c r="DS16" s="117">
        <f t="shared" si="26"/>
        <v>-0.30698886289515642</v>
      </c>
      <c r="DT16" s="117">
        <f t="shared" si="26"/>
        <v>-0.33805453676291292</v>
      </c>
      <c r="DU16" s="117">
        <f t="shared" si="26"/>
        <v>-0.26485085209710096</v>
      </c>
      <c r="DV16" s="117">
        <f t="shared" si="26"/>
        <v>-0.15577499994645869</v>
      </c>
      <c r="DW16" s="117">
        <f t="shared" si="26"/>
        <v>4.516258386458509E-2</v>
      </c>
      <c r="DX16" s="117">
        <f t="shared" si="26"/>
        <v>0.16803266044801524</v>
      </c>
      <c r="DY16" s="117">
        <f t="shared" si="26"/>
        <v>0.23380048338148288</v>
      </c>
      <c r="DZ16" s="117">
        <f t="shared" si="26"/>
        <v>0.23808017907037352</v>
      </c>
      <c r="EA16" s="117">
        <f t="shared" si="26"/>
        <v>0.30847900568022796</v>
      </c>
      <c r="EB16" s="117">
        <f t="shared" si="26"/>
        <v>0.34597564242319445</v>
      </c>
      <c r="EC16" s="117">
        <f t="shared" si="26"/>
        <v>0.19512814619959737</v>
      </c>
      <c r="ED16" s="117">
        <f t="shared" si="26"/>
        <v>2.6012439824081888E-2</v>
      </c>
      <c r="EE16" s="117">
        <f t="shared" si="26"/>
        <v>-8.6143545380738387E-2</v>
      </c>
      <c r="EF16" s="117">
        <f t="shared" si="26"/>
        <v>-0.14425841263901495</v>
      </c>
      <c r="EG16" s="117">
        <f t="shared" si="26"/>
        <v>-0.25868160369309257</v>
      </c>
      <c r="EH16" s="117">
        <f t="shared" si="26"/>
        <v>-0.2638620614811848</v>
      </c>
    </row>
    <row r="17" spans="1:138">
      <c r="A17">
        <v>420</v>
      </c>
      <c r="B17" s="120">
        <f>'Color metric'!B11</f>
        <v>5.8124174372523117E-2</v>
      </c>
      <c r="C17" s="112">
        <f>Reference!N17</f>
        <v>1.0624726701812641</v>
      </c>
      <c r="D17" s="112"/>
      <c r="E17" s="129" t="s">
        <v>244</v>
      </c>
      <c r="F17" s="130">
        <f t="shared" ref="F17:BQ18" si="27">F14-F8</f>
        <v>4.3095869384641716E-3</v>
      </c>
      <c r="G17" s="131">
        <f t="shared" si="27"/>
        <v>-8.8006279612375393E-3</v>
      </c>
      <c r="H17" s="131">
        <f t="shared" si="27"/>
        <v>-3.1401869370167534E-2</v>
      </c>
      <c r="I17" s="131">
        <f t="shared" si="27"/>
        <v>-2.231521501169037E-2</v>
      </c>
      <c r="J17" s="131">
        <f t="shared" si="27"/>
        <v>-1.9168654366783389E-2</v>
      </c>
      <c r="K17" s="131">
        <f t="shared" si="27"/>
        <v>-5.1405541336062566E-2</v>
      </c>
      <c r="L17" s="131">
        <f t="shared" si="27"/>
        <v>-2.100282590382524E-2</v>
      </c>
      <c r="M17" s="131">
        <f t="shared" si="27"/>
        <v>-3.7425758877964066E-2</v>
      </c>
      <c r="N17" s="131">
        <f t="shared" si="27"/>
        <v>-4.2191930609181028E-2</v>
      </c>
      <c r="O17" s="131">
        <f t="shared" si="27"/>
        <v>3.8373158378485206E-3</v>
      </c>
      <c r="P17" s="131">
        <f t="shared" si="27"/>
        <v>-2.0706334961428263E-2</v>
      </c>
      <c r="Q17" s="131">
        <f t="shared" si="27"/>
        <v>-2.8719716983345633E-2</v>
      </c>
      <c r="R17" s="131">
        <f t="shared" si="27"/>
        <v>-2.8260337596213048E-2</v>
      </c>
      <c r="S17" s="131">
        <f t="shared" si="27"/>
        <v>-1.5526016119608355E-2</v>
      </c>
      <c r="T17" s="131">
        <f t="shared" si="27"/>
        <v>4.4794923821367405E-6</v>
      </c>
      <c r="U17" s="131">
        <f t="shared" si="27"/>
        <v>-3.5305137564516365E-3</v>
      </c>
      <c r="V17" s="131">
        <f t="shared" si="27"/>
        <v>-2.1326851447703854E-2</v>
      </c>
      <c r="W17" s="131">
        <f t="shared" si="27"/>
        <v>-1.6478602689433242E-2</v>
      </c>
      <c r="X17" s="131">
        <f t="shared" si="27"/>
        <v>-6.5587911981235258E-3</v>
      </c>
      <c r="Y17" s="131">
        <f t="shared" si="27"/>
        <v>-1.1683313084611457E-2</v>
      </c>
      <c r="Z17" s="131">
        <f t="shared" si="27"/>
        <v>-1.0891829290848976E-2</v>
      </c>
      <c r="AA17" s="131">
        <f t="shared" si="27"/>
        <v>-1.3496816441008308E-2</v>
      </c>
      <c r="AB17" s="131">
        <f t="shared" si="27"/>
        <v>-1.2864336895133111E-2</v>
      </c>
      <c r="AC17" s="131">
        <f t="shared" si="27"/>
        <v>1.9226616625547255E-3</v>
      </c>
      <c r="AD17" s="131">
        <f t="shared" si="27"/>
        <v>-4.4423266843639508E-3</v>
      </c>
      <c r="AE17" s="131">
        <f t="shared" si="27"/>
        <v>-1.5919550125968129E-2</v>
      </c>
      <c r="AF17" s="131">
        <f t="shared" si="27"/>
        <v>-3.9381010162768959E-3</v>
      </c>
      <c r="AG17" s="131">
        <f t="shared" si="27"/>
        <v>5.140149406315464E-3</v>
      </c>
      <c r="AH17" s="131">
        <f t="shared" si="27"/>
        <v>7.6590048216695905E-4</v>
      </c>
      <c r="AI17" s="131">
        <f t="shared" si="27"/>
        <v>4.2668628474014092E-3</v>
      </c>
      <c r="AJ17" s="131">
        <f t="shared" si="27"/>
        <v>1.3125144029435265E-2</v>
      </c>
      <c r="AK17" s="131">
        <f t="shared" si="27"/>
        <v>5.9051324535311922E-3</v>
      </c>
      <c r="AL17" s="131">
        <f t="shared" si="27"/>
        <v>-1.369733754972513E-3</v>
      </c>
      <c r="AM17" s="131">
        <f t="shared" si="27"/>
        <v>1.0315108794490713E-2</v>
      </c>
      <c r="AN17" s="131">
        <f t="shared" si="27"/>
        <v>1.4595125423029209E-3</v>
      </c>
      <c r="AO17" s="131">
        <f t="shared" si="27"/>
        <v>4.4401708726342082E-3</v>
      </c>
      <c r="AP17" s="131">
        <f t="shared" si="27"/>
        <v>1.0037467908705411E-2</v>
      </c>
      <c r="AQ17" s="131">
        <f t="shared" si="27"/>
        <v>3.485955757155268E-3</v>
      </c>
      <c r="AR17" s="131">
        <f t="shared" si="27"/>
        <v>1.6120330672333372E-2</v>
      </c>
      <c r="AS17" s="131">
        <f t="shared" si="27"/>
        <v>8.8726454612835792E-3</v>
      </c>
      <c r="AT17" s="131">
        <f t="shared" si="27"/>
        <v>1.0385591081507217E-2</v>
      </c>
      <c r="AU17" s="131">
        <f t="shared" si="27"/>
        <v>9.696236657156132E-3</v>
      </c>
      <c r="AV17" s="131">
        <f t="shared" si="27"/>
        <v>1.6261772816238085E-2</v>
      </c>
      <c r="AW17" s="131">
        <f t="shared" si="27"/>
        <v>2.4097278257954491E-2</v>
      </c>
      <c r="AX17" s="131">
        <f t="shared" si="27"/>
        <v>4.9421071876821765E-3</v>
      </c>
      <c r="AY17" s="131">
        <f t="shared" si="27"/>
        <v>2.5886386873997747E-2</v>
      </c>
      <c r="AZ17" s="131">
        <f t="shared" si="27"/>
        <v>2.3957338408175932E-2</v>
      </c>
      <c r="BA17" s="131">
        <f t="shared" si="27"/>
        <v>1.6964357794972906E-2</v>
      </c>
      <c r="BB17" s="131">
        <f t="shared" si="27"/>
        <v>3.3230910851518469E-2</v>
      </c>
      <c r="BC17" s="131">
        <f t="shared" si="27"/>
        <v>3.1465882142241886E-2</v>
      </c>
      <c r="BD17" s="131">
        <f t="shared" si="27"/>
        <v>2.415816875067428E-2</v>
      </c>
      <c r="BE17" s="131">
        <f t="shared" si="27"/>
        <v>2.0770682793133155E-2</v>
      </c>
      <c r="BF17" s="131">
        <f t="shared" si="27"/>
        <v>3.3088128490041946E-2</v>
      </c>
      <c r="BG17" s="131">
        <f t="shared" si="27"/>
        <v>4.9735856506663734E-2</v>
      </c>
      <c r="BH17" s="131">
        <f t="shared" si="27"/>
        <v>1.6886861102391681E-2</v>
      </c>
      <c r="BI17" s="131">
        <f t="shared" si="27"/>
        <v>1.9053529634518562E-2</v>
      </c>
      <c r="BJ17" s="131">
        <f t="shared" si="27"/>
        <v>4.0402208582037025E-2</v>
      </c>
      <c r="BK17" s="131">
        <f t="shared" si="27"/>
        <v>5.2202113451926047E-2</v>
      </c>
      <c r="BL17" s="131">
        <f t="shared" si="27"/>
        <v>5.1331795740092778E-2</v>
      </c>
      <c r="BM17" s="131">
        <f t="shared" si="27"/>
        <v>1.4259263056363325E-2</v>
      </c>
      <c r="BN17" s="131">
        <f t="shared" si="27"/>
        <v>8.4013724528901879E-3</v>
      </c>
      <c r="BO17" s="131">
        <f t="shared" si="27"/>
        <v>1.374693864141513E-2</v>
      </c>
      <c r="BP17" s="131">
        <f t="shared" si="27"/>
        <v>1.262887183107303E-2</v>
      </c>
      <c r="BQ17" s="131">
        <f t="shared" si="27"/>
        <v>1.8732874354864482E-2</v>
      </c>
      <c r="BR17" s="131">
        <f t="shared" ref="BR17:DA18" si="28">BR14-BR8</f>
        <v>4.0583840634512702E-2</v>
      </c>
      <c r="BS17" s="131">
        <f t="shared" si="28"/>
        <v>4.370229233734324E-2</v>
      </c>
      <c r="BT17" s="131">
        <f t="shared" si="28"/>
        <v>4.2727667119753843E-2</v>
      </c>
      <c r="BU17" s="131">
        <f t="shared" si="28"/>
        <v>4.1441278031419115E-2</v>
      </c>
      <c r="BV17" s="131">
        <f t="shared" si="28"/>
        <v>1.810192444978892E-2</v>
      </c>
      <c r="BW17" s="131">
        <f t="shared" si="28"/>
        <v>9.5821608560116012E-3</v>
      </c>
      <c r="BX17" s="131">
        <f t="shared" si="28"/>
        <v>1.8227045083115456E-2</v>
      </c>
      <c r="BY17" s="131">
        <f t="shared" si="28"/>
        <v>3.267638024807179E-2</v>
      </c>
      <c r="BZ17" s="131">
        <f t="shared" si="28"/>
        <v>7.8086353591747537E-3</v>
      </c>
      <c r="CA17" s="131">
        <f t="shared" si="28"/>
        <v>2.0385065072137498E-2</v>
      </c>
      <c r="CB17" s="131">
        <f t="shared" si="28"/>
        <v>7.0522125894642018E-3</v>
      </c>
      <c r="CC17" s="131">
        <f t="shared" si="28"/>
        <v>2.9429890628391076E-2</v>
      </c>
      <c r="CD17" s="131">
        <f t="shared" si="28"/>
        <v>6.1987317768951722E-3</v>
      </c>
      <c r="CE17" s="131">
        <f t="shared" si="28"/>
        <v>-4.0308714121897737E-3</v>
      </c>
      <c r="CF17" s="131">
        <f t="shared" si="28"/>
        <v>7.8349664263058227E-3</v>
      </c>
      <c r="CG17" s="131">
        <f t="shared" si="28"/>
        <v>-5.7038018544414149E-4</v>
      </c>
      <c r="CH17" s="131">
        <f t="shared" si="28"/>
        <v>-2.3244337913172486E-3</v>
      </c>
      <c r="CI17" s="131">
        <f t="shared" si="28"/>
        <v>-2.9903327753389441E-2</v>
      </c>
      <c r="CJ17" s="131">
        <f t="shared" si="28"/>
        <v>2.9890360340312228E-3</v>
      </c>
      <c r="CK17" s="131">
        <f t="shared" si="28"/>
        <v>-1.3983028953936105E-3</v>
      </c>
      <c r="CL17" s="131">
        <f t="shared" si="28"/>
        <v>-5.0119334644149749E-4</v>
      </c>
      <c r="CM17" s="131">
        <f t="shared" si="28"/>
        <v>-8.1351053438911136E-3</v>
      </c>
      <c r="CN17" s="131">
        <f t="shared" si="28"/>
        <v>-2.2783422256448416E-2</v>
      </c>
      <c r="CO17" s="131">
        <f t="shared" si="28"/>
        <v>-2.0471903980109063E-2</v>
      </c>
      <c r="CP17" s="131">
        <f t="shared" si="28"/>
        <v>-1.8354559361278722E-2</v>
      </c>
      <c r="CQ17" s="131">
        <f t="shared" si="28"/>
        <v>-2.9415462184566699E-2</v>
      </c>
      <c r="CR17" s="131">
        <f t="shared" si="28"/>
        <v>-2.9177033776178529E-2</v>
      </c>
      <c r="CS17" s="131">
        <f t="shared" si="28"/>
        <v>4.7314085432071384E-3</v>
      </c>
      <c r="CT17" s="131">
        <f t="shared" si="28"/>
        <v>-2.1223999722978615E-2</v>
      </c>
      <c r="CU17" s="131">
        <f t="shared" si="28"/>
        <v>-1.0665187895614325E-2</v>
      </c>
      <c r="CV17" s="131">
        <f t="shared" si="28"/>
        <v>-4.6783134592823628E-2</v>
      </c>
      <c r="CW17" s="131">
        <f t="shared" si="28"/>
        <v>-1.5271989380488737E-2</v>
      </c>
      <c r="CX17" s="131">
        <f t="shared" si="28"/>
        <v>-1.2253346715279723E-2</v>
      </c>
      <c r="CY17" s="131">
        <f t="shared" si="28"/>
        <v>-1.7347764051405423E-2</v>
      </c>
      <c r="CZ17" s="131">
        <f t="shared" si="28"/>
        <v>-2.6715550131777843E-2</v>
      </c>
      <c r="DA17" s="131">
        <f t="shared" si="28"/>
        <v>-4.1438740162610621E-2</v>
      </c>
      <c r="DC17">
        <v>13</v>
      </c>
      <c r="DD17" s="114">
        <v>44.027273243407016</v>
      </c>
      <c r="DE17" s="114">
        <v>18.981335194394759</v>
      </c>
      <c r="DF17" s="114">
        <v>14.44279297161653</v>
      </c>
      <c r="DG17" s="114">
        <v>42.054830680102121</v>
      </c>
      <c r="DH17" s="114">
        <v>13.016143044619801</v>
      </c>
      <c r="DI17" s="114">
        <v>14.335433580922212</v>
      </c>
      <c r="DJ17" s="114">
        <v>6.2837546966796722</v>
      </c>
      <c r="DK17" s="114">
        <f t="shared" si="0"/>
        <v>39.485573088043843</v>
      </c>
      <c r="DL17" s="114">
        <f t="shared" si="1"/>
        <v>0.65043718626416758</v>
      </c>
      <c r="DM17" s="114">
        <f t="shared" si="2"/>
        <v>37.267305611301403</v>
      </c>
      <c r="DN17" s="115">
        <f t="shared" si="3"/>
        <v>2</v>
      </c>
      <c r="DO17">
        <v>6</v>
      </c>
      <c r="DQ17" t="s">
        <v>245</v>
      </c>
      <c r="DR17" s="117">
        <f t="shared" ref="DR17:EH17" si="29">(DR9-DR7)/SQRT(DR6^2+DR7^2)</f>
        <v>-9.715779720972384E-2</v>
      </c>
      <c r="DS17" s="117">
        <f t="shared" si="29"/>
        <v>4.396938279012149E-2</v>
      </c>
      <c r="DT17" s="117">
        <f t="shared" si="29"/>
        <v>0.12184669291955859</v>
      </c>
      <c r="DU17" s="117">
        <f t="shared" si="29"/>
        <v>0.19828198229933805</v>
      </c>
      <c r="DV17" s="117">
        <f t="shared" si="29"/>
        <v>0.17110843052747546</v>
      </c>
      <c r="DW17" s="117">
        <f t="shared" si="29"/>
        <v>0.15713078426406429</v>
      </c>
      <c r="DX17" s="117">
        <f t="shared" si="29"/>
        <v>0.24642401490383412</v>
      </c>
      <c r="DY17" s="117">
        <f t="shared" si="29"/>
        <v>8.4968241542671491E-2</v>
      </c>
      <c r="DZ17" s="117">
        <f t="shared" si="29"/>
        <v>8.192253134204687E-2</v>
      </c>
      <c r="EA17" s="117">
        <f t="shared" si="29"/>
        <v>-1.572843012778084E-2</v>
      </c>
      <c r="EB17" s="117">
        <f t="shared" si="29"/>
        <v>-4.2439782941630713E-2</v>
      </c>
      <c r="EC17" s="117">
        <f t="shared" si="29"/>
        <v>-8.2670224753329039E-2</v>
      </c>
      <c r="ED17" s="117">
        <f t="shared" si="29"/>
        <v>-0.12805721616103247</v>
      </c>
      <c r="EE17" s="117">
        <f t="shared" si="29"/>
        <v>-0.19324412706554675</v>
      </c>
      <c r="EF17" s="117">
        <f t="shared" si="29"/>
        <v>-0.22339369711254028</v>
      </c>
      <c r="EG17" s="117">
        <f t="shared" si="29"/>
        <v>-0.15609282924503484</v>
      </c>
      <c r="EH17" s="117">
        <f t="shared" si="29"/>
        <v>-9.715779720972384E-2</v>
      </c>
    </row>
    <row r="18" spans="1:138">
      <c r="A18">
        <v>425</v>
      </c>
      <c r="B18" s="120">
        <f>'Color metric'!B12</f>
        <v>6.3738441215323641E-2</v>
      </c>
      <c r="C18" s="112">
        <f>Reference!N18</f>
        <v>1.1486728024820738</v>
      </c>
      <c r="D18" s="112"/>
      <c r="E18" s="129" t="s">
        <v>246</v>
      </c>
      <c r="F18" s="130">
        <f t="shared" si="27"/>
        <v>-1.3481645158371469E-2</v>
      </c>
      <c r="G18" s="131">
        <f t="shared" si="27"/>
        <v>-7.3101745436495169E-3</v>
      </c>
      <c r="H18" s="131">
        <f t="shared" si="27"/>
        <v>1.5888629661411358E-3</v>
      </c>
      <c r="I18" s="131">
        <f t="shared" si="27"/>
        <v>2.0256247805338634E-3</v>
      </c>
      <c r="J18" s="131">
        <f t="shared" si="27"/>
        <v>1.1759834296313221E-3</v>
      </c>
      <c r="K18" s="131">
        <f t="shared" si="27"/>
        <v>1.1151372559460082E-2</v>
      </c>
      <c r="L18" s="131">
        <f t="shared" si="27"/>
        <v>3.7502291344058691E-3</v>
      </c>
      <c r="M18" s="131">
        <f t="shared" si="27"/>
        <v>1.1134513138653435E-2</v>
      </c>
      <c r="N18" s="131">
        <f t="shared" si="27"/>
        <v>1.2895225839264335E-2</v>
      </c>
      <c r="O18" s="131">
        <f t="shared" si="27"/>
        <v>-1.3172807394697839E-2</v>
      </c>
      <c r="P18" s="131">
        <f t="shared" si="27"/>
        <v>1.2281854471428877E-2</v>
      </c>
      <c r="Q18" s="131">
        <f t="shared" si="27"/>
        <v>1.9527536795541534E-2</v>
      </c>
      <c r="R18" s="131">
        <f t="shared" si="27"/>
        <v>1.8948096044082763E-2</v>
      </c>
      <c r="S18" s="131">
        <f t="shared" si="27"/>
        <v>6.1792142617068668E-3</v>
      </c>
      <c r="T18" s="131">
        <f t="shared" si="27"/>
        <v>-7.6635781911663092E-3</v>
      </c>
      <c r="U18" s="131">
        <f t="shared" si="27"/>
        <v>6.4226367691516684E-4</v>
      </c>
      <c r="V18" s="131">
        <f t="shared" si="27"/>
        <v>1.6960378091202488E-2</v>
      </c>
      <c r="W18" s="131">
        <f t="shared" si="27"/>
        <v>1.5809832980596239E-2</v>
      </c>
      <c r="X18" s="131">
        <f t="shared" si="27"/>
        <v>5.1988199082479425E-3</v>
      </c>
      <c r="Y18" s="131">
        <f t="shared" si="27"/>
        <v>1.0709152290068247E-2</v>
      </c>
      <c r="Z18" s="131">
        <f t="shared" si="27"/>
        <v>1.7976932674520552E-2</v>
      </c>
      <c r="AA18" s="131">
        <f t="shared" si="27"/>
        <v>1.290843025618138E-2</v>
      </c>
      <c r="AB18" s="131">
        <f t="shared" si="27"/>
        <v>1.5794484894922356E-2</v>
      </c>
      <c r="AC18" s="131">
        <f t="shared" si="27"/>
        <v>-4.0886201127471322E-3</v>
      </c>
      <c r="AD18" s="131">
        <f t="shared" si="27"/>
        <v>4.5561577287572264E-3</v>
      </c>
      <c r="AE18" s="131">
        <f t="shared" si="27"/>
        <v>1.5104771968633912E-2</v>
      </c>
      <c r="AF18" s="131">
        <f t="shared" si="27"/>
        <v>8.3831535407922764E-3</v>
      </c>
      <c r="AG18" s="131">
        <f t="shared" si="27"/>
        <v>-1.453778475191625E-3</v>
      </c>
      <c r="AH18" s="131">
        <f t="shared" si="27"/>
        <v>-2.1099500390060477E-3</v>
      </c>
      <c r="AI18" s="131">
        <f t="shared" si="27"/>
        <v>9.3279676630065866E-3</v>
      </c>
      <c r="AJ18" s="131">
        <f t="shared" si="27"/>
        <v>9.0164398504162802E-3</v>
      </c>
      <c r="AK18" s="131">
        <f t="shared" si="27"/>
        <v>6.3949771818526679E-3</v>
      </c>
      <c r="AL18" s="131">
        <f t="shared" si="27"/>
        <v>9.9715298230075855E-3</v>
      </c>
      <c r="AM18" s="131">
        <f t="shared" si="27"/>
        <v>3.0209504205472859E-3</v>
      </c>
      <c r="AN18" s="131">
        <f t="shared" si="27"/>
        <v>3.4742404837772578E-3</v>
      </c>
      <c r="AO18" s="131">
        <f t="shared" si="27"/>
        <v>-3.4568563653679107E-3</v>
      </c>
      <c r="AP18" s="131">
        <f t="shared" si="27"/>
        <v>-4.5833251977072109E-3</v>
      </c>
      <c r="AQ18" s="131">
        <f t="shared" si="27"/>
        <v>-1.3947446557899257E-4</v>
      </c>
      <c r="AR18" s="131">
        <f t="shared" si="27"/>
        <v>3.1660333581914335E-3</v>
      </c>
      <c r="AS18" s="131">
        <f t="shared" si="27"/>
        <v>-1.1291182283759804E-2</v>
      </c>
      <c r="AT18" s="131">
        <f t="shared" si="27"/>
        <v>-1.1081499220498947E-2</v>
      </c>
      <c r="AU18" s="131">
        <f t="shared" si="27"/>
        <v>-7.2252491576269562E-3</v>
      </c>
      <c r="AV18" s="131">
        <f t="shared" si="27"/>
        <v>-9.0092416084540106E-3</v>
      </c>
      <c r="AW18" s="131">
        <f t="shared" si="27"/>
        <v>-9.2508088673586841E-3</v>
      </c>
      <c r="AX18" s="131">
        <f t="shared" si="27"/>
        <v>-1.294980948866975E-2</v>
      </c>
      <c r="AY18" s="131">
        <f t="shared" si="27"/>
        <v>-1.3611067869827131E-2</v>
      </c>
      <c r="AZ18" s="131">
        <f t="shared" si="27"/>
        <v>-1.0455270413294471E-2</v>
      </c>
      <c r="BA18" s="131">
        <f t="shared" si="27"/>
        <v>-4.2795519126223036E-3</v>
      </c>
      <c r="BB18" s="131">
        <f t="shared" si="27"/>
        <v>-8.3989714429575368E-3</v>
      </c>
      <c r="BC18" s="131">
        <f t="shared" si="27"/>
        <v>-1.4489665450682976E-2</v>
      </c>
      <c r="BD18" s="131">
        <f t="shared" si="27"/>
        <v>-2.0061491271921361E-2</v>
      </c>
      <c r="BE18" s="131">
        <f t="shared" si="27"/>
        <v>-2.0002899859945966E-2</v>
      </c>
      <c r="BF18" s="131">
        <f t="shared" si="27"/>
        <v>-3.1402904872765536E-2</v>
      </c>
      <c r="BG18" s="131">
        <f t="shared" si="27"/>
        <v>-3.7385009506422484E-2</v>
      </c>
      <c r="BH18" s="131">
        <f t="shared" si="27"/>
        <v>-1.584371348542718E-2</v>
      </c>
      <c r="BI18" s="131">
        <f t="shared" si="27"/>
        <v>-1.7664522111907111E-2</v>
      </c>
      <c r="BJ18" s="131">
        <f t="shared" si="27"/>
        <v>-2.948721165702356E-2</v>
      </c>
      <c r="BK18" s="131">
        <f t="shared" si="27"/>
        <v>-3.3534834671980873E-2</v>
      </c>
      <c r="BL18" s="131">
        <f t="shared" si="27"/>
        <v>-3.4649054573070548E-2</v>
      </c>
      <c r="BM18" s="131">
        <f t="shared" si="27"/>
        <v>-2.0856639491259266E-2</v>
      </c>
      <c r="BN18" s="131">
        <f t="shared" si="27"/>
        <v>-1.4977815760744528E-2</v>
      </c>
      <c r="BO18" s="131">
        <f t="shared" si="27"/>
        <v>-2.2143064675664459E-2</v>
      </c>
      <c r="BP18" s="131">
        <f t="shared" si="27"/>
        <v>-1.1067052970119062E-2</v>
      </c>
      <c r="BQ18" s="131">
        <f t="shared" si="27"/>
        <v>-1.432440523486922E-2</v>
      </c>
      <c r="BR18" s="131">
        <f t="shared" si="28"/>
        <v>-4.1400453910427626E-2</v>
      </c>
      <c r="BS18" s="131">
        <f t="shared" si="28"/>
        <v>-2.7946749122102044E-2</v>
      </c>
      <c r="BT18" s="131">
        <f t="shared" si="28"/>
        <v>-4.4864430765887808E-2</v>
      </c>
      <c r="BU18" s="131">
        <f t="shared" si="28"/>
        <v>-4.4905911456258218E-2</v>
      </c>
      <c r="BV18" s="131">
        <f t="shared" si="28"/>
        <v>-3.2292551244471002E-2</v>
      </c>
      <c r="BW18" s="131">
        <f t="shared" si="28"/>
        <v>-2.541778424828911E-2</v>
      </c>
      <c r="BX18" s="131">
        <f t="shared" si="28"/>
        <v>-3.30741168320976E-2</v>
      </c>
      <c r="BY18" s="131">
        <f t="shared" si="28"/>
        <v>-3.3091895741145572E-2</v>
      </c>
      <c r="BZ18" s="131">
        <f t="shared" si="28"/>
        <v>-1.7804069892601859E-2</v>
      </c>
      <c r="CA18" s="131">
        <f t="shared" si="28"/>
        <v>-4.6698845262412747E-2</v>
      </c>
      <c r="CB18" s="131">
        <f t="shared" si="28"/>
        <v>-1.0393250336028226E-2</v>
      </c>
      <c r="CC18" s="131">
        <f t="shared" si="28"/>
        <v>-2.913818167683363E-2</v>
      </c>
      <c r="CD18" s="131">
        <f t="shared" si="28"/>
        <v>-5.7299115243580889E-2</v>
      </c>
      <c r="CE18" s="131">
        <f t="shared" si="28"/>
        <v>-3.6491116728708917E-2</v>
      </c>
      <c r="CF18" s="131">
        <f t="shared" si="28"/>
        <v>-4.8235963743000598E-2</v>
      </c>
      <c r="CG18" s="131">
        <f t="shared" si="28"/>
        <v>-2.4473609005435104E-2</v>
      </c>
      <c r="CH18" s="131">
        <f t="shared" si="28"/>
        <v>-2.4805668226017319E-2</v>
      </c>
      <c r="CI18" s="131">
        <f t="shared" si="28"/>
        <v>-4.2127933176376253E-2</v>
      </c>
      <c r="CJ18" s="131">
        <f t="shared" si="28"/>
        <v>-1.5786654597940486E-2</v>
      </c>
      <c r="CK18" s="131">
        <f t="shared" si="28"/>
        <v>-1.9758967022464768E-2</v>
      </c>
      <c r="CL18" s="131">
        <f t="shared" si="28"/>
        <v>-2.23702930372216E-2</v>
      </c>
      <c r="CM18" s="131">
        <f t="shared" si="28"/>
        <v>-1.543973001682547E-2</v>
      </c>
      <c r="CN18" s="131">
        <f t="shared" si="28"/>
        <v>-2.5394428294701343E-2</v>
      </c>
      <c r="CO18" s="131">
        <f t="shared" si="28"/>
        <v>-3.1979248621236855E-2</v>
      </c>
      <c r="CP18" s="131">
        <f t="shared" si="28"/>
        <v>-2.2113572972261408E-2</v>
      </c>
      <c r="CQ18" s="131">
        <f t="shared" si="28"/>
        <v>-1.7043367772613893E-2</v>
      </c>
      <c r="CR18" s="131">
        <f t="shared" si="28"/>
        <v>-2.3974321666368592E-2</v>
      </c>
      <c r="CS18" s="131">
        <f t="shared" si="28"/>
        <v>-9.7132616925951765E-3</v>
      </c>
      <c r="CT18" s="131">
        <f t="shared" si="28"/>
        <v>-1.0216282215683048E-2</v>
      </c>
      <c r="CU18" s="131">
        <f t="shared" si="28"/>
        <v>-8.8715326313366094E-3</v>
      </c>
      <c r="CV18" s="131">
        <f t="shared" si="28"/>
        <v>-8.8671160327336573E-3</v>
      </c>
      <c r="CW18" s="131">
        <f t="shared" si="28"/>
        <v>-8.7902064513405986E-3</v>
      </c>
      <c r="CX18" s="131">
        <f t="shared" si="28"/>
        <v>-9.0934147469860505E-3</v>
      </c>
      <c r="CY18" s="131">
        <f t="shared" si="28"/>
        <v>-1.0782076773335203E-3</v>
      </c>
      <c r="CZ18" s="131">
        <f t="shared" si="28"/>
        <v>-3.4096936606506922E-3</v>
      </c>
      <c r="DA18" s="131">
        <f t="shared" si="28"/>
        <v>-6.4692120770696859E-3</v>
      </c>
      <c r="DC18">
        <v>14</v>
      </c>
      <c r="DD18" s="114">
        <v>74.249144895382329</v>
      </c>
      <c r="DE18" s="114">
        <v>6.453747927251869</v>
      </c>
      <c r="DF18" s="114">
        <v>5.9112702987406962</v>
      </c>
      <c r="DG18" s="114">
        <v>74.316593408158582</v>
      </c>
      <c r="DH18" s="114">
        <v>3.7459609736067416</v>
      </c>
      <c r="DI18" s="114">
        <v>6.4874946908352031</v>
      </c>
      <c r="DJ18" s="114">
        <v>2.7692406970596055</v>
      </c>
      <c r="DK18" s="114">
        <f t="shared" si="0"/>
        <v>7.6686940382511697</v>
      </c>
      <c r="DL18" s="114">
        <f t="shared" si="1"/>
        <v>0.74155431492649748</v>
      </c>
      <c r="DM18" s="114">
        <f t="shared" si="2"/>
        <v>42.487932525003416</v>
      </c>
      <c r="DN18" s="115">
        <f t="shared" si="3"/>
        <v>2</v>
      </c>
      <c r="DO18">
        <v>5</v>
      </c>
      <c r="DQ18" t="s">
        <v>247</v>
      </c>
      <c r="DR18" s="117">
        <f>COS(DR11)</f>
        <v>0.97866296321567658</v>
      </c>
      <c r="DS18" s="117">
        <f t="shared" ref="DS18:EG18" si="30">COS(DS11)</f>
        <v>0.79420805449404652</v>
      </c>
      <c r="DT18" s="117">
        <f t="shared" si="30"/>
        <v>0.5579310600207803</v>
      </c>
      <c r="DU18" s="117">
        <f t="shared" si="30"/>
        <v>0.12023914883379919</v>
      </c>
      <c r="DV18" s="117">
        <f t="shared" si="30"/>
        <v>-0.21255063616334341</v>
      </c>
      <c r="DW18" s="117">
        <f t="shared" si="30"/>
        <v>-0.59837420603083258</v>
      </c>
      <c r="DX18" s="117">
        <f t="shared" si="30"/>
        <v>-0.81947612417386129</v>
      </c>
      <c r="DY18" s="117">
        <f t="shared" si="30"/>
        <v>-0.96103399614621543</v>
      </c>
      <c r="DZ18" s="117">
        <f t="shared" si="30"/>
        <v>-0.98436844022024328</v>
      </c>
      <c r="EA18" s="117">
        <f t="shared" si="30"/>
        <v>-0.83946625717339796</v>
      </c>
      <c r="EB18" s="117">
        <f t="shared" si="30"/>
        <v>-0.56105747867423728</v>
      </c>
      <c r="EC18" s="117">
        <f t="shared" si="30"/>
        <v>-0.27004504116915756</v>
      </c>
      <c r="ED18" s="117">
        <f t="shared" si="30"/>
        <v>0.1788466314149742</v>
      </c>
      <c r="EE18" s="117">
        <f t="shared" si="30"/>
        <v>0.56306292509883149</v>
      </c>
      <c r="EF18" s="117">
        <f t="shared" si="30"/>
        <v>0.8150299238027352</v>
      </c>
      <c r="EG18" s="117">
        <f t="shared" si="30"/>
        <v>0.96468141787898731</v>
      </c>
      <c r="EH18" s="117">
        <f>COS(EH11)</f>
        <v>0.97866296321567658</v>
      </c>
    </row>
    <row r="19" spans="1:138">
      <c r="A19">
        <v>430</v>
      </c>
      <c r="B19" s="120">
        <f>'Color metric'!B13</f>
        <v>6.9352708058124171E-2</v>
      </c>
      <c r="C19" s="112">
        <f>Reference!N19</f>
        <v>1.2387682091969834</v>
      </c>
      <c r="D19" s="112"/>
      <c r="E19" s="132"/>
      <c r="F19" s="125"/>
      <c r="G19" s="127"/>
      <c r="H19" s="127"/>
      <c r="I19" s="127"/>
      <c r="J19" s="127"/>
      <c r="K19" s="127"/>
      <c r="L19" s="127"/>
      <c r="M19" s="127"/>
      <c r="N19" s="127"/>
      <c r="O19" s="127"/>
      <c r="P19" s="133"/>
      <c r="Q19" s="133"/>
      <c r="R19" s="133"/>
      <c r="S19" s="133"/>
      <c r="T19" s="133"/>
      <c r="U19" s="133"/>
      <c r="V19" s="133"/>
      <c r="W19" s="133"/>
      <c r="X19" s="133"/>
      <c r="Y19" s="133"/>
      <c r="Z19" s="133"/>
      <c r="AA19" s="133"/>
      <c r="AB19" s="133"/>
      <c r="AC19" s="133"/>
      <c r="AD19" s="133"/>
      <c r="AE19" s="133"/>
      <c r="AF19" s="133"/>
      <c r="AG19" s="133"/>
      <c r="AH19" s="133"/>
      <c r="AI19" s="133"/>
      <c r="AJ19" s="133"/>
      <c r="AK19" s="133"/>
      <c r="AL19" s="133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33"/>
      <c r="BE19" s="133"/>
      <c r="BF19" s="133"/>
      <c r="BG19" s="133"/>
      <c r="BH19" s="133"/>
      <c r="BI19" s="133"/>
      <c r="BJ19" s="133"/>
      <c r="BK19" s="133"/>
      <c r="BL19" s="133"/>
      <c r="BM19" s="133"/>
      <c r="BN19" s="133"/>
      <c r="BO19" s="133"/>
      <c r="BP19" s="133"/>
      <c r="BQ19" s="133"/>
      <c r="BR19" s="133"/>
      <c r="BS19" s="133"/>
      <c r="BT19" s="133"/>
      <c r="BU19" s="133"/>
      <c r="BV19" s="133"/>
      <c r="BW19" s="133"/>
      <c r="BX19" s="133"/>
      <c r="BY19" s="133"/>
      <c r="BZ19" s="133"/>
      <c r="CA19" s="133"/>
      <c r="CB19" s="133"/>
      <c r="CC19" s="133"/>
      <c r="CD19" s="133"/>
      <c r="CE19" s="133"/>
      <c r="CF19" s="133"/>
      <c r="CG19" s="133"/>
      <c r="CH19" s="133"/>
      <c r="CI19" s="133"/>
      <c r="CJ19" s="133"/>
      <c r="CK19" s="133"/>
      <c r="CL19" s="133"/>
      <c r="CM19" s="133"/>
      <c r="CN19" s="133"/>
      <c r="CO19" s="133"/>
      <c r="CP19" s="133"/>
      <c r="CQ19" s="133"/>
      <c r="CR19" s="133"/>
      <c r="CS19" s="133"/>
      <c r="CT19" s="133"/>
      <c r="CU19" s="133"/>
      <c r="CV19" s="133"/>
      <c r="CW19" s="133"/>
      <c r="CX19" s="133"/>
      <c r="CY19" s="133"/>
      <c r="CZ19" s="133"/>
      <c r="DA19" s="133"/>
      <c r="DC19">
        <v>15</v>
      </c>
      <c r="DD19" s="114">
        <v>71.871670125044787</v>
      </c>
      <c r="DE19" s="114">
        <v>13.12514169907368</v>
      </c>
      <c r="DF19" s="114">
        <v>10.453958569056347</v>
      </c>
      <c r="DG19" s="114">
        <v>70.715348062518558</v>
      </c>
      <c r="DH19" s="114">
        <v>7.7796515986218395</v>
      </c>
      <c r="DI19" s="114">
        <v>12.27058111607581</v>
      </c>
      <c r="DJ19" s="114">
        <v>5.7629387125539537</v>
      </c>
      <c r="DK19" s="114">
        <f t="shared" si="0"/>
        <v>33.211462604653022</v>
      </c>
      <c r="DL19" s="114">
        <f t="shared" si="1"/>
        <v>0.67259304309468548</v>
      </c>
      <c r="DM19" s="114">
        <f t="shared" si="2"/>
        <v>38.536742699186178</v>
      </c>
      <c r="DN19" s="115">
        <f t="shared" si="3"/>
        <v>2</v>
      </c>
      <c r="DO19">
        <v>2</v>
      </c>
      <c r="DQ19" t="s">
        <v>248</v>
      </c>
      <c r="DR19" s="117">
        <f>SIN(DR11)</f>
        <v>0.20547215001043628</v>
      </c>
      <c r="DS19" s="117">
        <f t="shared" ref="DS19:EG19" si="31">SIN(DS11)</f>
        <v>0.60764592171492571</v>
      </c>
      <c r="DT19" s="117">
        <f t="shared" si="31"/>
        <v>0.8298873009415727</v>
      </c>
      <c r="DU19" s="117">
        <f t="shared" si="31"/>
        <v>0.99274495571003707</v>
      </c>
      <c r="DV19" s="117">
        <f t="shared" si="31"/>
        <v>0.97715005350588713</v>
      </c>
      <c r="DW19" s="117">
        <f t="shared" si="31"/>
        <v>0.8012167681451573</v>
      </c>
      <c r="DX19" s="117">
        <f t="shared" si="31"/>
        <v>0.57311332379293556</v>
      </c>
      <c r="DY19" s="117">
        <f t="shared" si="31"/>
        <v>0.27643020502693988</v>
      </c>
      <c r="DZ19" s="117">
        <f t="shared" si="31"/>
        <v>-0.17612147483587934</v>
      </c>
      <c r="EA19" s="117">
        <f t="shared" si="31"/>
        <v>-0.54341181719510523</v>
      </c>
      <c r="EB19" s="117">
        <f t="shared" si="31"/>
        <v>-0.82777684530536844</v>
      </c>
      <c r="EC19" s="117">
        <f t="shared" si="31"/>
        <v>-0.96284769083170574</v>
      </c>
      <c r="ED19" s="117">
        <f t="shared" si="31"/>
        <v>-0.98387696508837752</v>
      </c>
      <c r="EE19" s="117">
        <f t="shared" si="31"/>
        <v>-0.8264140260058197</v>
      </c>
      <c r="EF19" s="117">
        <f t="shared" si="31"/>
        <v>-0.57941886688828803</v>
      </c>
      <c r="EG19" s="117">
        <f t="shared" si="31"/>
        <v>-0.26341936526950077</v>
      </c>
      <c r="EH19" s="117">
        <f>SIN(EH11)</f>
        <v>0.20547215001043628</v>
      </c>
    </row>
    <row r="20" spans="1:138">
      <c r="A20">
        <v>435</v>
      </c>
      <c r="B20" s="120">
        <f>'Color metric'!B14</f>
        <v>1</v>
      </c>
      <c r="C20" s="112">
        <f>Reference!N20</f>
        <v>1.3327225270247289</v>
      </c>
      <c r="D20" s="112"/>
      <c r="E20" s="134" t="s">
        <v>80</v>
      </c>
      <c r="F20" s="135"/>
      <c r="G20" s="136"/>
      <c r="H20" s="136"/>
      <c r="I20" s="136"/>
      <c r="J20" s="136"/>
      <c r="K20" s="136"/>
      <c r="L20" s="136"/>
      <c r="M20" s="136"/>
      <c r="N20" s="136"/>
      <c r="O20" s="136"/>
      <c r="P20" s="137"/>
      <c r="Q20" s="137"/>
      <c r="R20" s="137"/>
      <c r="S20" s="137"/>
      <c r="T20" s="137"/>
      <c r="U20" s="137"/>
      <c r="V20" s="137"/>
      <c r="W20" s="137"/>
      <c r="X20" s="137"/>
      <c r="Y20" s="137"/>
      <c r="Z20" s="137"/>
      <c r="AA20" s="137"/>
      <c r="AB20" s="137"/>
      <c r="AC20" s="137"/>
      <c r="AD20" s="137"/>
      <c r="AE20" s="137"/>
      <c r="AF20" s="137"/>
      <c r="AG20" s="137"/>
      <c r="AH20" s="137"/>
      <c r="AI20" s="137"/>
      <c r="AJ20" s="137"/>
      <c r="AK20" s="137"/>
      <c r="AL20" s="137"/>
      <c r="AM20" s="137"/>
      <c r="AN20" s="137"/>
      <c r="AO20" s="137"/>
      <c r="AP20" s="137"/>
      <c r="AQ20" s="137"/>
      <c r="AR20" s="137"/>
      <c r="AS20" s="137"/>
      <c r="AT20" s="137"/>
      <c r="AU20" s="137"/>
      <c r="AV20" s="137"/>
      <c r="AW20" s="137"/>
      <c r="AX20" s="137"/>
      <c r="AY20" s="137"/>
      <c r="AZ20" s="137"/>
      <c r="BA20" s="137"/>
      <c r="BB20" s="137"/>
      <c r="BC20" s="137"/>
      <c r="BD20" s="137"/>
      <c r="BE20" s="137"/>
      <c r="BF20" s="137"/>
      <c r="BG20" s="137"/>
      <c r="BH20" s="137"/>
      <c r="BI20" s="137"/>
      <c r="BJ20" s="137"/>
      <c r="BK20" s="137"/>
      <c r="BL20" s="137"/>
      <c r="BM20" s="137"/>
      <c r="BN20" s="137"/>
      <c r="BO20" s="137"/>
      <c r="BP20" s="137"/>
      <c r="BQ20" s="137"/>
      <c r="BR20" s="137"/>
      <c r="BS20" s="137"/>
      <c r="BT20" s="137"/>
      <c r="BU20" s="137"/>
      <c r="BV20" s="137"/>
      <c r="BW20" s="137"/>
      <c r="BX20" s="137"/>
      <c r="BY20" s="137"/>
      <c r="BZ20" s="137"/>
      <c r="CA20" s="137"/>
      <c r="CB20" s="137"/>
      <c r="CC20" s="137"/>
      <c r="CD20" s="137"/>
      <c r="CE20" s="137"/>
      <c r="CF20" s="137"/>
      <c r="CG20" s="137"/>
      <c r="CH20" s="137"/>
      <c r="CI20" s="137"/>
      <c r="CJ20" s="137"/>
      <c r="CK20" s="137"/>
      <c r="CL20" s="137"/>
      <c r="CM20" s="137"/>
      <c r="CN20" s="137"/>
      <c r="CO20" s="137"/>
      <c r="CP20" s="137"/>
      <c r="CQ20" s="137"/>
      <c r="CR20" s="137"/>
      <c r="CS20" s="137"/>
      <c r="CT20" s="137"/>
      <c r="CU20" s="137"/>
      <c r="CV20" s="137"/>
      <c r="CW20" s="137"/>
      <c r="CX20" s="137"/>
      <c r="CY20" s="137"/>
      <c r="CZ20" s="137"/>
      <c r="DA20" s="137"/>
      <c r="DC20">
        <v>16</v>
      </c>
      <c r="DD20" s="114">
        <v>48.483039518273529</v>
      </c>
      <c r="DE20" s="114">
        <v>17.82091792211892</v>
      </c>
      <c r="DF20" s="114">
        <v>16.26916744758358</v>
      </c>
      <c r="DG20" s="114">
        <v>46.685645747771474</v>
      </c>
      <c r="DH20" s="114">
        <v>8.0846227376839419</v>
      </c>
      <c r="DI20" s="114">
        <v>17.873878194005616</v>
      </c>
      <c r="DJ20" s="114">
        <v>10.030013203599172</v>
      </c>
      <c r="DK20" s="114">
        <f t="shared" si="0"/>
        <v>100.60116486437371</v>
      </c>
      <c r="DL20" s="114">
        <f t="shared" si="1"/>
        <v>0.73991044897500824</v>
      </c>
      <c r="DM20" s="114">
        <f t="shared" si="2"/>
        <v>42.393745943897819</v>
      </c>
      <c r="DN20" s="115">
        <f t="shared" si="3"/>
        <v>2</v>
      </c>
      <c r="DO20">
        <v>3</v>
      </c>
      <c r="DQ20" t="s">
        <v>249</v>
      </c>
      <c r="DR20" s="117">
        <f>DR18+DR16</f>
        <v>0.71480090173449184</v>
      </c>
      <c r="DS20" s="117">
        <f t="shared" ref="DS20:EH21" si="32">DS18+DS16</f>
        <v>0.4872191915988901</v>
      </c>
      <c r="DT20" s="117">
        <f t="shared" si="32"/>
        <v>0.21987652325786738</v>
      </c>
      <c r="DU20" s="117">
        <f t="shared" si="32"/>
        <v>-0.14461170326330178</v>
      </c>
      <c r="DV20" s="117">
        <f t="shared" si="32"/>
        <v>-0.36832563610980207</v>
      </c>
      <c r="DW20" s="117">
        <f t="shared" si="32"/>
        <v>-0.55321162216624753</v>
      </c>
      <c r="DX20" s="117">
        <f t="shared" si="32"/>
        <v>-0.65144346372584605</v>
      </c>
      <c r="DY20" s="117">
        <f t="shared" si="32"/>
        <v>-0.72723351276473258</v>
      </c>
      <c r="DZ20" s="117">
        <f t="shared" si="32"/>
        <v>-0.74628826114986979</v>
      </c>
      <c r="EA20" s="117">
        <f t="shared" si="32"/>
        <v>-0.53098725149316994</v>
      </c>
      <c r="EB20" s="117">
        <f t="shared" si="32"/>
        <v>-0.21508183625104282</v>
      </c>
      <c r="EC20" s="117">
        <f t="shared" si="32"/>
        <v>-7.4916894969560194E-2</v>
      </c>
      <c r="ED20" s="117">
        <f t="shared" si="32"/>
        <v>0.20485907123905608</v>
      </c>
      <c r="EE20" s="117">
        <f t="shared" si="32"/>
        <v>0.47691937971809312</v>
      </c>
      <c r="EF20" s="117">
        <f t="shared" si="32"/>
        <v>0.67077151116372025</v>
      </c>
      <c r="EG20" s="117">
        <f t="shared" si="32"/>
        <v>0.70599981418589475</v>
      </c>
      <c r="EH20" s="117">
        <f t="shared" si="32"/>
        <v>0.71480090173449184</v>
      </c>
    </row>
    <row r="21" spans="1:138">
      <c r="A21">
        <v>440</v>
      </c>
      <c r="B21" s="120">
        <f>'Color metric'!B15</f>
        <v>0.2651915455746367</v>
      </c>
      <c r="C21" s="112">
        <f>Reference!N21</f>
        <v>1.4304882620411479</v>
      </c>
      <c r="D21" s="112"/>
      <c r="E21" s="134" t="s">
        <v>250</v>
      </c>
      <c r="F21" s="135">
        <f t="shared" ref="F21:BQ21" si="33">F126</f>
        <v>100</v>
      </c>
      <c r="G21" s="135">
        <f t="shared" si="33"/>
        <v>86.196505882897426</v>
      </c>
      <c r="H21" s="135">
        <f t="shared" si="33"/>
        <v>63.42126252438991</v>
      </c>
      <c r="I21" s="135">
        <f t="shared" si="33"/>
        <v>32.072786588010501</v>
      </c>
      <c r="J21" s="135">
        <f t="shared" si="33"/>
        <v>70.0876777089114</v>
      </c>
      <c r="K21" s="135">
        <f t="shared" si="33"/>
        <v>51.633021308856691</v>
      </c>
      <c r="L21" s="135">
        <f t="shared" si="33"/>
        <v>51.559958722857083</v>
      </c>
      <c r="M21" s="135">
        <f t="shared" si="33"/>
        <v>44.034205146059193</v>
      </c>
      <c r="N21" s="135">
        <f t="shared" si="33"/>
        <v>43.126069477105972</v>
      </c>
      <c r="O21" s="135">
        <f t="shared" si="33"/>
        <v>29.062731177101636</v>
      </c>
      <c r="P21" s="135">
        <f t="shared" si="33"/>
        <v>75.953927346449063</v>
      </c>
      <c r="Q21" s="135">
        <f t="shared" si="33"/>
        <v>58.808602419853074</v>
      </c>
      <c r="R21" s="135">
        <f t="shared" si="33"/>
        <v>65.051509547114748</v>
      </c>
      <c r="S21" s="135">
        <f t="shared" si="33"/>
        <v>44.027273243407016</v>
      </c>
      <c r="T21" s="135">
        <f t="shared" si="33"/>
        <v>74.249144895382329</v>
      </c>
      <c r="U21" s="135">
        <f t="shared" si="33"/>
        <v>71.871670125044787</v>
      </c>
      <c r="V21" s="135">
        <f t="shared" si="33"/>
        <v>48.483039518273529</v>
      </c>
      <c r="W21" s="135">
        <f t="shared" si="33"/>
        <v>50.164198103279269</v>
      </c>
      <c r="X21" s="135">
        <f t="shared" si="33"/>
        <v>56.784279070570626</v>
      </c>
      <c r="Y21" s="135">
        <f t="shared" si="33"/>
        <v>71.649094722908288</v>
      </c>
      <c r="Z21" s="135">
        <f t="shared" si="33"/>
        <v>67.528333127716394</v>
      </c>
      <c r="AA21" s="135">
        <f t="shared" si="33"/>
        <v>86.215321259726309</v>
      </c>
      <c r="AB21" s="135">
        <f t="shared" si="33"/>
        <v>78.747040865430648</v>
      </c>
      <c r="AC21" s="135">
        <f t="shared" si="33"/>
        <v>91.522987587120937</v>
      </c>
      <c r="AD21" s="135">
        <f t="shared" si="33"/>
        <v>90.384697644717576</v>
      </c>
      <c r="AE21" s="135">
        <f t="shared" si="33"/>
        <v>71.533121595806534</v>
      </c>
      <c r="AF21" s="135">
        <f t="shared" si="33"/>
        <v>89.546079233632483</v>
      </c>
      <c r="AG21" s="135">
        <f t="shared" si="33"/>
        <v>73.397717697162861</v>
      </c>
      <c r="AH21" s="135">
        <f t="shared" si="33"/>
        <v>41.979168809287586</v>
      </c>
      <c r="AI21" s="135">
        <f t="shared" si="33"/>
        <v>86.660813145797235</v>
      </c>
      <c r="AJ21" s="135">
        <f t="shared" si="33"/>
        <v>64.547195297694245</v>
      </c>
      <c r="AK21" s="135">
        <f t="shared" si="33"/>
        <v>88.342833559882067</v>
      </c>
      <c r="AL21" s="135">
        <f t="shared" si="33"/>
        <v>75.194339864715189</v>
      </c>
      <c r="AM21" s="135">
        <f t="shared" si="33"/>
        <v>89.652182282726855</v>
      </c>
      <c r="AN21" s="135">
        <f t="shared" si="33"/>
        <v>62.050164818879843</v>
      </c>
      <c r="AO21" s="135">
        <f t="shared" si="33"/>
        <v>42.442576870829228</v>
      </c>
      <c r="AP21" s="135">
        <f t="shared" si="33"/>
        <v>80.754354971545922</v>
      </c>
      <c r="AQ21" s="135">
        <f t="shared" si="33"/>
        <v>47.997084090959341</v>
      </c>
      <c r="AR21" s="135">
        <f t="shared" si="33"/>
        <v>86.339558800765403</v>
      </c>
      <c r="AS21" s="135">
        <f t="shared" si="33"/>
        <v>35.435907740344881</v>
      </c>
      <c r="AT21" s="135">
        <f t="shared" si="33"/>
        <v>50.301238690131491</v>
      </c>
      <c r="AU21" s="135">
        <f t="shared" si="33"/>
        <v>88.275877716437648</v>
      </c>
      <c r="AV21" s="135">
        <f t="shared" si="33"/>
        <v>68.394420976163318</v>
      </c>
      <c r="AW21" s="135">
        <f t="shared" si="33"/>
        <v>72.152741455765565</v>
      </c>
      <c r="AX21" s="135">
        <f t="shared" si="33"/>
        <v>28.836186332704703</v>
      </c>
      <c r="AY21" s="135">
        <f t="shared" si="33"/>
        <v>58.211070425133684</v>
      </c>
      <c r="AZ21" s="135">
        <f t="shared" si="33"/>
        <v>66.506065478894811</v>
      </c>
      <c r="BA21" s="135">
        <f t="shared" si="33"/>
        <v>70.192033605685012</v>
      </c>
      <c r="BB21" s="135">
        <f t="shared" si="33"/>
        <v>77.327720423239199</v>
      </c>
      <c r="BC21" s="135">
        <f t="shared" si="33"/>
        <v>46.208998132225837</v>
      </c>
      <c r="BD21" s="135">
        <f t="shared" si="33"/>
        <v>54.640445494402712</v>
      </c>
      <c r="BE21" s="135">
        <f t="shared" si="33"/>
        <v>58.593919644551676</v>
      </c>
      <c r="BF21" s="135">
        <f t="shared" si="33"/>
        <v>41.128697458753308</v>
      </c>
      <c r="BG21" s="135">
        <f t="shared" si="33"/>
        <v>49.310746346068164</v>
      </c>
      <c r="BH21" s="135">
        <f t="shared" si="33"/>
        <v>86.973916270251394</v>
      </c>
      <c r="BI21" s="135">
        <f t="shared" si="33"/>
        <v>83.538612479496607</v>
      </c>
      <c r="BJ21" s="135">
        <f t="shared" si="33"/>
        <v>70.757994356638932</v>
      </c>
      <c r="BK21" s="135">
        <f t="shared" si="33"/>
        <v>57.227513570119569</v>
      </c>
      <c r="BL21" s="135">
        <f t="shared" si="33"/>
        <v>53.5297289988888</v>
      </c>
      <c r="BM21" s="135">
        <f t="shared" si="33"/>
        <v>86.811222289713328</v>
      </c>
      <c r="BN21" s="135">
        <f t="shared" si="33"/>
        <v>88.404100177790994</v>
      </c>
      <c r="BO21" s="135">
        <f t="shared" si="33"/>
        <v>76.883610228850117</v>
      </c>
      <c r="BP21" s="135">
        <f t="shared" si="33"/>
        <v>67.316766473294095</v>
      </c>
      <c r="BQ21" s="135">
        <f t="shared" si="33"/>
        <v>34.796533365610131</v>
      </c>
      <c r="BR21" s="135">
        <f t="shared" ref="BR21:DA21" si="34">BR126</f>
        <v>58.228155134071443</v>
      </c>
      <c r="BS21" s="135">
        <f t="shared" si="34"/>
        <v>40.008253194363292</v>
      </c>
      <c r="BT21" s="135">
        <f t="shared" si="34"/>
        <v>44.383259732951046</v>
      </c>
      <c r="BU21" s="135">
        <f t="shared" si="34"/>
        <v>47.611422112084362</v>
      </c>
      <c r="BV21" s="135">
        <f t="shared" si="34"/>
        <v>63.950798660051554</v>
      </c>
      <c r="BW21" s="135">
        <f t="shared" si="34"/>
        <v>53.593605483678864</v>
      </c>
      <c r="BX21" s="135">
        <f t="shared" si="34"/>
        <v>72.469549551414389</v>
      </c>
      <c r="BY21" s="135">
        <f t="shared" si="34"/>
        <v>35.211913529811582</v>
      </c>
      <c r="BZ21" s="135">
        <f t="shared" si="34"/>
        <v>76.87940576828862</v>
      </c>
      <c r="CA21" s="135">
        <f t="shared" si="34"/>
        <v>57.655075671282262</v>
      </c>
      <c r="CB21" s="135">
        <f t="shared" si="34"/>
        <v>28.495843994690745</v>
      </c>
      <c r="CC21" s="135">
        <f t="shared" si="34"/>
        <v>33.314559246782167</v>
      </c>
      <c r="CD21" s="135">
        <f t="shared" si="34"/>
        <v>48.383532883747975</v>
      </c>
      <c r="CE21" s="135">
        <f t="shared" si="34"/>
        <v>45.07261197323583</v>
      </c>
      <c r="CF21" s="135">
        <f t="shared" si="34"/>
        <v>44.618306447770543</v>
      </c>
      <c r="CG21" s="135">
        <f t="shared" si="34"/>
        <v>74.224781635860907</v>
      </c>
      <c r="CH21" s="135">
        <f t="shared" si="34"/>
        <v>66.490402729537436</v>
      </c>
      <c r="CI21" s="135">
        <f t="shared" si="34"/>
        <v>45.172252823571917</v>
      </c>
      <c r="CJ21" s="135">
        <f t="shared" si="34"/>
        <v>87.574167663250208</v>
      </c>
      <c r="CK21" s="135">
        <f t="shared" si="34"/>
        <v>73.499260346241996</v>
      </c>
      <c r="CL21" s="135">
        <f t="shared" si="34"/>
        <v>28.459665529475359</v>
      </c>
      <c r="CM21" s="135">
        <f t="shared" si="34"/>
        <v>41.978005809815151</v>
      </c>
      <c r="CN21" s="135">
        <f t="shared" si="34"/>
        <v>66.676277246087764</v>
      </c>
      <c r="CO21" s="135">
        <f t="shared" si="34"/>
        <v>40.648895014612421</v>
      </c>
      <c r="CP21" s="135">
        <f t="shared" si="34"/>
        <v>63.416711761944846</v>
      </c>
      <c r="CQ21" s="135">
        <f t="shared" si="34"/>
        <v>39.303925811161236</v>
      </c>
      <c r="CR21" s="135">
        <f t="shared" si="34"/>
        <v>44.930090183819836</v>
      </c>
      <c r="CS21" s="135">
        <f t="shared" si="34"/>
        <v>80.925789896692919</v>
      </c>
      <c r="CT21" s="135">
        <f t="shared" si="34"/>
        <v>57.539133170356337</v>
      </c>
      <c r="CU21" s="135">
        <f t="shared" si="34"/>
        <v>68.324662397120932</v>
      </c>
      <c r="CV21" s="135">
        <f t="shared" si="34"/>
        <v>40.933290974248777</v>
      </c>
      <c r="CW21" s="135">
        <f t="shared" si="34"/>
        <v>71.399075956736681</v>
      </c>
      <c r="CX21" s="135">
        <f t="shared" si="34"/>
        <v>79.285113467374103</v>
      </c>
      <c r="CY21" s="135">
        <f t="shared" si="34"/>
        <v>53.328220185508066</v>
      </c>
      <c r="CZ21" s="135">
        <f t="shared" si="34"/>
        <v>65.978318833102449</v>
      </c>
      <c r="DA21" s="135">
        <f t="shared" si="34"/>
        <v>54.488521972576599</v>
      </c>
      <c r="DC21">
        <v>17</v>
      </c>
      <c r="DD21" s="114">
        <v>50.164198103279269</v>
      </c>
      <c r="DE21" s="114">
        <v>14.855355312885084</v>
      </c>
      <c r="DF21" s="114">
        <v>17.057654931014337</v>
      </c>
      <c r="DG21" s="114">
        <v>50.650114553362137</v>
      </c>
      <c r="DH21" s="114">
        <v>5.7934929241863236</v>
      </c>
      <c r="DI21" s="114">
        <v>19.774501887364707</v>
      </c>
      <c r="DJ21" s="114">
        <v>9.4728412914185682</v>
      </c>
      <c r="DK21" s="114">
        <f t="shared" si="0"/>
        <v>89.734722132404613</v>
      </c>
      <c r="DL21" s="114">
        <f t="shared" si="1"/>
        <v>0.854298387755692</v>
      </c>
      <c r="DM21" s="114">
        <f t="shared" si="2"/>
        <v>48.947692063231834</v>
      </c>
      <c r="DN21" s="115">
        <f t="shared" si="3"/>
        <v>3</v>
      </c>
      <c r="DO21">
        <v>3</v>
      </c>
      <c r="DQ21" t="s">
        <v>251</v>
      </c>
      <c r="DR21" s="117">
        <f>DR19+DR17</f>
        <v>0.10831435280071244</v>
      </c>
      <c r="DS21" s="117">
        <f t="shared" si="32"/>
        <v>0.65161530450504723</v>
      </c>
      <c r="DT21" s="117">
        <f t="shared" si="32"/>
        <v>0.95173399386113133</v>
      </c>
      <c r="DU21" s="117">
        <f t="shared" si="32"/>
        <v>1.1910269380093752</v>
      </c>
      <c r="DV21" s="117">
        <f t="shared" si="32"/>
        <v>1.1482584840333625</v>
      </c>
      <c r="DW21" s="117">
        <f t="shared" si="32"/>
        <v>0.95834755240922154</v>
      </c>
      <c r="DX21" s="117">
        <f t="shared" si="32"/>
        <v>0.8195373386967697</v>
      </c>
      <c r="DY21" s="117">
        <f t="shared" si="32"/>
        <v>0.3613984465696114</v>
      </c>
      <c r="DZ21" s="117">
        <f t="shared" si="32"/>
        <v>-9.4198943493832468E-2</v>
      </c>
      <c r="EA21" s="117">
        <f t="shared" si="32"/>
        <v>-0.55914024732288603</v>
      </c>
      <c r="EB21" s="117">
        <f t="shared" si="32"/>
        <v>-0.87021662824699919</v>
      </c>
      <c r="EC21" s="117">
        <f t="shared" si="32"/>
        <v>-1.0455179155850347</v>
      </c>
      <c r="ED21" s="117">
        <f t="shared" si="32"/>
        <v>-1.1119341812494099</v>
      </c>
      <c r="EE21" s="117">
        <f t="shared" si="32"/>
        <v>-1.0196581530713664</v>
      </c>
      <c r="EF21" s="117">
        <f t="shared" si="32"/>
        <v>-0.80281256400082834</v>
      </c>
      <c r="EG21" s="117">
        <f t="shared" si="32"/>
        <v>-0.41951219451453559</v>
      </c>
      <c r="EH21" s="117">
        <f t="shared" si="32"/>
        <v>0.10831435280071244</v>
      </c>
    </row>
    <row r="22" spans="1:138">
      <c r="A22">
        <v>445</v>
      </c>
      <c r="B22" s="120">
        <f>'Color metric'!B16</f>
        <v>8.4214002642007915E-2</v>
      </c>
      <c r="C22" s="112">
        <f>Reference!N22</f>
        <v>1.5320072049686697</v>
      </c>
      <c r="D22" s="112"/>
      <c r="E22" s="134" t="s">
        <v>252</v>
      </c>
      <c r="F22" s="135">
        <f t="shared" ref="F22:BQ23" si="35">F128</f>
        <v>6.102648751210772E-3</v>
      </c>
      <c r="G22" s="135">
        <f t="shared" si="35"/>
        <v>16.858692749221458</v>
      </c>
      <c r="H22" s="135">
        <f t="shared" si="35"/>
        <v>31.315010834098434</v>
      </c>
      <c r="I22" s="135">
        <f t="shared" si="35"/>
        <v>15.423968187323448</v>
      </c>
      <c r="J22" s="135">
        <f t="shared" si="35"/>
        <v>20.321726428435085</v>
      </c>
      <c r="K22" s="135">
        <f t="shared" si="35"/>
        <v>34.034875445785211</v>
      </c>
      <c r="L22" s="135">
        <f t="shared" si="35"/>
        <v>18.087006709280683</v>
      </c>
      <c r="M22" s="135">
        <f t="shared" si="35"/>
        <v>32.229906787768876</v>
      </c>
      <c r="N22" s="135">
        <f t="shared" si="35"/>
        <v>30.16008821079787</v>
      </c>
      <c r="O22" s="135">
        <f t="shared" si="35"/>
        <v>3.4341025517946386</v>
      </c>
      <c r="P22" s="135">
        <f t="shared" si="35"/>
        <v>29.421679892095884</v>
      </c>
      <c r="Q22" s="135">
        <f t="shared" si="35"/>
        <v>28.167255796538232</v>
      </c>
      <c r="R22" s="135">
        <f t="shared" si="35"/>
        <v>30.066641713101795</v>
      </c>
      <c r="S22" s="135">
        <f t="shared" si="35"/>
        <v>18.981335194394759</v>
      </c>
      <c r="T22" s="135">
        <f t="shared" si="35"/>
        <v>6.453747927251869</v>
      </c>
      <c r="U22" s="135">
        <f t="shared" si="35"/>
        <v>13.12514169907368</v>
      </c>
      <c r="V22" s="135">
        <f t="shared" si="35"/>
        <v>17.82091792211892</v>
      </c>
      <c r="W22" s="135">
        <f t="shared" si="35"/>
        <v>14.855355312885084</v>
      </c>
      <c r="X22" s="135">
        <f t="shared" si="35"/>
        <v>12.049493436474409</v>
      </c>
      <c r="Y22" s="135">
        <f t="shared" si="35"/>
        <v>13.518245615353655</v>
      </c>
      <c r="Z22" s="135">
        <f t="shared" si="35"/>
        <v>20.062326399199158</v>
      </c>
      <c r="AA22" s="135">
        <f t="shared" si="35"/>
        <v>13.555394976162228</v>
      </c>
      <c r="AB22" s="135">
        <f t="shared" si="35"/>
        <v>14.998045935207301</v>
      </c>
      <c r="AC22" s="135">
        <f t="shared" si="35"/>
        <v>3.6869400853639824</v>
      </c>
      <c r="AD22" s="135">
        <f t="shared" si="35"/>
        <v>6.0950265817497629</v>
      </c>
      <c r="AE22" s="135">
        <f t="shared" si="35"/>
        <v>7.754635689049576</v>
      </c>
      <c r="AF22" s="135">
        <f t="shared" si="35"/>
        <v>6.4673244438373994</v>
      </c>
      <c r="AG22" s="135">
        <f t="shared" si="35"/>
        <v>1.3490853596689414</v>
      </c>
      <c r="AH22" s="135">
        <f t="shared" si="35"/>
        <v>0.16253377443104411</v>
      </c>
      <c r="AI22" s="135">
        <f t="shared" si="35"/>
        <v>1.8768983139051632</v>
      </c>
      <c r="AJ22" s="135">
        <f t="shared" si="35"/>
        <v>1.9927466141935566</v>
      </c>
      <c r="AK22" s="135">
        <f t="shared" si="35"/>
        <v>0.34051992821630894</v>
      </c>
      <c r="AL22" s="135">
        <f t="shared" si="35"/>
        <v>-0.67627144993805455</v>
      </c>
      <c r="AM22" s="135">
        <f t="shared" si="35"/>
        <v>0.17187026694021554</v>
      </c>
      <c r="AN22" s="135">
        <f t="shared" si="35"/>
        <v>-3.3726239022877391</v>
      </c>
      <c r="AO22" s="135">
        <f t="shared" si="35"/>
        <v>-2.7651632388731788</v>
      </c>
      <c r="AP22" s="135">
        <f t="shared" si="35"/>
        <v>5.2085976359976478E-2</v>
      </c>
      <c r="AQ22" s="135">
        <f t="shared" si="35"/>
        <v>-5.2499187201765967</v>
      </c>
      <c r="AR22" s="135">
        <f t="shared" si="35"/>
        <v>-2.5889634564139521</v>
      </c>
      <c r="AS22" s="135">
        <f t="shared" si="35"/>
        <v>-1.8468105441834848</v>
      </c>
      <c r="AT22" s="135">
        <f t="shared" si="35"/>
        <v>-3.9334111630901645</v>
      </c>
      <c r="AU22" s="135">
        <f t="shared" si="35"/>
        <v>-2.9945294004249354</v>
      </c>
      <c r="AV22" s="135">
        <f t="shared" si="35"/>
        <v>-16.777739554263356</v>
      </c>
      <c r="AW22" s="135">
        <f t="shared" si="35"/>
        <v>-17.376827630337697</v>
      </c>
      <c r="AX22" s="135">
        <f t="shared" si="35"/>
        <v>-0.72531680810234922</v>
      </c>
      <c r="AY22" s="135">
        <f t="shared" si="35"/>
        <v>-18.260729745675494</v>
      </c>
      <c r="AZ22" s="135">
        <f t="shared" si="35"/>
        <v>-14.449542239469942</v>
      </c>
      <c r="BA22" s="135">
        <f t="shared" si="35"/>
        <v>-8.8489905725371134</v>
      </c>
      <c r="BB22" s="135">
        <f t="shared" si="35"/>
        <v>-19.998759465190023</v>
      </c>
      <c r="BC22" s="135">
        <f t="shared" si="35"/>
        <v>-17.49480906135226</v>
      </c>
      <c r="BD22" s="135">
        <f t="shared" si="35"/>
        <v>-18.046750364341605</v>
      </c>
      <c r="BE22" s="135">
        <f t="shared" si="35"/>
        <v>-15.758153337346709</v>
      </c>
      <c r="BF22" s="135">
        <f t="shared" si="35"/>
        <v>-21.183210601021596</v>
      </c>
      <c r="BG22" s="135">
        <f t="shared" si="35"/>
        <v>-30.794388379814777</v>
      </c>
      <c r="BH22" s="135">
        <f t="shared" si="35"/>
        <v>-16.161568532224059</v>
      </c>
      <c r="BI22" s="135">
        <f t="shared" si="35"/>
        <v>-17.925526159233002</v>
      </c>
      <c r="BJ22" s="135">
        <f t="shared" si="35"/>
        <v>-30.237753530038752</v>
      </c>
      <c r="BK22" s="135">
        <f t="shared" si="35"/>
        <v>-31.921887582576353</v>
      </c>
      <c r="BL22" s="135">
        <f t="shared" si="35"/>
        <v>-31.485439648254239</v>
      </c>
      <c r="BM22" s="135">
        <f t="shared" si="35"/>
        <v>-15.909730673785331</v>
      </c>
      <c r="BN22" s="135">
        <f t="shared" si="35"/>
        <v>-6.6122659861702013</v>
      </c>
      <c r="BO22" s="135">
        <f t="shared" si="35"/>
        <v>-14.432183978192667</v>
      </c>
      <c r="BP22" s="135">
        <f t="shared" si="35"/>
        <v>-5.9288807002652826</v>
      </c>
      <c r="BQ22" s="135">
        <f t="shared" si="35"/>
        <v>-1.8655500581969815</v>
      </c>
      <c r="BR22" s="135">
        <f t="shared" ref="BR22:DA23" si="36">BR128</f>
        <v>-28.677687611559627</v>
      </c>
      <c r="BS22" s="135">
        <f t="shared" si="36"/>
        <v>-18.190539979936077</v>
      </c>
      <c r="BT22" s="135">
        <f t="shared" si="36"/>
        <v>-24.986412894909925</v>
      </c>
      <c r="BU22" s="135">
        <f t="shared" si="36"/>
        <v>-25.282527605781659</v>
      </c>
      <c r="BV22" s="135">
        <f t="shared" si="36"/>
        <v>-16.852876318995982</v>
      </c>
      <c r="BW22" s="135">
        <f t="shared" si="36"/>
        <v>-6.8268905137257185</v>
      </c>
      <c r="BX22" s="135">
        <f t="shared" si="36"/>
        <v>-17.091399706049554</v>
      </c>
      <c r="BY22" s="135">
        <f t="shared" si="36"/>
        <v>-13.850526780415587</v>
      </c>
      <c r="BZ22" s="135">
        <f t="shared" si="36"/>
        <v>-5.8816081770824598</v>
      </c>
      <c r="CA22" s="135">
        <f t="shared" si="36"/>
        <v>-19.758576965888569</v>
      </c>
      <c r="CB22" s="135">
        <f t="shared" si="36"/>
        <v>-0.82602367673037358</v>
      </c>
      <c r="CC22" s="135">
        <f t="shared" si="36"/>
        <v>-10.827816224348979</v>
      </c>
      <c r="CD22" s="135">
        <f t="shared" si="36"/>
        <v>-12.217318510020331</v>
      </c>
      <c r="CE22" s="135">
        <f t="shared" si="36"/>
        <v>-7.1097643710027025</v>
      </c>
      <c r="CF22" s="135">
        <f t="shared" si="36"/>
        <v>-10.329487290944845</v>
      </c>
      <c r="CG22" s="135">
        <f t="shared" si="36"/>
        <v>-2.5020599543801976</v>
      </c>
      <c r="CH22" s="135">
        <f t="shared" si="36"/>
        <v>1.9343369391532599</v>
      </c>
      <c r="CI22" s="135">
        <f t="shared" si="36"/>
        <v>5.8327280734882319</v>
      </c>
      <c r="CJ22" s="135">
        <f t="shared" si="36"/>
        <v>1.5130811652898335</v>
      </c>
      <c r="CK22" s="135">
        <f t="shared" si="36"/>
        <v>3.8346917230244508</v>
      </c>
      <c r="CL22" s="135">
        <f t="shared" si="36"/>
        <v>4.6395434403674329</v>
      </c>
      <c r="CM22" s="135">
        <f t="shared" si="36"/>
        <v>7.1838881385564166</v>
      </c>
      <c r="CN22" s="135">
        <f t="shared" si="36"/>
        <v>11.280934137846254</v>
      </c>
      <c r="CO22" s="135">
        <f t="shared" si="36"/>
        <v>14.442277337248333</v>
      </c>
      <c r="CP22" s="135">
        <f t="shared" si="36"/>
        <v>18.32010456532884</v>
      </c>
      <c r="CQ22" s="135">
        <f t="shared" si="36"/>
        <v>17.958295966312075</v>
      </c>
      <c r="CR22" s="135">
        <f t="shared" si="36"/>
        <v>20.473429431015216</v>
      </c>
      <c r="CS22" s="135">
        <f t="shared" si="36"/>
        <v>4.0198976289620241</v>
      </c>
      <c r="CT22" s="135">
        <f t="shared" si="36"/>
        <v>16.90894110576669</v>
      </c>
      <c r="CU22" s="135">
        <f t="shared" si="36"/>
        <v>14.23891615587713</v>
      </c>
      <c r="CV22" s="135">
        <f t="shared" si="36"/>
        <v>23.663587200388545</v>
      </c>
      <c r="CW22" s="135">
        <f t="shared" si="36"/>
        <v>18.699954719720445</v>
      </c>
      <c r="CX22" s="135">
        <f t="shared" si="36"/>
        <v>17.632544889980416</v>
      </c>
      <c r="CY22" s="135">
        <f t="shared" si="36"/>
        <v>23.077631872346753</v>
      </c>
      <c r="CZ22" s="135">
        <f t="shared" si="36"/>
        <v>29.99441170992635</v>
      </c>
      <c r="DA22" s="135">
        <f t="shared" si="36"/>
        <v>32.644451794933616</v>
      </c>
      <c r="DC22">
        <v>18</v>
      </c>
      <c r="DD22" s="114">
        <v>56.784279070570626</v>
      </c>
      <c r="DE22" s="114">
        <v>12.049493436474409</v>
      </c>
      <c r="DF22" s="114">
        <v>13.232138501833004</v>
      </c>
      <c r="DG22" s="114">
        <v>56.028188059068853</v>
      </c>
      <c r="DH22" s="114">
        <v>5.9784642272876019</v>
      </c>
      <c r="DI22" s="114">
        <v>15.228907123542834</v>
      </c>
      <c r="DJ22" s="114">
        <v>6.4355383772547059</v>
      </c>
      <c r="DK22" s="114">
        <f t="shared" si="0"/>
        <v>41.416154205118133</v>
      </c>
      <c r="DL22" s="114">
        <f t="shared" si="1"/>
        <v>0.83214291289329201</v>
      </c>
      <c r="DM22" s="114">
        <f t="shared" si="2"/>
        <v>47.678276860508127</v>
      </c>
      <c r="DN22" s="115">
        <f t="shared" si="3"/>
        <v>3</v>
      </c>
      <c r="DO22">
        <v>2</v>
      </c>
      <c r="DQ22" t="s">
        <v>253</v>
      </c>
      <c r="DR22" s="117">
        <f>10*LN(EXP((100-$G$33*DR10)/10)+1)</f>
        <v>43.824909600641327</v>
      </c>
      <c r="DS22" s="117">
        <f t="shared" ref="DS22:EH22" si="37">10*LN(EXP((100-$G$33*DS10)/10)+1)</f>
        <v>39.623759404564346</v>
      </c>
      <c r="DT22" s="117">
        <f t="shared" si="37"/>
        <v>25.913205126049125</v>
      </c>
      <c r="DU22" s="117">
        <f t="shared" si="37"/>
        <v>46.525517893600124</v>
      </c>
      <c r="DV22" s="117">
        <f t="shared" si="37"/>
        <v>66.663603860591053</v>
      </c>
      <c r="DW22" s="117">
        <f t="shared" si="37"/>
        <v>72.792969679635647</v>
      </c>
      <c r="DX22" s="117">
        <f t="shared" si="37"/>
        <v>48.20063714337028</v>
      </c>
      <c r="DY22" s="117">
        <f t="shared" si="37"/>
        <v>55.573081200027296</v>
      </c>
      <c r="DZ22" s="117">
        <f t="shared" si="37"/>
        <v>53.916575274393551</v>
      </c>
      <c r="EA22" s="117">
        <f t="shared" si="37"/>
        <v>42.973704188366639</v>
      </c>
      <c r="EB22" s="117">
        <f t="shared" si="37"/>
        <v>45.369926943400827</v>
      </c>
      <c r="EC22" s="117">
        <f t="shared" si="37"/>
        <v>56.460159575984406</v>
      </c>
      <c r="ED22" s="117">
        <f t="shared" si="37"/>
        <v>76.615818685666028</v>
      </c>
      <c r="EE22" s="117">
        <f t="shared" si="37"/>
        <v>66.57531663398963</v>
      </c>
      <c r="EF22" s="117">
        <f t="shared" si="37"/>
        <v>51.522166075025112</v>
      </c>
      <c r="EG22" s="117">
        <f t="shared" si="37"/>
        <v>54.920430273948412</v>
      </c>
      <c r="EH22" s="117">
        <f t="shared" si="37"/>
        <v>43.824909600641327</v>
      </c>
    </row>
    <row r="23" spans="1:138">
      <c r="A23">
        <v>450</v>
      </c>
      <c r="B23" s="120">
        <f>'Color metric'!B17</f>
        <v>8.9167767503302506E-2</v>
      </c>
      <c r="C23" s="112">
        <f>Reference!N23</f>
        <v>1.6372108913994032</v>
      </c>
      <c r="D23" s="112"/>
      <c r="E23" s="134" t="s">
        <v>254</v>
      </c>
      <c r="F23" s="135">
        <f t="shared" si="35"/>
        <v>6.7807208355656764E-4</v>
      </c>
      <c r="G23" s="135">
        <f t="shared" si="35"/>
        <v>1.7688006336689717</v>
      </c>
      <c r="H23" s="135">
        <f t="shared" si="35"/>
        <v>4.9339433064894198</v>
      </c>
      <c r="I23" s="135">
        <f t="shared" si="35"/>
        <v>2.4600718472207164</v>
      </c>
      <c r="J23" s="135">
        <f t="shared" si="35"/>
        <v>6.7482181178731304</v>
      </c>
      <c r="K23" s="135">
        <f t="shared" si="35"/>
        <v>9.9938199666139393</v>
      </c>
      <c r="L23" s="135">
        <f t="shared" si="35"/>
        <v>7.07395231697339</v>
      </c>
      <c r="M23" s="135">
        <f t="shared" si="35"/>
        <v>10.983502196816929</v>
      </c>
      <c r="N23" s="135">
        <f t="shared" si="35"/>
        <v>10.112756431216827</v>
      </c>
      <c r="O23" s="135">
        <f t="shared" si="35"/>
        <v>0.61411044619183597</v>
      </c>
      <c r="P23" s="135">
        <f t="shared" si="35"/>
        <v>18.213688540452381</v>
      </c>
      <c r="Q23" s="135">
        <f t="shared" si="35"/>
        <v>19.444792202516233</v>
      </c>
      <c r="R23" s="135">
        <f t="shared" si="35"/>
        <v>20.953084346989336</v>
      </c>
      <c r="S23" s="135">
        <f t="shared" si="35"/>
        <v>14.44279297161653</v>
      </c>
      <c r="T23" s="135">
        <f t="shared" si="35"/>
        <v>5.9112702987406962</v>
      </c>
      <c r="U23" s="135">
        <f t="shared" si="35"/>
        <v>10.453958569056347</v>
      </c>
      <c r="V23" s="135">
        <f t="shared" si="35"/>
        <v>16.26916744758358</v>
      </c>
      <c r="W23" s="135">
        <f t="shared" si="35"/>
        <v>17.057654931014337</v>
      </c>
      <c r="X23" s="135">
        <f t="shared" si="35"/>
        <v>13.232138501833004</v>
      </c>
      <c r="Y23" s="135">
        <f t="shared" si="35"/>
        <v>23.213253694481562</v>
      </c>
      <c r="Z23" s="135">
        <f t="shared" si="35"/>
        <v>27.331905430892878</v>
      </c>
      <c r="AA23" s="135">
        <f t="shared" si="35"/>
        <v>27.892306055649652</v>
      </c>
      <c r="AB23" s="135">
        <f t="shared" si="35"/>
        <v>28.579607672962513</v>
      </c>
      <c r="AC23" s="135">
        <f t="shared" si="35"/>
        <v>12.054844853354602</v>
      </c>
      <c r="AD23" s="135">
        <f t="shared" si="35"/>
        <v>24.015639498940022</v>
      </c>
      <c r="AE23" s="135">
        <f t="shared" si="35"/>
        <v>32.466967488954495</v>
      </c>
      <c r="AF23" s="135">
        <f t="shared" si="35"/>
        <v>28.303262972288451</v>
      </c>
      <c r="AG23" s="135">
        <f t="shared" si="35"/>
        <v>14.576634516139361</v>
      </c>
      <c r="AH23" s="135">
        <f t="shared" si="35"/>
        <v>15.235590292780136</v>
      </c>
      <c r="AI23" s="135">
        <f t="shared" si="35"/>
        <v>28.106749823840033</v>
      </c>
      <c r="AJ23" s="135">
        <f t="shared" si="35"/>
        <v>16.174859118065942</v>
      </c>
      <c r="AK23" s="135">
        <f t="shared" si="35"/>
        <v>28.047308743440482</v>
      </c>
      <c r="AL23" s="135">
        <f t="shared" si="35"/>
        <v>30.767372809160882</v>
      </c>
      <c r="AM23" s="135">
        <f t="shared" si="35"/>
        <v>18.685835899753584</v>
      </c>
      <c r="AN23" s="135">
        <f t="shared" si="35"/>
        <v>27.717191856524401</v>
      </c>
      <c r="AO23" s="135">
        <f t="shared" si="35"/>
        <v>14.902867321038363</v>
      </c>
      <c r="AP23" s="135">
        <f t="shared" si="35"/>
        <v>6.6552986665911549</v>
      </c>
      <c r="AQ23" s="135">
        <f t="shared" si="35"/>
        <v>18.351759845758565</v>
      </c>
      <c r="AR23" s="135">
        <f t="shared" si="35"/>
        <v>15.501511033935833</v>
      </c>
      <c r="AS23" s="135">
        <f t="shared" si="35"/>
        <v>6.5722374944807296</v>
      </c>
      <c r="AT23" s="135">
        <f t="shared" si="35"/>
        <v>12.541089462654462</v>
      </c>
      <c r="AU23" s="135">
        <f t="shared" si="35"/>
        <v>7.837121464117371</v>
      </c>
      <c r="AV23" s="135">
        <f t="shared" si="35"/>
        <v>27.231361979049744</v>
      </c>
      <c r="AW23" s="135">
        <f t="shared" si="35"/>
        <v>27.590234916733191</v>
      </c>
      <c r="AX23" s="135">
        <f t="shared" si="35"/>
        <v>1.2584413242963413</v>
      </c>
      <c r="AY23" s="135">
        <f t="shared" si="35"/>
        <v>19.285074616565954</v>
      </c>
      <c r="AZ23" s="135">
        <f t="shared" si="35"/>
        <v>15.200391742737013</v>
      </c>
      <c r="BA23" s="135">
        <f t="shared" si="35"/>
        <v>10.645126985506931</v>
      </c>
      <c r="BB23" s="135">
        <f t="shared" si="35"/>
        <v>13.521379502436941</v>
      </c>
      <c r="BC23" s="135">
        <f t="shared" si="35"/>
        <v>12.651185218233051</v>
      </c>
      <c r="BD23" s="135">
        <f t="shared" si="35"/>
        <v>6.7171930555095951</v>
      </c>
      <c r="BE23" s="135">
        <f t="shared" si="35"/>
        <v>5.4984618946412738</v>
      </c>
      <c r="BF23" s="135">
        <f t="shared" si="35"/>
        <v>7.0895299377114105</v>
      </c>
      <c r="BG23" s="135">
        <f t="shared" si="35"/>
        <v>3.2549539212999745</v>
      </c>
      <c r="BH23" s="135">
        <f t="shared" si="35"/>
        <v>-0.81452394932007366</v>
      </c>
      <c r="BI23" s="135">
        <f t="shared" si="35"/>
        <v>-2.441578824173094</v>
      </c>
      <c r="BJ23" s="135">
        <f t="shared" si="35"/>
        <v>-4.026392539513334</v>
      </c>
      <c r="BK23" s="135">
        <f t="shared" si="35"/>
        <v>-4.4008025290047783</v>
      </c>
      <c r="BL23" s="135">
        <f t="shared" si="35"/>
        <v>-6.492571008121792</v>
      </c>
      <c r="BM23" s="135">
        <f t="shared" si="35"/>
        <v>-3.336964834636158</v>
      </c>
      <c r="BN23" s="135">
        <f t="shared" si="35"/>
        <v>-2.8468345169817977</v>
      </c>
      <c r="BO23" s="135">
        <f t="shared" si="35"/>
        <v>-5.6659381219181606</v>
      </c>
      <c r="BP23" s="135">
        <f t="shared" si="35"/>
        <v>-4.3656547303413626</v>
      </c>
      <c r="BQ23" s="135">
        <f t="shared" si="35"/>
        <v>-2.8380612906410523</v>
      </c>
      <c r="BR23" s="135">
        <f t="shared" si="36"/>
        <v>-14.970225016519469</v>
      </c>
      <c r="BS23" s="135">
        <f t="shared" si="36"/>
        <v>-10.490984092749278</v>
      </c>
      <c r="BT23" s="135">
        <f t="shared" si="36"/>
        <v>-17.234987697266554</v>
      </c>
      <c r="BU23" s="135">
        <f t="shared" si="36"/>
        <v>-18.625729584819439</v>
      </c>
      <c r="BV23" s="135">
        <f t="shared" si="36"/>
        <v>-15.302391746875179</v>
      </c>
      <c r="BW23" s="135">
        <f t="shared" si="36"/>
        <v>-10.529097012740223</v>
      </c>
      <c r="BX23" s="135">
        <f t="shared" si="36"/>
        <v>-21.083543260056761</v>
      </c>
      <c r="BY23" s="135">
        <f t="shared" si="36"/>
        <v>-20.550068012543694</v>
      </c>
      <c r="BZ23" s="135">
        <f t="shared" si="36"/>
        <v>-8.164388062397661</v>
      </c>
      <c r="CA23" s="135">
        <f t="shared" si="36"/>
        <v>-25.793693569358418</v>
      </c>
      <c r="CB23" s="135">
        <f t="shared" si="36"/>
        <v>-3.7054392614178302</v>
      </c>
      <c r="CC23" s="135">
        <f t="shared" si="36"/>
        <v>-21.817852996045271</v>
      </c>
      <c r="CD23" s="135">
        <f t="shared" si="36"/>
        <v>-30.24179191698969</v>
      </c>
      <c r="CE23" s="135">
        <f t="shared" si="36"/>
        <v>-22.934435378873133</v>
      </c>
      <c r="CF23" s="135">
        <f t="shared" si="36"/>
        <v>-29.814588420225721</v>
      </c>
      <c r="CG23" s="135">
        <f t="shared" si="36"/>
        <v>-19.168002165556121</v>
      </c>
      <c r="CH23" s="135">
        <f t="shared" si="36"/>
        <v>-21.901273127886444</v>
      </c>
      <c r="CI23" s="135">
        <f t="shared" si="36"/>
        <v>-25.637462093234323</v>
      </c>
      <c r="CJ23" s="135">
        <f t="shared" si="36"/>
        <v>-9.2064507141103977</v>
      </c>
      <c r="CK23" s="135">
        <f t="shared" si="36"/>
        <v>-15.365460885849668</v>
      </c>
      <c r="CL23" s="135">
        <f t="shared" si="36"/>
        <v>-6.015226315407924</v>
      </c>
      <c r="CM23" s="135">
        <f t="shared" si="36"/>
        <v>-11.491501510986431</v>
      </c>
      <c r="CN23" s="135">
        <f t="shared" si="36"/>
        <v>-19.514914012450443</v>
      </c>
      <c r="CO23" s="135">
        <f t="shared" si="36"/>
        <v>-18.899104468025552</v>
      </c>
      <c r="CP23" s="135">
        <f t="shared" si="36"/>
        <v>-14.599893417871408</v>
      </c>
      <c r="CQ23" s="135">
        <f t="shared" si="36"/>
        <v>-12.73870341188824</v>
      </c>
      <c r="CR23" s="135">
        <f t="shared" si="36"/>
        <v>-12.95606736411488</v>
      </c>
      <c r="CS23" s="135">
        <f t="shared" si="36"/>
        <v>-1.6226027161113561</v>
      </c>
      <c r="CT23" s="135">
        <f t="shared" si="36"/>
        <v>-6.8594459922360791</v>
      </c>
      <c r="CU23" s="135">
        <f t="shared" si="36"/>
        <v>-5.2990261181616871</v>
      </c>
      <c r="CV23" s="135">
        <f t="shared" si="36"/>
        <v>-5.6634587737317785</v>
      </c>
      <c r="CW23" s="135">
        <f t="shared" si="36"/>
        <v>-4.2592670096428726</v>
      </c>
      <c r="CX23" s="135">
        <f t="shared" si="36"/>
        <v>-3.3251303718062126</v>
      </c>
      <c r="CY23" s="135">
        <f t="shared" si="36"/>
        <v>-2.2084380006741835</v>
      </c>
      <c r="CZ23" s="135">
        <f t="shared" si="36"/>
        <v>0.70838138455932032</v>
      </c>
      <c r="DA23" s="135">
        <f t="shared" si="36"/>
        <v>0.84446269497032189</v>
      </c>
      <c r="DC23">
        <v>19</v>
      </c>
      <c r="DD23" s="114">
        <v>71.649094722908288</v>
      </c>
      <c r="DE23" s="114">
        <v>13.518245615353655</v>
      </c>
      <c r="DF23" s="114">
        <v>23.213253694481562</v>
      </c>
      <c r="DG23" s="114">
        <v>73.546541629983437</v>
      </c>
      <c r="DH23" s="114">
        <v>4.9254243690386019</v>
      </c>
      <c r="DI23" s="114">
        <v>26.110661095360587</v>
      </c>
      <c r="DJ23" s="114">
        <v>9.2645480938338807</v>
      </c>
      <c r="DK23" s="114">
        <f t="shared" si="0"/>
        <v>85.831851382960991</v>
      </c>
      <c r="DL23" s="114">
        <f t="shared" si="1"/>
        <v>1.0434556354431777</v>
      </c>
      <c r="DM23" s="114">
        <f t="shared" si="2"/>
        <v>59.785604020035521</v>
      </c>
      <c r="DN23" s="115">
        <f t="shared" si="3"/>
        <v>3</v>
      </c>
      <c r="DO23">
        <v>5</v>
      </c>
    </row>
    <row r="24" spans="1:138">
      <c r="A24">
        <v>455</v>
      </c>
      <c r="B24" s="120">
        <f>'Color metric'!B18</f>
        <v>9.3130779392338173E-2</v>
      </c>
      <c r="C24" s="112">
        <f>Reference!N24</f>
        <v>1.746021100605208</v>
      </c>
      <c r="D24" s="112"/>
      <c r="E24" s="138" t="s">
        <v>238</v>
      </c>
      <c r="F24" s="139"/>
      <c r="G24" s="140"/>
      <c r="H24" s="140"/>
      <c r="I24" s="140"/>
      <c r="J24" s="140"/>
      <c r="K24" s="140"/>
      <c r="L24" s="140"/>
      <c r="M24" s="140"/>
      <c r="N24" s="140"/>
      <c r="O24" s="140"/>
      <c r="P24" s="141"/>
      <c r="Q24" s="141"/>
      <c r="R24" s="14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141"/>
      <c r="AE24" s="141"/>
      <c r="AF24" s="141"/>
      <c r="AG24" s="141"/>
      <c r="AH24" s="141"/>
      <c r="AI24" s="141"/>
      <c r="AJ24" s="141"/>
      <c r="AK24" s="141"/>
      <c r="AL24" s="141"/>
      <c r="AM24" s="141"/>
      <c r="AN24" s="141"/>
      <c r="AO24" s="141"/>
      <c r="AP24" s="141"/>
      <c r="AQ24" s="141"/>
      <c r="AR24" s="141"/>
      <c r="AS24" s="141"/>
      <c r="AT24" s="141"/>
      <c r="AU24" s="141"/>
      <c r="AV24" s="141"/>
      <c r="AW24" s="141"/>
      <c r="AX24" s="141"/>
      <c r="AY24" s="141"/>
      <c r="AZ24" s="141"/>
      <c r="BA24" s="141"/>
      <c r="BB24" s="141"/>
      <c r="BC24" s="141"/>
      <c r="BD24" s="141"/>
      <c r="BE24" s="141"/>
      <c r="BF24" s="141"/>
      <c r="BG24" s="141"/>
      <c r="BH24" s="141"/>
      <c r="BI24" s="141"/>
      <c r="BJ24" s="141"/>
      <c r="BK24" s="141"/>
      <c r="BL24" s="141"/>
      <c r="BM24" s="141"/>
      <c r="BN24" s="141"/>
      <c r="BO24" s="141"/>
      <c r="BP24" s="141"/>
      <c r="BQ24" s="141"/>
      <c r="BR24" s="141"/>
      <c r="BS24" s="141"/>
      <c r="BT24" s="141"/>
      <c r="BU24" s="141"/>
      <c r="BV24" s="141"/>
      <c r="BW24" s="141"/>
      <c r="BX24" s="141"/>
      <c r="BY24" s="141"/>
      <c r="BZ24" s="141"/>
      <c r="CA24" s="141"/>
      <c r="CB24" s="141"/>
      <c r="CC24" s="141"/>
      <c r="CD24" s="141"/>
      <c r="CE24" s="141"/>
      <c r="CF24" s="141"/>
      <c r="CG24" s="141"/>
      <c r="CH24" s="141"/>
      <c r="CI24" s="141"/>
      <c r="CJ24" s="141"/>
      <c r="CK24" s="141"/>
      <c r="CL24" s="141"/>
      <c r="CM24" s="141"/>
      <c r="CN24" s="141"/>
      <c r="CO24" s="141"/>
      <c r="CP24" s="141"/>
      <c r="CQ24" s="141"/>
      <c r="CR24" s="141"/>
      <c r="CS24" s="141"/>
      <c r="CT24" s="141"/>
      <c r="CU24" s="141"/>
      <c r="CV24" s="141"/>
      <c r="CW24" s="141"/>
      <c r="CX24" s="141"/>
      <c r="CY24" s="141"/>
      <c r="CZ24" s="141"/>
      <c r="DA24" s="141"/>
      <c r="DC24">
        <v>20</v>
      </c>
      <c r="DD24" s="114">
        <v>67.528333127716394</v>
      </c>
      <c r="DE24" s="114">
        <v>20.062326399199158</v>
      </c>
      <c r="DF24" s="114">
        <v>27.331905430892878</v>
      </c>
      <c r="DG24" s="114">
        <v>65.206515771458299</v>
      </c>
      <c r="DH24" s="114">
        <v>9.5206728005355767</v>
      </c>
      <c r="DI24" s="114">
        <v>32.181765471094927</v>
      </c>
      <c r="DJ24" s="114">
        <v>11.833783792159918</v>
      </c>
      <c r="DK24" s="114">
        <f t="shared" si="0"/>
        <v>140.03843883958677</v>
      </c>
      <c r="DL24" s="114">
        <f t="shared" si="1"/>
        <v>0.93759727400382831</v>
      </c>
      <c r="DM24" s="114">
        <f t="shared" si="2"/>
        <v>53.720366683390381</v>
      </c>
      <c r="DN24" s="115">
        <f t="shared" si="3"/>
        <v>3</v>
      </c>
      <c r="DO24">
        <v>6</v>
      </c>
      <c r="DQ24" t="s">
        <v>255</v>
      </c>
      <c r="DR24" s="114">
        <f>SUMPRODUCT(DR12:EG12,DR13:EG13)</f>
        <v>-1408.2174415402023</v>
      </c>
    </row>
    <row r="25" spans="1:138">
      <c r="A25">
        <v>460</v>
      </c>
      <c r="B25" s="120">
        <f>'Color metric'!B19</f>
        <v>9.610303830911493E-2</v>
      </c>
      <c r="C25" s="112">
        <f>Reference!N25</f>
        <v>1.8583503867442959</v>
      </c>
      <c r="D25" s="112"/>
      <c r="E25" s="138" t="s">
        <v>250</v>
      </c>
      <c r="F25" s="139">
        <f t="shared" ref="F25:BQ25" si="38">F208</f>
        <v>100</v>
      </c>
      <c r="G25" s="139">
        <f t="shared" si="38"/>
        <v>86.149821526394874</v>
      </c>
      <c r="H25" s="139">
        <f t="shared" si="38"/>
        <v>61.985918419424905</v>
      </c>
      <c r="I25" s="139">
        <f t="shared" si="38"/>
        <v>30.297207749478545</v>
      </c>
      <c r="J25" s="139">
        <f t="shared" si="38"/>
        <v>71.617316487888274</v>
      </c>
      <c r="K25" s="139">
        <f t="shared" si="38"/>
        <v>48.18972477716062</v>
      </c>
      <c r="L25" s="139">
        <f t="shared" si="38"/>
        <v>51.523901936214038</v>
      </c>
      <c r="M25" s="139">
        <f t="shared" si="38"/>
        <v>39.656082001857229</v>
      </c>
      <c r="N25" s="139">
        <f t="shared" si="38"/>
        <v>38.480038631706691</v>
      </c>
      <c r="O25" s="139">
        <f t="shared" si="38"/>
        <v>28.39270505656847</v>
      </c>
      <c r="P25" s="139">
        <f t="shared" si="38"/>
        <v>76.021296995925397</v>
      </c>
      <c r="Q25" s="139">
        <f t="shared" si="38"/>
        <v>59.710630582570154</v>
      </c>
      <c r="R25" s="139">
        <f t="shared" si="38"/>
        <v>65.232591514865561</v>
      </c>
      <c r="S25" s="139">
        <f t="shared" si="38"/>
        <v>42.054830680102121</v>
      </c>
      <c r="T25" s="139">
        <f t="shared" si="38"/>
        <v>74.316593408158582</v>
      </c>
      <c r="U25" s="139">
        <f t="shared" si="38"/>
        <v>70.715348062518558</v>
      </c>
      <c r="V25" s="139">
        <f t="shared" si="38"/>
        <v>46.685645747771474</v>
      </c>
      <c r="W25" s="139">
        <f t="shared" si="38"/>
        <v>50.650114553362137</v>
      </c>
      <c r="X25" s="139">
        <f t="shared" si="38"/>
        <v>56.028188059068853</v>
      </c>
      <c r="Y25" s="139">
        <f t="shared" si="38"/>
        <v>73.546541629983437</v>
      </c>
      <c r="Z25" s="139">
        <f t="shared" si="38"/>
        <v>65.206515771458299</v>
      </c>
      <c r="AA25" s="139">
        <f t="shared" si="38"/>
        <v>88.108833163719723</v>
      </c>
      <c r="AB25" s="139">
        <f t="shared" si="38"/>
        <v>79.807897766864016</v>
      </c>
      <c r="AC25" s="139">
        <f t="shared" si="38"/>
        <v>92.031716985676624</v>
      </c>
      <c r="AD25" s="139">
        <f t="shared" si="38"/>
        <v>91.981617069597235</v>
      </c>
      <c r="AE25" s="139">
        <f t="shared" si="38"/>
        <v>73.890039535119868</v>
      </c>
      <c r="AF25" s="139">
        <f t="shared" si="38"/>
        <v>90.771006470450388</v>
      </c>
      <c r="AG25" s="139">
        <f t="shared" si="38"/>
        <v>73.730962313505202</v>
      </c>
      <c r="AH25" s="139">
        <f t="shared" si="38"/>
        <v>42.593994567753263</v>
      </c>
      <c r="AI25" s="139">
        <f t="shared" si="38"/>
        <v>87.239979273545217</v>
      </c>
      <c r="AJ25" s="139">
        <f t="shared" si="38"/>
        <v>64.289655723093659</v>
      </c>
      <c r="AK25" s="139">
        <f t="shared" si="38"/>
        <v>88.823055235328326</v>
      </c>
      <c r="AL25" s="139">
        <f t="shared" si="38"/>
        <v>76.110084678901444</v>
      </c>
      <c r="AM25" s="139">
        <f t="shared" si="38"/>
        <v>89.680431120343471</v>
      </c>
      <c r="AN25" s="139">
        <f t="shared" si="38"/>
        <v>63.523280603093433</v>
      </c>
      <c r="AO25" s="139">
        <f t="shared" si="38"/>
        <v>43.356973877904984</v>
      </c>
      <c r="AP25" s="139">
        <f t="shared" si="38"/>
        <v>80.540163323953891</v>
      </c>
      <c r="AQ25" s="139">
        <f t="shared" si="38"/>
        <v>49.363032838445179</v>
      </c>
      <c r="AR25" s="139">
        <f t="shared" si="38"/>
        <v>86.102868939403038</v>
      </c>
      <c r="AS25" s="139">
        <f t="shared" si="38"/>
        <v>34.76581926586173</v>
      </c>
      <c r="AT25" s="139">
        <f t="shared" si="38"/>
        <v>48.859163266454594</v>
      </c>
      <c r="AU25" s="139">
        <f t="shared" si="38"/>
        <v>87.804627000864429</v>
      </c>
      <c r="AV25" s="139">
        <f t="shared" si="38"/>
        <v>68.906991565544004</v>
      </c>
      <c r="AW25" s="139">
        <f t="shared" si="38"/>
        <v>72.36774784801581</v>
      </c>
      <c r="AX25" s="139">
        <f t="shared" si="38"/>
        <v>28.749365532136554</v>
      </c>
      <c r="AY25" s="139">
        <f t="shared" si="38"/>
        <v>58.281211257154972</v>
      </c>
      <c r="AZ25" s="139">
        <f t="shared" si="38"/>
        <v>66.810369150483922</v>
      </c>
      <c r="BA25" s="139">
        <f t="shared" si="38"/>
        <v>68.840100568288833</v>
      </c>
      <c r="BB25" s="139">
        <f t="shared" si="38"/>
        <v>78.001893313883741</v>
      </c>
      <c r="BC25" s="139">
        <f t="shared" si="38"/>
        <v>45.593002956950116</v>
      </c>
      <c r="BD25" s="139">
        <f t="shared" si="38"/>
        <v>53.12487508779887</v>
      </c>
      <c r="BE25" s="139">
        <f t="shared" si="38"/>
        <v>56.710554171843235</v>
      </c>
      <c r="BF25" s="139">
        <f t="shared" si="38"/>
        <v>38.979342590042172</v>
      </c>
      <c r="BG25" s="139">
        <f t="shared" si="38"/>
        <v>46.827453102474934</v>
      </c>
      <c r="BH25" s="139">
        <f t="shared" si="38"/>
        <v>86.959389438786218</v>
      </c>
      <c r="BI25" s="139">
        <f t="shared" si="38"/>
        <v>82.887906761587303</v>
      </c>
      <c r="BJ25" s="139">
        <f t="shared" si="38"/>
        <v>69.285416004107887</v>
      </c>
      <c r="BK25" s="139">
        <f t="shared" si="38"/>
        <v>55.172439125068564</v>
      </c>
      <c r="BL25" s="139">
        <f t="shared" si="38"/>
        <v>51.458063729889965</v>
      </c>
      <c r="BM25" s="139">
        <f t="shared" si="38"/>
        <v>86.210201026895646</v>
      </c>
      <c r="BN25" s="139">
        <f t="shared" si="38"/>
        <v>87.930187932816978</v>
      </c>
      <c r="BO25" s="139">
        <f t="shared" si="38"/>
        <v>75.762905722813471</v>
      </c>
      <c r="BP25" s="139">
        <f t="shared" si="38"/>
        <v>66.433330883232529</v>
      </c>
      <c r="BQ25" s="139">
        <f t="shared" si="38"/>
        <v>34.45111144800422</v>
      </c>
      <c r="BR25" s="139">
        <f t="shared" ref="BR25:DA25" si="39">BR208</f>
        <v>55.252615928672761</v>
      </c>
      <c r="BS25" s="139">
        <f t="shared" si="39"/>
        <v>40.017330344062245</v>
      </c>
      <c r="BT25" s="139">
        <f t="shared" si="39"/>
        <v>40.861688281593423</v>
      </c>
      <c r="BU25" s="139">
        <f t="shared" si="39"/>
        <v>44.039288858656633</v>
      </c>
      <c r="BV25" s="139">
        <f t="shared" si="39"/>
        <v>61.737070690141231</v>
      </c>
      <c r="BW25" s="139">
        <f t="shared" si="39"/>
        <v>51.52889828882217</v>
      </c>
      <c r="BX25" s="139">
        <f t="shared" si="39"/>
        <v>70.365646618036322</v>
      </c>
      <c r="BY25" s="139">
        <f t="shared" si="39"/>
        <v>32.609387704694853</v>
      </c>
      <c r="BZ25" s="139">
        <f t="shared" si="39"/>
        <v>76.288046675860173</v>
      </c>
      <c r="CA25" s="139">
        <f t="shared" si="39"/>
        <v>54.622271776110139</v>
      </c>
      <c r="CB25" s="139">
        <f t="shared" si="39"/>
        <v>28.124556395451343</v>
      </c>
      <c r="CC25" s="139">
        <f t="shared" si="39"/>
        <v>31.419257671692783</v>
      </c>
      <c r="CD25" s="139">
        <f t="shared" si="39"/>
        <v>44.455554113215825</v>
      </c>
      <c r="CE25" s="139">
        <f t="shared" si="39"/>
        <v>42.152197503167159</v>
      </c>
      <c r="CF25" s="139">
        <f t="shared" si="39"/>
        <v>41.897342372400715</v>
      </c>
      <c r="CG25" s="139">
        <f t="shared" si="39"/>
        <v>72.472554579531945</v>
      </c>
      <c r="CH25" s="139">
        <f t="shared" si="39"/>
        <v>64.801115255986474</v>
      </c>
      <c r="CI25" s="139">
        <f t="shared" si="39"/>
        <v>41.924407844675329</v>
      </c>
      <c r="CJ25" s="139">
        <f t="shared" si="39"/>
        <v>87.200504392384119</v>
      </c>
      <c r="CK25" s="139">
        <f t="shared" si="39"/>
        <v>73.085797012957812</v>
      </c>
      <c r="CL25" s="139">
        <f t="shared" si="39"/>
        <v>27.157132713783319</v>
      </c>
      <c r="CM25" s="139">
        <f t="shared" si="39"/>
        <v>40.329263264681408</v>
      </c>
      <c r="CN25" s="139">
        <f t="shared" si="39"/>
        <v>63.854573329077624</v>
      </c>
      <c r="CO25" s="139">
        <f t="shared" si="39"/>
        <v>38.057060758353863</v>
      </c>
      <c r="CP25" s="139">
        <f t="shared" si="39"/>
        <v>61.535956793694645</v>
      </c>
      <c r="CQ25" s="139">
        <f t="shared" si="39"/>
        <v>37.771723550449181</v>
      </c>
      <c r="CR25" s="139">
        <f t="shared" si="39"/>
        <v>43.589343089034671</v>
      </c>
      <c r="CS25" s="139">
        <f t="shared" si="39"/>
        <v>80.217741238100174</v>
      </c>
      <c r="CT25" s="139">
        <f t="shared" si="39"/>
        <v>54.331393241897537</v>
      </c>
      <c r="CU25" s="139">
        <f t="shared" si="39"/>
        <v>66.665854417745635</v>
      </c>
      <c r="CV25" s="139">
        <f t="shared" si="39"/>
        <v>37.622876327670895</v>
      </c>
      <c r="CW25" s="139">
        <f t="shared" si="39"/>
        <v>68.970739047397515</v>
      </c>
      <c r="CX25" s="139">
        <f t="shared" si="39"/>
        <v>77.996649350239437</v>
      </c>
      <c r="CY25" s="139">
        <f t="shared" si="39"/>
        <v>54.735831905502636</v>
      </c>
      <c r="CZ25" s="139">
        <f t="shared" si="39"/>
        <v>65.385138227170486</v>
      </c>
      <c r="DA25" s="139">
        <f t="shared" si="39"/>
        <v>50.755286526726806</v>
      </c>
      <c r="DC25">
        <v>21</v>
      </c>
      <c r="DD25" s="114">
        <v>86.215321259726309</v>
      </c>
      <c r="DE25" s="114">
        <v>13.555394976162228</v>
      </c>
      <c r="DF25" s="114">
        <v>27.892306055649652</v>
      </c>
      <c r="DG25" s="114">
        <v>88.108833163719723</v>
      </c>
      <c r="DH25" s="114">
        <v>3.1490617274036921</v>
      </c>
      <c r="DI25" s="114">
        <v>31.200761208420992</v>
      </c>
      <c r="DJ25" s="114">
        <v>11.082555414374493</v>
      </c>
      <c r="DK25" s="114">
        <f t="shared" si="0"/>
        <v>122.82303451268139</v>
      </c>
      <c r="DL25" s="114">
        <f t="shared" si="1"/>
        <v>1.1184190225797157</v>
      </c>
      <c r="DM25" s="114">
        <f t="shared" si="2"/>
        <v>64.080689720964429</v>
      </c>
      <c r="DN25" s="115">
        <f t="shared" si="3"/>
        <v>3</v>
      </c>
      <c r="DO25">
        <v>4</v>
      </c>
      <c r="DQ25" t="s">
        <v>256</v>
      </c>
      <c r="DR25" s="114">
        <f>SUMPRODUCT(DR14:EG14,DR15:EG15)</f>
        <v>-1175.7686894882306</v>
      </c>
    </row>
    <row r="26" spans="1:138">
      <c r="A26">
        <v>465</v>
      </c>
      <c r="B26" s="120">
        <f>'Color metric'!B20</f>
        <v>9.8745046235138703E-2</v>
      </c>
      <c r="C26" s="112">
        <f>Reference!N26</f>
        <v>1.974102636503255</v>
      </c>
      <c r="D26" s="112"/>
      <c r="E26" s="138" t="s">
        <v>252</v>
      </c>
      <c r="F26" s="139">
        <f t="shared" ref="F26:BQ27" si="40">F210</f>
        <v>6.102648751210772E-3</v>
      </c>
      <c r="G26" s="139">
        <f t="shared" si="40"/>
        <v>12.918063527860733</v>
      </c>
      <c r="H26" s="139">
        <f t="shared" si="40"/>
        <v>24.478163269030087</v>
      </c>
      <c r="I26" s="139">
        <f t="shared" si="40"/>
        <v>9.8042102950301384</v>
      </c>
      <c r="J26" s="139">
        <f t="shared" si="40"/>
        <v>13.332490042212665</v>
      </c>
      <c r="K26" s="139">
        <f t="shared" si="40"/>
        <v>23.518874292303686</v>
      </c>
      <c r="L26" s="139">
        <f t="shared" si="40"/>
        <v>11.077134181499529</v>
      </c>
      <c r="M26" s="139">
        <f t="shared" si="40"/>
        <v>23.403117199592884</v>
      </c>
      <c r="N26" s="139">
        <f t="shared" si="40"/>
        <v>20.23877265137331</v>
      </c>
      <c r="O26" s="139">
        <f t="shared" si="40"/>
        <v>3.4754082118550689</v>
      </c>
      <c r="P26" s="139">
        <f t="shared" si="40"/>
        <v>20.110618690619688</v>
      </c>
      <c r="Q26" s="139">
        <f t="shared" si="40"/>
        <v>17.376100138609768</v>
      </c>
      <c r="R26" s="139">
        <f t="shared" si="40"/>
        <v>19.07931764678283</v>
      </c>
      <c r="S26" s="139">
        <f t="shared" si="40"/>
        <v>13.016143044619801</v>
      </c>
      <c r="T26" s="139">
        <f t="shared" si="40"/>
        <v>3.7459609736067416</v>
      </c>
      <c r="U26" s="139">
        <f t="shared" si="40"/>
        <v>7.7796515986218395</v>
      </c>
      <c r="V26" s="139">
        <f t="shared" si="40"/>
        <v>8.0846227376839419</v>
      </c>
      <c r="W26" s="139">
        <f t="shared" si="40"/>
        <v>5.7934929241863236</v>
      </c>
      <c r="X26" s="139">
        <f t="shared" si="40"/>
        <v>5.9784642272876019</v>
      </c>
      <c r="Y26" s="139">
        <f t="shared" si="40"/>
        <v>4.9254243690386019</v>
      </c>
      <c r="Z26" s="139">
        <f t="shared" si="40"/>
        <v>9.5206728005355767</v>
      </c>
      <c r="AA26" s="139">
        <f t="shared" si="40"/>
        <v>3.1490617274036921</v>
      </c>
      <c r="AB26" s="139">
        <f t="shared" si="40"/>
        <v>4.3493562625397404</v>
      </c>
      <c r="AC26" s="139">
        <f t="shared" si="40"/>
        <v>-0.24479849246738958</v>
      </c>
      <c r="AD26" s="139">
        <f t="shared" si="40"/>
        <v>-1.1725868880642552</v>
      </c>
      <c r="AE26" s="139">
        <f t="shared" si="40"/>
        <v>-2.1807257246907392</v>
      </c>
      <c r="AF26" s="139">
        <f t="shared" si="40"/>
        <v>-1.6777124142328965</v>
      </c>
      <c r="AG26" s="139">
        <f t="shared" si="40"/>
        <v>-2.1516246722465207</v>
      </c>
      <c r="AH26" s="139">
        <f t="shared" si="40"/>
        <v>-2.7663269162797337</v>
      </c>
      <c r="AI26" s="139">
        <f t="shared" si="40"/>
        <v>-5.3698614323104259</v>
      </c>
      <c r="AJ26" s="139">
        <f t="shared" si="40"/>
        <v>-2.8744382034594813</v>
      </c>
      <c r="AK26" s="139">
        <f t="shared" si="40"/>
        <v>-5.7577328680796294</v>
      </c>
      <c r="AL26" s="139">
        <f t="shared" si="40"/>
        <v>-8.0902503045098086</v>
      </c>
      <c r="AM26" s="139">
        <f t="shared" si="40"/>
        <v>-4.1475421685526035</v>
      </c>
      <c r="AN26" s="139">
        <f t="shared" si="40"/>
        <v>-8.1257861907131552</v>
      </c>
      <c r="AO26" s="139">
        <f t="shared" si="40"/>
        <v>-5.099156832489248</v>
      </c>
      <c r="AP26" s="139">
        <f t="shared" si="40"/>
        <v>-1.6462988697127576</v>
      </c>
      <c r="AQ26" s="139">
        <f t="shared" si="40"/>
        <v>-8.5901028861689905</v>
      </c>
      <c r="AR26" s="139">
        <f t="shared" si="40"/>
        <v>-5.5114518226636813</v>
      </c>
      <c r="AS26" s="139">
        <f t="shared" si="40"/>
        <v>-1.7013714898445558</v>
      </c>
      <c r="AT26" s="139">
        <f t="shared" si="40"/>
        <v>-3.6762660870206099</v>
      </c>
      <c r="AU26" s="139">
        <f t="shared" si="40"/>
        <v>-3.8531102245300044</v>
      </c>
      <c r="AV26" s="139">
        <f t="shared" si="40"/>
        <v>-16.937456108197452</v>
      </c>
      <c r="AW26" s="139">
        <f t="shared" si="40"/>
        <v>-16.462555152140414</v>
      </c>
      <c r="AX26" s="139">
        <f t="shared" si="40"/>
        <v>-0.77543549442285054</v>
      </c>
      <c r="AY26" s="139">
        <f t="shared" si="40"/>
        <v>-15.974884555983119</v>
      </c>
      <c r="AZ26" s="139">
        <f t="shared" si="40"/>
        <v>-12.009592065840884</v>
      </c>
      <c r="BA26" s="139">
        <f t="shared" si="40"/>
        <v>-8.5511304957755208</v>
      </c>
      <c r="BB26" s="139">
        <f t="shared" si="40"/>
        <v>-15.772236974107249</v>
      </c>
      <c r="BC26" s="139">
        <f t="shared" si="40"/>
        <v>-14.038046973263526</v>
      </c>
      <c r="BD26" s="139">
        <f t="shared" si="40"/>
        <v>-13.756124903056556</v>
      </c>
      <c r="BE26" s="139">
        <f t="shared" si="40"/>
        <v>-11.344493801432622</v>
      </c>
      <c r="BF26" s="139">
        <f t="shared" si="40"/>
        <v>-15.695048383028224</v>
      </c>
      <c r="BG26" s="139">
        <f t="shared" si="40"/>
        <v>-24.248854457037638</v>
      </c>
      <c r="BH26" s="139">
        <f t="shared" si="40"/>
        <v>-12.269466325509999</v>
      </c>
      <c r="BI26" s="139">
        <f t="shared" si="40"/>
        <v>-13.462098210723543</v>
      </c>
      <c r="BJ26" s="139">
        <f t="shared" si="40"/>
        <v>-23.413313799114018</v>
      </c>
      <c r="BK26" s="139">
        <f t="shared" si="40"/>
        <v>-24.967951635471088</v>
      </c>
      <c r="BL26" s="139">
        <f t="shared" si="40"/>
        <v>-24.870937157435325</v>
      </c>
      <c r="BM26" s="139">
        <f t="shared" si="40"/>
        <v>-11.348346090639106</v>
      </c>
      <c r="BN26" s="139">
        <f t="shared" si="40"/>
        <v>-4.4814322723591049</v>
      </c>
      <c r="BO26" s="139">
        <f t="shared" si="40"/>
        <v>-9.5554423409785159</v>
      </c>
      <c r="BP26" s="139">
        <f t="shared" si="40"/>
        <v>-4.1741397338831217</v>
      </c>
      <c r="BQ26" s="139">
        <f t="shared" si="40"/>
        <v>1.9407180964471344</v>
      </c>
      <c r="BR26" s="139">
        <f t="shared" ref="BR26:DA27" si="41">BR210</f>
        <v>-20.110413755978321</v>
      </c>
      <c r="BS26" s="139">
        <f t="shared" si="41"/>
        <v>-10.429252488185108</v>
      </c>
      <c r="BT26" s="139">
        <f t="shared" si="41"/>
        <v>-15.825804752767015</v>
      </c>
      <c r="BU26" s="139">
        <f t="shared" si="41"/>
        <v>-15.81485207181754</v>
      </c>
      <c r="BV26" s="139">
        <f t="shared" si="41"/>
        <v>-8.8727427040847537</v>
      </c>
      <c r="BW26" s="139">
        <f t="shared" si="41"/>
        <v>-1.2878631862672829</v>
      </c>
      <c r="BX26" s="139">
        <f t="shared" si="41"/>
        <v>-8.3076467327226293</v>
      </c>
      <c r="BY26" s="139">
        <f t="shared" si="41"/>
        <v>-5.6500438088158464</v>
      </c>
      <c r="BZ26" s="139">
        <f t="shared" si="41"/>
        <v>-2.5623602788219935</v>
      </c>
      <c r="CA26" s="139">
        <f t="shared" si="41"/>
        <v>-10.204273014426132</v>
      </c>
      <c r="CB26" s="139">
        <f t="shared" si="41"/>
        <v>-1.1467573130477735</v>
      </c>
      <c r="CC26" s="139">
        <f t="shared" si="41"/>
        <v>-3.5321738721799836</v>
      </c>
      <c r="CD26" s="139">
        <f t="shared" si="41"/>
        <v>-3.5200586289156313</v>
      </c>
      <c r="CE26" s="139">
        <f t="shared" si="41"/>
        <v>-3.7306566242816865</v>
      </c>
      <c r="CF26" s="139">
        <f t="shared" si="41"/>
        <v>-3.0097622409385831</v>
      </c>
      <c r="CG26" s="139">
        <f t="shared" si="41"/>
        <v>5.9141217864836663E-2</v>
      </c>
      <c r="CH26" s="139">
        <f t="shared" si="41"/>
        <v>3.8230482184404808</v>
      </c>
      <c r="CI26" s="139">
        <f t="shared" si="41"/>
        <v>4.3525333761436462</v>
      </c>
      <c r="CJ26" s="139">
        <f t="shared" si="41"/>
        <v>2.3076159964989511</v>
      </c>
      <c r="CK26" s="139">
        <f t="shared" si="41"/>
        <v>4.5381843486036644</v>
      </c>
      <c r="CL26" s="139">
        <f t="shared" si="41"/>
        <v>5.7295616943660654</v>
      </c>
      <c r="CM26" s="139">
        <f t="shared" si="41"/>
        <v>5.1695902959214859</v>
      </c>
      <c r="CN26" s="139">
        <f t="shared" si="41"/>
        <v>7.2929531685868429</v>
      </c>
      <c r="CO26" s="139">
        <f t="shared" si="41"/>
        <v>13.55222157595909</v>
      </c>
      <c r="CP26" s="139">
        <f t="shared" si="41"/>
        <v>15.884654174971946</v>
      </c>
      <c r="CQ26" s="139">
        <f t="shared" si="41"/>
        <v>13.498718056760131</v>
      </c>
      <c r="CR26" s="139">
        <f t="shared" si="41"/>
        <v>17.327792230914341</v>
      </c>
      <c r="CS26" s="139">
        <f t="shared" si="41"/>
        <v>2.3981695648773202</v>
      </c>
      <c r="CT26" s="139">
        <f t="shared" si="41"/>
        <v>11.554061588416904</v>
      </c>
      <c r="CU26" s="139">
        <f t="shared" si="41"/>
        <v>10.200066319856068</v>
      </c>
      <c r="CV26" s="139">
        <f t="shared" si="41"/>
        <v>16.045353983649282</v>
      </c>
      <c r="CW26" s="139">
        <f t="shared" si="41"/>
        <v>14.244639981476189</v>
      </c>
      <c r="CX26" s="139">
        <f t="shared" si="41"/>
        <v>13.60038453058363</v>
      </c>
      <c r="CY26" s="139">
        <f t="shared" si="41"/>
        <v>18.690709470863677</v>
      </c>
      <c r="CZ26" s="139">
        <f t="shared" si="41"/>
        <v>24.704297311697243</v>
      </c>
      <c r="DA26" s="139">
        <f t="shared" si="41"/>
        <v>26.200774751826444</v>
      </c>
      <c r="DC26">
        <v>22</v>
      </c>
      <c r="DD26" s="114">
        <v>78.747040865430648</v>
      </c>
      <c r="DE26" s="114">
        <v>14.998045935207301</v>
      </c>
      <c r="DF26" s="114">
        <v>28.579607672962513</v>
      </c>
      <c r="DG26" s="114">
        <v>79.807897766864016</v>
      </c>
      <c r="DH26" s="114">
        <v>4.3493562625397404</v>
      </c>
      <c r="DI26" s="114">
        <v>32.750395887149786</v>
      </c>
      <c r="DJ26" s="114">
        <v>11.485446592871305</v>
      </c>
      <c r="DK26" s="114">
        <f t="shared" si="0"/>
        <v>131.91548343769907</v>
      </c>
      <c r="DL26" s="114">
        <f t="shared" si="1"/>
        <v>1.0875207238319009</v>
      </c>
      <c r="DM26" s="114">
        <f t="shared" si="2"/>
        <v>62.31034760858028</v>
      </c>
      <c r="DN26" s="115">
        <f t="shared" si="3"/>
        <v>3</v>
      </c>
      <c r="DO26">
        <v>4</v>
      </c>
      <c r="DQ26" t="s">
        <v>257</v>
      </c>
      <c r="DR26" s="114">
        <f>DR25/DR24*100</f>
        <v>83.493404839686065</v>
      </c>
    </row>
    <row r="27" spans="1:138">
      <c r="A27">
        <v>470</v>
      </c>
      <c r="B27" s="120">
        <f>'Color metric'!B21</f>
        <v>0.10039630118890357</v>
      </c>
      <c r="C27" s="112">
        <f>Reference!N27</f>
        <v>2.0931736474855192</v>
      </c>
      <c r="D27" s="112"/>
      <c r="E27" s="138" t="s">
        <v>254</v>
      </c>
      <c r="F27" s="139">
        <f t="shared" si="40"/>
        <v>6.7807208355656764E-4</v>
      </c>
      <c r="G27" s="139">
        <f t="shared" si="40"/>
        <v>0.34596299931652569</v>
      </c>
      <c r="H27" s="139">
        <f t="shared" si="40"/>
        <v>1.7618603008961586</v>
      </c>
      <c r="I27" s="139">
        <f t="shared" si="40"/>
        <v>1.5392452920032682</v>
      </c>
      <c r="J27" s="139">
        <f t="shared" si="40"/>
        <v>6.000420778271816</v>
      </c>
      <c r="K27" s="139">
        <f t="shared" si="40"/>
        <v>5.508509444962888</v>
      </c>
      <c r="L27" s="139">
        <f t="shared" si="40"/>
        <v>6.5727030628600014</v>
      </c>
      <c r="M27" s="139">
        <f t="shared" si="40"/>
        <v>8.381723781042691</v>
      </c>
      <c r="N27" s="139">
        <f t="shared" si="40"/>
        <v>7.3990002624888573</v>
      </c>
      <c r="O27" s="139">
        <f t="shared" si="40"/>
        <v>0.51106545782658364</v>
      </c>
      <c r="P27" s="139">
        <f t="shared" si="40"/>
        <v>19.612428642278154</v>
      </c>
      <c r="Q27" s="139">
        <f t="shared" si="40"/>
        <v>20.808578102084549</v>
      </c>
      <c r="R27" s="139">
        <f t="shared" si="40"/>
        <v>22.155596984982246</v>
      </c>
      <c r="S27" s="139">
        <f t="shared" si="40"/>
        <v>14.335433580922212</v>
      </c>
      <c r="T27" s="139">
        <f t="shared" si="40"/>
        <v>6.4874946908352031</v>
      </c>
      <c r="U27" s="139">
        <f t="shared" si="40"/>
        <v>12.27058111607581</v>
      </c>
      <c r="V27" s="139">
        <f t="shared" si="40"/>
        <v>17.873878194005616</v>
      </c>
      <c r="W27" s="139">
        <f t="shared" si="40"/>
        <v>19.774501887364707</v>
      </c>
      <c r="X27" s="139">
        <f t="shared" si="40"/>
        <v>15.228907123542834</v>
      </c>
      <c r="Y27" s="139">
        <f t="shared" si="40"/>
        <v>26.110661095360587</v>
      </c>
      <c r="Z27" s="139">
        <f t="shared" si="40"/>
        <v>32.181765471094927</v>
      </c>
      <c r="AA27" s="139">
        <f t="shared" si="40"/>
        <v>31.200761208420992</v>
      </c>
      <c r="AB27" s="139">
        <f t="shared" si="40"/>
        <v>32.750395887149786</v>
      </c>
      <c r="AC27" s="139">
        <f t="shared" si="40"/>
        <v>14.337363203343036</v>
      </c>
      <c r="AD27" s="139">
        <f t="shared" si="40"/>
        <v>26.978176163571931</v>
      </c>
      <c r="AE27" s="139">
        <f t="shared" si="40"/>
        <v>35.067387342526899</v>
      </c>
      <c r="AF27" s="139">
        <f t="shared" si="40"/>
        <v>32.34435456907908</v>
      </c>
      <c r="AG27" s="139">
        <f t="shared" si="40"/>
        <v>17.683697583365507</v>
      </c>
      <c r="AH27" s="139">
        <f t="shared" si="40"/>
        <v>16.640948238838284</v>
      </c>
      <c r="AI27" s="139">
        <f t="shared" si="40"/>
        <v>34.291765213322449</v>
      </c>
      <c r="AJ27" s="139">
        <f t="shared" si="40"/>
        <v>23.268596830139362</v>
      </c>
      <c r="AK27" s="139">
        <f t="shared" si="40"/>
        <v>33.617059626507441</v>
      </c>
      <c r="AL27" s="139">
        <f t="shared" si="40"/>
        <v>35.357559175194112</v>
      </c>
      <c r="AM27" s="139">
        <f t="shared" si="40"/>
        <v>24.392793874935322</v>
      </c>
      <c r="AN27" s="139">
        <f t="shared" si="40"/>
        <v>30.780597578859279</v>
      </c>
      <c r="AO27" s="139">
        <f t="shared" si="40"/>
        <v>16.662007458355003</v>
      </c>
      <c r="AP27" s="139">
        <f t="shared" si="40"/>
        <v>10.574732915685001</v>
      </c>
      <c r="AQ27" s="139">
        <f t="shared" si="40"/>
        <v>20.710716527838919</v>
      </c>
      <c r="AR27" s="139">
        <f t="shared" si="40"/>
        <v>22.386364688528406</v>
      </c>
      <c r="AS27" s="139">
        <f t="shared" si="40"/>
        <v>7.3036242076591602</v>
      </c>
      <c r="AT27" s="139">
        <f t="shared" si="40"/>
        <v>13.399437334238895</v>
      </c>
      <c r="AU27" s="139">
        <f t="shared" si="40"/>
        <v>10.899381331157864</v>
      </c>
      <c r="AV27" s="139">
        <f t="shared" si="40"/>
        <v>30.080905326802036</v>
      </c>
      <c r="AW27" s="139">
        <f t="shared" si="40"/>
        <v>32.399272733935717</v>
      </c>
      <c r="AX27" s="139">
        <f t="shared" si="40"/>
        <v>1.4271029852953625</v>
      </c>
      <c r="AY27" s="139">
        <f t="shared" si="40"/>
        <v>22.844209328990328</v>
      </c>
      <c r="AZ27" s="139">
        <f t="shared" si="40"/>
        <v>19.353801494065657</v>
      </c>
      <c r="BA27" s="139">
        <f t="shared" si="40"/>
        <v>15.034662108666264</v>
      </c>
      <c r="BB27" s="139">
        <f t="shared" si="40"/>
        <v>20.829793958441883</v>
      </c>
      <c r="BC27" s="139">
        <f t="shared" si="40"/>
        <v>16.610495909232537</v>
      </c>
      <c r="BD27" s="139">
        <f t="shared" si="40"/>
        <v>8.8966874987502482</v>
      </c>
      <c r="BE27" s="139">
        <f t="shared" si="40"/>
        <v>7.1589883446850227</v>
      </c>
      <c r="BF27" s="139">
        <f t="shared" si="40"/>
        <v>8.1701729157267078</v>
      </c>
      <c r="BG27" s="139">
        <f t="shared" si="40"/>
        <v>5.8709288325782945</v>
      </c>
      <c r="BH27" s="139">
        <f t="shared" si="40"/>
        <v>2.332611947961901</v>
      </c>
      <c r="BI27" s="139">
        <f t="shared" si="40"/>
        <v>0.40329765177084365</v>
      </c>
      <c r="BJ27" s="139">
        <f t="shared" si="40"/>
        <v>-1.202068385532381</v>
      </c>
      <c r="BK27" s="139">
        <f t="shared" si="40"/>
        <v>-1.2007136959343554</v>
      </c>
      <c r="BL27" s="139">
        <f t="shared" si="40"/>
        <v>-4.1667792157979573</v>
      </c>
      <c r="BM27" s="139">
        <f t="shared" si="40"/>
        <v>-3.473186333000196</v>
      </c>
      <c r="BN27" s="139">
        <f t="shared" si="40"/>
        <v>-1.9896937913828796</v>
      </c>
      <c r="BO27" s="139">
        <f t="shared" si="40"/>
        <v>-6.7320849013954787</v>
      </c>
      <c r="BP27" s="139">
        <f t="shared" si="40"/>
        <v>-0.30130067786858999</v>
      </c>
      <c r="BQ27" s="139">
        <f t="shared" si="40"/>
        <v>0.3659783502989602</v>
      </c>
      <c r="BR27" s="139">
        <f t="shared" si="41"/>
        <v>-16.767229721657692</v>
      </c>
      <c r="BS27" s="139">
        <f t="shared" si="41"/>
        <v>-9.1296108571967434</v>
      </c>
      <c r="BT27" s="139">
        <f t="shared" si="41"/>
        <v>-19.171219261739481</v>
      </c>
      <c r="BU27" s="139">
        <f t="shared" si="41"/>
        <v>-20.791275575112298</v>
      </c>
      <c r="BV27" s="139">
        <f t="shared" si="41"/>
        <v>-18.073820706176164</v>
      </c>
      <c r="BW27" s="139">
        <f t="shared" si="41"/>
        <v>-12.387535358811713</v>
      </c>
      <c r="BX27" s="139">
        <f t="shared" si="41"/>
        <v>-23.744786406213478</v>
      </c>
      <c r="BY27" s="139">
        <f t="shared" si="41"/>
        <v>-20.853136341604202</v>
      </c>
      <c r="BZ27" s="139">
        <f t="shared" si="41"/>
        <v>-8.8461123937232955</v>
      </c>
      <c r="CA27" s="139">
        <f t="shared" si="41"/>
        <v>-29.33099244961867</v>
      </c>
      <c r="CB27" s="139">
        <f t="shared" si="41"/>
        <v>-2.2229382260474742</v>
      </c>
      <c r="CC27" s="139">
        <f t="shared" si="41"/>
        <v>-21.683977277247145</v>
      </c>
      <c r="CD27" s="139">
        <f t="shared" si="41"/>
        <v>-33.544518028352272</v>
      </c>
      <c r="CE27" s="139">
        <f t="shared" si="41"/>
        <v>-25.390328894985412</v>
      </c>
      <c r="CF27" s="139">
        <f t="shared" si="41"/>
        <v>-32.244027531820464</v>
      </c>
      <c r="CG27" s="139">
        <f t="shared" si="41"/>
        <v>-21.629237313620919</v>
      </c>
      <c r="CH27" s="139">
        <f t="shared" si="41"/>
        <v>-23.917987643809727</v>
      </c>
      <c r="CI27" s="139">
        <f t="shared" si="41"/>
        <v>-29.813411666236927</v>
      </c>
      <c r="CJ27" s="139">
        <f t="shared" si="41"/>
        <v>-10.17937219638257</v>
      </c>
      <c r="CK27" s="139">
        <f t="shared" si="41"/>
        <v>-17.585643191076343</v>
      </c>
      <c r="CL27" s="139">
        <f t="shared" si="41"/>
        <v>-7.907805479902219</v>
      </c>
      <c r="CM27" s="139">
        <f t="shared" si="41"/>
        <v>-13.438050300337933</v>
      </c>
      <c r="CN27" s="139">
        <f t="shared" si="41"/>
        <v>-24.960569559126981</v>
      </c>
      <c r="CO27" s="139">
        <f t="shared" si="41"/>
        <v>-22.630543449446549</v>
      </c>
      <c r="CP27" s="139">
        <f t="shared" si="41"/>
        <v>-19.755497211044087</v>
      </c>
      <c r="CQ27" s="139">
        <f t="shared" si="41"/>
        <v>-17.383594357829235</v>
      </c>
      <c r="CR27" s="139">
        <f t="shared" si="41"/>
        <v>-18.704207512107072</v>
      </c>
      <c r="CS27" s="139">
        <f t="shared" si="41"/>
        <v>0.34173182795898432</v>
      </c>
      <c r="CT27" s="139">
        <f t="shared" si="41"/>
        <v>-11.283627787199958</v>
      </c>
      <c r="CU27" s="139">
        <f t="shared" si="41"/>
        <v>-7.8273498878697012</v>
      </c>
      <c r="CV27" s="139">
        <f t="shared" si="41"/>
        <v>-11.990522882626061</v>
      </c>
      <c r="CW27" s="139">
        <f t="shared" si="41"/>
        <v>-7.6399196099489446</v>
      </c>
      <c r="CX27" s="139">
        <f t="shared" si="41"/>
        <v>-6.4203024590165869</v>
      </c>
      <c r="CY27" s="139">
        <f t="shared" si="41"/>
        <v>-3.4298883529847175</v>
      </c>
      <c r="CZ27" s="139">
        <f t="shared" si="41"/>
        <v>-2.9052035489654933</v>
      </c>
      <c r="DA27" s="139">
        <f t="shared" si="41"/>
        <v>-5.1464432511753682</v>
      </c>
      <c r="DC27">
        <v>23</v>
      </c>
      <c r="DD27" s="114">
        <v>91.522987587120937</v>
      </c>
      <c r="DE27" s="114">
        <v>3.6869400853639824</v>
      </c>
      <c r="DF27" s="114">
        <v>12.054844853354602</v>
      </c>
      <c r="DG27" s="114">
        <v>92.031716985676624</v>
      </c>
      <c r="DH27" s="114">
        <v>-0.24479849246738958</v>
      </c>
      <c r="DI27" s="114">
        <v>14.337363203343036</v>
      </c>
      <c r="DJ27" s="114">
        <v>4.5746326479178867</v>
      </c>
      <c r="DK27" s="114">
        <f t="shared" si="0"/>
        <v>20.927263863396217</v>
      </c>
      <c r="DL27" s="114">
        <f t="shared" si="1"/>
        <v>1.2739838338871239</v>
      </c>
      <c r="DM27" s="114">
        <f t="shared" si="2"/>
        <v>72.993896849627944</v>
      </c>
      <c r="DN27" s="115">
        <f t="shared" si="3"/>
        <v>4</v>
      </c>
      <c r="DO27">
        <v>7</v>
      </c>
    </row>
    <row r="28" spans="1:138">
      <c r="A28">
        <v>475</v>
      </c>
      <c r="B28" s="120">
        <f>'Color metric'!B22</f>
        <v>0.10171730515191546</v>
      </c>
      <c r="C28" s="112">
        <f>Reference!N28</f>
        <v>2.2154517219640533</v>
      </c>
      <c r="D28" s="112"/>
      <c r="E28" s="138"/>
      <c r="F28" s="139"/>
      <c r="G28" s="139"/>
      <c r="H28" s="139"/>
      <c r="I28" s="139"/>
      <c r="J28" s="139"/>
      <c r="K28" s="139"/>
      <c r="L28" s="139"/>
      <c r="M28" s="139"/>
      <c r="N28" s="139"/>
      <c r="O28" s="139"/>
      <c r="P28" s="139"/>
      <c r="Q28" s="139"/>
      <c r="R28" s="139"/>
      <c r="S28" s="139"/>
      <c r="T28" s="139"/>
      <c r="U28" s="139"/>
      <c r="V28" s="139"/>
      <c r="W28" s="139"/>
      <c r="X28" s="139"/>
      <c r="Y28" s="139"/>
      <c r="Z28" s="139"/>
      <c r="AA28" s="139"/>
      <c r="AB28" s="139"/>
      <c r="AC28" s="139"/>
      <c r="AD28" s="139"/>
      <c r="AE28" s="139"/>
      <c r="AF28" s="139"/>
      <c r="AG28" s="139"/>
      <c r="AH28" s="139"/>
      <c r="AI28" s="139"/>
      <c r="AJ28" s="139"/>
      <c r="AK28" s="139"/>
      <c r="AL28" s="139"/>
      <c r="AM28" s="139"/>
      <c r="AN28" s="139"/>
      <c r="AO28" s="139"/>
      <c r="AP28" s="139"/>
      <c r="AQ28" s="139"/>
      <c r="AR28" s="139"/>
      <c r="AS28" s="139"/>
      <c r="AT28" s="139"/>
      <c r="AU28" s="139"/>
      <c r="AV28" s="139"/>
      <c r="AW28" s="139"/>
      <c r="AX28" s="139"/>
      <c r="AY28" s="139"/>
      <c r="AZ28" s="139"/>
      <c r="BA28" s="139"/>
      <c r="BB28" s="139"/>
      <c r="BC28" s="139"/>
      <c r="BD28" s="139"/>
      <c r="BE28" s="139"/>
      <c r="BF28" s="139"/>
      <c r="BG28" s="139"/>
      <c r="BH28" s="139"/>
      <c r="BI28" s="139"/>
      <c r="BJ28" s="139"/>
      <c r="BK28" s="139"/>
      <c r="BL28" s="139"/>
      <c r="BM28" s="139"/>
      <c r="BN28" s="139"/>
      <c r="BO28" s="139"/>
      <c r="BP28" s="139"/>
      <c r="BQ28" s="139"/>
      <c r="BR28" s="139"/>
      <c r="BS28" s="139"/>
      <c r="BT28" s="139"/>
      <c r="BU28" s="139"/>
      <c r="BV28" s="139"/>
      <c r="BW28" s="139"/>
      <c r="BX28" s="139"/>
      <c r="BY28" s="139"/>
      <c r="BZ28" s="139"/>
      <c r="CA28" s="139"/>
      <c r="CB28" s="139"/>
      <c r="CC28" s="139"/>
      <c r="CD28" s="139"/>
      <c r="CE28" s="139"/>
      <c r="CF28" s="139"/>
      <c r="CG28" s="139"/>
      <c r="CH28" s="139"/>
      <c r="CI28" s="139"/>
      <c r="CJ28" s="139"/>
      <c r="CK28" s="139"/>
      <c r="CL28" s="139"/>
      <c r="CM28" s="139"/>
      <c r="CN28" s="139"/>
      <c r="CO28" s="139"/>
      <c r="CP28" s="139"/>
      <c r="CQ28" s="139"/>
      <c r="CR28" s="139"/>
      <c r="CS28" s="139"/>
      <c r="CT28" s="139"/>
      <c r="CU28" s="139"/>
      <c r="CV28" s="139"/>
      <c r="CW28" s="139"/>
      <c r="CX28" s="139"/>
      <c r="CY28" s="139"/>
      <c r="CZ28" s="139"/>
      <c r="DA28" s="139"/>
      <c r="DC28">
        <v>24</v>
      </c>
      <c r="DD28" s="114">
        <v>90.384697644717576</v>
      </c>
      <c r="DE28" s="114">
        <v>6.0950265817497629</v>
      </c>
      <c r="DF28" s="114">
        <v>24.015639498940022</v>
      </c>
      <c r="DG28" s="114">
        <v>91.981617069597235</v>
      </c>
      <c r="DH28" s="114">
        <v>-1.1725868880642552</v>
      </c>
      <c r="DI28" s="114">
        <v>26.978176163571931</v>
      </c>
      <c r="DJ28" s="114">
        <v>8.0090561669567837</v>
      </c>
      <c r="DK28" s="114">
        <f t="shared" si="0"/>
        <v>64.144980685468482</v>
      </c>
      <c r="DL28" s="114">
        <f t="shared" si="1"/>
        <v>1.32224998650324</v>
      </c>
      <c r="DM28" s="114">
        <f t="shared" si="2"/>
        <v>75.759343687865709</v>
      </c>
      <c r="DN28" s="115">
        <f t="shared" si="3"/>
        <v>4</v>
      </c>
      <c r="DO28">
        <v>5</v>
      </c>
    </row>
    <row r="29" spans="1:138">
      <c r="A29">
        <v>480</v>
      </c>
      <c r="B29" s="120">
        <f>'Color metric'!B23</f>
        <v>0.10204755614266842</v>
      </c>
      <c r="C29" s="112">
        <f>Reference!N29</f>
        <v>2.3408182709481693</v>
      </c>
      <c r="D29" s="112"/>
      <c r="E29" s="138"/>
      <c r="F29" s="139"/>
      <c r="G29" s="139"/>
      <c r="H29" s="139"/>
      <c r="I29" s="139"/>
      <c r="J29" s="139"/>
      <c r="K29" s="139"/>
      <c r="L29" s="139"/>
      <c r="M29" s="139"/>
      <c r="N29" s="139"/>
      <c r="O29" s="139"/>
      <c r="P29" s="139"/>
      <c r="Q29" s="139"/>
      <c r="R29" s="139"/>
      <c r="S29" s="139"/>
      <c r="T29" s="139"/>
      <c r="U29" s="139"/>
      <c r="V29" s="139"/>
      <c r="W29" s="139"/>
      <c r="X29" s="139"/>
      <c r="Y29" s="139"/>
      <c r="Z29" s="139"/>
      <c r="AA29" s="139"/>
      <c r="AB29" s="139"/>
      <c r="AC29" s="139"/>
      <c r="AD29" s="139"/>
      <c r="AE29" s="139"/>
      <c r="AF29" s="139"/>
      <c r="AG29" s="139"/>
      <c r="AH29" s="139"/>
      <c r="AI29" s="139"/>
      <c r="AJ29" s="139"/>
      <c r="AK29" s="139"/>
      <c r="AL29" s="139"/>
      <c r="AM29" s="139"/>
      <c r="AN29" s="139"/>
      <c r="AO29" s="139"/>
      <c r="AP29" s="139"/>
      <c r="AQ29" s="139"/>
      <c r="AR29" s="139"/>
      <c r="AS29" s="139"/>
      <c r="AT29" s="139"/>
      <c r="AU29" s="139"/>
      <c r="AV29" s="139"/>
      <c r="AW29" s="139"/>
      <c r="AX29" s="139"/>
      <c r="AY29" s="139"/>
      <c r="AZ29" s="139"/>
      <c r="BA29" s="139"/>
      <c r="BB29" s="139"/>
      <c r="BC29" s="139"/>
      <c r="BD29" s="139"/>
      <c r="BE29" s="139"/>
      <c r="BF29" s="139"/>
      <c r="BG29" s="139"/>
      <c r="BH29" s="139"/>
      <c r="BI29" s="139"/>
      <c r="BJ29" s="139"/>
      <c r="BK29" s="139"/>
      <c r="BL29" s="139"/>
      <c r="BM29" s="139"/>
      <c r="BN29" s="139"/>
      <c r="BO29" s="139"/>
      <c r="BP29" s="139"/>
      <c r="BQ29" s="139"/>
      <c r="BR29" s="139"/>
      <c r="BS29" s="139"/>
      <c r="BT29" s="139"/>
      <c r="BU29" s="139"/>
      <c r="BV29" s="139"/>
      <c r="BW29" s="139"/>
      <c r="BX29" s="139"/>
      <c r="BY29" s="139"/>
      <c r="BZ29" s="139"/>
      <c r="CA29" s="139"/>
      <c r="CB29" s="139"/>
      <c r="CC29" s="139"/>
      <c r="CD29" s="139"/>
      <c r="CE29" s="139"/>
      <c r="CF29" s="139"/>
      <c r="CG29" s="139"/>
      <c r="CH29" s="139"/>
      <c r="CI29" s="139"/>
      <c r="CJ29" s="139"/>
      <c r="CK29" s="139"/>
      <c r="CL29" s="139"/>
      <c r="CM29" s="139"/>
      <c r="CN29" s="139"/>
      <c r="CO29" s="139"/>
      <c r="CP29" s="139"/>
      <c r="CQ29" s="139"/>
      <c r="CR29" s="139"/>
      <c r="CS29" s="139"/>
      <c r="CT29" s="139"/>
      <c r="CU29" s="139"/>
      <c r="CV29" s="139"/>
      <c r="CW29" s="139"/>
      <c r="CX29" s="139"/>
      <c r="CY29" s="139"/>
      <c r="CZ29" s="139"/>
      <c r="DA29" s="139"/>
      <c r="DC29">
        <v>25</v>
      </c>
      <c r="DD29" s="114">
        <v>71.533121595806534</v>
      </c>
      <c r="DE29" s="114">
        <v>7.754635689049576</v>
      </c>
      <c r="DF29" s="114">
        <v>32.466967488954495</v>
      </c>
      <c r="DG29" s="114">
        <v>73.890039535119868</v>
      </c>
      <c r="DH29" s="114">
        <v>-2.1807257246907392</v>
      </c>
      <c r="DI29" s="114">
        <v>35.067387342526899</v>
      </c>
      <c r="DJ29" s="114">
        <v>10.537013429295348</v>
      </c>
      <c r="DK29" s="114">
        <f t="shared" si="0"/>
        <v>111.02865200915051</v>
      </c>
      <c r="DL29" s="114">
        <f t="shared" si="1"/>
        <v>1.3363418962416855</v>
      </c>
      <c r="DM29" s="114">
        <f t="shared" si="2"/>
        <v>76.566750641157952</v>
      </c>
      <c r="DN29" s="115">
        <f t="shared" si="3"/>
        <v>4</v>
      </c>
      <c r="DO29">
        <v>1</v>
      </c>
      <c r="DR29" s="142" t="s">
        <v>258</v>
      </c>
    </row>
    <row r="30" spans="1:138">
      <c r="A30">
        <v>485</v>
      </c>
      <c r="B30" s="120">
        <f>'Color metric'!B24</f>
        <v>0.10204755614266842</v>
      </c>
      <c r="C30" s="112">
        <f>Reference!N30</f>
        <v>2.4691484238647461</v>
      </c>
      <c r="D30" s="112"/>
      <c r="E30" s="143" t="s">
        <v>230</v>
      </c>
      <c r="F30" s="144"/>
      <c r="G30" s="145">
        <f t="shared" ref="G30:BR30" si="42">POWER(POWER(G21-G25,2)+POWER(G22-G26,2)+POWER(G23-G27,2),1/2)</f>
        <v>4.1898931994877566</v>
      </c>
      <c r="H30" s="145">
        <f t="shared" si="42"/>
        <v>7.6723404461749709</v>
      </c>
      <c r="I30" s="145">
        <f t="shared" si="42"/>
        <v>5.9650884758425056</v>
      </c>
      <c r="J30" s="145">
        <f t="shared" si="42"/>
        <v>7.1936375303291511</v>
      </c>
      <c r="K30" s="145">
        <f t="shared" si="42"/>
        <v>11.939873606569233</v>
      </c>
      <c r="L30" s="145">
        <f t="shared" si="42"/>
        <v>7.0278633852937968</v>
      </c>
      <c r="M30" s="145">
        <f t="shared" si="42"/>
        <v>10.190653935077851</v>
      </c>
      <c r="N30" s="145">
        <f t="shared" si="42"/>
        <v>11.286389041203149</v>
      </c>
      <c r="O30" s="145">
        <f t="shared" si="42"/>
        <v>0.67916082732806893</v>
      </c>
      <c r="P30" s="145">
        <f t="shared" si="42"/>
        <v>9.4157778881917924</v>
      </c>
      <c r="Q30" s="145">
        <f t="shared" si="42"/>
        <v>10.914330360578134</v>
      </c>
      <c r="R30" s="145">
        <f t="shared" si="42"/>
        <v>11.054416197243937</v>
      </c>
      <c r="S30" s="145">
        <f t="shared" si="42"/>
        <v>6.2837546966796722</v>
      </c>
      <c r="T30" s="145">
        <f t="shared" si="42"/>
        <v>2.7692406970596055</v>
      </c>
      <c r="U30" s="145">
        <f t="shared" si="42"/>
        <v>5.7629387125539537</v>
      </c>
      <c r="V30" s="145">
        <f t="shared" si="42"/>
        <v>10.030013203599172</v>
      </c>
      <c r="W30" s="145">
        <f t="shared" si="42"/>
        <v>9.4728412914185682</v>
      </c>
      <c r="X30" s="145">
        <f t="shared" si="42"/>
        <v>6.4355383772547059</v>
      </c>
      <c r="Y30" s="145">
        <f t="shared" si="42"/>
        <v>9.2645480938338807</v>
      </c>
      <c r="Z30" s="145">
        <f t="shared" si="42"/>
        <v>11.833783792159918</v>
      </c>
      <c r="AA30" s="145">
        <f t="shared" si="42"/>
        <v>11.082555414374493</v>
      </c>
      <c r="AB30" s="145">
        <f t="shared" si="42"/>
        <v>11.485446592871305</v>
      </c>
      <c r="AC30" s="145">
        <f t="shared" si="42"/>
        <v>4.5746326479178867</v>
      </c>
      <c r="AD30" s="145">
        <f t="shared" si="42"/>
        <v>8.0090561669567837</v>
      </c>
      <c r="AE30" s="145">
        <f t="shared" si="42"/>
        <v>10.537013429295348</v>
      </c>
      <c r="AF30" s="145">
        <f t="shared" si="42"/>
        <v>9.1745568529751775</v>
      </c>
      <c r="AG30" s="145">
        <f t="shared" si="42"/>
        <v>4.692532749549593</v>
      </c>
      <c r="AH30" s="145">
        <f t="shared" si="42"/>
        <v>3.3062466053536426</v>
      </c>
      <c r="AI30" s="145">
        <f t="shared" si="42"/>
        <v>9.5449135978821484</v>
      </c>
      <c r="AJ30" s="145">
        <f t="shared" si="42"/>
        <v>8.6067955366309423</v>
      </c>
      <c r="AK30" s="145">
        <f t="shared" si="42"/>
        <v>8.2729332720942939</v>
      </c>
      <c r="AL30" s="145">
        <f t="shared" si="42"/>
        <v>8.7678664392007857</v>
      </c>
      <c r="AM30" s="145">
        <f t="shared" si="42"/>
        <v>7.157338270279471</v>
      </c>
      <c r="AN30" s="145">
        <f t="shared" si="42"/>
        <v>5.8435499889572977</v>
      </c>
      <c r="AO30" s="145">
        <f t="shared" si="42"/>
        <v>3.0623882843800785</v>
      </c>
      <c r="AP30" s="145">
        <f t="shared" si="42"/>
        <v>4.2769561583253966</v>
      </c>
      <c r="AQ30" s="145">
        <f t="shared" si="42"/>
        <v>4.3113017606560531</v>
      </c>
      <c r="AR30" s="145">
        <f t="shared" si="42"/>
        <v>7.4831925129915948</v>
      </c>
      <c r="AS30" s="145">
        <f t="shared" si="42"/>
        <v>1.002545563241944</v>
      </c>
      <c r="AT30" s="145">
        <f t="shared" si="42"/>
        <v>1.6977827264915986</v>
      </c>
      <c r="AU30" s="145">
        <f t="shared" si="42"/>
        <v>3.2150697911143498</v>
      </c>
      <c r="AV30" s="145">
        <f t="shared" si="42"/>
        <v>2.8996784782830636</v>
      </c>
      <c r="AW30" s="145">
        <f t="shared" si="42"/>
        <v>4.8998945540063925</v>
      </c>
      <c r="AX30" s="145">
        <f t="shared" si="42"/>
        <v>0.19620522424424819</v>
      </c>
      <c r="AY30" s="145">
        <f t="shared" si="42"/>
        <v>4.230537538982551</v>
      </c>
      <c r="AZ30" s="145">
        <f t="shared" si="42"/>
        <v>4.8266727811989645</v>
      </c>
      <c r="BA30" s="145">
        <f t="shared" si="42"/>
        <v>4.6026581624514664</v>
      </c>
      <c r="BB30" s="145">
        <f t="shared" si="42"/>
        <v>8.4694110370704383</v>
      </c>
      <c r="BC30" s="145">
        <f t="shared" si="42"/>
        <v>5.2919557195306703</v>
      </c>
      <c r="BD30" s="145">
        <f t="shared" si="42"/>
        <v>5.04545503740919</v>
      </c>
      <c r="BE30" s="145">
        <f t="shared" si="42"/>
        <v>5.0778739738251222</v>
      </c>
      <c r="BF30" s="145">
        <f t="shared" si="42"/>
        <v>5.992281713053548</v>
      </c>
      <c r="BG30" s="145">
        <f t="shared" si="42"/>
        <v>7.4735590185894489</v>
      </c>
      <c r="BH30" s="145">
        <f t="shared" si="42"/>
        <v>5.0053106769012548</v>
      </c>
      <c r="BI30" s="145">
        <f t="shared" si="42"/>
        <v>5.3328162490596291</v>
      </c>
      <c r="BJ30" s="145">
        <f t="shared" si="42"/>
        <v>7.531153402509295</v>
      </c>
      <c r="BK30" s="145">
        <f t="shared" si="42"/>
        <v>7.9259778368783316</v>
      </c>
      <c r="BL30" s="145">
        <f t="shared" si="42"/>
        <v>7.3111386014126793</v>
      </c>
      <c r="BM30" s="145">
        <f t="shared" si="42"/>
        <v>4.6028265414133918</v>
      </c>
      <c r="BN30" s="145">
        <f t="shared" si="42"/>
        <v>2.3451514567998677</v>
      </c>
      <c r="BO30" s="145">
        <f t="shared" si="42"/>
        <v>5.1161759685705546</v>
      </c>
      <c r="BP30" s="145">
        <f t="shared" si="42"/>
        <v>4.5142605335468931</v>
      </c>
      <c r="BQ30" s="145">
        <f t="shared" si="42"/>
        <v>4.987270153795107</v>
      </c>
      <c r="BR30" s="145">
        <f t="shared" si="42"/>
        <v>9.2456065668878917</v>
      </c>
      <c r="BS30" s="145">
        <f t="shared" ref="BS30:DA30" si="43">POWER(POWER(BS21-BS25,2)+POWER(BS22-BS26,2)+POWER(BS23-BS27,2),1/2)</f>
        <v>7.8797844520478773</v>
      </c>
      <c r="BT30" s="145">
        <f t="shared" si="43"/>
        <v>10.00335942032342</v>
      </c>
      <c r="BU30" s="145">
        <f t="shared" si="43"/>
        <v>10.348265817649855</v>
      </c>
      <c r="BV30" s="145">
        <f t="shared" si="43"/>
        <v>8.7329229077698596</v>
      </c>
      <c r="BW30" s="145">
        <f t="shared" si="43"/>
        <v>6.1965823339138542</v>
      </c>
      <c r="BX30" s="145">
        <f t="shared" si="43"/>
        <v>9.4160999852631413</v>
      </c>
      <c r="BY30" s="145">
        <f t="shared" si="43"/>
        <v>8.6088856450748814</v>
      </c>
      <c r="BZ30" s="145">
        <f t="shared" si="43"/>
        <v>3.4397471200984677</v>
      </c>
      <c r="CA30" s="145">
        <f t="shared" si="43"/>
        <v>10.629915654970757</v>
      </c>
      <c r="CB30" s="145">
        <f t="shared" si="43"/>
        <v>1.5615805668259701</v>
      </c>
      <c r="CC30" s="145">
        <f t="shared" si="43"/>
        <v>7.5389978179716941</v>
      </c>
      <c r="CD30" s="145">
        <f t="shared" si="43"/>
        <v>10.098482382412755</v>
      </c>
      <c r="CE30" s="145">
        <f t="shared" si="43"/>
        <v>5.0969209139851088</v>
      </c>
      <c r="CF30" s="145">
        <f t="shared" si="43"/>
        <v>8.1782757781875155</v>
      </c>
      <c r="CG30" s="145">
        <f t="shared" si="43"/>
        <v>3.9607738581885927</v>
      </c>
      <c r="CH30" s="145">
        <f t="shared" si="43"/>
        <v>3.2385274282517114</v>
      </c>
      <c r="CI30" s="145">
        <f t="shared" si="43"/>
        <v>5.4934532113463428</v>
      </c>
      <c r="CJ30" s="145">
        <f t="shared" si="43"/>
        <v>1.3105289194312064</v>
      </c>
      <c r="CK30" s="145">
        <f t="shared" si="43"/>
        <v>2.3653886088033058</v>
      </c>
      <c r="CL30" s="145">
        <f t="shared" si="43"/>
        <v>2.5429485688630793</v>
      </c>
      <c r="CM30" s="145">
        <f t="shared" si="43"/>
        <v>3.2503538220174777</v>
      </c>
      <c r="CN30" s="145">
        <f t="shared" si="43"/>
        <v>7.3158163959666549</v>
      </c>
      <c r="CO30" s="145">
        <f t="shared" si="43"/>
        <v>4.6296264365699846</v>
      </c>
      <c r="CP30" s="145">
        <f t="shared" si="43"/>
        <v>6.004074310554782</v>
      </c>
      <c r="CQ30" s="145">
        <f t="shared" si="43"/>
        <v>6.6189493727312536</v>
      </c>
      <c r="CR30" s="145">
        <f t="shared" si="43"/>
        <v>6.6883294870836787</v>
      </c>
      <c r="CS30" s="145">
        <f t="shared" si="43"/>
        <v>2.6438504151715803</v>
      </c>
      <c r="CT30" s="145">
        <f t="shared" si="43"/>
        <v>7.6509943568696324</v>
      </c>
      <c r="CU30" s="145">
        <f t="shared" si="43"/>
        <v>5.0454309027908657</v>
      </c>
      <c r="CV30" s="145">
        <f t="shared" si="43"/>
        <v>10.441650382720399</v>
      </c>
      <c r="CW30" s="145">
        <f t="shared" si="43"/>
        <v>6.0971683235770673</v>
      </c>
      <c r="CX30" s="145">
        <f t="shared" si="43"/>
        <v>5.243905719450022</v>
      </c>
      <c r="CY30" s="145">
        <f t="shared" si="43"/>
        <v>4.7663822626872507</v>
      </c>
      <c r="CZ30" s="145">
        <f t="shared" si="43"/>
        <v>6.4339078054788947</v>
      </c>
      <c r="DA30" s="145">
        <f t="shared" si="43"/>
        <v>9.5576657602983524</v>
      </c>
      <c r="DC30">
        <v>26</v>
      </c>
      <c r="DD30" s="114">
        <v>89.546079233632483</v>
      </c>
      <c r="DE30" s="114">
        <v>6.4673244438373994</v>
      </c>
      <c r="DF30" s="114">
        <v>28.303262972288451</v>
      </c>
      <c r="DG30" s="114">
        <v>90.771006470450388</v>
      </c>
      <c r="DH30" s="114">
        <v>-1.6777124142328965</v>
      </c>
      <c r="DI30" s="114">
        <v>32.34435456907908</v>
      </c>
      <c r="DJ30" s="114">
        <v>9.1745568529751775</v>
      </c>
      <c r="DK30" s="114">
        <f t="shared" si="0"/>
        <v>84.172493448473787</v>
      </c>
      <c r="DL30" s="114">
        <f t="shared" si="1"/>
        <v>1.3461520726188136</v>
      </c>
      <c r="DM30" s="114">
        <f t="shared" si="2"/>
        <v>77.128832343846327</v>
      </c>
      <c r="DN30" s="115">
        <f t="shared" si="3"/>
        <v>4</v>
      </c>
      <c r="DO30">
        <v>3</v>
      </c>
      <c r="DR30" t="s">
        <v>259</v>
      </c>
      <c r="DS30" t="s">
        <v>260</v>
      </c>
      <c r="DT30" t="s">
        <v>261</v>
      </c>
      <c r="DU30" t="s">
        <v>262</v>
      </c>
      <c r="DV30" t="s">
        <v>263</v>
      </c>
      <c r="DW30" t="s">
        <v>264</v>
      </c>
      <c r="DX30" t="s">
        <v>265</v>
      </c>
    </row>
    <row r="31" spans="1:138">
      <c r="A31">
        <v>490</v>
      </c>
      <c r="B31" s="120">
        <f>'Color metric'!B25</f>
        <v>0.10369881109643329</v>
      </c>
      <c r="C31" s="112">
        <f>Reference!N31</f>
        <v>2.6003116395165318</v>
      </c>
      <c r="D31" s="112"/>
      <c r="E31" s="143"/>
      <c r="F31" s="144"/>
      <c r="G31" s="145"/>
      <c r="H31" s="145"/>
      <c r="I31" s="145"/>
      <c r="J31" s="145"/>
      <c r="K31" s="145"/>
      <c r="L31" s="145"/>
      <c r="M31" s="145"/>
      <c r="N31" s="145"/>
      <c r="O31" s="145"/>
      <c r="P31" s="145"/>
      <c r="Q31" s="145"/>
      <c r="R31" s="145"/>
      <c r="S31" s="145"/>
      <c r="T31" s="145"/>
      <c r="U31" s="145"/>
      <c r="V31" s="145"/>
      <c r="W31" s="145"/>
      <c r="X31" s="145"/>
      <c r="Y31" s="145"/>
      <c r="Z31" s="145"/>
      <c r="AA31" s="145"/>
      <c r="AB31" s="145"/>
      <c r="AC31" s="145"/>
      <c r="AD31" s="145"/>
      <c r="AE31" s="145"/>
      <c r="AF31" s="145"/>
      <c r="AG31" s="145"/>
      <c r="AH31" s="145"/>
      <c r="AI31" s="145"/>
      <c r="AJ31" s="145"/>
      <c r="AK31" s="145"/>
      <c r="AL31" s="145"/>
      <c r="AM31" s="145"/>
      <c r="AN31" s="145"/>
      <c r="AO31" s="145"/>
      <c r="AP31" s="145"/>
      <c r="AQ31" s="145"/>
      <c r="AR31" s="145"/>
      <c r="AS31" s="145"/>
      <c r="AT31" s="145"/>
      <c r="AU31" s="145"/>
      <c r="AV31" s="145"/>
      <c r="AW31" s="145"/>
      <c r="AX31" s="145"/>
      <c r="AY31" s="145"/>
      <c r="AZ31" s="145"/>
      <c r="BA31" s="145"/>
      <c r="BB31" s="145"/>
      <c r="BC31" s="145"/>
      <c r="BD31" s="145"/>
      <c r="BE31" s="145"/>
      <c r="BF31" s="145"/>
      <c r="BG31" s="145"/>
      <c r="BH31" s="145"/>
      <c r="BI31" s="145"/>
      <c r="BJ31" s="145"/>
      <c r="BK31" s="145"/>
      <c r="BL31" s="145"/>
      <c r="BM31" s="145"/>
      <c r="BN31" s="145"/>
      <c r="BO31" s="145"/>
      <c r="BP31" s="145"/>
      <c r="BQ31" s="145"/>
      <c r="BR31" s="145"/>
      <c r="BS31" s="145"/>
      <c r="BT31" s="145"/>
      <c r="BU31" s="145"/>
      <c r="BV31" s="145"/>
      <c r="BW31" s="145"/>
      <c r="BX31" s="145"/>
      <c r="BY31" s="145"/>
      <c r="BZ31" s="145"/>
      <c r="CA31" s="145"/>
      <c r="CB31" s="145"/>
      <c r="CC31" s="145"/>
      <c r="CD31" s="145"/>
      <c r="CE31" s="145"/>
      <c r="CF31" s="145"/>
      <c r="CG31" s="145"/>
      <c r="CH31" s="145"/>
      <c r="CI31" s="145"/>
      <c r="CJ31" s="145"/>
      <c r="CK31" s="145"/>
      <c r="CL31" s="145"/>
      <c r="CM31" s="145"/>
      <c r="CN31" s="145"/>
      <c r="CO31" s="145"/>
      <c r="CP31" s="145"/>
      <c r="CQ31" s="145"/>
      <c r="CR31" s="145"/>
      <c r="CS31" s="145"/>
      <c r="CT31" s="145"/>
      <c r="CU31" s="145"/>
      <c r="CV31" s="145"/>
      <c r="CW31" s="145"/>
      <c r="CX31" s="145"/>
      <c r="CY31" s="145"/>
      <c r="CZ31" s="145"/>
      <c r="DA31" s="145"/>
      <c r="DC31">
        <v>27</v>
      </c>
      <c r="DD31" s="114">
        <v>73.397717697162861</v>
      </c>
      <c r="DE31" s="114">
        <v>1.3490853596689414</v>
      </c>
      <c r="DF31" s="114">
        <v>14.576634516139361</v>
      </c>
      <c r="DG31" s="114">
        <v>73.730962313505202</v>
      </c>
      <c r="DH31" s="114">
        <v>-2.1516246722465207</v>
      </c>
      <c r="DI31" s="114">
        <v>17.683697583365507</v>
      </c>
      <c r="DJ31" s="114">
        <v>4.692532749549593</v>
      </c>
      <c r="DK31" s="114">
        <f t="shared" si="0"/>
        <v>22.019863605595464</v>
      </c>
      <c r="DL31" s="114">
        <f t="shared" si="1"/>
        <v>1.4785080096064698</v>
      </c>
      <c r="DM31" s="114">
        <f t="shared" si="2"/>
        <v>84.712268926738503</v>
      </c>
      <c r="DN31" s="115">
        <f t="shared" si="3"/>
        <v>4</v>
      </c>
      <c r="DO31">
        <v>1</v>
      </c>
      <c r="DR31" t="s">
        <v>235</v>
      </c>
      <c r="DS31" t="s">
        <v>235</v>
      </c>
      <c r="DT31" t="s">
        <v>235</v>
      </c>
      <c r="DU31" t="s">
        <v>235</v>
      </c>
      <c r="DV31" t="s">
        <v>235</v>
      </c>
      <c r="DW31" t="s">
        <v>235</v>
      </c>
      <c r="DX31" t="s">
        <v>235</v>
      </c>
    </row>
    <row r="32" spans="1:138">
      <c r="A32">
        <v>495</v>
      </c>
      <c r="B32" s="120">
        <f>'Color metric'!B26</f>
        <v>0.10105680317040951</v>
      </c>
      <c r="C32" s="112">
        <f>Reference!N32</f>
        <v>2.7341723143474184</v>
      </c>
      <c r="D32" s="112"/>
      <c r="E32" s="143" t="s">
        <v>266</v>
      </c>
      <c r="F32" s="144"/>
      <c r="G32" s="145">
        <f>AVERAGE(G30:DA30)</f>
        <v>6.438789661527144</v>
      </c>
      <c r="H32" s="145"/>
      <c r="I32" s="145"/>
      <c r="J32" s="145"/>
      <c r="K32" s="145"/>
      <c r="L32" s="145"/>
      <c r="M32" s="145"/>
      <c r="N32" s="145"/>
      <c r="O32" s="145"/>
      <c r="P32" s="145"/>
      <c r="Q32" s="145"/>
      <c r="R32" s="145"/>
      <c r="S32" s="145"/>
      <c r="T32" s="145"/>
      <c r="U32" s="145"/>
      <c r="V32" s="145"/>
      <c r="W32" s="145"/>
      <c r="X32" s="145"/>
      <c r="Y32" s="145"/>
      <c r="Z32" s="145"/>
      <c r="AA32" s="145"/>
      <c r="AB32" s="145"/>
      <c r="AC32" s="145"/>
      <c r="AD32" s="145"/>
      <c r="AE32" s="145"/>
      <c r="AF32" s="145"/>
      <c r="AG32" s="145"/>
      <c r="AH32" s="145"/>
      <c r="AI32" s="145"/>
      <c r="AJ32" s="145"/>
      <c r="AK32" s="145"/>
      <c r="AL32" s="145"/>
      <c r="AM32" s="145"/>
      <c r="AN32" s="145"/>
      <c r="AO32" s="145"/>
      <c r="AP32" s="145"/>
      <c r="AQ32" s="145"/>
      <c r="AR32" s="145"/>
      <c r="AS32" s="145"/>
      <c r="AT32" s="145"/>
      <c r="AU32" s="145"/>
      <c r="AV32" s="145"/>
      <c r="AW32" s="145"/>
      <c r="AX32" s="145"/>
      <c r="AY32" s="145"/>
      <c r="AZ32" s="145"/>
      <c r="BA32" s="145"/>
      <c r="BB32" s="145"/>
      <c r="BC32" s="145"/>
      <c r="BD32" s="145"/>
      <c r="BE32" s="145"/>
      <c r="BF32" s="145"/>
      <c r="BG32" s="145"/>
      <c r="BH32" s="145"/>
      <c r="BI32" s="145"/>
      <c r="BJ32" s="145"/>
      <c r="BK32" s="145"/>
      <c r="BL32" s="145"/>
      <c r="BM32" s="145"/>
      <c r="BN32" s="145"/>
      <c r="BO32" s="145"/>
      <c r="BP32" s="145"/>
      <c r="BQ32" s="145"/>
      <c r="BR32" s="145"/>
      <c r="BS32" s="145"/>
      <c r="BT32" s="145"/>
      <c r="BU32" s="145"/>
      <c r="BV32" s="145"/>
      <c r="BW32" s="145"/>
      <c r="BX32" s="145"/>
      <c r="BY32" s="145"/>
      <c r="BZ32" s="145"/>
      <c r="CA32" s="145"/>
      <c r="CB32" s="145"/>
      <c r="CC32" s="145"/>
      <c r="CD32" s="145"/>
      <c r="CE32" s="145"/>
      <c r="CF32" s="145"/>
      <c r="CG32" s="145"/>
      <c r="CH32" s="145"/>
      <c r="CI32" s="145"/>
      <c r="CJ32" s="145"/>
      <c r="CK32" s="145"/>
      <c r="CL32" s="145"/>
      <c r="CM32" s="145"/>
      <c r="CN32" s="145"/>
      <c r="CO32" s="145"/>
      <c r="CP32" s="145"/>
      <c r="CQ32" s="145"/>
      <c r="CR32" s="145"/>
      <c r="CS32" s="145"/>
      <c r="CT32" s="145"/>
      <c r="CU32" s="145"/>
      <c r="CV32" s="145"/>
      <c r="CW32" s="145"/>
      <c r="CX32" s="145"/>
      <c r="CY32" s="145"/>
      <c r="CZ32" s="145"/>
      <c r="DA32" s="145"/>
      <c r="DC32">
        <v>28</v>
      </c>
      <c r="DD32" s="114">
        <v>41.979168809287586</v>
      </c>
      <c r="DE32" s="114">
        <v>0.16253377443104411</v>
      </c>
      <c r="DF32" s="114">
        <v>15.235590292780136</v>
      </c>
      <c r="DG32" s="114">
        <v>42.593994567753263</v>
      </c>
      <c r="DH32" s="114">
        <v>-2.7663269162797337</v>
      </c>
      <c r="DI32" s="114">
        <v>16.640948238838284</v>
      </c>
      <c r="DJ32" s="114">
        <v>3.3062466053536426</v>
      </c>
      <c r="DK32" s="114">
        <f t="shared" si="0"/>
        <v>10.931266615412484</v>
      </c>
      <c r="DL32" s="114">
        <f t="shared" si="1"/>
        <v>1.5601286988326057</v>
      </c>
      <c r="DM32" s="114">
        <f t="shared" si="2"/>
        <v>89.388789940345006</v>
      </c>
      <c r="DN32" s="115">
        <f t="shared" si="3"/>
        <v>4</v>
      </c>
      <c r="DO32">
        <v>7</v>
      </c>
      <c r="DR32">
        <v>7</v>
      </c>
      <c r="DS32">
        <v>6</v>
      </c>
      <c r="DT32">
        <v>5</v>
      </c>
      <c r="DU32">
        <v>4</v>
      </c>
      <c r="DV32">
        <v>3</v>
      </c>
      <c r="DW32">
        <v>2</v>
      </c>
      <c r="DX32">
        <v>1</v>
      </c>
    </row>
    <row r="33" spans="1:128">
      <c r="A33">
        <v>500</v>
      </c>
      <c r="B33" s="120">
        <f>'Color metric'!B27</f>
        <v>9.9075297225891673E-2</v>
      </c>
      <c r="C33" s="112">
        <f>Reference!N33</f>
        <v>2.8705903844130387</v>
      </c>
      <c r="D33" s="112"/>
      <c r="E33" s="143" t="s">
        <v>267</v>
      </c>
      <c r="F33" s="144"/>
      <c r="G33" s="146">
        <v>7.54</v>
      </c>
      <c r="H33" s="145"/>
      <c r="I33" s="145"/>
      <c r="J33" s="145"/>
      <c r="K33" s="145"/>
      <c r="L33" s="145"/>
      <c r="M33" s="145"/>
      <c r="N33" s="145"/>
      <c r="O33" s="145"/>
      <c r="P33" s="145"/>
      <c r="Q33" s="145"/>
      <c r="R33" s="145"/>
      <c r="S33" s="145"/>
      <c r="T33" s="145"/>
      <c r="U33" s="145"/>
      <c r="V33" s="145"/>
      <c r="W33" s="145"/>
      <c r="X33" s="145"/>
      <c r="Y33" s="145"/>
      <c r="Z33" s="145"/>
      <c r="AA33" s="145"/>
      <c r="AB33" s="145"/>
      <c r="AC33" s="145"/>
      <c r="AD33" s="145"/>
      <c r="AE33" s="145"/>
      <c r="AF33" s="145"/>
      <c r="AG33" s="145"/>
      <c r="AH33" s="145"/>
      <c r="AI33" s="145"/>
      <c r="AJ33" s="145"/>
      <c r="AK33" s="145"/>
      <c r="AL33" s="145"/>
      <c r="AM33" s="145"/>
      <c r="AN33" s="145"/>
      <c r="AO33" s="145"/>
      <c r="AP33" s="145"/>
      <c r="AQ33" s="145"/>
      <c r="AR33" s="145"/>
      <c r="AS33" s="145"/>
      <c r="AT33" s="145"/>
      <c r="AU33" s="145"/>
      <c r="AV33" s="145"/>
      <c r="AW33" s="145"/>
      <c r="AX33" s="145"/>
      <c r="AY33" s="145"/>
      <c r="AZ33" s="145"/>
      <c r="BA33" s="145"/>
      <c r="BB33" s="145"/>
      <c r="BC33" s="145"/>
      <c r="BD33" s="145"/>
      <c r="BE33" s="145"/>
      <c r="BF33" s="145"/>
      <c r="BG33" s="145"/>
      <c r="BH33" s="145"/>
      <c r="BI33" s="145"/>
      <c r="BJ33" s="145"/>
      <c r="BK33" s="145"/>
      <c r="BL33" s="145"/>
      <c r="BM33" s="145"/>
      <c r="BN33" s="145"/>
      <c r="BO33" s="145"/>
      <c r="BP33" s="145"/>
      <c r="BQ33" s="145"/>
      <c r="BR33" s="145"/>
      <c r="BS33" s="145"/>
      <c r="BT33" s="145"/>
      <c r="BU33" s="145"/>
      <c r="BV33" s="145"/>
      <c r="BW33" s="145"/>
      <c r="BX33" s="145"/>
      <c r="BY33" s="145"/>
      <c r="BZ33" s="145"/>
      <c r="CA33" s="145"/>
      <c r="CB33" s="145"/>
      <c r="CC33" s="145"/>
      <c r="CD33" s="145"/>
      <c r="CE33" s="145"/>
      <c r="CF33" s="145"/>
      <c r="CG33" s="145"/>
      <c r="CH33" s="145"/>
      <c r="CI33" s="145"/>
      <c r="CJ33" s="145"/>
      <c r="CK33" s="145"/>
      <c r="CL33" s="145"/>
      <c r="CM33" s="145"/>
      <c r="CN33" s="145"/>
      <c r="CO33" s="145"/>
      <c r="CP33" s="145"/>
      <c r="CQ33" s="145"/>
      <c r="CR33" s="145"/>
      <c r="CS33" s="145"/>
      <c r="CT33" s="145"/>
      <c r="CU33" s="145"/>
      <c r="CV33" s="145"/>
      <c r="CW33" s="145"/>
      <c r="CX33" s="145"/>
      <c r="CY33" s="145"/>
      <c r="CZ33" s="145"/>
      <c r="DA33" s="145"/>
      <c r="DC33">
        <v>29</v>
      </c>
      <c r="DD33" s="114">
        <v>86.660813145797235</v>
      </c>
      <c r="DE33" s="114">
        <v>1.8768983139051632</v>
      </c>
      <c r="DF33" s="114">
        <v>28.106749823840033</v>
      </c>
      <c r="DG33" s="114">
        <v>87.239979273545217</v>
      </c>
      <c r="DH33" s="114">
        <v>-5.3698614323104259</v>
      </c>
      <c r="DI33" s="114">
        <v>34.291765213322449</v>
      </c>
      <c r="DJ33" s="114">
        <v>9.5449135978821484</v>
      </c>
      <c r="DK33" s="114">
        <f t="shared" si="0"/>
        <v>91.105375591035539</v>
      </c>
      <c r="DL33" s="114">
        <f t="shared" si="1"/>
        <v>1.5041178270193869</v>
      </c>
      <c r="DM33" s="114">
        <f t="shared" si="2"/>
        <v>86.179603378599296</v>
      </c>
      <c r="DN33" s="115">
        <f t="shared" si="3"/>
        <v>4</v>
      </c>
      <c r="DO33">
        <v>3</v>
      </c>
      <c r="DQ33" t="s">
        <v>230</v>
      </c>
      <c r="DR33" s="117">
        <f>DAVERAGE($DE$4:$DO$103,"dE",DR31:DR32)</f>
        <v>4.8880781490403757</v>
      </c>
      <c r="DS33" s="117">
        <f t="shared" ref="DS33:DX33" si="44">DAVERAGE($DE$4:$DO$103,"dE",DS31:DS32)</f>
        <v>5.7214816477173773</v>
      </c>
      <c r="DT33" s="117">
        <f t="shared" si="44"/>
        <v>7.7483153571977601</v>
      </c>
      <c r="DU33" s="117">
        <f t="shared" si="44"/>
        <v>8.7342472458196614</v>
      </c>
      <c r="DV33" s="117">
        <f t="shared" si="44"/>
        <v>6.4448631520010924</v>
      </c>
      <c r="DW33" s="117">
        <f t="shared" si="44"/>
        <v>6.0992385449043294</v>
      </c>
      <c r="DX33" s="117">
        <f t="shared" si="44"/>
        <v>6.2480312050595881</v>
      </c>
    </row>
    <row r="34" spans="1:128">
      <c r="A34">
        <v>505</v>
      </c>
      <c r="B34" s="120">
        <f>'Color metric'!B28</f>
        <v>9.8414795244385733E-2</v>
      </c>
      <c r="C34" s="112">
        <f>Reference!N34</f>
        <v>3.0094219178190258</v>
      </c>
      <c r="D34" s="112"/>
      <c r="E34" s="143" t="s">
        <v>253</v>
      </c>
      <c r="F34" s="144"/>
      <c r="G34" s="145">
        <f>10*LN(EXP((100-$G$33*G30)/10)+1)</f>
        <v>68.418891820819695</v>
      </c>
      <c r="H34" s="145">
        <f t="shared" ref="H34:BS34" si="45">10*LN(EXP((100-$G$33*H30)/10)+1)</f>
        <v>42.297187723381612</v>
      </c>
      <c r="I34" s="145">
        <f t="shared" si="45"/>
        <v>55.063922873097923</v>
      </c>
      <c r="J34" s="145">
        <f t="shared" si="45"/>
        <v>45.862406849000294</v>
      </c>
      <c r="K34" s="145">
        <f t="shared" si="45"/>
        <v>13.113143345166138</v>
      </c>
      <c r="L34" s="145">
        <f t="shared" si="45"/>
        <v>47.100362437965508</v>
      </c>
      <c r="M34" s="145">
        <f t="shared" si="45"/>
        <v>24.103228112677797</v>
      </c>
      <c r="N34" s="145">
        <f t="shared" si="45"/>
        <v>16.932961444909139</v>
      </c>
      <c r="O34" s="145">
        <f t="shared" si="45"/>
        <v>94.879884953986334</v>
      </c>
      <c r="P34" s="145">
        <f t="shared" si="45"/>
        <v>29.540399969111956</v>
      </c>
      <c r="Q34" s="145">
        <f t="shared" si="45"/>
        <v>19.277966599643356</v>
      </c>
      <c r="R34" s="145">
        <f t="shared" si="45"/>
        <v>18.382478866960096</v>
      </c>
      <c r="S34" s="145">
        <f t="shared" si="45"/>
        <v>52.672202352267796</v>
      </c>
      <c r="T34" s="145">
        <f t="shared" si="45"/>
        <v>79.123587712840134</v>
      </c>
      <c r="U34" s="145">
        <f t="shared" si="45"/>
        <v>56.582389654160636</v>
      </c>
      <c r="V34" s="145">
        <f t="shared" si="45"/>
        <v>25.211507255193929</v>
      </c>
      <c r="W34" s="145">
        <f t="shared" si="45"/>
        <v>29.133033974753712</v>
      </c>
      <c r="X34" s="145">
        <f t="shared" si="45"/>
        <v>51.534005478194402</v>
      </c>
      <c r="Y34" s="145">
        <f t="shared" si="45"/>
        <v>30.624337044250009</v>
      </c>
      <c r="Z34" s="145">
        <f t="shared" si="45"/>
        <v>13.703730352500092</v>
      </c>
      <c r="AA34" s="145">
        <f t="shared" si="45"/>
        <v>18.204367082437166</v>
      </c>
      <c r="AB34" s="145">
        <f t="shared" si="45"/>
        <v>15.725542814904074</v>
      </c>
      <c r="AC34" s="145">
        <f t="shared" si="45"/>
        <v>65.521550396179052</v>
      </c>
      <c r="AD34" s="145">
        <f t="shared" si="45"/>
        <v>39.800334350269836</v>
      </c>
      <c r="AE34" s="145">
        <f t="shared" si="45"/>
        <v>21.756098933127994</v>
      </c>
      <c r="AF34" s="145">
        <f t="shared" si="45"/>
        <v>31.272139071101218</v>
      </c>
      <c r="AG34" s="145">
        <f t="shared" si="45"/>
        <v>64.633910225625243</v>
      </c>
      <c r="AH34" s="145">
        <f t="shared" si="45"/>
        <v>75.076390856586485</v>
      </c>
      <c r="AI34" s="145">
        <f t="shared" si="45"/>
        <v>28.619885190841909</v>
      </c>
      <c r="AJ34" s="145">
        <f t="shared" si="45"/>
        <v>35.399210601152532</v>
      </c>
      <c r="AK34" s="145">
        <f t="shared" si="45"/>
        <v>37.851749287786333</v>
      </c>
      <c r="AL34" s="145">
        <f t="shared" si="45"/>
        <v>34.222133857117825</v>
      </c>
      <c r="AM34" s="145">
        <f t="shared" si="45"/>
        <v>46.133351448888895</v>
      </c>
      <c r="AN34" s="145">
        <f t="shared" si="45"/>
        <v>55.976766593898198</v>
      </c>
      <c r="AO34" s="145">
        <f t="shared" si="45"/>
        <v>76.914160688618821</v>
      </c>
      <c r="AP34" s="145">
        <f t="shared" si="45"/>
        <v>67.763161759062669</v>
      </c>
      <c r="AQ34" s="145">
        <f t="shared" si="45"/>
        <v>67.504495112791915</v>
      </c>
      <c r="AR34" s="145">
        <f t="shared" si="45"/>
        <v>43.70399674021332</v>
      </c>
      <c r="AS34" s="145">
        <f t="shared" si="45"/>
        <v>92.441773229003076</v>
      </c>
      <c r="AT34" s="145">
        <f t="shared" si="45"/>
        <v>87.200351190137411</v>
      </c>
      <c r="AU34" s="145">
        <f t="shared" si="45"/>
        <v>75.7634993704484</v>
      </c>
      <c r="AV34" s="145">
        <f t="shared" si="45"/>
        <v>78.140465288701279</v>
      </c>
      <c r="AW34" s="145">
        <f t="shared" si="45"/>
        <v>63.073041109259577</v>
      </c>
      <c r="AX34" s="145">
        <f t="shared" si="45"/>
        <v>98.521138981137412</v>
      </c>
      <c r="AY34" s="145">
        <f t="shared" si="45"/>
        <v>68.11276588581228</v>
      </c>
      <c r="AZ34" s="145">
        <f t="shared" si="45"/>
        <v>63.624154074652751</v>
      </c>
      <c r="BA34" s="145">
        <f t="shared" si="45"/>
        <v>65.310542771157429</v>
      </c>
      <c r="BB34" s="145">
        <f t="shared" si="45"/>
        <v>36.406496579928351</v>
      </c>
      <c r="BC34" s="145">
        <f t="shared" si="45"/>
        <v>60.123167988618718</v>
      </c>
      <c r="BD34" s="145">
        <f t="shared" si="45"/>
        <v>61.977629487895229</v>
      </c>
      <c r="BE34" s="145">
        <f t="shared" si="45"/>
        <v>61.733694003533159</v>
      </c>
      <c r="BF34" s="145">
        <f t="shared" si="45"/>
        <v>54.859727023602574</v>
      </c>
      <c r="BG34" s="145">
        <f t="shared" si="45"/>
        <v>43.775717998926858</v>
      </c>
      <c r="BH34" s="145">
        <f t="shared" si="45"/>
        <v>62.279711511109127</v>
      </c>
      <c r="BI34" s="145">
        <f t="shared" si="45"/>
        <v>59.815845633281498</v>
      </c>
      <c r="BJ34" s="145">
        <f t="shared" si="45"/>
        <v>43.347027421963283</v>
      </c>
      <c r="BK34" s="145">
        <f t="shared" si="45"/>
        <v>40.415393081592946</v>
      </c>
      <c r="BL34" s="145">
        <f t="shared" si="45"/>
        <v>44.985885243494927</v>
      </c>
      <c r="BM34" s="145">
        <f t="shared" si="45"/>
        <v>65.309275044270791</v>
      </c>
      <c r="BN34" s="145">
        <f t="shared" si="45"/>
        <v>82.320218349388327</v>
      </c>
      <c r="BO34" s="145">
        <f t="shared" si="45"/>
        <v>61.445507631560147</v>
      </c>
      <c r="BP34" s="145">
        <f t="shared" si="45"/>
        <v>65.976121086120941</v>
      </c>
      <c r="BQ34" s="145">
        <f t="shared" si="45"/>
        <v>62.415470429420843</v>
      </c>
      <c r="BR34" s="145">
        <f t="shared" si="45"/>
        <v>30.760521251741082</v>
      </c>
      <c r="BS34" s="145">
        <f t="shared" si="45"/>
        <v>40.757675002731624</v>
      </c>
      <c r="BT34" s="145">
        <f t="shared" ref="BT34:DA34" si="46">10*LN(EXP((100-$G$33*BT30)/10)+1)</f>
        <v>25.396473865183449</v>
      </c>
      <c r="BU34" s="145">
        <f t="shared" si="46"/>
        <v>23.027497910411245</v>
      </c>
      <c r="BV34" s="145">
        <f t="shared" si="46"/>
        <v>34.477116955658516</v>
      </c>
      <c r="BW34" s="145">
        <f t="shared" si="46"/>
        <v>53.326200241900672</v>
      </c>
      <c r="BX34" s="145">
        <f t="shared" si="46"/>
        <v>29.538097972100946</v>
      </c>
      <c r="BY34" s="145">
        <f t="shared" si="46"/>
        <v>35.383908802753261</v>
      </c>
      <c r="BZ34" s="145">
        <f t="shared" si="46"/>
        <v>74.070378216998677</v>
      </c>
      <c r="CA34" s="145">
        <f t="shared" si="46"/>
        <v>21.137662421237671</v>
      </c>
      <c r="CB34" s="145">
        <f t="shared" si="46"/>
        <v>88.227156111473889</v>
      </c>
      <c r="CC34" s="145">
        <f t="shared" si="46"/>
        <v>43.288657961642173</v>
      </c>
      <c r="CD34" s="145">
        <f t="shared" si="46"/>
        <v>24.737739014277068</v>
      </c>
      <c r="CE34" s="145">
        <f t="shared" si="46"/>
        <v>61.590381550224336</v>
      </c>
      <c r="CF34" s="145">
        <f t="shared" si="46"/>
        <v>38.549814440035973</v>
      </c>
      <c r="CG34" s="145">
        <f t="shared" si="46"/>
        <v>70.144756919921562</v>
      </c>
      <c r="CH34" s="145">
        <f t="shared" si="46"/>
        <v>75.58672022575746</v>
      </c>
      <c r="CI34" s="145">
        <f t="shared" si="46"/>
        <v>58.607893387265335</v>
      </c>
      <c r="CJ34" s="145">
        <f t="shared" si="46"/>
        <v>90.11983141976286</v>
      </c>
      <c r="CK34" s="145">
        <f t="shared" si="46"/>
        <v>82.167671122576863</v>
      </c>
      <c r="CL34" s="145">
        <f t="shared" si="46"/>
        <v>80.829255931433153</v>
      </c>
      <c r="CM34" s="145">
        <f t="shared" si="46"/>
        <v>75.49759593332611</v>
      </c>
      <c r="CN34" s="145">
        <f t="shared" si="46"/>
        <v>44.951007731696464</v>
      </c>
      <c r="CO34" s="145">
        <f t="shared" si="46"/>
        <v>65.107501376265645</v>
      </c>
      <c r="CP34" s="145">
        <f t="shared" si="46"/>
        <v>54.771180988084183</v>
      </c>
      <c r="CQ34" s="145">
        <f t="shared" si="46"/>
        <v>50.159654838318993</v>
      </c>
      <c r="CR34" s="145">
        <f t="shared" si="46"/>
        <v>49.640089448044151</v>
      </c>
      <c r="CS34" s="145">
        <f t="shared" si="46"/>
        <v>80.068700083678777</v>
      </c>
      <c r="CT34" s="145">
        <f t="shared" si="46"/>
        <v>42.455812861021784</v>
      </c>
      <c r="CU34" s="145">
        <f t="shared" si="46"/>
        <v>61.977811092787988</v>
      </c>
      <c r="CV34" s="145">
        <f t="shared" si="46"/>
        <v>22.396051669122961</v>
      </c>
      <c r="CW34" s="145">
        <f t="shared" si="46"/>
        <v>54.072292148641239</v>
      </c>
      <c r="CX34" s="145">
        <f t="shared" si="46"/>
        <v>60.484593776482271</v>
      </c>
      <c r="CY34" s="145">
        <f t="shared" si="46"/>
        <v>64.077977856452918</v>
      </c>
      <c r="CZ34" s="145">
        <f t="shared" si="46"/>
        <v>51.546228973999469</v>
      </c>
      <c r="DA34" s="145">
        <f t="shared" si="46"/>
        <v>28.529254394310005</v>
      </c>
      <c r="DC34">
        <v>30</v>
      </c>
      <c r="DD34" s="114">
        <v>64.547195297694245</v>
      </c>
      <c r="DE34" s="114">
        <v>1.9927466141935566</v>
      </c>
      <c r="DF34" s="114">
        <v>16.174859118065942</v>
      </c>
      <c r="DG34" s="114">
        <v>64.289655723093659</v>
      </c>
      <c r="DH34" s="114">
        <v>-2.8744382034594813</v>
      </c>
      <c r="DI34" s="114">
        <v>23.268596830139362</v>
      </c>
      <c r="DJ34" s="114">
        <v>8.6067955366309423</v>
      </c>
      <c r="DK34" s="114">
        <f t="shared" si="0"/>
        <v>74.076929409370308</v>
      </c>
      <c r="DL34" s="114">
        <f t="shared" si="1"/>
        <v>1.4482137889803144</v>
      </c>
      <c r="DM34" s="114">
        <f t="shared" si="2"/>
        <v>82.976537941221622</v>
      </c>
      <c r="DN34" s="115">
        <f t="shared" si="3"/>
        <v>4</v>
      </c>
      <c r="DO34">
        <v>1</v>
      </c>
      <c r="DQ34" t="s">
        <v>268</v>
      </c>
      <c r="DR34" s="117">
        <f>10*LN(EXP((100-$G$33*DR33)/10)+1)</f>
        <v>63.16197510658273</v>
      </c>
      <c r="DS34" s="117">
        <f t="shared" ref="DS34:DX34" si="47">10*LN(EXP((100-$G$33*DS33)/10)+1)</f>
        <v>56.893902227342885</v>
      </c>
      <c r="DT34" s="117">
        <f t="shared" si="47"/>
        <v>41.732915375567174</v>
      </c>
      <c r="DU34" s="117">
        <f t="shared" si="47"/>
        <v>34.467449322943715</v>
      </c>
      <c r="DV34" s="117">
        <f t="shared" si="47"/>
        <v>51.464104465178096</v>
      </c>
      <c r="DW34" s="117">
        <f t="shared" si="47"/>
        <v>54.05675272784211</v>
      </c>
      <c r="DX34" s="117">
        <f t="shared" si="47"/>
        <v>52.940186614718925</v>
      </c>
    </row>
    <row r="35" spans="1:128">
      <c r="A35">
        <v>510</v>
      </c>
      <c r="B35" s="120">
        <f>'Color metric'!B29</f>
        <v>9.9405548216644643E-2</v>
      </c>
      <c r="C35" s="112">
        <f>Reference!N35</f>
        <v>3.1505196947457437</v>
      </c>
      <c r="D35" s="112"/>
      <c r="E35" s="143" t="s">
        <v>269</v>
      </c>
      <c r="F35" s="144"/>
      <c r="G35" s="145">
        <f>10*LN(EXP((100-$G$33*G32)/10)+1)</f>
        <v>51.509632655521862</v>
      </c>
      <c r="H35" s="147"/>
      <c r="I35" s="147"/>
      <c r="J35" s="147"/>
      <c r="K35" s="147"/>
      <c r="L35" s="147"/>
      <c r="M35" s="147"/>
      <c r="N35" s="147"/>
      <c r="O35" s="147"/>
      <c r="P35" s="147"/>
      <c r="Q35" s="147"/>
      <c r="R35" s="147"/>
      <c r="S35" s="147"/>
      <c r="T35" s="147"/>
      <c r="U35" s="147"/>
      <c r="V35" s="147"/>
      <c r="W35" s="147"/>
      <c r="X35" s="147"/>
      <c r="Y35" s="147"/>
      <c r="Z35" s="147"/>
      <c r="AA35" s="147"/>
      <c r="AB35" s="147"/>
      <c r="AC35" s="147"/>
      <c r="AD35" s="147"/>
      <c r="AE35" s="147"/>
      <c r="AF35" s="147"/>
      <c r="AG35" s="147"/>
      <c r="AH35" s="147"/>
      <c r="AI35" s="147"/>
      <c r="AJ35" s="147"/>
      <c r="AK35" s="147"/>
      <c r="AL35" s="147"/>
      <c r="AM35" s="147"/>
      <c r="AN35" s="147"/>
      <c r="AO35" s="147"/>
      <c r="AP35" s="147"/>
      <c r="AQ35" s="147"/>
      <c r="AR35" s="147"/>
      <c r="AS35" s="147"/>
      <c r="AT35" s="147"/>
      <c r="AU35" s="147"/>
      <c r="AV35" s="147"/>
      <c r="AW35" s="147"/>
      <c r="AX35" s="147"/>
      <c r="AY35" s="147"/>
      <c r="AZ35" s="147"/>
      <c r="BA35" s="147"/>
      <c r="BB35" s="147"/>
      <c r="BC35" s="147"/>
      <c r="BD35" s="147"/>
      <c r="BE35" s="147"/>
      <c r="BF35" s="147"/>
      <c r="BG35" s="147"/>
      <c r="BH35" s="147"/>
      <c r="BI35" s="147"/>
      <c r="BJ35" s="147"/>
      <c r="BK35" s="147"/>
      <c r="BL35" s="147"/>
      <c r="BM35" s="147"/>
      <c r="BN35" s="147"/>
      <c r="BO35" s="147"/>
      <c r="BP35" s="147"/>
      <c r="BQ35" s="147"/>
      <c r="BR35" s="147"/>
      <c r="BS35" s="147"/>
      <c r="BT35" s="147"/>
      <c r="BU35" s="147"/>
      <c r="BV35" s="147"/>
      <c r="BW35" s="147"/>
      <c r="BX35" s="147"/>
      <c r="BY35" s="147"/>
      <c r="BZ35" s="147"/>
      <c r="CA35" s="147"/>
      <c r="CB35" s="147"/>
      <c r="CC35" s="147"/>
      <c r="CD35" s="147"/>
      <c r="CE35" s="147"/>
      <c r="CF35" s="147"/>
      <c r="CG35" s="147"/>
      <c r="CH35" s="147"/>
      <c r="CI35" s="147"/>
      <c r="CJ35" s="147"/>
      <c r="CK35" s="147"/>
      <c r="CL35" s="147"/>
      <c r="CM35" s="147"/>
      <c r="CN35" s="147"/>
      <c r="CO35" s="147"/>
      <c r="CP35" s="147"/>
      <c r="CQ35" s="147"/>
      <c r="CR35" s="147"/>
      <c r="CS35" s="147"/>
      <c r="CT35" s="147"/>
      <c r="CU35" s="147"/>
      <c r="CV35" s="147"/>
      <c r="CW35" s="147"/>
      <c r="CX35" s="147"/>
      <c r="CY35" s="147"/>
      <c r="CZ35" s="147"/>
      <c r="DA35" s="147"/>
      <c r="DC35">
        <v>31</v>
      </c>
      <c r="DD35" s="114">
        <v>88.342833559882067</v>
      </c>
      <c r="DE35" s="114">
        <v>0.34051992821630894</v>
      </c>
      <c r="DF35" s="114">
        <v>28.047308743440482</v>
      </c>
      <c r="DG35" s="114">
        <v>88.823055235328326</v>
      </c>
      <c r="DH35" s="114">
        <v>-5.7577328680796294</v>
      </c>
      <c r="DI35" s="114">
        <v>33.617059626507441</v>
      </c>
      <c r="DJ35" s="114">
        <v>8.2729332720942939</v>
      </c>
      <c r="DK35" s="114">
        <f t="shared" si="0"/>
        <v>68.441424924524796</v>
      </c>
      <c r="DL35" s="114">
        <f t="shared" si="1"/>
        <v>1.5586560105267153</v>
      </c>
      <c r="DM35" s="114">
        <f t="shared" si="2"/>
        <v>89.304411115879205</v>
      </c>
      <c r="DN35" s="115">
        <f t="shared" si="3"/>
        <v>4</v>
      </c>
      <c r="DO35">
        <v>4</v>
      </c>
    </row>
    <row r="36" spans="1:128">
      <c r="A36">
        <v>515</v>
      </c>
      <c r="B36" s="120">
        <f>'Color metric'!B30</f>
        <v>0.10369881109643329</v>
      </c>
      <c r="C36" s="112">
        <f>Reference!N36</f>
        <v>3.2937337725239444</v>
      </c>
      <c r="D36" s="112"/>
      <c r="E36" s="143" t="s">
        <v>270</v>
      </c>
      <c r="F36" s="144"/>
      <c r="G36" s="144">
        <f t="array" ref="G36:DA36">TRANSPOSE(DO5:DO103)</f>
        <v>3</v>
      </c>
      <c r="H36" s="144">
        <v>3</v>
      </c>
      <c r="I36" s="144">
        <v>1</v>
      </c>
      <c r="J36" s="144">
        <v>1</v>
      </c>
      <c r="K36" s="144">
        <v>4</v>
      </c>
      <c r="L36" s="144">
        <v>3</v>
      </c>
      <c r="M36" s="144">
        <v>5</v>
      </c>
      <c r="N36" s="144">
        <v>4</v>
      </c>
      <c r="O36" s="144">
        <v>6</v>
      </c>
      <c r="P36" s="144">
        <v>7</v>
      </c>
      <c r="Q36" s="144">
        <v>3</v>
      </c>
      <c r="R36" s="144">
        <v>1</v>
      </c>
      <c r="S36" s="144">
        <v>6</v>
      </c>
      <c r="T36" s="144">
        <v>5</v>
      </c>
      <c r="U36" s="144">
        <v>2</v>
      </c>
      <c r="V36" s="144">
        <v>3</v>
      </c>
      <c r="W36" s="144">
        <v>3</v>
      </c>
      <c r="X36" s="144">
        <v>2</v>
      </c>
      <c r="Y36" s="144">
        <v>5</v>
      </c>
      <c r="Z36" s="144">
        <v>6</v>
      </c>
      <c r="AA36" s="144">
        <v>4</v>
      </c>
      <c r="AB36" s="144">
        <v>4</v>
      </c>
      <c r="AC36" s="144">
        <v>7</v>
      </c>
      <c r="AD36" s="144">
        <v>5</v>
      </c>
      <c r="AE36" s="144">
        <v>1</v>
      </c>
      <c r="AF36" s="144">
        <v>3</v>
      </c>
      <c r="AG36" s="144">
        <v>1</v>
      </c>
      <c r="AH36" s="144">
        <v>7</v>
      </c>
      <c r="AI36" s="144">
        <v>3</v>
      </c>
      <c r="AJ36" s="144">
        <v>1</v>
      </c>
      <c r="AK36" s="144">
        <v>4</v>
      </c>
      <c r="AL36" s="144">
        <v>3</v>
      </c>
      <c r="AM36" s="144">
        <v>4</v>
      </c>
      <c r="AN36" s="144">
        <v>7</v>
      </c>
      <c r="AO36" s="144">
        <v>7</v>
      </c>
      <c r="AP36" s="144">
        <v>1</v>
      </c>
      <c r="AQ36" s="144">
        <v>1</v>
      </c>
      <c r="AR36" s="144">
        <v>1</v>
      </c>
      <c r="AS36" s="144">
        <v>6</v>
      </c>
      <c r="AT36" s="144">
        <v>6</v>
      </c>
      <c r="AU36" s="144">
        <v>3</v>
      </c>
      <c r="AV36" s="144">
        <v>6</v>
      </c>
      <c r="AW36" s="144">
        <v>3</v>
      </c>
      <c r="AX36" s="144">
        <v>6</v>
      </c>
      <c r="AY36" s="144">
        <v>7</v>
      </c>
      <c r="AZ36" s="144">
        <v>5</v>
      </c>
      <c r="BA36" s="144">
        <v>3</v>
      </c>
      <c r="BB36" s="144">
        <v>4</v>
      </c>
      <c r="BC36" s="144">
        <v>4</v>
      </c>
      <c r="BD36" s="144">
        <v>6</v>
      </c>
      <c r="BE36" s="144">
        <v>6</v>
      </c>
      <c r="BF36" s="144">
        <v>6</v>
      </c>
      <c r="BG36" s="144">
        <v>5</v>
      </c>
      <c r="BH36" s="144">
        <v>6</v>
      </c>
      <c r="BI36" s="144">
        <v>7</v>
      </c>
      <c r="BJ36" s="144">
        <v>7</v>
      </c>
      <c r="BK36" s="144">
        <v>3</v>
      </c>
      <c r="BL36" s="144">
        <v>4</v>
      </c>
      <c r="BM36" s="144">
        <v>5</v>
      </c>
      <c r="BN36" s="144">
        <v>7</v>
      </c>
      <c r="BO36" s="144">
        <v>6</v>
      </c>
      <c r="BP36" s="144">
        <v>3</v>
      </c>
      <c r="BQ36" s="144">
        <v>6</v>
      </c>
      <c r="BR36" s="144">
        <v>5</v>
      </c>
      <c r="BS36" s="144">
        <v>6</v>
      </c>
      <c r="BT36" s="144">
        <v>5</v>
      </c>
      <c r="BU36" s="144">
        <v>5</v>
      </c>
      <c r="BV36" s="144">
        <v>6</v>
      </c>
      <c r="BW36" s="144">
        <v>6</v>
      </c>
      <c r="BX36" s="144">
        <v>6</v>
      </c>
      <c r="BY36" s="144">
        <v>6</v>
      </c>
      <c r="BZ36" s="144">
        <v>6</v>
      </c>
      <c r="CA36" s="144">
        <v>6</v>
      </c>
      <c r="CB36" s="144">
        <v>3</v>
      </c>
      <c r="CC36" s="144">
        <v>6</v>
      </c>
      <c r="CD36" s="144">
        <v>6</v>
      </c>
      <c r="CE36" s="144">
        <v>1</v>
      </c>
      <c r="CF36" s="144">
        <v>6</v>
      </c>
      <c r="CG36" s="144">
        <v>3</v>
      </c>
      <c r="CH36" s="144">
        <v>7</v>
      </c>
      <c r="CI36" s="144">
        <v>1</v>
      </c>
      <c r="CJ36" s="144">
        <v>3</v>
      </c>
      <c r="CK36" s="144">
        <v>3</v>
      </c>
      <c r="CL36" s="144">
        <v>6</v>
      </c>
      <c r="CM36" s="144">
        <v>1</v>
      </c>
      <c r="CN36" s="144">
        <v>3</v>
      </c>
      <c r="CO36" s="144">
        <v>6</v>
      </c>
      <c r="CP36" s="144">
        <v>6</v>
      </c>
      <c r="CQ36" s="144">
        <v>1</v>
      </c>
      <c r="CR36" s="144">
        <v>5</v>
      </c>
      <c r="CS36" s="144">
        <v>1</v>
      </c>
      <c r="CT36" s="144">
        <v>1</v>
      </c>
      <c r="CU36" s="144">
        <v>4</v>
      </c>
      <c r="CV36" s="144">
        <v>3</v>
      </c>
      <c r="CW36" s="144">
        <v>1</v>
      </c>
      <c r="CX36" s="144">
        <v>1</v>
      </c>
      <c r="CY36" s="144">
        <v>6</v>
      </c>
      <c r="CZ36" s="144">
        <v>3</v>
      </c>
      <c r="DA36" s="144">
        <v>5</v>
      </c>
      <c r="DC36">
        <v>32</v>
      </c>
      <c r="DD36" s="114">
        <v>75.194339864715189</v>
      </c>
      <c r="DE36" s="114">
        <v>-0.67627144993805455</v>
      </c>
      <c r="DF36" s="114">
        <v>30.767372809160882</v>
      </c>
      <c r="DG36" s="114">
        <v>76.110084678901444</v>
      </c>
      <c r="DH36" s="114">
        <v>-8.0902503045098086</v>
      </c>
      <c r="DI36" s="114">
        <v>35.357559175194112</v>
      </c>
      <c r="DJ36" s="114">
        <v>8.7678664392007857</v>
      </c>
      <c r="DK36" s="114">
        <f t="shared" si="0"/>
        <v>76.875481895663469</v>
      </c>
      <c r="DL36" s="114">
        <f t="shared" si="1"/>
        <v>1.5927729374521162</v>
      </c>
      <c r="DM36" s="114">
        <f t="shared" si="2"/>
        <v>91.25916703866092</v>
      </c>
      <c r="DN36" s="115">
        <f t="shared" si="3"/>
        <v>5</v>
      </c>
      <c r="DO36">
        <v>3</v>
      </c>
    </row>
    <row r="37" spans="1:128">
      <c r="A37">
        <v>520</v>
      </c>
      <c r="B37" s="120">
        <f>'Color metric'!B31</f>
        <v>0.11261558784676354</v>
      </c>
      <c r="C37" s="112">
        <f>Reference!N37</f>
        <v>3.4389120335582253</v>
      </c>
      <c r="D37" s="112"/>
      <c r="E37" s="148"/>
      <c r="F37" s="149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4"/>
      <c r="BC37" s="144"/>
      <c r="BD37" s="144"/>
      <c r="BE37" s="144"/>
      <c r="BF37" s="144"/>
      <c r="BG37" s="144"/>
      <c r="BH37" s="144"/>
      <c r="BI37" s="144"/>
      <c r="BJ37" s="144"/>
      <c r="BK37" s="144"/>
      <c r="BL37" s="144"/>
      <c r="BM37" s="144"/>
      <c r="BN37" s="144"/>
      <c r="BO37" s="144"/>
      <c r="BP37" s="144"/>
      <c r="BQ37" s="144"/>
      <c r="BR37" s="144"/>
      <c r="BS37" s="144"/>
      <c r="BT37" s="144"/>
      <c r="BU37" s="144"/>
      <c r="BV37" s="144"/>
      <c r="BW37" s="144"/>
      <c r="BX37" s="144"/>
      <c r="BY37" s="144"/>
      <c r="BZ37" s="144"/>
      <c r="CA37" s="144"/>
      <c r="CB37" s="144"/>
      <c r="CC37" s="144"/>
      <c r="CD37" s="144"/>
      <c r="CE37" s="144"/>
      <c r="CF37" s="144"/>
      <c r="CG37" s="144"/>
      <c r="CH37" s="144"/>
      <c r="CI37" s="144"/>
      <c r="CJ37" s="144"/>
      <c r="CK37" s="144"/>
      <c r="CL37" s="144"/>
      <c r="CM37" s="144"/>
      <c r="CN37" s="144"/>
      <c r="CO37" s="144"/>
      <c r="CP37" s="144"/>
      <c r="CQ37" s="144"/>
      <c r="CR37" s="144"/>
      <c r="CS37" s="144"/>
      <c r="CT37" s="144"/>
      <c r="CU37" s="144"/>
      <c r="CV37" s="144"/>
      <c r="CW37" s="144"/>
      <c r="CX37" s="144"/>
      <c r="CY37" s="144"/>
      <c r="CZ37" s="144"/>
      <c r="DA37" s="144"/>
      <c r="DC37">
        <v>33</v>
      </c>
      <c r="DD37" s="114">
        <v>89.652182282726855</v>
      </c>
      <c r="DE37" s="114">
        <v>0.17187026694021554</v>
      </c>
      <c r="DF37" s="114">
        <v>18.685835899753584</v>
      </c>
      <c r="DG37" s="114">
        <v>89.680431120343471</v>
      </c>
      <c r="DH37" s="114">
        <v>-4.1475421685526035</v>
      </c>
      <c r="DI37" s="114">
        <v>24.392793874935322</v>
      </c>
      <c r="DJ37" s="114">
        <v>7.157338270279471</v>
      </c>
      <c r="DK37" s="114">
        <f t="shared" si="0"/>
        <v>51.22749111520713</v>
      </c>
      <c r="DL37" s="114">
        <f t="shared" si="1"/>
        <v>1.5615986959637747</v>
      </c>
      <c r="DM37" s="114">
        <f t="shared" si="2"/>
        <v>89.473014571857306</v>
      </c>
      <c r="DN37" s="115">
        <f t="shared" si="3"/>
        <v>4</v>
      </c>
      <c r="DO37">
        <v>4</v>
      </c>
    </row>
    <row r="38" spans="1:128">
      <c r="A38">
        <v>525</v>
      </c>
      <c r="B38" s="120">
        <f>'Color metric'!B32</f>
        <v>0.12879788639365916</v>
      </c>
      <c r="C38" s="112">
        <f>Reference!N38</f>
        <v>3.5859007142119079</v>
      </c>
      <c r="D38" s="112"/>
      <c r="E38" s="143"/>
      <c r="F38" s="144"/>
      <c r="G38" s="144"/>
      <c r="H38" s="144"/>
      <c r="I38" s="144"/>
      <c r="J38" s="144"/>
      <c r="K38" s="144"/>
      <c r="L38" s="144"/>
      <c r="M38" s="144"/>
      <c r="N38" s="144"/>
      <c r="O38" s="144"/>
      <c r="P38" s="144"/>
      <c r="Q38" s="144"/>
      <c r="R38" s="144"/>
      <c r="S38" s="144"/>
      <c r="T38" s="144"/>
      <c r="U38" s="144"/>
      <c r="V38" s="144"/>
      <c r="W38" s="144"/>
      <c r="X38" s="144"/>
      <c r="Y38" s="144"/>
      <c r="Z38" s="144"/>
      <c r="AA38" s="144"/>
      <c r="AB38" s="144"/>
      <c r="AC38" s="144"/>
      <c r="AD38" s="144"/>
      <c r="AE38" s="144"/>
      <c r="AF38" s="144"/>
      <c r="AG38" s="144"/>
      <c r="AH38" s="144"/>
      <c r="AI38" s="144"/>
      <c r="AJ38" s="144"/>
      <c r="AK38" s="144"/>
      <c r="AL38" s="144"/>
      <c r="AM38" s="144"/>
      <c r="AN38" s="144"/>
      <c r="AO38" s="144"/>
      <c r="AP38" s="144"/>
      <c r="AQ38" s="144"/>
      <c r="AR38" s="144"/>
      <c r="AS38" s="144"/>
      <c r="AT38" s="144"/>
      <c r="AU38" s="144"/>
      <c r="AV38" s="144"/>
      <c r="AW38" s="144"/>
      <c r="AX38" s="144"/>
      <c r="AY38" s="144"/>
      <c r="AZ38" s="144"/>
      <c r="BA38" s="144"/>
      <c r="BB38" s="144"/>
      <c r="BC38" s="144"/>
      <c r="BD38" s="144"/>
      <c r="BE38" s="144"/>
      <c r="BF38" s="144"/>
      <c r="BG38" s="144"/>
      <c r="BH38" s="144"/>
      <c r="BI38" s="144"/>
      <c r="BJ38" s="144"/>
      <c r="BK38" s="144"/>
      <c r="BL38" s="144"/>
      <c r="BM38" s="144"/>
      <c r="BN38" s="144"/>
      <c r="BO38" s="144"/>
      <c r="BP38" s="144"/>
      <c r="BQ38" s="144"/>
      <c r="BR38" s="144"/>
      <c r="BS38" s="144"/>
      <c r="BT38" s="144"/>
      <c r="BU38" s="144"/>
      <c r="BV38" s="144"/>
      <c r="BW38" s="144"/>
      <c r="BX38" s="144"/>
      <c r="BY38" s="144"/>
      <c r="BZ38" s="144"/>
      <c r="CA38" s="144"/>
      <c r="CB38" s="144"/>
      <c r="CC38" s="144"/>
      <c r="CD38" s="144"/>
      <c r="CE38" s="144"/>
      <c r="CF38" s="144"/>
      <c r="CG38" s="144"/>
      <c r="CH38" s="144"/>
      <c r="CI38" s="144"/>
      <c r="CJ38" s="144"/>
      <c r="CK38" s="144"/>
      <c r="CL38" s="144"/>
      <c r="CM38" s="144"/>
      <c r="CN38" s="144"/>
      <c r="CO38" s="144"/>
      <c r="CP38" s="144"/>
      <c r="CQ38" s="144"/>
      <c r="CR38" s="144"/>
      <c r="CS38" s="144"/>
      <c r="CT38" s="144"/>
      <c r="CU38" s="144"/>
      <c r="CV38" s="144"/>
      <c r="CW38" s="144"/>
      <c r="CX38" s="144"/>
      <c r="CY38" s="144"/>
      <c r="CZ38" s="144"/>
      <c r="DA38" s="144"/>
      <c r="DC38">
        <v>34</v>
      </c>
      <c r="DD38" s="114">
        <v>62.050164818879843</v>
      </c>
      <c r="DE38" s="114">
        <v>-3.3726239022877391</v>
      </c>
      <c r="DF38" s="114">
        <v>27.717191856524401</v>
      </c>
      <c r="DG38" s="114">
        <v>63.523280603093433</v>
      </c>
      <c r="DH38" s="114">
        <v>-8.1257861907131552</v>
      </c>
      <c r="DI38" s="114">
        <v>30.780597578859279</v>
      </c>
      <c r="DJ38" s="114">
        <v>5.8435499889572977</v>
      </c>
      <c r="DK38" s="114">
        <f t="shared" si="0"/>
        <v>34.147076473442837</v>
      </c>
      <c r="DL38" s="114">
        <f t="shared" si="1"/>
        <v>1.6918809313351471</v>
      </c>
      <c r="DM38" s="114">
        <f t="shared" si="2"/>
        <v>96.937636804166956</v>
      </c>
      <c r="DN38" s="115">
        <f t="shared" si="3"/>
        <v>5</v>
      </c>
      <c r="DO38">
        <v>7</v>
      </c>
    </row>
    <row r="39" spans="1:128">
      <c r="A39">
        <v>530</v>
      </c>
      <c r="B39" s="120">
        <f>'Color metric'!B33</f>
        <v>0.15488771466314399</v>
      </c>
      <c r="C39" s="112">
        <f>Reference!N39</f>
        <v>3.7345449130674391</v>
      </c>
      <c r="D39" s="112"/>
      <c r="E39" s="150"/>
      <c r="F39" s="149"/>
      <c r="G39" s="144"/>
      <c r="H39" s="151"/>
      <c r="I39" s="144"/>
      <c r="J39" s="144"/>
      <c r="K39" s="144"/>
      <c r="L39" s="144"/>
      <c r="M39" s="144"/>
      <c r="N39" s="144"/>
      <c r="O39" s="144"/>
      <c r="P39" s="144"/>
      <c r="Q39" s="144"/>
      <c r="R39" s="144"/>
      <c r="S39" s="144"/>
      <c r="T39" s="144"/>
      <c r="U39" s="144"/>
      <c r="V39" s="144"/>
      <c r="W39" s="144"/>
      <c r="X39" s="144"/>
      <c r="Y39" s="144"/>
      <c r="Z39" s="144"/>
      <c r="AA39" s="144"/>
      <c r="AB39" s="144"/>
      <c r="AC39" s="144"/>
      <c r="AD39" s="144"/>
      <c r="AE39" s="144"/>
      <c r="AF39" s="144"/>
      <c r="AG39" s="144"/>
      <c r="AH39" s="144"/>
      <c r="AI39" s="144"/>
      <c r="AJ39" s="144"/>
      <c r="AK39" s="144"/>
      <c r="AL39" s="144"/>
      <c r="AM39" s="144"/>
      <c r="AN39" s="144"/>
      <c r="AO39" s="144"/>
      <c r="AP39" s="144"/>
      <c r="AQ39" s="144"/>
      <c r="AR39" s="144"/>
      <c r="AS39" s="144"/>
      <c r="AT39" s="144"/>
      <c r="AU39" s="144"/>
      <c r="AV39" s="144"/>
      <c r="AW39" s="144"/>
      <c r="AX39" s="144"/>
      <c r="AY39" s="144"/>
      <c r="AZ39" s="144"/>
      <c r="BA39" s="144"/>
      <c r="BB39" s="144"/>
      <c r="BC39" s="144"/>
      <c r="BD39" s="144"/>
      <c r="BE39" s="144"/>
      <c r="BF39" s="144"/>
      <c r="BG39" s="144"/>
      <c r="BH39" s="144"/>
      <c r="BI39" s="144"/>
      <c r="BJ39" s="144"/>
      <c r="BK39" s="144"/>
      <c r="BL39" s="144"/>
      <c r="BM39" s="144"/>
      <c r="BN39" s="144"/>
      <c r="BO39" s="144"/>
      <c r="BP39" s="144"/>
      <c r="BQ39" s="144"/>
      <c r="BR39" s="144"/>
      <c r="BS39" s="144"/>
      <c r="BT39" s="144"/>
      <c r="BU39" s="144"/>
      <c r="BV39" s="144"/>
      <c r="BW39" s="144"/>
      <c r="BX39" s="144"/>
      <c r="BY39" s="144"/>
      <c r="BZ39" s="144"/>
      <c r="CA39" s="144"/>
      <c r="CB39" s="144"/>
      <c r="CC39" s="144"/>
      <c r="CD39" s="144"/>
      <c r="CE39" s="144"/>
      <c r="CF39" s="144"/>
      <c r="CG39" s="144"/>
      <c r="CH39" s="144"/>
      <c r="CI39" s="144"/>
      <c r="CJ39" s="144"/>
      <c r="CK39" s="144"/>
      <c r="CL39" s="144"/>
      <c r="CM39" s="144"/>
      <c r="CN39" s="144"/>
      <c r="CO39" s="144"/>
      <c r="CP39" s="144"/>
      <c r="CQ39" s="144"/>
      <c r="CR39" s="144"/>
      <c r="CS39" s="144"/>
      <c r="CT39" s="144"/>
      <c r="CU39" s="144"/>
      <c r="CV39" s="144"/>
      <c r="CW39" s="144"/>
      <c r="CX39" s="144"/>
      <c r="CY39" s="144"/>
      <c r="CZ39" s="144"/>
      <c r="DA39" s="144"/>
      <c r="DC39">
        <v>35</v>
      </c>
      <c r="DD39" s="114">
        <v>42.442576870829228</v>
      </c>
      <c r="DE39" s="114">
        <v>-2.7651632388731788</v>
      </c>
      <c r="DF39" s="114">
        <v>14.902867321038363</v>
      </c>
      <c r="DG39" s="114">
        <v>43.356973877904984</v>
      </c>
      <c r="DH39" s="114">
        <v>-5.099156832489248</v>
      </c>
      <c r="DI39" s="114">
        <v>16.662007458355003</v>
      </c>
      <c r="DJ39" s="114">
        <v>3.0623882843800785</v>
      </c>
      <c r="DK39" s="114">
        <f t="shared" si="0"/>
        <v>9.3782220043083608</v>
      </c>
      <c r="DL39" s="114">
        <f t="shared" si="1"/>
        <v>1.7542557017491667</v>
      </c>
      <c r="DM39" s="114">
        <f t="shared" si="2"/>
        <v>100.51144789698776</v>
      </c>
      <c r="DN39" s="115">
        <f t="shared" si="3"/>
        <v>5</v>
      </c>
      <c r="DO39">
        <v>7</v>
      </c>
    </row>
    <row r="40" spans="1:128">
      <c r="A40">
        <v>535</v>
      </c>
      <c r="B40" s="120">
        <f>'Color metric'!B34</f>
        <v>0.19187582562747688</v>
      </c>
      <c r="C40" s="112">
        <f>Reference!N40</f>
        <v>3.8846890772584102</v>
      </c>
      <c r="D40" s="112"/>
      <c r="E40" s="152"/>
      <c r="F40" s="153"/>
      <c r="G40" s="154"/>
      <c r="H40" s="154"/>
      <c r="I40" s="154"/>
      <c r="J40" s="154"/>
      <c r="K40" s="154"/>
      <c r="L40" s="154"/>
      <c r="M40" s="154"/>
      <c r="N40" s="154"/>
      <c r="O40" s="154"/>
      <c r="P40" s="155"/>
      <c r="Q40" s="155"/>
      <c r="R40" s="155"/>
      <c r="S40" s="155"/>
      <c r="T40" s="155"/>
      <c r="U40" s="155"/>
      <c r="V40" s="155"/>
      <c r="W40" s="155"/>
      <c r="X40" s="155"/>
      <c r="Y40" s="155"/>
      <c r="Z40" s="155"/>
      <c r="AA40" s="155"/>
      <c r="AB40" s="155"/>
      <c r="AC40" s="155"/>
      <c r="AD40" s="155"/>
      <c r="AE40" s="155"/>
      <c r="AF40" s="155"/>
      <c r="AG40" s="155"/>
      <c r="AH40" s="155"/>
      <c r="AI40" s="155"/>
      <c r="AJ40" s="155"/>
      <c r="AK40" s="155"/>
      <c r="AL40" s="155"/>
      <c r="AM40" s="155"/>
      <c r="AN40" s="155"/>
      <c r="AO40" s="155"/>
      <c r="AP40" s="155"/>
      <c r="AQ40" s="155"/>
      <c r="AR40" s="155"/>
      <c r="AS40" s="155"/>
      <c r="AT40" s="155"/>
      <c r="AU40" s="155"/>
      <c r="AV40" s="155"/>
      <c r="AW40" s="155"/>
      <c r="AX40" s="155"/>
      <c r="AY40" s="155"/>
      <c r="AZ40" s="155"/>
      <c r="BA40" s="155"/>
      <c r="BB40" s="155"/>
      <c r="BC40" s="155"/>
      <c r="BD40" s="155"/>
      <c r="BE40" s="155"/>
      <c r="BF40" s="155"/>
      <c r="BG40" s="155"/>
      <c r="BH40" s="155"/>
      <c r="BI40" s="155"/>
      <c r="BJ40" s="155"/>
      <c r="BK40" s="155"/>
      <c r="BL40" s="155"/>
      <c r="BM40" s="155"/>
      <c r="BN40" s="155"/>
      <c r="BO40" s="155"/>
      <c r="BP40" s="155"/>
      <c r="BQ40" s="155"/>
      <c r="BR40" s="155"/>
      <c r="BS40" s="155"/>
      <c r="BT40" s="155"/>
      <c r="BU40" s="155"/>
      <c r="BV40" s="155"/>
      <c r="BW40" s="155"/>
      <c r="BX40" s="155"/>
      <c r="BY40" s="155"/>
      <c r="BZ40" s="155"/>
      <c r="CA40" s="155"/>
      <c r="CB40" s="155"/>
      <c r="CC40" s="155"/>
      <c r="CD40" s="155"/>
      <c r="CE40" s="155"/>
      <c r="CF40" s="155"/>
      <c r="CG40" s="155"/>
      <c r="CH40" s="155"/>
      <c r="CI40" s="155"/>
      <c r="CJ40" s="155"/>
      <c r="CK40" s="155"/>
      <c r="CL40" s="155"/>
      <c r="CM40" s="155"/>
      <c r="CN40" s="155"/>
      <c r="CO40" s="155"/>
      <c r="CP40" s="155"/>
      <c r="CQ40" s="155"/>
      <c r="CR40" s="155"/>
      <c r="CS40" s="155"/>
      <c r="CT40" s="155"/>
      <c r="CU40" s="155"/>
      <c r="CV40" s="155"/>
      <c r="CW40" s="155"/>
      <c r="CX40" s="155"/>
      <c r="CY40" s="155"/>
      <c r="CZ40" s="155"/>
      <c r="DA40" s="155"/>
      <c r="DC40">
        <v>36</v>
      </c>
      <c r="DD40" s="114">
        <v>80.754354971545922</v>
      </c>
      <c r="DE40" s="114">
        <v>5.2085976359976478E-2</v>
      </c>
      <c r="DF40" s="114">
        <v>6.6552986665911549</v>
      </c>
      <c r="DG40" s="114">
        <v>80.540163323953891</v>
      </c>
      <c r="DH40" s="114">
        <v>-1.6462988697127576</v>
      </c>
      <c r="DI40" s="114">
        <v>10.574732915685001</v>
      </c>
      <c r="DJ40" s="114">
        <v>4.2769561583253966</v>
      </c>
      <c r="DK40" s="114">
        <f t="shared" si="0"/>
        <v>18.292353980237536</v>
      </c>
      <c r="DL40" s="114">
        <f t="shared" si="1"/>
        <v>1.562970244813414</v>
      </c>
      <c r="DM40" s="114">
        <f t="shared" si="2"/>
        <v>89.551598532337664</v>
      </c>
      <c r="DN40" s="115">
        <f t="shared" si="3"/>
        <v>4</v>
      </c>
      <c r="DO40">
        <v>1</v>
      </c>
    </row>
    <row r="41" spans="1:128">
      <c r="A41">
        <v>540</v>
      </c>
      <c r="B41" s="120">
        <f>'Color metric'!B35</f>
        <v>0.24174372523117568</v>
      </c>
      <c r="C41" s="112">
        <f>Reference!N41</f>
        <v>4.036177465832905</v>
      </c>
      <c r="D41" s="112"/>
      <c r="E41" s="156"/>
      <c r="F41" s="157"/>
      <c r="G41" s="158"/>
      <c r="H41" s="158"/>
      <c r="I41" s="158"/>
      <c r="J41" s="158"/>
      <c r="K41" s="158"/>
      <c r="L41" s="159"/>
      <c r="M41" s="159"/>
      <c r="N41" s="159"/>
      <c r="O41" s="159"/>
      <c r="P41" s="159"/>
      <c r="Q41" s="155"/>
      <c r="R41" s="155"/>
      <c r="S41" s="155"/>
      <c r="T41" s="155"/>
      <c r="U41" s="155"/>
      <c r="V41" s="155"/>
      <c r="W41" s="155"/>
      <c r="X41" s="155"/>
      <c r="Y41" s="155"/>
      <c r="Z41" s="155"/>
      <c r="AA41" s="155"/>
      <c r="AB41" s="155"/>
      <c r="AC41" s="155"/>
      <c r="AD41" s="155"/>
      <c r="AE41" s="155"/>
      <c r="AF41" s="155"/>
      <c r="AG41" s="155"/>
      <c r="AH41" s="155"/>
      <c r="AI41" s="155"/>
      <c r="AJ41" s="155"/>
      <c r="AK41" s="155"/>
      <c r="AL41" s="155"/>
      <c r="AM41" s="155"/>
      <c r="AN41" s="155"/>
      <c r="AO41" s="155"/>
      <c r="AP41" s="155"/>
      <c r="AQ41" s="155"/>
      <c r="AR41" s="155"/>
      <c r="AS41" s="155"/>
      <c r="AT41" s="155"/>
      <c r="AU41" s="155"/>
      <c r="AV41" s="155"/>
      <c r="AW41" s="155"/>
      <c r="AX41" s="155"/>
      <c r="AY41" s="155"/>
      <c r="AZ41" s="155"/>
      <c r="BA41" s="155"/>
      <c r="BB41" s="155"/>
      <c r="BC41" s="155"/>
      <c r="BD41" s="155"/>
      <c r="BE41" s="155"/>
      <c r="BF41" s="155"/>
      <c r="BG41" s="155"/>
      <c r="BH41" s="155"/>
      <c r="BI41" s="155"/>
      <c r="BJ41" s="155"/>
      <c r="BK41" s="155"/>
      <c r="BL41" s="155"/>
      <c r="BM41" s="155"/>
      <c r="BN41" s="155"/>
      <c r="BO41" s="155"/>
      <c r="BP41" s="155"/>
      <c r="BQ41" s="155"/>
      <c r="BR41" s="155"/>
      <c r="BS41" s="155"/>
      <c r="BT41" s="155"/>
      <c r="BU41" s="155"/>
      <c r="BV41" s="155"/>
      <c r="BW41" s="155"/>
      <c r="BX41" s="155"/>
      <c r="BY41" s="155"/>
      <c r="BZ41" s="155"/>
      <c r="CA41" s="155"/>
      <c r="CB41" s="155"/>
      <c r="CC41" s="155"/>
      <c r="CD41" s="155"/>
      <c r="CE41" s="155"/>
      <c r="CF41" s="155"/>
      <c r="CG41" s="155"/>
      <c r="CH41" s="155"/>
      <c r="CI41" s="155"/>
      <c r="CJ41" s="155"/>
      <c r="CK41" s="155"/>
      <c r="CL41" s="155"/>
      <c r="CM41" s="155"/>
      <c r="CN41" s="155"/>
      <c r="CO41" s="155"/>
      <c r="CP41" s="155"/>
      <c r="CQ41" s="155"/>
      <c r="CR41" s="155"/>
      <c r="CS41" s="155"/>
      <c r="CT41" s="155"/>
      <c r="CU41" s="155"/>
      <c r="CV41" s="155"/>
      <c r="CW41" s="155"/>
      <c r="CX41" s="155"/>
      <c r="CY41" s="155"/>
      <c r="CZ41" s="155"/>
      <c r="DA41" s="155"/>
      <c r="DC41">
        <v>37</v>
      </c>
      <c r="DD41" s="114">
        <v>47.997084090959341</v>
      </c>
      <c r="DE41" s="114">
        <v>-5.2499187201765967</v>
      </c>
      <c r="DF41" s="114">
        <v>18.351759845758565</v>
      </c>
      <c r="DG41" s="114">
        <v>49.363032838445179</v>
      </c>
      <c r="DH41" s="114">
        <v>-8.5901028861689905</v>
      </c>
      <c r="DI41" s="114">
        <v>20.710716527838919</v>
      </c>
      <c r="DJ41" s="114">
        <v>4.3113017606560531</v>
      </c>
      <c r="DK41" s="114">
        <f t="shared" si="0"/>
        <v>18.587322871435983</v>
      </c>
      <c r="DL41" s="114">
        <f t="shared" si="1"/>
        <v>1.8494263732180714</v>
      </c>
      <c r="DM41" s="114">
        <f t="shared" si="2"/>
        <v>105.96432570558211</v>
      </c>
      <c r="DN41" s="115">
        <f t="shared" si="3"/>
        <v>5</v>
      </c>
      <c r="DO41">
        <v>1</v>
      </c>
    </row>
    <row r="42" spans="1:128">
      <c r="A42">
        <v>545</v>
      </c>
      <c r="B42" s="120">
        <f>'Color metric'!B36</f>
        <v>0.74603698811096431</v>
      </c>
      <c r="C42" s="112">
        <f>Reference!N42</f>
        <v>4.18885458935274</v>
      </c>
      <c r="D42" s="112"/>
      <c r="E42" s="160" t="s">
        <v>271</v>
      </c>
      <c r="F42" s="161"/>
      <c r="G42" s="162"/>
      <c r="H42" s="162"/>
      <c r="I42" s="163" t="s">
        <v>272</v>
      </c>
      <c r="J42" s="163"/>
      <c r="K42" s="164"/>
      <c r="L42" s="165"/>
      <c r="M42" s="165" t="s">
        <v>273</v>
      </c>
      <c r="N42" s="163"/>
      <c r="O42" s="163"/>
      <c r="P42" s="164"/>
      <c r="Q42" s="165" t="s">
        <v>274</v>
      </c>
      <c r="R42" s="166"/>
      <c r="S42" s="166"/>
      <c r="T42" s="166"/>
      <c r="U42" s="166" t="s">
        <v>275</v>
      </c>
      <c r="V42" s="166"/>
      <c r="W42" s="166"/>
      <c r="X42" s="166"/>
      <c r="Y42" s="166"/>
      <c r="Z42" s="166"/>
      <c r="AA42" s="166"/>
      <c r="AB42" s="166"/>
      <c r="AC42" s="166"/>
      <c r="AD42" s="166"/>
      <c r="AE42" s="166"/>
      <c r="AF42" s="166"/>
      <c r="AG42" s="166"/>
      <c r="AH42" s="166"/>
      <c r="AI42" s="166"/>
      <c r="AJ42" s="166"/>
      <c r="AK42" s="166"/>
      <c r="AL42" s="166"/>
      <c r="AM42" s="166"/>
      <c r="AN42" s="166"/>
      <c r="AO42" s="166"/>
      <c r="AP42" s="166"/>
      <c r="AQ42" s="166"/>
      <c r="AR42" s="166"/>
      <c r="AS42" s="166"/>
      <c r="AT42" s="166"/>
      <c r="AU42" s="166"/>
      <c r="AV42" s="166"/>
      <c r="AW42" s="166"/>
      <c r="AX42" s="166"/>
      <c r="AY42" s="166"/>
      <c r="AZ42" s="166"/>
      <c r="BA42" s="166"/>
      <c r="BB42" s="166"/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6"/>
      <c r="CO42" s="166"/>
      <c r="CP42" s="166"/>
      <c r="CQ42" s="166"/>
      <c r="CR42" s="166"/>
      <c r="CS42" s="166"/>
      <c r="CT42" s="166"/>
      <c r="CU42" s="166"/>
      <c r="CV42" s="166"/>
      <c r="CW42" s="166"/>
      <c r="CX42" s="166"/>
      <c r="CY42" s="166"/>
      <c r="CZ42" s="166"/>
      <c r="DA42" s="166"/>
      <c r="DC42">
        <v>38</v>
      </c>
      <c r="DD42" s="114">
        <v>86.339558800765403</v>
      </c>
      <c r="DE42" s="114">
        <v>-2.5889634564139521</v>
      </c>
      <c r="DF42" s="114">
        <v>15.501511033935833</v>
      </c>
      <c r="DG42" s="114">
        <v>86.102868939403038</v>
      </c>
      <c r="DH42" s="114">
        <v>-5.5114518226636813</v>
      </c>
      <c r="DI42" s="114">
        <v>22.386364688528406</v>
      </c>
      <c r="DJ42" s="114">
        <v>7.4831925129915948</v>
      </c>
      <c r="DK42" s="114">
        <f t="shared" si="0"/>
        <v>55.998170186493461</v>
      </c>
      <c r="DL42" s="114">
        <f t="shared" si="1"/>
        <v>1.7362825603645715</v>
      </c>
      <c r="DM42" s="114">
        <f t="shared" si="2"/>
        <v>99.481662751058536</v>
      </c>
      <c r="DN42" s="115">
        <f t="shared" si="3"/>
        <v>5</v>
      </c>
      <c r="DO42">
        <v>1</v>
      </c>
    </row>
    <row r="43" spans="1:128">
      <c r="A43">
        <v>550</v>
      </c>
      <c r="B43" s="120">
        <f>'Color metric'!B37</f>
        <v>0.49900924702774102</v>
      </c>
      <c r="C43" s="112">
        <f>Reference!N43</f>
        <v>4.3425656251580342</v>
      </c>
      <c r="D43" s="112"/>
      <c r="E43" s="167" t="s">
        <v>276</v>
      </c>
      <c r="F43" s="168">
        <v>100</v>
      </c>
      <c r="G43" s="162"/>
      <c r="H43" s="162"/>
      <c r="I43" s="169">
        <v>0.73280000000000001</v>
      </c>
      <c r="J43" s="169">
        <v>0.42959999999999998</v>
      </c>
      <c r="K43" s="169">
        <v>-0.16239999999999999</v>
      </c>
      <c r="L43" s="165"/>
      <c r="M43" s="165">
        <f t="array" ref="M43:O45">MINVERSE(I43:K45)</f>
        <v>1.0961238208355142</v>
      </c>
      <c r="N43" s="165">
        <v>-0.27886900021828726</v>
      </c>
      <c r="O43" s="165">
        <v>0.18274517938277304</v>
      </c>
      <c r="P43" s="165"/>
      <c r="Q43" s="166">
        <v>0.38971</v>
      </c>
      <c r="R43" s="166">
        <v>0.68898000000000004</v>
      </c>
      <c r="S43" s="166">
        <v>-7.868E-2</v>
      </c>
      <c r="T43" s="166"/>
      <c r="U43" s="166">
        <f t="array" ref="U43:W45">MINVERSE(Q43:S45)</f>
        <v>1.910196834052035</v>
      </c>
      <c r="V43" s="166">
        <v>-1.1121238927878747</v>
      </c>
      <c r="W43" s="166">
        <v>0.20190795676749937</v>
      </c>
      <c r="X43" s="166"/>
      <c r="Y43" s="166"/>
      <c r="Z43" s="166"/>
      <c r="AA43" s="166"/>
      <c r="AB43" s="166"/>
      <c r="AC43" s="166"/>
      <c r="AD43" s="166"/>
      <c r="AE43" s="166"/>
      <c r="AF43" s="166"/>
      <c r="AG43" s="166"/>
      <c r="AH43" s="166"/>
      <c r="AI43" s="166"/>
      <c r="AJ43" s="166"/>
      <c r="AK43" s="166"/>
      <c r="AL43" s="166"/>
      <c r="AM43" s="166"/>
      <c r="AN43" s="166"/>
      <c r="AO43" s="166"/>
      <c r="AP43" s="166"/>
      <c r="AQ43" s="166"/>
      <c r="AR43" s="166"/>
      <c r="AS43" s="166"/>
      <c r="AT43" s="166"/>
      <c r="AU43" s="166"/>
      <c r="AV43" s="166"/>
      <c r="AW43" s="166"/>
      <c r="AX43" s="166"/>
      <c r="AY43" s="166"/>
      <c r="AZ43" s="166"/>
      <c r="BA43" s="166"/>
      <c r="BB43" s="166"/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6"/>
      <c r="CO43" s="166"/>
      <c r="CP43" s="166"/>
      <c r="CQ43" s="166"/>
      <c r="CR43" s="166"/>
      <c r="CS43" s="166"/>
      <c r="CT43" s="166"/>
      <c r="CU43" s="166"/>
      <c r="CV43" s="166"/>
      <c r="CW43" s="166"/>
      <c r="CX43" s="166"/>
      <c r="CY43" s="166"/>
      <c r="CZ43" s="166"/>
      <c r="DA43" s="166"/>
      <c r="DC43">
        <v>39</v>
      </c>
      <c r="DD43" s="114">
        <v>35.435907740344881</v>
      </c>
      <c r="DE43" s="114">
        <v>-1.8468105441834848</v>
      </c>
      <c r="DF43" s="114">
        <v>6.5722374944807296</v>
      </c>
      <c r="DG43" s="114">
        <v>34.76581926586173</v>
      </c>
      <c r="DH43" s="114">
        <v>-1.7013714898445558</v>
      </c>
      <c r="DI43" s="114">
        <v>7.3036242076591602</v>
      </c>
      <c r="DJ43" s="114">
        <v>1.002545563241944</v>
      </c>
      <c r="DK43" s="114">
        <f t="shared" si="0"/>
        <v>1.0050976063761068</v>
      </c>
      <c r="DL43" s="114">
        <f t="shared" si="1"/>
        <v>1.8447337538116213</v>
      </c>
      <c r="DM43" s="114">
        <f t="shared" si="2"/>
        <v>105.69545841873133</v>
      </c>
      <c r="DN43" s="115">
        <f t="shared" si="3"/>
        <v>5</v>
      </c>
      <c r="DO43">
        <v>6</v>
      </c>
    </row>
    <row r="44" spans="1:128">
      <c r="A44">
        <v>555</v>
      </c>
      <c r="B44" s="120">
        <f>'Color metric'!B38</f>
        <v>0.45838837516512548</v>
      </c>
      <c r="C44" s="112">
        <f>Reference!N44</f>
        <v>4.4971568079335684</v>
      </c>
      <c r="D44" s="112"/>
      <c r="E44" s="160" t="s">
        <v>277</v>
      </c>
      <c r="F44" s="168">
        <v>20</v>
      </c>
      <c r="G44" s="162"/>
      <c r="H44" s="162"/>
      <c r="I44" s="169">
        <v>-0.7036</v>
      </c>
      <c r="J44" s="169">
        <v>1.6975</v>
      </c>
      <c r="K44" s="169">
        <v>6.1000000000000004E-3</v>
      </c>
      <c r="L44" s="165"/>
      <c r="M44" s="165">
        <v>0.45436904197535916</v>
      </c>
      <c r="N44" s="165">
        <v>0.47353315430741177</v>
      </c>
      <c r="O44" s="165">
        <v>7.2097803717229125E-2</v>
      </c>
      <c r="P44" s="165"/>
      <c r="Q44" s="166">
        <v>-0.22980999999999999</v>
      </c>
      <c r="R44" s="166">
        <v>1.1834</v>
      </c>
      <c r="S44" s="166">
        <v>4.641E-2</v>
      </c>
      <c r="T44" s="166"/>
      <c r="U44" s="166">
        <v>0.37095008824868858</v>
      </c>
      <c r="V44" s="166">
        <v>0.62905425739261323</v>
      </c>
      <c r="W44" s="166">
        <v>-8.0551421843613255E-6</v>
      </c>
      <c r="X44" s="166"/>
      <c r="Y44" s="166"/>
      <c r="Z44" s="166"/>
      <c r="AA44" s="166"/>
      <c r="AB44" s="166"/>
      <c r="AC44" s="166"/>
      <c r="AD44" s="166"/>
      <c r="AE44" s="166"/>
      <c r="AF44" s="166"/>
      <c r="AG44" s="166"/>
      <c r="AH44" s="166"/>
      <c r="AI44" s="166"/>
      <c r="AJ44" s="166"/>
      <c r="AK44" s="166"/>
      <c r="AL44" s="166"/>
      <c r="AM44" s="166"/>
      <c r="AN44" s="166"/>
      <c r="AO44" s="166"/>
      <c r="AP44" s="166"/>
      <c r="AQ44" s="166"/>
      <c r="AR44" s="166"/>
      <c r="AS44" s="166"/>
      <c r="AT44" s="166"/>
      <c r="AU44" s="166"/>
      <c r="AV44" s="166"/>
      <c r="AW44" s="166"/>
      <c r="AX44" s="166"/>
      <c r="AY44" s="166"/>
      <c r="AZ44" s="166"/>
      <c r="BA44" s="166"/>
      <c r="BB44" s="166"/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6"/>
      <c r="CO44" s="166"/>
      <c r="CP44" s="166"/>
      <c r="CQ44" s="166"/>
      <c r="CR44" s="166"/>
      <c r="CS44" s="166"/>
      <c r="CT44" s="166"/>
      <c r="CU44" s="166"/>
      <c r="CV44" s="166"/>
      <c r="CW44" s="166"/>
      <c r="CX44" s="166"/>
      <c r="CY44" s="166"/>
      <c r="CZ44" s="166"/>
      <c r="DA44" s="166"/>
      <c r="DC44">
        <v>40</v>
      </c>
      <c r="DD44" s="114">
        <v>50.301238690131491</v>
      </c>
      <c r="DE44" s="114">
        <v>-3.9334111630901645</v>
      </c>
      <c r="DF44" s="114">
        <v>12.541089462654462</v>
      </c>
      <c r="DG44" s="114">
        <v>48.859163266454594</v>
      </c>
      <c r="DH44" s="114">
        <v>-3.6762660870206099</v>
      </c>
      <c r="DI44" s="114">
        <v>13.399437334238895</v>
      </c>
      <c r="DJ44" s="114">
        <v>1.6977827264915986</v>
      </c>
      <c r="DK44" s="114">
        <f t="shared" si="0"/>
        <v>2.8824661863732461</v>
      </c>
      <c r="DL44" s="114">
        <f t="shared" si="1"/>
        <v>1.8747211667883594</v>
      </c>
      <c r="DM44" s="114">
        <f t="shared" si="2"/>
        <v>107.41361062081427</v>
      </c>
      <c r="DN44" s="115">
        <f t="shared" si="3"/>
        <v>5</v>
      </c>
      <c r="DO44">
        <v>6</v>
      </c>
    </row>
    <row r="45" spans="1:128">
      <c r="A45">
        <v>560</v>
      </c>
      <c r="B45" s="120">
        <f>'Color metric'!B39</f>
        <v>0.5392998678996036</v>
      </c>
      <c r="C45" s="112">
        <f>Reference!N45</f>
        <v>4.6524757954006093</v>
      </c>
      <c r="D45" s="112"/>
      <c r="E45" s="160" t="s">
        <v>278</v>
      </c>
      <c r="F45" s="160">
        <v>1</v>
      </c>
      <c r="G45" s="162"/>
      <c r="H45" s="162"/>
      <c r="I45" s="169">
        <v>3.0000000000000001E-3</v>
      </c>
      <c r="J45" s="169">
        <v>1.3599999999999999E-2</v>
      </c>
      <c r="K45" s="169">
        <v>0.98340000000000005</v>
      </c>
      <c r="L45" s="165"/>
      <c r="M45" s="165">
        <v>-9.6276087384293552E-3</v>
      </c>
      <c r="N45" s="165">
        <v>-5.6980312161134198E-3</v>
      </c>
      <c r="O45" s="165">
        <v>1.0153256399545427</v>
      </c>
      <c r="P45" s="165"/>
      <c r="Q45" s="166">
        <v>0</v>
      </c>
      <c r="R45" s="166">
        <v>0</v>
      </c>
      <c r="S45" s="166">
        <v>1</v>
      </c>
      <c r="T45" s="166"/>
      <c r="U45" s="166">
        <v>0</v>
      </c>
      <c r="V45" s="166">
        <v>0</v>
      </c>
      <c r="W45" s="166">
        <v>1</v>
      </c>
      <c r="X45" s="166"/>
      <c r="Y45" s="166"/>
      <c r="Z45" s="166"/>
      <c r="AA45" s="166"/>
      <c r="AB45" s="166"/>
      <c r="AC45" s="166"/>
      <c r="AD45" s="166"/>
      <c r="AE45" s="166"/>
      <c r="AF45" s="166"/>
      <c r="AG45" s="166"/>
      <c r="AH45" s="166"/>
      <c r="AI45" s="166"/>
      <c r="AJ45" s="166"/>
      <c r="AK45" s="166"/>
      <c r="AL45" s="166"/>
      <c r="AM45" s="166"/>
      <c r="AN45" s="166"/>
      <c r="AO45" s="166"/>
      <c r="AP45" s="166"/>
      <c r="AQ45" s="166"/>
      <c r="AR45" s="166"/>
      <c r="AS45" s="166"/>
      <c r="AT45" s="166"/>
      <c r="AU45" s="166"/>
      <c r="AV45" s="166"/>
      <c r="AW45" s="166"/>
      <c r="AX45" s="166"/>
      <c r="AY45" s="166"/>
      <c r="AZ45" s="166"/>
      <c r="BA45" s="166"/>
      <c r="BB45" s="166"/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6"/>
      <c r="CO45" s="166"/>
      <c r="CP45" s="166"/>
      <c r="CQ45" s="166"/>
      <c r="CR45" s="166"/>
      <c r="CS45" s="166"/>
      <c r="CT45" s="166"/>
      <c r="CU45" s="166"/>
      <c r="CV45" s="166"/>
      <c r="CW45" s="166"/>
      <c r="CX45" s="166"/>
      <c r="CY45" s="166"/>
      <c r="CZ45" s="166"/>
      <c r="DA45" s="166"/>
      <c r="DC45">
        <v>41</v>
      </c>
      <c r="DD45" s="114">
        <v>88.275877716437648</v>
      </c>
      <c r="DE45" s="114">
        <v>-2.9945294004249354</v>
      </c>
      <c r="DF45" s="114">
        <v>7.837121464117371</v>
      </c>
      <c r="DG45" s="114">
        <v>87.804627000864429</v>
      </c>
      <c r="DH45" s="114">
        <v>-3.8531102245300044</v>
      </c>
      <c r="DI45" s="114">
        <v>10.899381331157864</v>
      </c>
      <c r="DJ45" s="114">
        <v>3.2150697911143498</v>
      </c>
      <c r="DK45" s="114">
        <f t="shared" si="0"/>
        <v>10.336673761736069</v>
      </c>
      <c r="DL45" s="114">
        <f t="shared" si="1"/>
        <v>1.9357732139232866</v>
      </c>
      <c r="DM45" s="114">
        <f t="shared" si="2"/>
        <v>110.91163525227937</v>
      </c>
      <c r="DN45" s="115">
        <f t="shared" si="3"/>
        <v>5</v>
      </c>
      <c r="DO45">
        <v>3</v>
      </c>
    </row>
    <row r="46" spans="1:128">
      <c r="A46">
        <v>565</v>
      </c>
      <c r="B46" s="120">
        <f>'Color metric'!B40</f>
        <v>0.6169088507265521</v>
      </c>
      <c r="C46" s="112">
        <f>Reference!N46</f>
        <v>4.808372009127635</v>
      </c>
      <c r="D46" s="112"/>
      <c r="E46" s="160" t="s">
        <v>279</v>
      </c>
      <c r="F46" s="168">
        <v>1</v>
      </c>
      <c r="G46" s="162"/>
      <c r="H46" s="162"/>
      <c r="I46" s="162"/>
      <c r="J46" s="162"/>
      <c r="K46" s="162"/>
      <c r="L46" s="170"/>
      <c r="M46" s="170"/>
      <c r="N46" s="170"/>
      <c r="O46" s="170"/>
      <c r="P46" s="170"/>
      <c r="Q46" s="171"/>
      <c r="R46" s="168"/>
      <c r="S46" s="168"/>
      <c r="T46" s="168"/>
      <c r="U46" s="168"/>
      <c r="V46" s="168"/>
      <c r="W46" s="168"/>
      <c r="X46" s="168"/>
      <c r="Y46" s="168"/>
      <c r="Z46" s="168"/>
      <c r="AA46" s="168"/>
      <c r="AB46" s="168"/>
      <c r="AC46" s="168"/>
      <c r="AD46" s="168"/>
      <c r="AE46" s="168"/>
      <c r="AF46" s="168"/>
      <c r="AG46" s="168"/>
      <c r="AH46" s="168"/>
      <c r="AI46" s="168"/>
      <c r="AJ46" s="168"/>
      <c r="AK46" s="168"/>
      <c r="AL46" s="168"/>
      <c r="AM46" s="168"/>
      <c r="AN46" s="168"/>
      <c r="AO46" s="168"/>
      <c r="AP46" s="168"/>
      <c r="AQ46" s="168"/>
      <c r="AR46" s="168"/>
      <c r="AS46" s="168"/>
      <c r="AT46" s="168"/>
      <c r="AU46" s="168"/>
      <c r="AV46" s="168"/>
      <c r="AW46" s="168"/>
      <c r="AX46" s="168"/>
      <c r="AY46" s="168"/>
      <c r="AZ46" s="168"/>
      <c r="BA46" s="168"/>
      <c r="BB46" s="168"/>
      <c r="BC46" s="168"/>
      <c r="BD46" s="168"/>
      <c r="BE46" s="168"/>
      <c r="BF46" s="168"/>
      <c r="BG46" s="168"/>
      <c r="BH46" s="168"/>
      <c r="BI46" s="168"/>
      <c r="BJ46" s="168"/>
      <c r="BK46" s="168"/>
      <c r="BL46" s="168"/>
      <c r="BM46" s="168"/>
      <c r="BN46" s="168"/>
      <c r="BO46" s="168"/>
      <c r="BP46" s="168"/>
      <c r="BQ46" s="168"/>
      <c r="BR46" s="168"/>
      <c r="BS46" s="168"/>
      <c r="BT46" s="168"/>
      <c r="BU46" s="168"/>
      <c r="BV46" s="168"/>
      <c r="BW46" s="168"/>
      <c r="BX46" s="168"/>
      <c r="BY46" s="168"/>
      <c r="BZ46" s="168"/>
      <c r="CA46" s="168"/>
      <c r="CB46" s="168"/>
      <c r="CC46" s="168"/>
      <c r="CD46" s="168"/>
      <c r="CE46" s="168"/>
      <c r="CF46" s="168"/>
      <c r="CG46" s="168"/>
      <c r="CH46" s="168"/>
      <c r="CI46" s="168"/>
      <c r="CJ46" s="168"/>
      <c r="CK46" s="168"/>
      <c r="CL46" s="168"/>
      <c r="CM46" s="168"/>
      <c r="CN46" s="168"/>
      <c r="CO46" s="168"/>
      <c r="CP46" s="168"/>
      <c r="CQ46" s="168"/>
      <c r="CR46" s="168"/>
      <c r="CS46" s="168"/>
      <c r="CT46" s="168"/>
      <c r="CU46" s="168"/>
      <c r="CV46" s="168"/>
      <c r="CW46" s="168"/>
      <c r="CX46" s="168"/>
      <c r="CY46" s="168"/>
      <c r="CZ46" s="168"/>
      <c r="DA46" s="168"/>
      <c r="DC46">
        <v>42</v>
      </c>
      <c r="DD46" s="114">
        <v>68.394420976163318</v>
      </c>
      <c r="DE46" s="114">
        <v>-16.777739554263356</v>
      </c>
      <c r="DF46" s="114">
        <v>27.231361979049744</v>
      </c>
      <c r="DG46" s="114">
        <v>68.906991565544004</v>
      </c>
      <c r="DH46" s="114">
        <v>-16.937456108197452</v>
      </c>
      <c r="DI46" s="114">
        <v>30.080905326802036</v>
      </c>
      <c r="DJ46" s="114">
        <v>2.8996784782830636</v>
      </c>
      <c r="DK46" s="114">
        <f t="shared" si="0"/>
        <v>8.4081352774179834</v>
      </c>
      <c r="DL46" s="114">
        <f t="shared" si="1"/>
        <v>2.1229832687473253</v>
      </c>
      <c r="DM46" s="114">
        <f t="shared" si="2"/>
        <v>121.63798127610956</v>
      </c>
      <c r="DN46" s="115">
        <f t="shared" si="3"/>
        <v>6</v>
      </c>
      <c r="DO46">
        <v>6</v>
      </c>
    </row>
    <row r="47" spans="1:128">
      <c r="A47">
        <v>570</v>
      </c>
      <c r="B47" s="120">
        <f>'Color metric'!B41</f>
        <v>0.68163804491413471</v>
      </c>
      <c r="C47" s="112">
        <f>Reference!N47</f>
        <v>4.9646969506053011</v>
      </c>
      <c r="D47" s="112"/>
      <c r="E47" s="160" t="s">
        <v>53</v>
      </c>
      <c r="F47" s="168">
        <v>0.69</v>
      </c>
      <c r="G47" s="162"/>
      <c r="H47" s="162"/>
      <c r="I47" s="162"/>
      <c r="J47" s="162"/>
      <c r="K47" s="162"/>
      <c r="L47" s="170"/>
      <c r="M47" s="170"/>
      <c r="N47" s="170"/>
      <c r="O47" s="170"/>
      <c r="P47" s="170"/>
      <c r="Q47" s="171"/>
      <c r="R47" s="168"/>
      <c r="S47" s="168"/>
      <c r="T47" s="168"/>
      <c r="U47" s="168"/>
      <c r="V47" s="168"/>
      <c r="W47" s="168"/>
      <c r="X47" s="168"/>
      <c r="Y47" s="168"/>
      <c r="Z47" s="168"/>
      <c r="AA47" s="168"/>
      <c r="AB47" s="168"/>
      <c r="AC47" s="168"/>
      <c r="AD47" s="168"/>
      <c r="AE47" s="168"/>
      <c r="AF47" s="168"/>
      <c r="AG47" s="168"/>
      <c r="AH47" s="168"/>
      <c r="AI47" s="168"/>
      <c r="AJ47" s="168"/>
      <c r="AK47" s="168"/>
      <c r="AL47" s="168"/>
      <c r="AM47" s="168"/>
      <c r="AN47" s="168"/>
      <c r="AO47" s="168"/>
      <c r="AP47" s="168"/>
      <c r="AQ47" s="168"/>
      <c r="AR47" s="168"/>
      <c r="AS47" s="168"/>
      <c r="AT47" s="168"/>
      <c r="AU47" s="168"/>
      <c r="AV47" s="168"/>
      <c r="AW47" s="168"/>
      <c r="AX47" s="168"/>
      <c r="AY47" s="168"/>
      <c r="AZ47" s="168"/>
      <c r="BA47" s="168"/>
      <c r="BB47" s="168"/>
      <c r="BC47" s="168"/>
      <c r="BD47" s="168"/>
      <c r="BE47" s="168"/>
      <c r="BF47" s="168"/>
      <c r="BG47" s="168"/>
      <c r="BH47" s="168"/>
      <c r="BI47" s="168"/>
      <c r="BJ47" s="168"/>
      <c r="BK47" s="168"/>
      <c r="BL47" s="168"/>
      <c r="BM47" s="168"/>
      <c r="BN47" s="168"/>
      <c r="BO47" s="168"/>
      <c r="BP47" s="168"/>
      <c r="BQ47" s="168"/>
      <c r="BR47" s="168"/>
      <c r="BS47" s="168"/>
      <c r="BT47" s="168"/>
      <c r="BU47" s="168"/>
      <c r="BV47" s="168"/>
      <c r="BW47" s="168"/>
      <c r="BX47" s="168"/>
      <c r="BY47" s="168"/>
      <c r="BZ47" s="168"/>
      <c r="CA47" s="168"/>
      <c r="CB47" s="168"/>
      <c r="CC47" s="168"/>
      <c r="CD47" s="168"/>
      <c r="CE47" s="168"/>
      <c r="CF47" s="168"/>
      <c r="CG47" s="168"/>
      <c r="CH47" s="168"/>
      <c r="CI47" s="168"/>
      <c r="CJ47" s="168"/>
      <c r="CK47" s="168"/>
      <c r="CL47" s="168"/>
      <c r="CM47" s="168"/>
      <c r="CN47" s="168"/>
      <c r="CO47" s="168"/>
      <c r="CP47" s="168"/>
      <c r="CQ47" s="168"/>
      <c r="CR47" s="168"/>
      <c r="CS47" s="168"/>
      <c r="CT47" s="168"/>
      <c r="CU47" s="168"/>
      <c r="CV47" s="168"/>
      <c r="CW47" s="168"/>
      <c r="CX47" s="168"/>
      <c r="CY47" s="168"/>
      <c r="CZ47" s="168"/>
      <c r="DA47" s="168"/>
      <c r="DC47">
        <v>43</v>
      </c>
      <c r="DD47" s="114">
        <v>72.152741455765565</v>
      </c>
      <c r="DE47" s="114">
        <v>-17.376827630337697</v>
      </c>
      <c r="DF47" s="114">
        <v>27.590234916733191</v>
      </c>
      <c r="DG47" s="114">
        <v>72.36774784801581</v>
      </c>
      <c r="DH47" s="114">
        <v>-16.462555152140414</v>
      </c>
      <c r="DI47" s="114">
        <v>32.399272733935717</v>
      </c>
      <c r="DJ47" s="114">
        <v>4.8998945540063925</v>
      </c>
      <c r="DK47" s="114">
        <f t="shared" si="0"/>
        <v>24.008966640381505</v>
      </c>
      <c r="DL47" s="114">
        <f t="shared" si="1"/>
        <v>2.1328527988968937</v>
      </c>
      <c r="DM47" s="114">
        <f t="shared" si="2"/>
        <v>122.20346369945693</v>
      </c>
      <c r="DN47" s="115">
        <f t="shared" si="3"/>
        <v>6</v>
      </c>
      <c r="DO47">
        <v>3</v>
      </c>
    </row>
    <row r="48" spans="1:128">
      <c r="A48">
        <v>575</v>
      </c>
      <c r="B48" s="120">
        <f>'Color metric'!B42</f>
        <v>0.8018494055482166</v>
      </c>
      <c r="C48" s="112">
        <f>Reference!N48</f>
        <v>5.1213044928660567</v>
      </c>
      <c r="D48" s="112"/>
      <c r="E48" s="160" t="s">
        <v>280</v>
      </c>
      <c r="F48" s="168">
        <v>1</v>
      </c>
      <c r="G48" s="162"/>
      <c r="H48" s="162"/>
      <c r="I48" s="162"/>
      <c r="J48" s="162"/>
      <c r="K48" s="162"/>
      <c r="L48" s="170"/>
      <c r="M48" s="170"/>
      <c r="N48" s="170"/>
      <c r="O48" s="170"/>
      <c r="P48" s="170"/>
      <c r="Q48" s="171"/>
      <c r="R48" s="168"/>
      <c r="S48" s="168"/>
      <c r="T48" s="168"/>
      <c r="U48" s="168"/>
      <c r="V48" s="168"/>
      <c r="W48" s="168"/>
      <c r="X48" s="168"/>
      <c r="Y48" s="168"/>
      <c r="Z48" s="168"/>
      <c r="AA48" s="168"/>
      <c r="AB48" s="168"/>
      <c r="AC48" s="168"/>
      <c r="AD48" s="168"/>
      <c r="AE48" s="168"/>
      <c r="AF48" s="168"/>
      <c r="AG48" s="168"/>
      <c r="AH48" s="168"/>
      <c r="AI48" s="168"/>
      <c r="AJ48" s="168"/>
      <c r="AK48" s="168"/>
      <c r="AL48" s="168"/>
      <c r="AM48" s="168"/>
      <c r="AN48" s="168"/>
      <c r="AO48" s="168"/>
      <c r="AP48" s="168"/>
      <c r="AQ48" s="168"/>
      <c r="AR48" s="168"/>
      <c r="AS48" s="168"/>
      <c r="AT48" s="168"/>
      <c r="AU48" s="168"/>
      <c r="AV48" s="168"/>
      <c r="AW48" s="168"/>
      <c r="AX48" s="168"/>
      <c r="AY48" s="168"/>
      <c r="AZ48" s="168"/>
      <c r="BA48" s="168"/>
      <c r="BB48" s="168"/>
      <c r="BC48" s="168"/>
      <c r="BD48" s="168"/>
      <c r="BE48" s="168"/>
      <c r="BF48" s="168"/>
      <c r="BG48" s="168"/>
      <c r="BH48" s="168"/>
      <c r="BI48" s="168"/>
      <c r="BJ48" s="168"/>
      <c r="BK48" s="168"/>
      <c r="BL48" s="168"/>
      <c r="BM48" s="168"/>
      <c r="BN48" s="168"/>
      <c r="BO48" s="168"/>
      <c r="BP48" s="168"/>
      <c r="BQ48" s="168"/>
      <c r="BR48" s="168"/>
      <c r="BS48" s="168"/>
      <c r="BT48" s="168"/>
      <c r="BU48" s="168"/>
      <c r="BV48" s="168"/>
      <c r="BW48" s="168"/>
      <c r="BX48" s="168"/>
      <c r="BY48" s="168"/>
      <c r="BZ48" s="168"/>
      <c r="CA48" s="168"/>
      <c r="CB48" s="168"/>
      <c r="CC48" s="168"/>
      <c r="CD48" s="168"/>
      <c r="CE48" s="168"/>
      <c r="CF48" s="168"/>
      <c r="CG48" s="168"/>
      <c r="CH48" s="168"/>
      <c r="CI48" s="168"/>
      <c r="CJ48" s="168"/>
      <c r="CK48" s="168"/>
      <c r="CL48" s="168"/>
      <c r="CM48" s="168"/>
      <c r="CN48" s="168"/>
      <c r="CO48" s="168"/>
      <c r="CP48" s="168"/>
      <c r="CQ48" s="168"/>
      <c r="CR48" s="168"/>
      <c r="CS48" s="168"/>
      <c r="CT48" s="168"/>
      <c r="CU48" s="168"/>
      <c r="CV48" s="168"/>
      <c r="CW48" s="168"/>
      <c r="CX48" s="168"/>
      <c r="CY48" s="168"/>
      <c r="CZ48" s="168"/>
      <c r="DA48" s="168"/>
      <c r="DC48">
        <v>44</v>
      </c>
      <c r="DD48" s="114">
        <v>28.836186332704703</v>
      </c>
      <c r="DE48" s="114">
        <v>-0.72531680810234922</v>
      </c>
      <c r="DF48" s="114">
        <v>1.2584413242963413</v>
      </c>
      <c r="DG48" s="114">
        <v>28.749365532136554</v>
      </c>
      <c r="DH48" s="114">
        <v>-0.77543549442285054</v>
      </c>
      <c r="DI48" s="114">
        <v>1.4271029852953625</v>
      </c>
      <c r="DJ48" s="114">
        <v>0.19620522424424819</v>
      </c>
      <c r="DK48" s="114">
        <f t="shared" si="0"/>
        <v>3.849649002073572E-2</v>
      </c>
      <c r="DL48" s="114">
        <f t="shared" si="1"/>
        <v>2.0936530163854723</v>
      </c>
      <c r="DM48" s="114">
        <f t="shared" si="2"/>
        <v>119.95748160372175</v>
      </c>
      <c r="DN48" s="115">
        <f t="shared" si="3"/>
        <v>6</v>
      </c>
      <c r="DO48">
        <v>6</v>
      </c>
    </row>
    <row r="49" spans="1:119">
      <c r="A49">
        <v>580</v>
      </c>
      <c r="B49" s="120">
        <f>'Color metric'!B43</f>
        <v>0.86723910171730512</v>
      </c>
      <c r="C49" s="112">
        <f>Reference!N49</f>
        <v>5.2780511480479149</v>
      </c>
      <c r="D49" s="112"/>
      <c r="E49" s="172" t="s">
        <v>281</v>
      </c>
      <c r="F49" s="168">
        <f>IF(F45=1,1,IF(F45&lt;1,F45,F46*(1-(1/3.6)*EXP((-F43-42)/92))))</f>
        <v>1</v>
      </c>
      <c r="G49" s="162"/>
      <c r="H49" s="162"/>
      <c r="I49" s="162"/>
      <c r="J49" s="162"/>
      <c r="K49" s="162"/>
      <c r="L49" s="170"/>
      <c r="M49" s="170"/>
      <c r="N49" s="170"/>
      <c r="O49" s="170"/>
      <c r="P49" s="170"/>
      <c r="Q49" s="171"/>
      <c r="R49" s="168"/>
      <c r="S49" s="168"/>
      <c r="T49" s="168"/>
      <c r="U49" s="168"/>
      <c r="V49" s="168"/>
      <c r="W49" s="168"/>
      <c r="X49" s="168"/>
      <c r="Y49" s="168"/>
      <c r="Z49" s="168"/>
      <c r="AA49" s="168"/>
      <c r="AB49" s="168"/>
      <c r="AC49" s="168"/>
      <c r="AD49" s="168"/>
      <c r="AE49" s="168"/>
      <c r="AF49" s="168"/>
      <c r="AG49" s="168"/>
      <c r="AH49" s="168"/>
      <c r="AI49" s="168"/>
      <c r="AJ49" s="168"/>
      <c r="AK49" s="168"/>
      <c r="AL49" s="168"/>
      <c r="AM49" s="168"/>
      <c r="AN49" s="168"/>
      <c r="AO49" s="168"/>
      <c r="AP49" s="168"/>
      <c r="AQ49" s="168"/>
      <c r="AR49" s="168"/>
      <c r="AS49" s="168"/>
      <c r="AT49" s="168"/>
      <c r="AU49" s="168"/>
      <c r="AV49" s="168"/>
      <c r="AW49" s="168"/>
      <c r="AX49" s="168"/>
      <c r="AY49" s="168"/>
      <c r="AZ49" s="168"/>
      <c r="BA49" s="168"/>
      <c r="BB49" s="168"/>
      <c r="BC49" s="168"/>
      <c r="BD49" s="168"/>
      <c r="BE49" s="168"/>
      <c r="BF49" s="168"/>
      <c r="BG49" s="168"/>
      <c r="BH49" s="168"/>
      <c r="BI49" s="168"/>
      <c r="BJ49" s="168"/>
      <c r="BK49" s="168"/>
      <c r="BL49" s="168"/>
      <c r="BM49" s="168"/>
      <c r="BN49" s="168"/>
      <c r="BO49" s="168"/>
      <c r="BP49" s="168"/>
      <c r="BQ49" s="168"/>
      <c r="BR49" s="168"/>
      <c r="BS49" s="168"/>
      <c r="BT49" s="168"/>
      <c r="BU49" s="168"/>
      <c r="BV49" s="168"/>
      <c r="BW49" s="168"/>
      <c r="BX49" s="168"/>
      <c r="BY49" s="168"/>
      <c r="BZ49" s="168"/>
      <c r="CA49" s="168"/>
      <c r="CB49" s="168"/>
      <c r="CC49" s="168"/>
      <c r="CD49" s="168"/>
      <c r="CE49" s="168"/>
      <c r="CF49" s="168"/>
      <c r="CG49" s="168"/>
      <c r="CH49" s="168"/>
      <c r="CI49" s="168"/>
      <c r="CJ49" s="168"/>
      <c r="CK49" s="168"/>
      <c r="CL49" s="168"/>
      <c r="CM49" s="168"/>
      <c r="CN49" s="168"/>
      <c r="CO49" s="168"/>
      <c r="CP49" s="168"/>
      <c r="CQ49" s="168"/>
      <c r="CR49" s="168"/>
      <c r="CS49" s="168"/>
      <c r="CT49" s="168"/>
      <c r="CU49" s="168"/>
      <c r="CV49" s="168"/>
      <c r="CW49" s="168"/>
      <c r="CX49" s="168"/>
      <c r="CY49" s="168"/>
      <c r="CZ49" s="168"/>
      <c r="DA49" s="168"/>
      <c r="DC49">
        <v>45</v>
      </c>
      <c r="DD49" s="114">
        <v>58.211070425133684</v>
      </c>
      <c r="DE49" s="114">
        <v>-18.260729745675494</v>
      </c>
      <c r="DF49" s="114">
        <v>19.285074616565954</v>
      </c>
      <c r="DG49" s="114">
        <v>58.281211257154972</v>
      </c>
      <c r="DH49" s="114">
        <v>-15.974884555983119</v>
      </c>
      <c r="DI49" s="114">
        <v>22.844209328990328</v>
      </c>
      <c r="DJ49" s="114">
        <v>4.230537538982551</v>
      </c>
      <c r="DK49" s="114">
        <f t="shared" si="0"/>
        <v>17.897447868740539</v>
      </c>
      <c r="DL49" s="114">
        <f t="shared" si="1"/>
        <v>2.3289187173288406</v>
      </c>
      <c r="DM49" s="114">
        <f t="shared" si="2"/>
        <v>133.43721333196373</v>
      </c>
      <c r="DN49" s="115">
        <f t="shared" si="3"/>
        <v>6</v>
      </c>
      <c r="DO49">
        <v>7</v>
      </c>
    </row>
    <row r="50" spans="1:119">
      <c r="A50">
        <v>585</v>
      </c>
      <c r="B50" s="120">
        <f>'Color metric'!B44</f>
        <v>0.76882430647291944</v>
      </c>
      <c r="C50" s="112">
        <f>Reference!N50</f>
        <v>5.4347963114057638</v>
      </c>
      <c r="D50" s="112"/>
      <c r="E50" s="160" t="s">
        <v>80</v>
      </c>
      <c r="F50" s="160"/>
      <c r="G50" s="162"/>
      <c r="H50" s="162"/>
      <c r="I50" s="162"/>
      <c r="J50" s="162"/>
      <c r="K50" s="162"/>
      <c r="L50" s="170"/>
      <c r="M50" s="170"/>
      <c r="N50" s="170"/>
      <c r="O50" s="170"/>
      <c r="P50" s="170"/>
      <c r="Q50" s="171"/>
      <c r="R50" s="168"/>
      <c r="S50" s="168"/>
      <c r="T50" s="168"/>
      <c r="U50" s="168"/>
      <c r="V50" s="168"/>
      <c r="W50" s="168"/>
      <c r="X50" s="168"/>
      <c r="Y50" s="168"/>
      <c r="Z50" s="168"/>
      <c r="AA50" s="168"/>
      <c r="AB50" s="168"/>
      <c r="AC50" s="168"/>
      <c r="AD50" s="168"/>
      <c r="AE50" s="168"/>
      <c r="AF50" s="168"/>
      <c r="AG50" s="168"/>
      <c r="AH50" s="168"/>
      <c r="AI50" s="168"/>
      <c r="AJ50" s="168"/>
      <c r="AK50" s="168"/>
      <c r="AL50" s="168"/>
      <c r="AM50" s="168"/>
      <c r="AN50" s="168"/>
      <c r="AO50" s="168"/>
      <c r="AP50" s="168"/>
      <c r="AQ50" s="168"/>
      <c r="AR50" s="168"/>
      <c r="AS50" s="168"/>
      <c r="AT50" s="168"/>
      <c r="AU50" s="168"/>
      <c r="AV50" s="168"/>
      <c r="AW50" s="168"/>
      <c r="AX50" s="168"/>
      <c r="AY50" s="168"/>
      <c r="AZ50" s="168"/>
      <c r="BA50" s="168"/>
      <c r="BB50" s="168"/>
      <c r="BC50" s="168"/>
      <c r="BD50" s="168"/>
      <c r="BE50" s="168"/>
      <c r="BF50" s="168"/>
      <c r="BG50" s="168"/>
      <c r="BH50" s="168"/>
      <c r="BI50" s="168"/>
      <c r="BJ50" s="168"/>
      <c r="BK50" s="168"/>
      <c r="BL50" s="168"/>
      <c r="BM50" s="168"/>
      <c r="BN50" s="168"/>
      <c r="BO50" s="168"/>
      <c r="BP50" s="168"/>
      <c r="BQ50" s="168"/>
      <c r="BR50" s="168"/>
      <c r="BS50" s="168"/>
      <c r="BT50" s="168"/>
      <c r="BU50" s="168"/>
      <c r="BV50" s="168"/>
      <c r="BW50" s="168"/>
      <c r="BX50" s="168"/>
      <c r="BY50" s="168"/>
      <c r="BZ50" s="168"/>
      <c r="CA50" s="168"/>
      <c r="CB50" s="168"/>
      <c r="CC50" s="168"/>
      <c r="CD50" s="168"/>
      <c r="CE50" s="168"/>
      <c r="CF50" s="168"/>
      <c r="CG50" s="168"/>
      <c r="CH50" s="168"/>
      <c r="CI50" s="168"/>
      <c r="CJ50" s="168"/>
      <c r="CK50" s="168"/>
      <c r="CL50" s="168"/>
      <c r="CM50" s="168"/>
      <c r="CN50" s="168"/>
      <c r="CO50" s="168"/>
      <c r="CP50" s="168"/>
      <c r="CQ50" s="168"/>
      <c r="CR50" s="168"/>
      <c r="CS50" s="168"/>
      <c r="CT50" s="168"/>
      <c r="CU50" s="168"/>
      <c r="CV50" s="168"/>
      <c r="CW50" s="168"/>
      <c r="CX50" s="168"/>
      <c r="CY50" s="168"/>
      <c r="CZ50" s="168"/>
      <c r="DA50" s="168"/>
      <c r="DC50">
        <v>46</v>
      </c>
      <c r="DD50" s="114">
        <v>66.506065478894811</v>
      </c>
      <c r="DE50" s="114">
        <v>-14.449542239469942</v>
      </c>
      <c r="DF50" s="114">
        <v>15.200391742737013</v>
      </c>
      <c r="DG50" s="114">
        <v>66.810369150483922</v>
      </c>
      <c r="DH50" s="114">
        <v>-12.009592065840884</v>
      </c>
      <c r="DI50" s="114">
        <v>19.353801494065657</v>
      </c>
      <c r="DJ50" s="114">
        <v>4.8266727811989645</v>
      </c>
      <c r="DK50" s="114">
        <f t="shared" si="0"/>
        <v>23.296770136766948</v>
      </c>
      <c r="DL50" s="114">
        <f t="shared" si="1"/>
        <v>2.3308760844270364</v>
      </c>
      <c r="DM50" s="114">
        <f t="shared" si="2"/>
        <v>133.54936220564815</v>
      </c>
      <c r="DN50" s="115">
        <f t="shared" si="3"/>
        <v>6</v>
      </c>
      <c r="DO50">
        <v>5</v>
      </c>
    </row>
    <row r="51" spans="1:119">
      <c r="A51">
        <v>590</v>
      </c>
      <c r="B51" s="120">
        <f>'Color metric'!B45</f>
        <v>0.75759577278731838</v>
      </c>
      <c r="C51" s="112">
        <f>Reference!N51</f>
        <v>5.5914024823632982</v>
      </c>
      <c r="D51" s="112"/>
      <c r="E51" s="172" t="s">
        <v>107</v>
      </c>
      <c r="F51" s="168">
        <f>F5</f>
        <v>110.10945708331916</v>
      </c>
      <c r="G51" s="168">
        <f t="shared" ref="G51:BR53" si="48">G5</f>
        <v>79.383799593574025</v>
      </c>
      <c r="H51" s="168">
        <f t="shared" si="48"/>
        <v>43.290464112055545</v>
      </c>
      <c r="I51" s="168">
        <f t="shared" si="48"/>
        <v>8.3283778080517266</v>
      </c>
      <c r="J51" s="168">
        <f t="shared" si="48"/>
        <v>48.729924149537446</v>
      </c>
      <c r="K51" s="168">
        <f t="shared" si="48"/>
        <v>29.174383882421182</v>
      </c>
      <c r="L51" s="168">
        <f t="shared" si="48"/>
        <v>23.473713260918423</v>
      </c>
      <c r="M51" s="168">
        <f t="shared" si="48"/>
        <v>20.626670983855959</v>
      </c>
      <c r="N51" s="168">
        <f t="shared" si="48"/>
        <v>19.144226279354726</v>
      </c>
      <c r="O51" s="168">
        <f t="shared" si="48"/>
        <v>5.7593415630666112</v>
      </c>
      <c r="P51" s="168">
        <f t="shared" si="48"/>
        <v>68.472982374634924</v>
      </c>
      <c r="Q51" s="168">
        <f t="shared" si="48"/>
        <v>37.390047372983446</v>
      </c>
      <c r="R51" s="168">
        <f t="shared" si="48"/>
        <v>48.320746010932488</v>
      </c>
      <c r="S51" s="168">
        <f t="shared" si="48"/>
        <v>17.582800077024963</v>
      </c>
      <c r="T51" s="168">
        <f t="shared" si="48"/>
        <v>49.691395135362939</v>
      </c>
      <c r="U51" s="168">
        <f t="shared" si="48"/>
        <v>49.123667699785386</v>
      </c>
      <c r="V51" s="168">
        <f t="shared" si="48"/>
        <v>21.42216865764221</v>
      </c>
      <c r="W51" s="168">
        <f t="shared" si="48"/>
        <v>22.347589883681639</v>
      </c>
      <c r="X51" s="168">
        <f t="shared" si="48"/>
        <v>28.018784467785512</v>
      </c>
      <c r="Y51" s="168">
        <f t="shared" si="48"/>
        <v>51.58174799112205</v>
      </c>
      <c r="Z51" s="168">
        <f t="shared" si="48"/>
        <v>48.768492931763603</v>
      </c>
      <c r="AA51" s="168">
        <f t="shared" si="48"/>
        <v>85.081215799984989</v>
      </c>
      <c r="AB51" s="168">
        <f t="shared" si="48"/>
        <v>68.084290151742096</v>
      </c>
      <c r="AC51" s="168">
        <f t="shared" si="48"/>
        <v>87.869093657172556</v>
      </c>
      <c r="AD51" s="168">
        <f t="shared" si="48"/>
        <v>89.501047731648484</v>
      </c>
      <c r="AE51" s="168">
        <f t="shared" si="48"/>
        <v>50.693360957895628</v>
      </c>
      <c r="AF51" s="168">
        <f t="shared" si="48"/>
        <v>88.874530777337796</v>
      </c>
      <c r="AG51" s="168">
        <f t="shared" si="48"/>
        <v>47.372173754898817</v>
      </c>
      <c r="AH51" s="168">
        <f t="shared" si="48"/>
        <v>12.657996057797778</v>
      </c>
      <c r="AI51" s="168">
        <f t="shared" si="48"/>
        <v>77.807326392294115</v>
      </c>
      <c r="AJ51" s="168">
        <f t="shared" si="48"/>
        <v>34.656022153397871</v>
      </c>
      <c r="AK51" s="168">
        <f t="shared" si="48"/>
        <v>81.017840977730913</v>
      </c>
      <c r="AL51" s="168">
        <f t="shared" si="48"/>
        <v>52.452366451282522</v>
      </c>
      <c r="AM51" s="168">
        <f t="shared" si="48"/>
        <v>81.943399509315327</v>
      </c>
      <c r="AN51" s="168">
        <f t="shared" si="48"/>
        <v>31.167401921100321</v>
      </c>
      <c r="AO51" s="168">
        <f t="shared" si="48"/>
        <v>12.488477944413326</v>
      </c>
      <c r="AP51" s="168">
        <f t="shared" si="48"/>
        <v>59.404292915780914</v>
      </c>
      <c r="AQ51" s="168">
        <f t="shared" si="48"/>
        <v>16.140751765840729</v>
      </c>
      <c r="AR51" s="168">
        <f t="shared" si="48"/>
        <v>71.462718474644547</v>
      </c>
      <c r="AS51" s="168">
        <f t="shared" si="48"/>
        <v>8.3307946278120379</v>
      </c>
      <c r="AT51" s="168">
        <f t="shared" si="48"/>
        <v>17.897452526300995</v>
      </c>
      <c r="AU51" s="168">
        <f t="shared" si="48"/>
        <v>74.992259567859676</v>
      </c>
      <c r="AV51" s="168">
        <f t="shared" si="48"/>
        <v>34.168454688539093</v>
      </c>
      <c r="AW51" s="168">
        <f t="shared" si="48"/>
        <v>39.106916787337525</v>
      </c>
      <c r="AX51" s="168">
        <f t="shared" si="48"/>
        <v>5.4219369368874064</v>
      </c>
      <c r="AY51" s="168">
        <f t="shared" si="48"/>
        <v>21.845617394309247</v>
      </c>
      <c r="AZ51" s="168">
        <f t="shared" si="48"/>
        <v>31.900874316628041</v>
      </c>
      <c r="BA51" s="168">
        <f t="shared" si="48"/>
        <v>38.496394890784345</v>
      </c>
      <c r="BB51" s="168">
        <f t="shared" si="48"/>
        <v>45.162302043637823</v>
      </c>
      <c r="BC51" s="168">
        <f t="shared" si="48"/>
        <v>12.504418210491973</v>
      </c>
      <c r="BD51" s="168">
        <f t="shared" si="48"/>
        <v>18.592335055444817</v>
      </c>
      <c r="BE51" s="168">
        <f t="shared" si="48"/>
        <v>22.757476046222166</v>
      </c>
      <c r="BF51" s="168">
        <f t="shared" si="48"/>
        <v>8.8916137958447905</v>
      </c>
      <c r="BG51" s="168">
        <f t="shared" si="48"/>
        <v>11.151914334245769</v>
      </c>
      <c r="BH51" s="168">
        <f t="shared" si="48"/>
        <v>65.83589432919409</v>
      </c>
      <c r="BI51" s="168">
        <f t="shared" si="48"/>
        <v>57.563666083253864</v>
      </c>
      <c r="BJ51" s="168">
        <f t="shared" si="48"/>
        <v>30.168946686559753</v>
      </c>
      <c r="BK51" s="168">
        <f t="shared" si="48"/>
        <v>15.917397159471056</v>
      </c>
      <c r="BL51" s="168">
        <f t="shared" si="48"/>
        <v>13.276744100679004</v>
      </c>
      <c r="BM51" s="168">
        <f t="shared" si="48"/>
        <v>65.533726679431467</v>
      </c>
      <c r="BN51" s="168">
        <f t="shared" si="48"/>
        <v>73.654615986640493</v>
      </c>
      <c r="BO51" s="168">
        <f t="shared" si="48"/>
        <v>46.827446102011073</v>
      </c>
      <c r="BP51" s="168">
        <f t="shared" si="48"/>
        <v>35.1612580302262</v>
      </c>
      <c r="BQ51" s="168">
        <f t="shared" si="48"/>
        <v>7.9204226313184902</v>
      </c>
      <c r="BR51" s="168">
        <f t="shared" si="48"/>
        <v>17.27310486259249</v>
      </c>
      <c r="BS51" s="168">
        <f t="shared" ref="BS51:DA53" si="49">BS5</f>
        <v>8.5552407778033448</v>
      </c>
      <c r="BT51" s="168">
        <f t="shared" si="49"/>
        <v>9.0638863638576144</v>
      </c>
      <c r="BU51" s="168">
        <f t="shared" si="49"/>
        <v>10.680828236422657</v>
      </c>
      <c r="BV51" s="168">
        <f t="shared" si="49"/>
        <v>27.247553790062639</v>
      </c>
      <c r="BW51" s="168">
        <f t="shared" si="49"/>
        <v>19.697111016801259</v>
      </c>
      <c r="BX51" s="168">
        <f t="shared" si="49"/>
        <v>37.183209959401843</v>
      </c>
      <c r="BY51" s="168">
        <f t="shared" si="49"/>
        <v>6.5384303532613464</v>
      </c>
      <c r="BZ51" s="168">
        <f t="shared" si="49"/>
        <v>49.60873869672745</v>
      </c>
      <c r="CA51" s="168">
        <f t="shared" si="49"/>
        <v>18.92553714127051</v>
      </c>
      <c r="CB51" s="168">
        <f t="shared" si="49"/>
        <v>5.2516606671481227</v>
      </c>
      <c r="CC51" s="168">
        <f t="shared" si="49"/>
        <v>6.0600273492821533</v>
      </c>
      <c r="CD51" s="168">
        <f t="shared" si="49"/>
        <v>13.534711234759685</v>
      </c>
      <c r="CE51" s="168">
        <f t="shared" si="49"/>
        <v>12.631089729997727</v>
      </c>
      <c r="CF51" s="168">
        <f t="shared" si="49"/>
        <v>11.534700059987061</v>
      </c>
      <c r="CG51" s="168">
        <f t="shared" si="49"/>
        <v>45.197107536539427</v>
      </c>
      <c r="CH51" s="168">
        <f t="shared" si="49"/>
        <v>34.942017245739642</v>
      </c>
      <c r="CI51" s="168">
        <f t="shared" si="49"/>
        <v>14.668087884672486</v>
      </c>
      <c r="CJ51" s="168">
        <f t="shared" si="49"/>
        <v>73.827465212933106</v>
      </c>
      <c r="CK51" s="168">
        <f t="shared" si="49"/>
        <v>46.009437917955545</v>
      </c>
      <c r="CL51" s="168">
        <f t="shared" si="49"/>
        <v>5.4972453350246848</v>
      </c>
      <c r="CM51" s="168">
        <f t="shared" si="49"/>
        <v>12.641212081124385</v>
      </c>
      <c r="CN51" s="168">
        <f t="shared" si="49"/>
        <v>37.912648332336005</v>
      </c>
      <c r="CO51" s="168">
        <f t="shared" si="49"/>
        <v>12.886025084900773</v>
      </c>
      <c r="CP51" s="168">
        <f t="shared" si="49"/>
        <v>35.885273018184364</v>
      </c>
      <c r="CQ51" s="168">
        <f t="shared" si="49"/>
        <v>12.545359567715462</v>
      </c>
      <c r="CR51" s="168">
        <f t="shared" si="49"/>
        <v>17.133167276553273</v>
      </c>
      <c r="CS51" s="168">
        <f t="shared" si="49"/>
        <v>60.249282256313954</v>
      </c>
      <c r="CT51" s="168">
        <f t="shared" si="49"/>
        <v>28.326516932885831</v>
      </c>
      <c r="CU51" s="168">
        <f t="shared" si="49"/>
        <v>41.623471044424072</v>
      </c>
      <c r="CV51" s="168">
        <f t="shared" si="49"/>
        <v>14.892279277427546</v>
      </c>
      <c r="CW51" s="168">
        <f t="shared" si="49"/>
        <v>48.548888491160533</v>
      </c>
      <c r="CX51" s="168">
        <f t="shared" si="49"/>
        <v>62.981561257618033</v>
      </c>
      <c r="CY51" s="168">
        <f t="shared" si="49"/>
        <v>25.955583206766509</v>
      </c>
      <c r="CZ51" s="168">
        <f t="shared" si="49"/>
        <v>46.060315821888423</v>
      </c>
      <c r="DA51" s="168">
        <f t="shared" si="49"/>
        <v>31.127501259930877</v>
      </c>
      <c r="DC51">
        <v>47</v>
      </c>
      <c r="DD51" s="114">
        <v>70.192033605685012</v>
      </c>
      <c r="DE51" s="114">
        <v>-8.8489905725371134</v>
      </c>
      <c r="DF51" s="114">
        <v>10.645126985506931</v>
      </c>
      <c r="DG51" s="114">
        <v>68.840100568288833</v>
      </c>
      <c r="DH51" s="114">
        <v>-8.5511304957755208</v>
      </c>
      <c r="DI51" s="114">
        <v>15.034662108666264</v>
      </c>
      <c r="DJ51" s="114">
        <v>4.6026581624514664</v>
      </c>
      <c r="DK51" s="114">
        <f t="shared" si="0"/>
        <v>21.184462160381109</v>
      </c>
      <c r="DL51" s="114">
        <f t="shared" si="1"/>
        <v>2.2643165429948988</v>
      </c>
      <c r="DM51" s="114">
        <f t="shared" si="2"/>
        <v>129.73578139526052</v>
      </c>
      <c r="DN51" s="115">
        <f t="shared" si="3"/>
        <v>6</v>
      </c>
      <c r="DO51">
        <v>3</v>
      </c>
    </row>
    <row r="52" spans="1:119">
      <c r="A52">
        <v>595</v>
      </c>
      <c r="B52" s="120">
        <f>'Color metric'!B46</f>
        <v>0.73117569352708056</v>
      </c>
      <c r="C52" s="112">
        <f>Reference!N52</f>
        <v>5.7477354632750233</v>
      </c>
      <c r="D52" s="112"/>
      <c r="E52" s="172" t="s">
        <v>108</v>
      </c>
      <c r="F52" s="168">
        <f t="shared" ref="F52:W53" si="50">F6</f>
        <v>100</v>
      </c>
      <c r="G52" s="168">
        <f t="shared" si="50"/>
        <v>63.357105355319376</v>
      </c>
      <c r="H52" s="168">
        <f t="shared" si="50"/>
        <v>27.654216001640705</v>
      </c>
      <c r="I52" s="168">
        <f t="shared" si="50"/>
        <v>6.0469085082296434</v>
      </c>
      <c r="J52" s="168">
        <f t="shared" si="50"/>
        <v>36.20724210569243</v>
      </c>
      <c r="K52" s="168">
        <f t="shared" si="50"/>
        <v>16.958297113178606</v>
      </c>
      <c r="L52" s="168">
        <f t="shared" si="50"/>
        <v>17.187273257466941</v>
      </c>
      <c r="M52" s="168">
        <f t="shared" si="50"/>
        <v>11.858120769090705</v>
      </c>
      <c r="N52" s="168">
        <f t="shared" si="50"/>
        <v>11.335728508204026</v>
      </c>
      <c r="O52" s="168">
        <f t="shared" si="50"/>
        <v>5.00990408113437</v>
      </c>
      <c r="P52" s="168">
        <f t="shared" si="50"/>
        <v>44.869124194699225</v>
      </c>
      <c r="Q52" s="168">
        <f t="shared" si="50"/>
        <v>23.545397145286216</v>
      </c>
      <c r="R52" s="168">
        <f t="shared" si="50"/>
        <v>30.147548562599418</v>
      </c>
      <c r="S52" s="168">
        <f t="shared" si="50"/>
        <v>12.128801224556732</v>
      </c>
      <c r="T52" s="168">
        <f t="shared" si="50"/>
        <v>42.629828843200869</v>
      </c>
      <c r="U52" s="168">
        <f t="shared" si="50"/>
        <v>39.095491900047648</v>
      </c>
      <c r="V52" s="168">
        <f t="shared" si="50"/>
        <v>15.118254863947904</v>
      </c>
      <c r="W52" s="168">
        <f t="shared" si="50"/>
        <v>16.416197706122713</v>
      </c>
      <c r="X52" s="168">
        <f t="shared" si="48"/>
        <v>21.885020609698273</v>
      </c>
      <c r="Y52" s="168">
        <f t="shared" si="48"/>
        <v>39.30438593585216</v>
      </c>
      <c r="Z52" s="168">
        <f t="shared" si="48"/>
        <v>33.680552922811358</v>
      </c>
      <c r="AA52" s="168">
        <f t="shared" si="48"/>
        <v>65.198461152748422</v>
      </c>
      <c r="AB52" s="168">
        <f t="shared" si="48"/>
        <v>50.66094396300425</v>
      </c>
      <c r="AC52" s="168">
        <f t="shared" si="48"/>
        <v>76.975835018173754</v>
      </c>
      <c r="AD52" s="168">
        <f t="shared" si="48"/>
        <v>74.937644701714291</v>
      </c>
      <c r="AE52" s="168">
        <f t="shared" si="48"/>
        <v>39.704134862355374</v>
      </c>
      <c r="AF52" s="168">
        <f t="shared" si="48"/>
        <v>73.197535369133234</v>
      </c>
      <c r="AG52" s="168">
        <f t="shared" si="48"/>
        <v>41.945599458786219</v>
      </c>
      <c r="AH52" s="168">
        <f t="shared" si="48"/>
        <v>11.203488090139686</v>
      </c>
      <c r="AI52" s="168">
        <f t="shared" si="48"/>
        <v>66.876054339144048</v>
      </c>
      <c r="AJ52" s="168">
        <f t="shared" si="48"/>
        <v>30.288000757123278</v>
      </c>
      <c r="AK52" s="168">
        <f t="shared" si="48"/>
        <v>70.75391203516476</v>
      </c>
      <c r="AL52" s="168">
        <f t="shared" si="48"/>
        <v>45.565464820865166</v>
      </c>
      <c r="AM52" s="168">
        <f t="shared" si="48"/>
        <v>73.142581064972731</v>
      </c>
      <c r="AN52" s="168">
        <f t="shared" si="48"/>
        <v>28.013967238740211</v>
      </c>
      <c r="AO52" s="168">
        <f t="shared" si="48"/>
        <v>11.511659291274601</v>
      </c>
      <c r="AP52" s="168">
        <f t="shared" si="48"/>
        <v>53.75646704464836</v>
      </c>
      <c r="AQ52" s="168">
        <f t="shared" si="48"/>
        <v>15.24026463070261</v>
      </c>
      <c r="AR52" s="168">
        <f t="shared" si="48"/>
        <v>65.551800724092544</v>
      </c>
      <c r="AS52" s="168">
        <f t="shared" si="48"/>
        <v>7.6997356277765023</v>
      </c>
      <c r="AT52" s="168">
        <f t="shared" si="48"/>
        <v>16.780052627176673</v>
      </c>
      <c r="AU52" s="168">
        <f t="shared" si="48"/>
        <v>69.286281813339954</v>
      </c>
      <c r="AV52" s="168">
        <f t="shared" si="48"/>
        <v>36.226049117128923</v>
      </c>
      <c r="AW52" s="168">
        <f t="shared" si="48"/>
        <v>41.566022135595503</v>
      </c>
      <c r="AX52" s="168">
        <f t="shared" si="48"/>
        <v>4.9611791052537573</v>
      </c>
      <c r="AY52" s="168">
        <f t="shared" si="48"/>
        <v>24.236180523382806</v>
      </c>
      <c r="AZ52" s="168">
        <f t="shared" si="48"/>
        <v>33.130950446048182</v>
      </c>
      <c r="BA52" s="168">
        <f t="shared" si="48"/>
        <v>37.506124956815313</v>
      </c>
      <c r="BB52" s="168">
        <f t="shared" si="48"/>
        <v>49.087948676335294</v>
      </c>
      <c r="BC52" s="168">
        <f t="shared" si="48"/>
        <v>14.119626886377878</v>
      </c>
      <c r="BD52" s="168">
        <f t="shared" si="48"/>
        <v>20.481395871469275</v>
      </c>
      <c r="BE52" s="168">
        <f t="shared" si="48"/>
        <v>24.024895767174744</v>
      </c>
      <c r="BF52" s="168">
        <f t="shared" si="48"/>
        <v>10.918180188801617</v>
      </c>
      <c r="BG52" s="168">
        <f t="shared" si="48"/>
        <v>16.537856794116589</v>
      </c>
      <c r="BH52" s="168">
        <f t="shared" si="48"/>
        <v>66.488368994310093</v>
      </c>
      <c r="BI52" s="168">
        <f t="shared" si="48"/>
        <v>59.34766843367931</v>
      </c>
      <c r="BJ52" s="168">
        <f t="shared" si="48"/>
        <v>38.678714265678764</v>
      </c>
      <c r="BK52" s="168">
        <f t="shared" si="48"/>
        <v>23.070074872562671</v>
      </c>
      <c r="BL52" s="168">
        <f t="shared" si="48"/>
        <v>19.664999083587045</v>
      </c>
      <c r="BM52" s="168">
        <f t="shared" si="48"/>
        <v>65.97448512024603</v>
      </c>
      <c r="BN52" s="168">
        <f t="shared" si="48"/>
        <v>69.075051903141201</v>
      </c>
      <c r="BO52" s="168">
        <f t="shared" si="48"/>
        <v>47.005381370258782</v>
      </c>
      <c r="BP52" s="168">
        <f t="shared" si="48"/>
        <v>33.090428929136728</v>
      </c>
      <c r="BQ52" s="168">
        <f t="shared" si="48"/>
        <v>7.3050706267972396</v>
      </c>
      <c r="BR52" s="168">
        <f t="shared" si="48"/>
        <v>23.490867868883903</v>
      </c>
      <c r="BS52" s="168">
        <f t="shared" si="49"/>
        <v>9.9356248853731106</v>
      </c>
      <c r="BT52" s="168">
        <f t="shared" si="49"/>
        <v>12.454190245947091</v>
      </c>
      <c r="BU52" s="168">
        <f t="shared" si="49"/>
        <v>14.534012105870728</v>
      </c>
      <c r="BV52" s="168">
        <f t="shared" si="49"/>
        <v>29.022789546546758</v>
      </c>
      <c r="BW52" s="168">
        <f t="shared" si="49"/>
        <v>18.921439651308493</v>
      </c>
      <c r="BX52" s="168">
        <f t="shared" si="49"/>
        <v>39.573582198363489</v>
      </c>
      <c r="BY52" s="168">
        <f t="shared" si="49"/>
        <v>7.3211754258252926</v>
      </c>
      <c r="BZ52" s="168">
        <f t="shared" si="49"/>
        <v>46.62522025371463</v>
      </c>
      <c r="CA52" s="168">
        <f t="shared" si="49"/>
        <v>22.119027619896148</v>
      </c>
      <c r="CB52" s="168">
        <f t="shared" si="49"/>
        <v>4.8113280588419851</v>
      </c>
      <c r="CC52" s="168">
        <f t="shared" si="49"/>
        <v>6.4448469123587548</v>
      </c>
      <c r="CD52" s="168">
        <f t="shared" si="49"/>
        <v>14.225393891857058</v>
      </c>
      <c r="CE52" s="168">
        <f t="shared" si="49"/>
        <v>12.390527990434883</v>
      </c>
      <c r="CF52" s="168">
        <f t="shared" si="49"/>
        <v>11.794837496205652</v>
      </c>
      <c r="CG52" s="168">
        <f t="shared" si="49"/>
        <v>41.812139386708139</v>
      </c>
      <c r="CH52" s="168">
        <f t="shared" si="49"/>
        <v>31.113810801179778</v>
      </c>
      <c r="CI52" s="168">
        <f t="shared" si="49"/>
        <v>12.058883787108053</v>
      </c>
      <c r="CJ52" s="168">
        <f t="shared" si="49"/>
        <v>66.644386863015072</v>
      </c>
      <c r="CK52" s="168">
        <f t="shared" si="49"/>
        <v>40.748853993876381</v>
      </c>
      <c r="CL52" s="168">
        <f t="shared" si="49"/>
        <v>4.7429008916648572</v>
      </c>
      <c r="CM52" s="168">
        <f t="shared" si="49"/>
        <v>10.680882943600988</v>
      </c>
      <c r="CN52" s="168">
        <f t="shared" si="49"/>
        <v>31.091191103274344</v>
      </c>
      <c r="CO52" s="168">
        <f t="shared" si="49"/>
        <v>9.571107041637184</v>
      </c>
      <c r="CP52" s="168">
        <f t="shared" si="49"/>
        <v>27.329833739115589</v>
      </c>
      <c r="CQ52" s="168">
        <f t="shared" si="49"/>
        <v>8.9891841583103869</v>
      </c>
      <c r="CR52" s="168">
        <f t="shared" si="49"/>
        <v>12.036368667465863</v>
      </c>
      <c r="CS52" s="168">
        <f t="shared" si="49"/>
        <v>53.54574015906563</v>
      </c>
      <c r="CT52" s="168">
        <f t="shared" si="49"/>
        <v>21.880378798657343</v>
      </c>
      <c r="CU52" s="168">
        <f t="shared" si="49"/>
        <v>33.708553997612057</v>
      </c>
      <c r="CV52" s="168">
        <f t="shared" si="49"/>
        <v>9.8832024585606746</v>
      </c>
      <c r="CW52" s="168">
        <f t="shared" si="49"/>
        <v>37.585928568661259</v>
      </c>
      <c r="CX52" s="168">
        <f t="shared" si="49"/>
        <v>49.854692844584513</v>
      </c>
      <c r="CY52" s="168">
        <f t="shared" si="49"/>
        <v>18.203563342659784</v>
      </c>
      <c r="CZ52" s="168">
        <f t="shared" si="49"/>
        <v>30.3903004863032</v>
      </c>
      <c r="DA52" s="168">
        <f t="shared" si="49"/>
        <v>18.951953713652543</v>
      </c>
      <c r="DC52">
        <v>48</v>
      </c>
      <c r="DD52" s="114">
        <v>77.327720423239199</v>
      </c>
      <c r="DE52" s="114">
        <v>-19.998759465190023</v>
      </c>
      <c r="DF52" s="114">
        <v>13.521379502436941</v>
      </c>
      <c r="DG52" s="114">
        <v>78.001893313883741</v>
      </c>
      <c r="DH52" s="114">
        <v>-15.772236974107249</v>
      </c>
      <c r="DI52" s="114">
        <v>20.829793958441883</v>
      </c>
      <c r="DJ52" s="114">
        <v>8.4694110370704383</v>
      </c>
      <c r="DK52" s="114">
        <f t="shared" si="0"/>
        <v>71.730923314850557</v>
      </c>
      <c r="DL52" s="114">
        <f t="shared" si="1"/>
        <v>2.547080194353089</v>
      </c>
      <c r="DM52" s="114">
        <f t="shared" si="2"/>
        <v>145.93694521779346</v>
      </c>
      <c r="DN52" s="115">
        <f t="shared" si="3"/>
        <v>7</v>
      </c>
      <c r="DO52">
        <v>4</v>
      </c>
    </row>
    <row r="53" spans="1:119">
      <c r="A53">
        <v>600</v>
      </c>
      <c r="B53" s="120">
        <f>'Color metric'!B47</f>
        <v>0.69055482166446502</v>
      </c>
      <c r="C53" s="112">
        <f>Reference!N53</f>
        <v>5.9036645366316209</v>
      </c>
      <c r="D53" s="112"/>
      <c r="E53" s="172" t="s">
        <v>111</v>
      </c>
      <c r="F53" s="168">
        <f t="shared" si="50"/>
        <v>37.361966081683555</v>
      </c>
      <c r="G53" s="168">
        <f t="shared" si="50"/>
        <v>22.524427725209559</v>
      </c>
      <c r="H53" s="168">
        <f t="shared" si="50"/>
        <v>8.1275692658028191</v>
      </c>
      <c r="I53" s="168">
        <f t="shared" si="50"/>
        <v>1.9654999015159036</v>
      </c>
      <c r="J53" s="168">
        <f t="shared" si="50"/>
        <v>10.476960796060947</v>
      </c>
      <c r="K53" s="168">
        <f t="shared" si="50"/>
        <v>3.3655224224008231</v>
      </c>
      <c r="L53" s="168">
        <f t="shared" si="50"/>
        <v>4.6240465554392998</v>
      </c>
      <c r="M53" s="168">
        <f t="shared" si="50"/>
        <v>2.0466689366441173</v>
      </c>
      <c r="N53" s="168">
        <f t="shared" si="50"/>
        <v>2.1314359268837619</v>
      </c>
      <c r="O53" s="168">
        <f t="shared" si="50"/>
        <v>1.8233099915684494</v>
      </c>
      <c r="P53" s="168">
        <f t="shared" si="50"/>
        <v>6.7748130544184324</v>
      </c>
      <c r="Q53" s="168">
        <f t="shared" si="50"/>
        <v>2.6088475801635034</v>
      </c>
      <c r="R53" s="168">
        <f t="shared" si="50"/>
        <v>3.1425966161180114</v>
      </c>
      <c r="S53" s="168">
        <f t="shared" si="50"/>
        <v>1.8499010891839489</v>
      </c>
      <c r="T53" s="168">
        <f t="shared" si="50"/>
        <v>13.382085809241087</v>
      </c>
      <c r="U53" s="168">
        <f t="shared" si="50"/>
        <v>9.9892239145484325</v>
      </c>
      <c r="V53" s="168">
        <f t="shared" si="50"/>
        <v>2.149529632204763</v>
      </c>
      <c r="W53" s="168">
        <f t="shared" si="50"/>
        <v>2.3173499576672696</v>
      </c>
      <c r="X53" s="168">
        <f t="shared" si="48"/>
        <v>4.4460484155160547</v>
      </c>
      <c r="Y53" s="168">
        <f t="shared" si="48"/>
        <v>4.752899209184215</v>
      </c>
      <c r="Z53" s="168">
        <f t="shared" si="48"/>
        <v>2.3777126172242382</v>
      </c>
      <c r="AA53" s="168">
        <f t="shared" si="48"/>
        <v>6.8029329120298883</v>
      </c>
      <c r="AB53" s="168">
        <f t="shared" si="48"/>
        <v>4.3421797823878174</v>
      </c>
      <c r="AC53" s="168">
        <f t="shared" si="48"/>
        <v>20.50837862890393</v>
      </c>
      <c r="AD53" s="168">
        <f t="shared" si="48"/>
        <v>11.356257949429731</v>
      </c>
      <c r="AE53" s="168">
        <f t="shared" si="48"/>
        <v>2.1604058014257554</v>
      </c>
      <c r="AF53" s="168">
        <f t="shared" si="48"/>
        <v>8.3413660127370299</v>
      </c>
      <c r="AG53" s="168">
        <f t="shared" si="48"/>
        <v>9.41398803956778</v>
      </c>
      <c r="AH53" s="168">
        <f t="shared" si="48"/>
        <v>1.8416003052984011</v>
      </c>
      <c r="AI53" s="168">
        <f t="shared" si="48"/>
        <v>7.7337627878566062</v>
      </c>
      <c r="AJ53" s="168">
        <f t="shared" si="48"/>
        <v>5.873716977865171</v>
      </c>
      <c r="AK53" s="168">
        <f t="shared" si="48"/>
        <v>8.4891629165195539</v>
      </c>
      <c r="AL53" s="168">
        <f t="shared" si="48"/>
        <v>3.5978435759270964</v>
      </c>
      <c r="AM53" s="168">
        <f t="shared" si="48"/>
        <v>15.015116230838533</v>
      </c>
      <c r="AN53" s="168">
        <f t="shared" si="48"/>
        <v>2.3114706330587009</v>
      </c>
      <c r="AO53" s="168">
        <f t="shared" si="48"/>
        <v>1.9997183226884996</v>
      </c>
      <c r="AP53" s="168">
        <f t="shared" si="48"/>
        <v>16.913945245690527</v>
      </c>
      <c r="AQ53" s="168">
        <f t="shared" si="48"/>
        <v>2.2406291842135828</v>
      </c>
      <c r="AR53" s="168">
        <f t="shared" si="48"/>
        <v>15.388358426173015</v>
      </c>
      <c r="AS53" s="168">
        <f t="shared" si="48"/>
        <v>2.1404169985750165</v>
      </c>
      <c r="AT53" s="168">
        <f t="shared" si="48"/>
        <v>3.7094536203145942</v>
      </c>
      <c r="AU53" s="168">
        <f t="shared" si="48"/>
        <v>21.544255574581104</v>
      </c>
      <c r="AV53" s="168">
        <f t="shared" si="48"/>
        <v>3.6366165332887221</v>
      </c>
      <c r="AW53" s="168">
        <f t="shared" si="48"/>
        <v>4.3009549749131351</v>
      </c>
      <c r="AX53" s="168">
        <f t="shared" si="48"/>
        <v>1.7681388032357686</v>
      </c>
      <c r="AY53" s="168">
        <f t="shared" si="48"/>
        <v>3.8165362859746876</v>
      </c>
      <c r="AZ53" s="168">
        <f t="shared" si="48"/>
        <v>7.2032205303109116</v>
      </c>
      <c r="BA53" s="168">
        <f t="shared" si="48"/>
        <v>10.213695012666678</v>
      </c>
      <c r="BB53" s="168">
        <f t="shared" si="48"/>
        <v>11.996639770828315</v>
      </c>
      <c r="BC53" s="168">
        <f t="shared" si="48"/>
        <v>2.999380860888972</v>
      </c>
      <c r="BD53" s="168">
        <f t="shared" si="48"/>
        <v>6.0710076757061806</v>
      </c>
      <c r="BE53" s="168">
        <f t="shared" si="48"/>
        <v>7.5759359749063773</v>
      </c>
      <c r="BF53" s="168">
        <f t="shared" si="48"/>
        <v>2.9772203619029103</v>
      </c>
      <c r="BG53" s="168">
        <f t="shared" si="48"/>
        <v>5.3618361595704265</v>
      </c>
      <c r="BH53" s="168">
        <f t="shared" si="48"/>
        <v>25.266489434996622</v>
      </c>
      <c r="BI53" s="168">
        <f t="shared" si="48"/>
        <v>23.374591372161102</v>
      </c>
      <c r="BJ53" s="168">
        <f t="shared" si="48"/>
        <v>16.336563094538107</v>
      </c>
      <c r="BK53" s="168">
        <f t="shared" si="48"/>
        <v>10.117369022180933</v>
      </c>
      <c r="BL53" s="168">
        <f t="shared" si="48"/>
        <v>9.3808461888989694</v>
      </c>
      <c r="BM53" s="168">
        <f t="shared" si="48"/>
        <v>26.338653614187859</v>
      </c>
      <c r="BN53" s="168">
        <f t="shared" si="48"/>
        <v>26.960209562099248</v>
      </c>
      <c r="BO53" s="168">
        <f t="shared" si="48"/>
        <v>19.769674362496392</v>
      </c>
      <c r="BP53" s="168">
        <f t="shared" si="48"/>
        <v>13.406576131534333</v>
      </c>
      <c r="BQ53" s="168">
        <f t="shared" si="48"/>
        <v>2.930341743312245</v>
      </c>
      <c r="BR53" s="168">
        <f t="shared" si="48"/>
        <v>14.585342011112942</v>
      </c>
      <c r="BS53" s="168">
        <f t="shared" si="49"/>
        <v>5.4117950383483802</v>
      </c>
      <c r="BT53" s="168">
        <f t="shared" si="49"/>
        <v>9.0887000966709639</v>
      </c>
      <c r="BU53" s="168">
        <f t="shared" si="49"/>
        <v>10.933997627198117</v>
      </c>
      <c r="BV53" s="168">
        <f t="shared" si="49"/>
        <v>16.181870655189794</v>
      </c>
      <c r="BW53" s="168">
        <f t="shared" si="49"/>
        <v>9.1088687710253833</v>
      </c>
      <c r="BX53" s="168">
        <f t="shared" si="49"/>
        <v>25.257222869756415</v>
      </c>
      <c r="BY53" s="168">
        <f t="shared" si="49"/>
        <v>6.215153145852983</v>
      </c>
      <c r="BZ53" s="168">
        <f t="shared" si="49"/>
        <v>20.09217673466037</v>
      </c>
      <c r="CA53" s="168">
        <f t="shared" si="49"/>
        <v>19.256154734562834</v>
      </c>
      <c r="CB53" s="168">
        <f t="shared" si="49"/>
        <v>2.0015246560273905</v>
      </c>
      <c r="CC53" s="168">
        <f t="shared" si="49"/>
        <v>5.8844464222483124</v>
      </c>
      <c r="CD53" s="168">
        <f t="shared" si="49"/>
        <v>16.251610057925966</v>
      </c>
      <c r="CE53" s="168">
        <f t="shared" si="49"/>
        <v>9.9733681097772759</v>
      </c>
      <c r="CF53" s="168">
        <f t="shared" si="49"/>
        <v>13.835962809457515</v>
      </c>
      <c r="CG53" s="168">
        <f t="shared" si="49"/>
        <v>23.692313305880674</v>
      </c>
      <c r="CH53" s="168">
        <f t="shared" si="49"/>
        <v>20.195830744941034</v>
      </c>
      <c r="CI53" s="168">
        <f t="shared" si="49"/>
        <v>11.420184197300703</v>
      </c>
      <c r="CJ53" s="168">
        <f t="shared" si="49"/>
        <v>28.827636492642565</v>
      </c>
      <c r="CK53" s="168">
        <f t="shared" si="49"/>
        <v>21.108638953577827</v>
      </c>
      <c r="CL53" s="168">
        <f t="shared" si="49"/>
        <v>2.2084658603378435</v>
      </c>
      <c r="CM53" s="168">
        <f t="shared" si="49"/>
        <v>5.7560669733595162</v>
      </c>
      <c r="CN53" s="168">
        <f t="shared" si="49"/>
        <v>19.718415743414713</v>
      </c>
      <c r="CO53" s="168">
        <f t="shared" si="49"/>
        <v>7.630540894022424</v>
      </c>
      <c r="CP53" s="168">
        <f t="shared" si="49"/>
        <v>16.057600654084172</v>
      </c>
      <c r="CQ53" s="168">
        <f t="shared" si="49"/>
        <v>5.7802182548259999</v>
      </c>
      <c r="CR53" s="168">
        <f t="shared" si="49"/>
        <v>7.6578825697683817</v>
      </c>
      <c r="CS53" s="168">
        <f t="shared" si="49"/>
        <v>20.599771296851557</v>
      </c>
      <c r="CT53" s="168">
        <f t="shared" si="49"/>
        <v>10.223339350486926</v>
      </c>
      <c r="CU53" s="168">
        <f t="shared" si="49"/>
        <v>14.554190828162964</v>
      </c>
      <c r="CV53" s="168">
        <f t="shared" si="49"/>
        <v>4.8331249247817567</v>
      </c>
      <c r="CW53" s="168">
        <f t="shared" si="49"/>
        <v>15.91706325719022</v>
      </c>
      <c r="CX53" s="168">
        <f t="shared" si="49"/>
        <v>20.354667959440409</v>
      </c>
      <c r="CY53" s="168">
        <f t="shared" si="49"/>
        <v>7.4187190421368694</v>
      </c>
      <c r="CZ53" s="168">
        <f t="shared" si="49"/>
        <v>10.937507414376698</v>
      </c>
      <c r="DA53" s="168">
        <f t="shared" si="49"/>
        <v>6.7026698073098165</v>
      </c>
      <c r="DC53">
        <v>49</v>
      </c>
      <c r="DD53" s="114">
        <v>46.208998132225837</v>
      </c>
      <c r="DE53" s="114">
        <v>-17.49480906135226</v>
      </c>
      <c r="DF53" s="114">
        <v>12.651185218233051</v>
      </c>
      <c r="DG53" s="114">
        <v>45.593002956950116</v>
      </c>
      <c r="DH53" s="114">
        <v>-14.038046973263526</v>
      </c>
      <c r="DI53" s="114">
        <v>16.610495909232537</v>
      </c>
      <c r="DJ53" s="114">
        <v>5.2919557195306703</v>
      </c>
      <c r="DK53" s="114">
        <f t="shared" si="0"/>
        <v>28.004795337473375</v>
      </c>
      <c r="DL53" s="114">
        <f t="shared" si="1"/>
        <v>2.5155051248590024</v>
      </c>
      <c r="DM53" s="114">
        <f t="shared" si="2"/>
        <v>144.12782699795002</v>
      </c>
      <c r="DN53" s="115">
        <f t="shared" si="3"/>
        <v>7</v>
      </c>
      <c r="DO53">
        <v>4</v>
      </c>
    </row>
    <row r="54" spans="1:119">
      <c r="A54">
        <v>605</v>
      </c>
      <c r="B54" s="120">
        <f>'Color metric'!B48</f>
        <v>0.64167767503302509</v>
      </c>
      <c r="C54" s="112">
        <f>Reference!N54</f>
        <v>6.0590626214946388</v>
      </c>
      <c r="D54" s="112"/>
      <c r="E54" s="172" t="s">
        <v>282</v>
      </c>
      <c r="F54" s="168">
        <f t="shared" ref="F54:BQ56" si="51">$F5</f>
        <v>110.10945708331916</v>
      </c>
      <c r="G54" s="168">
        <f t="shared" si="51"/>
        <v>110.10945708331916</v>
      </c>
      <c r="H54" s="168">
        <f t="shared" si="51"/>
        <v>110.10945708331916</v>
      </c>
      <c r="I54" s="168">
        <f t="shared" si="51"/>
        <v>110.10945708331916</v>
      </c>
      <c r="J54" s="168">
        <f t="shared" si="51"/>
        <v>110.10945708331916</v>
      </c>
      <c r="K54" s="168">
        <f t="shared" si="51"/>
        <v>110.10945708331916</v>
      </c>
      <c r="L54" s="168">
        <f t="shared" si="51"/>
        <v>110.10945708331916</v>
      </c>
      <c r="M54" s="168">
        <f t="shared" si="51"/>
        <v>110.10945708331916</v>
      </c>
      <c r="N54" s="168">
        <f t="shared" si="51"/>
        <v>110.10945708331916</v>
      </c>
      <c r="O54" s="168">
        <f t="shared" si="51"/>
        <v>110.10945708331916</v>
      </c>
      <c r="P54" s="168">
        <f t="shared" si="51"/>
        <v>110.10945708331916</v>
      </c>
      <c r="Q54" s="168">
        <f t="shared" si="51"/>
        <v>110.10945708331916</v>
      </c>
      <c r="R54" s="168">
        <f t="shared" si="51"/>
        <v>110.10945708331916</v>
      </c>
      <c r="S54" s="168">
        <f t="shared" si="51"/>
        <v>110.10945708331916</v>
      </c>
      <c r="T54" s="168">
        <f t="shared" si="51"/>
        <v>110.10945708331916</v>
      </c>
      <c r="U54" s="168">
        <f t="shared" si="51"/>
        <v>110.10945708331916</v>
      </c>
      <c r="V54" s="168">
        <f t="shared" si="51"/>
        <v>110.10945708331916</v>
      </c>
      <c r="W54" s="168">
        <f t="shared" si="51"/>
        <v>110.10945708331916</v>
      </c>
      <c r="X54" s="168">
        <f t="shared" si="51"/>
        <v>110.10945708331916</v>
      </c>
      <c r="Y54" s="168">
        <f t="shared" si="51"/>
        <v>110.10945708331916</v>
      </c>
      <c r="Z54" s="168">
        <f t="shared" si="51"/>
        <v>110.10945708331916</v>
      </c>
      <c r="AA54" s="168">
        <f t="shared" si="51"/>
        <v>110.10945708331916</v>
      </c>
      <c r="AB54" s="168">
        <f t="shared" si="51"/>
        <v>110.10945708331916</v>
      </c>
      <c r="AC54" s="168">
        <f t="shared" si="51"/>
        <v>110.10945708331916</v>
      </c>
      <c r="AD54" s="168">
        <f t="shared" si="51"/>
        <v>110.10945708331916</v>
      </c>
      <c r="AE54" s="168">
        <f t="shared" si="51"/>
        <v>110.10945708331916</v>
      </c>
      <c r="AF54" s="168">
        <f t="shared" si="51"/>
        <v>110.10945708331916</v>
      </c>
      <c r="AG54" s="168">
        <f t="shared" si="51"/>
        <v>110.10945708331916</v>
      </c>
      <c r="AH54" s="168">
        <f t="shared" si="51"/>
        <v>110.10945708331916</v>
      </c>
      <c r="AI54" s="168">
        <f t="shared" si="51"/>
        <v>110.10945708331916</v>
      </c>
      <c r="AJ54" s="168">
        <f t="shared" si="51"/>
        <v>110.10945708331916</v>
      </c>
      <c r="AK54" s="168">
        <f t="shared" si="51"/>
        <v>110.10945708331916</v>
      </c>
      <c r="AL54" s="168">
        <f t="shared" si="51"/>
        <v>110.10945708331916</v>
      </c>
      <c r="AM54" s="168">
        <f t="shared" si="51"/>
        <v>110.10945708331916</v>
      </c>
      <c r="AN54" s="168">
        <f t="shared" si="51"/>
        <v>110.10945708331916</v>
      </c>
      <c r="AO54" s="168">
        <f t="shared" si="51"/>
        <v>110.10945708331916</v>
      </c>
      <c r="AP54" s="168">
        <f t="shared" si="51"/>
        <v>110.10945708331916</v>
      </c>
      <c r="AQ54" s="168">
        <f t="shared" si="51"/>
        <v>110.10945708331916</v>
      </c>
      <c r="AR54" s="168">
        <f t="shared" si="51"/>
        <v>110.10945708331916</v>
      </c>
      <c r="AS54" s="168">
        <f t="shared" si="51"/>
        <v>110.10945708331916</v>
      </c>
      <c r="AT54" s="168">
        <f t="shared" si="51"/>
        <v>110.10945708331916</v>
      </c>
      <c r="AU54" s="168">
        <f t="shared" si="51"/>
        <v>110.10945708331916</v>
      </c>
      <c r="AV54" s="168">
        <f t="shared" si="51"/>
        <v>110.10945708331916</v>
      </c>
      <c r="AW54" s="168">
        <f t="shared" si="51"/>
        <v>110.10945708331916</v>
      </c>
      <c r="AX54" s="168">
        <f t="shared" si="51"/>
        <v>110.10945708331916</v>
      </c>
      <c r="AY54" s="168">
        <f t="shared" si="51"/>
        <v>110.10945708331916</v>
      </c>
      <c r="AZ54" s="168">
        <f t="shared" si="51"/>
        <v>110.10945708331916</v>
      </c>
      <c r="BA54" s="168">
        <f t="shared" si="51"/>
        <v>110.10945708331916</v>
      </c>
      <c r="BB54" s="168">
        <f t="shared" si="51"/>
        <v>110.10945708331916</v>
      </c>
      <c r="BC54" s="168">
        <f t="shared" si="51"/>
        <v>110.10945708331916</v>
      </c>
      <c r="BD54" s="168">
        <f t="shared" si="51"/>
        <v>110.10945708331916</v>
      </c>
      <c r="BE54" s="168">
        <f t="shared" si="51"/>
        <v>110.10945708331916</v>
      </c>
      <c r="BF54" s="168">
        <f t="shared" si="51"/>
        <v>110.10945708331916</v>
      </c>
      <c r="BG54" s="168">
        <f t="shared" si="51"/>
        <v>110.10945708331916</v>
      </c>
      <c r="BH54" s="168">
        <f t="shared" si="51"/>
        <v>110.10945708331916</v>
      </c>
      <c r="BI54" s="168">
        <f t="shared" si="51"/>
        <v>110.10945708331916</v>
      </c>
      <c r="BJ54" s="168">
        <f t="shared" si="51"/>
        <v>110.10945708331916</v>
      </c>
      <c r="BK54" s="168">
        <f t="shared" si="51"/>
        <v>110.10945708331916</v>
      </c>
      <c r="BL54" s="168">
        <f t="shared" si="51"/>
        <v>110.10945708331916</v>
      </c>
      <c r="BM54" s="168">
        <f t="shared" si="51"/>
        <v>110.10945708331916</v>
      </c>
      <c r="BN54" s="168">
        <f t="shared" si="51"/>
        <v>110.10945708331916</v>
      </c>
      <c r="BO54" s="168">
        <f t="shared" si="51"/>
        <v>110.10945708331916</v>
      </c>
      <c r="BP54" s="168">
        <f t="shared" si="51"/>
        <v>110.10945708331916</v>
      </c>
      <c r="BQ54" s="168">
        <f t="shared" si="51"/>
        <v>110.10945708331916</v>
      </c>
      <c r="BR54" s="168">
        <f t="shared" ref="BR54:DA56" si="52">$F5</f>
        <v>110.10945708331916</v>
      </c>
      <c r="BS54" s="168">
        <f t="shared" si="52"/>
        <v>110.10945708331916</v>
      </c>
      <c r="BT54" s="168">
        <f t="shared" si="52"/>
        <v>110.10945708331916</v>
      </c>
      <c r="BU54" s="168">
        <f t="shared" si="52"/>
        <v>110.10945708331916</v>
      </c>
      <c r="BV54" s="168">
        <f t="shared" si="52"/>
        <v>110.10945708331916</v>
      </c>
      <c r="BW54" s="168">
        <f t="shared" si="52"/>
        <v>110.10945708331916</v>
      </c>
      <c r="BX54" s="168">
        <f t="shared" si="52"/>
        <v>110.10945708331916</v>
      </c>
      <c r="BY54" s="168">
        <f t="shared" si="52"/>
        <v>110.10945708331916</v>
      </c>
      <c r="BZ54" s="168">
        <f t="shared" si="52"/>
        <v>110.10945708331916</v>
      </c>
      <c r="CA54" s="168">
        <f t="shared" si="52"/>
        <v>110.10945708331916</v>
      </c>
      <c r="CB54" s="168">
        <f t="shared" si="52"/>
        <v>110.10945708331916</v>
      </c>
      <c r="CC54" s="168">
        <f t="shared" si="52"/>
        <v>110.10945708331916</v>
      </c>
      <c r="CD54" s="168">
        <f t="shared" si="52"/>
        <v>110.10945708331916</v>
      </c>
      <c r="CE54" s="168">
        <f t="shared" si="52"/>
        <v>110.10945708331916</v>
      </c>
      <c r="CF54" s="168">
        <f t="shared" si="52"/>
        <v>110.10945708331916</v>
      </c>
      <c r="CG54" s="168">
        <f t="shared" si="52"/>
        <v>110.10945708331916</v>
      </c>
      <c r="CH54" s="168">
        <f t="shared" si="52"/>
        <v>110.10945708331916</v>
      </c>
      <c r="CI54" s="168">
        <f t="shared" si="52"/>
        <v>110.10945708331916</v>
      </c>
      <c r="CJ54" s="168">
        <f t="shared" si="52"/>
        <v>110.10945708331916</v>
      </c>
      <c r="CK54" s="168">
        <f t="shared" si="52"/>
        <v>110.10945708331916</v>
      </c>
      <c r="CL54" s="168">
        <f t="shared" si="52"/>
        <v>110.10945708331916</v>
      </c>
      <c r="CM54" s="168">
        <f t="shared" si="52"/>
        <v>110.10945708331916</v>
      </c>
      <c r="CN54" s="168">
        <f t="shared" si="52"/>
        <v>110.10945708331916</v>
      </c>
      <c r="CO54" s="168">
        <f t="shared" si="52"/>
        <v>110.10945708331916</v>
      </c>
      <c r="CP54" s="168">
        <f t="shared" si="52"/>
        <v>110.10945708331916</v>
      </c>
      <c r="CQ54" s="168">
        <f t="shared" si="52"/>
        <v>110.10945708331916</v>
      </c>
      <c r="CR54" s="168">
        <f t="shared" si="52"/>
        <v>110.10945708331916</v>
      </c>
      <c r="CS54" s="168">
        <f t="shared" si="52"/>
        <v>110.10945708331916</v>
      </c>
      <c r="CT54" s="168">
        <f t="shared" si="52"/>
        <v>110.10945708331916</v>
      </c>
      <c r="CU54" s="168">
        <f t="shared" si="52"/>
        <v>110.10945708331916</v>
      </c>
      <c r="CV54" s="168">
        <f t="shared" si="52"/>
        <v>110.10945708331916</v>
      </c>
      <c r="CW54" s="168">
        <f t="shared" si="52"/>
        <v>110.10945708331916</v>
      </c>
      <c r="CX54" s="168">
        <f t="shared" si="52"/>
        <v>110.10945708331916</v>
      </c>
      <c r="CY54" s="168">
        <f t="shared" si="52"/>
        <v>110.10945708331916</v>
      </c>
      <c r="CZ54" s="168">
        <f t="shared" si="52"/>
        <v>110.10945708331916</v>
      </c>
      <c r="DA54" s="168">
        <f t="shared" si="52"/>
        <v>110.10945708331916</v>
      </c>
      <c r="DC54">
        <v>50</v>
      </c>
      <c r="DD54" s="114">
        <v>54.640445494402712</v>
      </c>
      <c r="DE54" s="114">
        <v>-18.046750364341605</v>
      </c>
      <c r="DF54" s="114">
        <v>6.7171930555095951</v>
      </c>
      <c r="DG54" s="114">
        <v>53.12487508779887</v>
      </c>
      <c r="DH54" s="114">
        <v>-13.756124903056556</v>
      </c>
      <c r="DI54" s="114">
        <v>8.8966874987502482</v>
      </c>
      <c r="DJ54" s="114">
        <v>5.04545503740919</v>
      </c>
      <c r="DK54" s="114">
        <f t="shared" si="0"/>
        <v>25.456616534517771</v>
      </c>
      <c r="DL54" s="114">
        <f t="shared" si="1"/>
        <v>2.7852696625167681</v>
      </c>
      <c r="DM54" s="114">
        <f t="shared" si="2"/>
        <v>159.58419646803796</v>
      </c>
      <c r="DN54" s="115">
        <f t="shared" si="3"/>
        <v>8</v>
      </c>
      <c r="DO54">
        <v>6</v>
      </c>
    </row>
    <row r="55" spans="1:119">
      <c r="A55">
        <v>610</v>
      </c>
      <c r="B55" s="120">
        <f>'Color metric'!B49</f>
        <v>0.58586525759577268</v>
      </c>
      <c r="C55" s="112">
        <f>Reference!N55</f>
        <v>6.2138064099882477</v>
      </c>
      <c r="D55" s="112"/>
      <c r="E55" s="172" t="s">
        <v>283</v>
      </c>
      <c r="F55" s="168">
        <f t="shared" si="51"/>
        <v>100</v>
      </c>
      <c r="G55" s="168">
        <f t="shared" si="51"/>
        <v>100</v>
      </c>
      <c r="H55" s="168">
        <f t="shared" si="51"/>
        <v>100</v>
      </c>
      <c r="I55" s="168">
        <f t="shared" si="51"/>
        <v>100</v>
      </c>
      <c r="J55" s="168">
        <f t="shared" si="51"/>
        <v>100</v>
      </c>
      <c r="K55" s="168">
        <f t="shared" si="51"/>
        <v>100</v>
      </c>
      <c r="L55" s="168">
        <f t="shared" si="51"/>
        <v>100</v>
      </c>
      <c r="M55" s="168">
        <f t="shared" si="51"/>
        <v>100</v>
      </c>
      <c r="N55" s="168">
        <f t="shared" si="51"/>
        <v>100</v>
      </c>
      <c r="O55" s="168">
        <f t="shared" si="51"/>
        <v>100</v>
      </c>
      <c r="P55" s="168">
        <f t="shared" si="51"/>
        <v>100</v>
      </c>
      <c r="Q55" s="168">
        <f t="shared" si="51"/>
        <v>100</v>
      </c>
      <c r="R55" s="168">
        <f t="shared" si="51"/>
        <v>100</v>
      </c>
      <c r="S55" s="168">
        <f t="shared" si="51"/>
        <v>100</v>
      </c>
      <c r="T55" s="168">
        <f t="shared" si="51"/>
        <v>100</v>
      </c>
      <c r="U55" s="168">
        <f t="shared" si="51"/>
        <v>100</v>
      </c>
      <c r="V55" s="168">
        <f t="shared" si="51"/>
        <v>100</v>
      </c>
      <c r="W55" s="168">
        <f t="shared" si="51"/>
        <v>100</v>
      </c>
      <c r="X55" s="168">
        <f t="shared" si="51"/>
        <v>100</v>
      </c>
      <c r="Y55" s="168">
        <f t="shared" si="51"/>
        <v>100</v>
      </c>
      <c r="Z55" s="168">
        <f t="shared" si="51"/>
        <v>100</v>
      </c>
      <c r="AA55" s="168">
        <f t="shared" si="51"/>
        <v>100</v>
      </c>
      <c r="AB55" s="168">
        <f t="shared" si="51"/>
        <v>100</v>
      </c>
      <c r="AC55" s="168">
        <f t="shared" si="51"/>
        <v>100</v>
      </c>
      <c r="AD55" s="168">
        <f t="shared" si="51"/>
        <v>100</v>
      </c>
      <c r="AE55" s="168">
        <f t="shared" si="51"/>
        <v>100</v>
      </c>
      <c r="AF55" s="168">
        <f t="shared" si="51"/>
        <v>100</v>
      </c>
      <c r="AG55" s="168">
        <f t="shared" si="51"/>
        <v>100</v>
      </c>
      <c r="AH55" s="168">
        <f t="shared" si="51"/>
        <v>100</v>
      </c>
      <c r="AI55" s="168">
        <f t="shared" si="51"/>
        <v>100</v>
      </c>
      <c r="AJ55" s="168">
        <f t="shared" si="51"/>
        <v>100</v>
      </c>
      <c r="AK55" s="168">
        <f t="shared" si="51"/>
        <v>100</v>
      </c>
      <c r="AL55" s="168">
        <f t="shared" si="51"/>
        <v>100</v>
      </c>
      <c r="AM55" s="168">
        <f t="shared" si="51"/>
        <v>100</v>
      </c>
      <c r="AN55" s="168">
        <f t="shared" si="51"/>
        <v>100</v>
      </c>
      <c r="AO55" s="168">
        <f t="shared" si="51"/>
        <v>100</v>
      </c>
      <c r="AP55" s="168">
        <f t="shared" si="51"/>
        <v>100</v>
      </c>
      <c r="AQ55" s="168">
        <f t="shared" si="51"/>
        <v>100</v>
      </c>
      <c r="AR55" s="168">
        <f t="shared" si="51"/>
        <v>100</v>
      </c>
      <c r="AS55" s="168">
        <f t="shared" si="51"/>
        <v>100</v>
      </c>
      <c r="AT55" s="168">
        <f t="shared" si="51"/>
        <v>100</v>
      </c>
      <c r="AU55" s="168">
        <f t="shared" si="51"/>
        <v>100</v>
      </c>
      <c r="AV55" s="168">
        <f t="shared" si="51"/>
        <v>100</v>
      </c>
      <c r="AW55" s="168">
        <f t="shared" si="51"/>
        <v>100</v>
      </c>
      <c r="AX55" s="168">
        <f t="shared" si="51"/>
        <v>100</v>
      </c>
      <c r="AY55" s="168">
        <f t="shared" si="51"/>
        <v>100</v>
      </c>
      <c r="AZ55" s="168">
        <f t="shared" si="51"/>
        <v>100</v>
      </c>
      <c r="BA55" s="168">
        <f t="shared" si="51"/>
        <v>100</v>
      </c>
      <c r="BB55" s="168">
        <f t="shared" si="51"/>
        <v>100</v>
      </c>
      <c r="BC55" s="168">
        <f t="shared" si="51"/>
        <v>100</v>
      </c>
      <c r="BD55" s="168">
        <f t="shared" si="51"/>
        <v>100</v>
      </c>
      <c r="BE55" s="168">
        <f t="shared" si="51"/>
        <v>100</v>
      </c>
      <c r="BF55" s="168">
        <f t="shared" si="51"/>
        <v>100</v>
      </c>
      <c r="BG55" s="168">
        <f t="shared" si="51"/>
        <v>100</v>
      </c>
      <c r="BH55" s="168">
        <f t="shared" si="51"/>
        <v>100</v>
      </c>
      <c r="BI55" s="168">
        <f t="shared" si="51"/>
        <v>100</v>
      </c>
      <c r="BJ55" s="168">
        <f t="shared" si="51"/>
        <v>100</v>
      </c>
      <c r="BK55" s="168">
        <f t="shared" si="51"/>
        <v>100</v>
      </c>
      <c r="BL55" s="168">
        <f t="shared" si="51"/>
        <v>100</v>
      </c>
      <c r="BM55" s="168">
        <f t="shared" si="51"/>
        <v>100</v>
      </c>
      <c r="BN55" s="168">
        <f t="shared" si="51"/>
        <v>100</v>
      </c>
      <c r="BO55" s="168">
        <f t="shared" si="51"/>
        <v>100</v>
      </c>
      <c r="BP55" s="168">
        <f t="shared" si="51"/>
        <v>100</v>
      </c>
      <c r="BQ55" s="168">
        <f t="shared" si="51"/>
        <v>100</v>
      </c>
      <c r="BR55" s="168">
        <f t="shared" si="52"/>
        <v>100</v>
      </c>
      <c r="BS55" s="168">
        <f t="shared" si="52"/>
        <v>100</v>
      </c>
      <c r="BT55" s="168">
        <f t="shared" si="52"/>
        <v>100</v>
      </c>
      <c r="BU55" s="168">
        <f t="shared" si="52"/>
        <v>100</v>
      </c>
      <c r="BV55" s="168">
        <f t="shared" si="52"/>
        <v>100</v>
      </c>
      <c r="BW55" s="168">
        <f t="shared" si="52"/>
        <v>100</v>
      </c>
      <c r="BX55" s="168">
        <f t="shared" si="52"/>
        <v>100</v>
      </c>
      <c r="BY55" s="168">
        <f t="shared" si="52"/>
        <v>100</v>
      </c>
      <c r="BZ55" s="168">
        <f t="shared" si="52"/>
        <v>100</v>
      </c>
      <c r="CA55" s="168">
        <f t="shared" si="52"/>
        <v>100</v>
      </c>
      <c r="CB55" s="168">
        <f t="shared" si="52"/>
        <v>100</v>
      </c>
      <c r="CC55" s="168">
        <f t="shared" si="52"/>
        <v>100</v>
      </c>
      <c r="CD55" s="168">
        <f t="shared" si="52"/>
        <v>100</v>
      </c>
      <c r="CE55" s="168">
        <f t="shared" si="52"/>
        <v>100</v>
      </c>
      <c r="CF55" s="168">
        <f t="shared" si="52"/>
        <v>100</v>
      </c>
      <c r="CG55" s="168">
        <f t="shared" si="52"/>
        <v>100</v>
      </c>
      <c r="CH55" s="168">
        <f t="shared" si="52"/>
        <v>100</v>
      </c>
      <c r="CI55" s="168">
        <f t="shared" si="52"/>
        <v>100</v>
      </c>
      <c r="CJ55" s="168">
        <f t="shared" si="52"/>
        <v>100</v>
      </c>
      <c r="CK55" s="168">
        <f t="shared" si="52"/>
        <v>100</v>
      </c>
      <c r="CL55" s="168">
        <f t="shared" si="52"/>
        <v>100</v>
      </c>
      <c r="CM55" s="168">
        <f t="shared" si="52"/>
        <v>100</v>
      </c>
      <c r="CN55" s="168">
        <f t="shared" si="52"/>
        <v>100</v>
      </c>
      <c r="CO55" s="168">
        <f t="shared" si="52"/>
        <v>100</v>
      </c>
      <c r="CP55" s="168">
        <f t="shared" si="52"/>
        <v>100</v>
      </c>
      <c r="CQ55" s="168">
        <f t="shared" si="52"/>
        <v>100</v>
      </c>
      <c r="CR55" s="168">
        <f t="shared" si="52"/>
        <v>100</v>
      </c>
      <c r="CS55" s="168">
        <f t="shared" si="52"/>
        <v>100</v>
      </c>
      <c r="CT55" s="168">
        <f t="shared" si="52"/>
        <v>100</v>
      </c>
      <c r="CU55" s="168">
        <f t="shared" si="52"/>
        <v>100</v>
      </c>
      <c r="CV55" s="168">
        <f t="shared" si="52"/>
        <v>100</v>
      </c>
      <c r="CW55" s="168">
        <f t="shared" si="52"/>
        <v>100</v>
      </c>
      <c r="CX55" s="168">
        <f t="shared" si="52"/>
        <v>100</v>
      </c>
      <c r="CY55" s="168">
        <f t="shared" si="52"/>
        <v>100</v>
      </c>
      <c r="CZ55" s="168">
        <f t="shared" si="52"/>
        <v>100</v>
      </c>
      <c r="DA55" s="168">
        <f t="shared" si="52"/>
        <v>100</v>
      </c>
      <c r="DC55">
        <v>51</v>
      </c>
      <c r="DD55" s="114">
        <v>58.593919644551676</v>
      </c>
      <c r="DE55" s="114">
        <v>-15.758153337346709</v>
      </c>
      <c r="DF55" s="114">
        <v>5.4984618946412738</v>
      </c>
      <c r="DG55" s="114">
        <v>56.710554171843235</v>
      </c>
      <c r="DH55" s="114">
        <v>-11.344493801432622</v>
      </c>
      <c r="DI55" s="114">
        <v>7.1589883446850227</v>
      </c>
      <c r="DJ55" s="114">
        <v>5.0778739738251222</v>
      </c>
      <c r="DK55" s="114">
        <f t="shared" si="0"/>
        <v>25.784804094050539</v>
      </c>
      <c r="DL55" s="114">
        <f t="shared" si="1"/>
        <v>2.8058731096694731</v>
      </c>
      <c r="DM55" s="114">
        <f t="shared" si="2"/>
        <v>160.76468703330877</v>
      </c>
      <c r="DN55" s="115">
        <f t="shared" si="3"/>
        <v>8</v>
      </c>
      <c r="DO55">
        <v>6</v>
      </c>
    </row>
    <row r="56" spans="1:119">
      <c r="A56">
        <v>615</v>
      </c>
      <c r="B56" s="120">
        <f>'Color metric'!B50</f>
        <v>0.52840158520475555</v>
      </c>
      <c r="C56" s="112">
        <f>Reference!N56</f>
        <v>6.3677764847084841</v>
      </c>
      <c r="D56" s="112"/>
      <c r="E56" s="172" t="s">
        <v>284</v>
      </c>
      <c r="F56" s="168">
        <f t="shared" si="51"/>
        <v>37.361966081683555</v>
      </c>
      <c r="G56" s="168">
        <f t="shared" si="51"/>
        <v>37.361966081683555</v>
      </c>
      <c r="H56" s="168">
        <f t="shared" si="51"/>
        <v>37.361966081683555</v>
      </c>
      <c r="I56" s="168">
        <f t="shared" si="51"/>
        <v>37.361966081683555</v>
      </c>
      <c r="J56" s="168">
        <f t="shared" si="51"/>
        <v>37.361966081683555</v>
      </c>
      <c r="K56" s="168">
        <f t="shared" si="51"/>
        <v>37.361966081683555</v>
      </c>
      <c r="L56" s="168">
        <f t="shared" si="51"/>
        <v>37.361966081683555</v>
      </c>
      <c r="M56" s="168">
        <f t="shared" si="51"/>
        <v>37.361966081683555</v>
      </c>
      <c r="N56" s="168">
        <f t="shared" si="51"/>
        <v>37.361966081683555</v>
      </c>
      <c r="O56" s="168">
        <f t="shared" si="51"/>
        <v>37.361966081683555</v>
      </c>
      <c r="P56" s="168">
        <f t="shared" si="51"/>
        <v>37.361966081683555</v>
      </c>
      <c r="Q56" s="168">
        <f t="shared" si="51"/>
        <v>37.361966081683555</v>
      </c>
      <c r="R56" s="168">
        <f t="shared" si="51"/>
        <v>37.361966081683555</v>
      </c>
      <c r="S56" s="168">
        <f t="shared" si="51"/>
        <v>37.361966081683555</v>
      </c>
      <c r="T56" s="168">
        <f t="shared" si="51"/>
        <v>37.361966081683555</v>
      </c>
      <c r="U56" s="168">
        <f t="shared" si="51"/>
        <v>37.361966081683555</v>
      </c>
      <c r="V56" s="168">
        <f t="shared" si="51"/>
        <v>37.361966081683555</v>
      </c>
      <c r="W56" s="168">
        <f t="shared" si="51"/>
        <v>37.361966081683555</v>
      </c>
      <c r="X56" s="168">
        <f t="shared" si="51"/>
        <v>37.361966081683555</v>
      </c>
      <c r="Y56" s="168">
        <f t="shared" si="51"/>
        <v>37.361966081683555</v>
      </c>
      <c r="Z56" s="168">
        <f t="shared" si="51"/>
        <v>37.361966081683555</v>
      </c>
      <c r="AA56" s="168">
        <f t="shared" si="51"/>
        <v>37.361966081683555</v>
      </c>
      <c r="AB56" s="168">
        <f t="shared" si="51"/>
        <v>37.361966081683555</v>
      </c>
      <c r="AC56" s="168">
        <f t="shared" si="51"/>
        <v>37.361966081683555</v>
      </c>
      <c r="AD56" s="168">
        <f t="shared" si="51"/>
        <v>37.361966081683555</v>
      </c>
      <c r="AE56" s="168">
        <f t="shared" si="51"/>
        <v>37.361966081683555</v>
      </c>
      <c r="AF56" s="168">
        <f t="shared" si="51"/>
        <v>37.361966081683555</v>
      </c>
      <c r="AG56" s="168">
        <f t="shared" si="51"/>
        <v>37.361966081683555</v>
      </c>
      <c r="AH56" s="168">
        <f t="shared" si="51"/>
        <v>37.361966081683555</v>
      </c>
      <c r="AI56" s="168">
        <f t="shared" si="51"/>
        <v>37.361966081683555</v>
      </c>
      <c r="AJ56" s="168">
        <f t="shared" si="51"/>
        <v>37.361966081683555</v>
      </c>
      <c r="AK56" s="168">
        <f t="shared" si="51"/>
        <v>37.361966081683555</v>
      </c>
      <c r="AL56" s="168">
        <f t="shared" si="51"/>
        <v>37.361966081683555</v>
      </c>
      <c r="AM56" s="168">
        <f t="shared" si="51"/>
        <v>37.361966081683555</v>
      </c>
      <c r="AN56" s="168">
        <f t="shared" si="51"/>
        <v>37.361966081683555</v>
      </c>
      <c r="AO56" s="168">
        <f t="shared" si="51"/>
        <v>37.361966081683555</v>
      </c>
      <c r="AP56" s="168">
        <f t="shared" si="51"/>
        <v>37.361966081683555</v>
      </c>
      <c r="AQ56" s="168">
        <f t="shared" si="51"/>
        <v>37.361966081683555</v>
      </c>
      <c r="AR56" s="168">
        <f t="shared" si="51"/>
        <v>37.361966081683555</v>
      </c>
      <c r="AS56" s="168">
        <f t="shared" si="51"/>
        <v>37.361966081683555</v>
      </c>
      <c r="AT56" s="168">
        <f t="shared" si="51"/>
        <v>37.361966081683555</v>
      </c>
      <c r="AU56" s="168">
        <f t="shared" si="51"/>
        <v>37.361966081683555</v>
      </c>
      <c r="AV56" s="168">
        <f t="shared" si="51"/>
        <v>37.361966081683555</v>
      </c>
      <c r="AW56" s="168">
        <f t="shared" si="51"/>
        <v>37.361966081683555</v>
      </c>
      <c r="AX56" s="168">
        <f t="shared" si="51"/>
        <v>37.361966081683555</v>
      </c>
      <c r="AY56" s="168">
        <f t="shared" si="51"/>
        <v>37.361966081683555</v>
      </c>
      <c r="AZ56" s="168">
        <f t="shared" si="51"/>
        <v>37.361966081683555</v>
      </c>
      <c r="BA56" s="168">
        <f t="shared" si="51"/>
        <v>37.361966081683555</v>
      </c>
      <c r="BB56" s="168">
        <f t="shared" si="51"/>
        <v>37.361966081683555</v>
      </c>
      <c r="BC56" s="168">
        <f t="shared" si="51"/>
        <v>37.361966081683555</v>
      </c>
      <c r="BD56" s="168">
        <f t="shared" si="51"/>
        <v>37.361966081683555</v>
      </c>
      <c r="BE56" s="168">
        <f t="shared" si="51"/>
        <v>37.361966081683555</v>
      </c>
      <c r="BF56" s="168">
        <f t="shared" si="51"/>
        <v>37.361966081683555</v>
      </c>
      <c r="BG56" s="168">
        <f t="shared" si="51"/>
        <v>37.361966081683555</v>
      </c>
      <c r="BH56" s="168">
        <f t="shared" si="51"/>
        <v>37.361966081683555</v>
      </c>
      <c r="BI56" s="168">
        <f t="shared" si="51"/>
        <v>37.361966081683555</v>
      </c>
      <c r="BJ56" s="168">
        <f t="shared" si="51"/>
        <v>37.361966081683555</v>
      </c>
      <c r="BK56" s="168">
        <f t="shared" si="51"/>
        <v>37.361966081683555</v>
      </c>
      <c r="BL56" s="168">
        <f t="shared" si="51"/>
        <v>37.361966081683555</v>
      </c>
      <c r="BM56" s="168">
        <f t="shared" si="51"/>
        <v>37.361966081683555</v>
      </c>
      <c r="BN56" s="168">
        <f t="shared" si="51"/>
        <v>37.361966081683555</v>
      </c>
      <c r="BO56" s="168">
        <f t="shared" si="51"/>
        <v>37.361966081683555</v>
      </c>
      <c r="BP56" s="168">
        <f t="shared" si="51"/>
        <v>37.361966081683555</v>
      </c>
      <c r="BQ56" s="168">
        <f t="shared" si="51"/>
        <v>37.361966081683555</v>
      </c>
      <c r="BR56" s="168">
        <f t="shared" si="52"/>
        <v>37.361966081683555</v>
      </c>
      <c r="BS56" s="168">
        <f t="shared" si="52"/>
        <v>37.361966081683555</v>
      </c>
      <c r="BT56" s="168">
        <f t="shared" si="52"/>
        <v>37.361966081683555</v>
      </c>
      <c r="BU56" s="168">
        <f t="shared" si="52"/>
        <v>37.361966081683555</v>
      </c>
      <c r="BV56" s="168">
        <f t="shared" si="52"/>
        <v>37.361966081683555</v>
      </c>
      <c r="BW56" s="168">
        <f t="shared" si="52"/>
        <v>37.361966081683555</v>
      </c>
      <c r="BX56" s="168">
        <f t="shared" si="52"/>
        <v>37.361966081683555</v>
      </c>
      <c r="BY56" s="168">
        <f t="shared" si="52"/>
        <v>37.361966081683555</v>
      </c>
      <c r="BZ56" s="168">
        <f t="shared" si="52"/>
        <v>37.361966081683555</v>
      </c>
      <c r="CA56" s="168">
        <f t="shared" si="52"/>
        <v>37.361966081683555</v>
      </c>
      <c r="CB56" s="168">
        <f t="shared" si="52"/>
        <v>37.361966081683555</v>
      </c>
      <c r="CC56" s="168">
        <f t="shared" si="52"/>
        <v>37.361966081683555</v>
      </c>
      <c r="CD56" s="168">
        <f t="shared" si="52"/>
        <v>37.361966081683555</v>
      </c>
      <c r="CE56" s="168">
        <f t="shared" si="52"/>
        <v>37.361966081683555</v>
      </c>
      <c r="CF56" s="168">
        <f t="shared" si="52"/>
        <v>37.361966081683555</v>
      </c>
      <c r="CG56" s="168">
        <f t="shared" si="52"/>
        <v>37.361966081683555</v>
      </c>
      <c r="CH56" s="168">
        <f t="shared" si="52"/>
        <v>37.361966081683555</v>
      </c>
      <c r="CI56" s="168">
        <f t="shared" si="52"/>
        <v>37.361966081683555</v>
      </c>
      <c r="CJ56" s="168">
        <f t="shared" si="52"/>
        <v>37.361966081683555</v>
      </c>
      <c r="CK56" s="168">
        <f t="shared" si="52"/>
        <v>37.361966081683555</v>
      </c>
      <c r="CL56" s="168">
        <f t="shared" si="52"/>
        <v>37.361966081683555</v>
      </c>
      <c r="CM56" s="168">
        <f t="shared" si="52"/>
        <v>37.361966081683555</v>
      </c>
      <c r="CN56" s="168">
        <f t="shared" si="52"/>
        <v>37.361966081683555</v>
      </c>
      <c r="CO56" s="168">
        <f t="shared" si="52"/>
        <v>37.361966081683555</v>
      </c>
      <c r="CP56" s="168">
        <f t="shared" si="52"/>
        <v>37.361966081683555</v>
      </c>
      <c r="CQ56" s="168">
        <f t="shared" si="52"/>
        <v>37.361966081683555</v>
      </c>
      <c r="CR56" s="168">
        <f t="shared" si="52"/>
        <v>37.361966081683555</v>
      </c>
      <c r="CS56" s="168">
        <f t="shared" si="52"/>
        <v>37.361966081683555</v>
      </c>
      <c r="CT56" s="168">
        <f t="shared" si="52"/>
        <v>37.361966081683555</v>
      </c>
      <c r="CU56" s="168">
        <f t="shared" si="52"/>
        <v>37.361966081683555</v>
      </c>
      <c r="CV56" s="168">
        <f t="shared" si="52"/>
        <v>37.361966081683555</v>
      </c>
      <c r="CW56" s="168">
        <f t="shared" si="52"/>
        <v>37.361966081683555</v>
      </c>
      <c r="CX56" s="168">
        <f t="shared" si="52"/>
        <v>37.361966081683555</v>
      </c>
      <c r="CY56" s="168">
        <f t="shared" si="52"/>
        <v>37.361966081683555</v>
      </c>
      <c r="CZ56" s="168">
        <f t="shared" si="52"/>
        <v>37.361966081683555</v>
      </c>
      <c r="DA56" s="168">
        <f t="shared" si="52"/>
        <v>37.361966081683555</v>
      </c>
      <c r="DC56">
        <v>52</v>
      </c>
      <c r="DD56" s="114">
        <v>41.128697458753308</v>
      </c>
      <c r="DE56" s="114">
        <v>-21.183210601021596</v>
      </c>
      <c r="DF56" s="114">
        <v>7.0895299377114105</v>
      </c>
      <c r="DG56" s="114">
        <v>38.979342590042172</v>
      </c>
      <c r="DH56" s="114">
        <v>-15.695048383028224</v>
      </c>
      <c r="DI56" s="114">
        <v>8.1701729157267078</v>
      </c>
      <c r="DJ56" s="114">
        <v>5.992281713053548</v>
      </c>
      <c r="DK56" s="114">
        <f t="shared" si="0"/>
        <v>35.907440128595965</v>
      </c>
      <c r="DL56" s="114">
        <f t="shared" si="1"/>
        <v>2.81863343294581</v>
      </c>
      <c r="DM56" s="114">
        <f t="shared" si="2"/>
        <v>161.49579970226543</v>
      </c>
      <c r="DN56" s="115">
        <f t="shared" si="3"/>
        <v>8</v>
      </c>
      <c r="DO56">
        <v>6</v>
      </c>
    </row>
    <row r="57" spans="1:119">
      <c r="A57">
        <v>620</v>
      </c>
      <c r="B57" s="120">
        <f>'Color metric'!B51</f>
        <v>0.476221928665786</v>
      </c>
      <c r="C57" s="112">
        <f>Reference!N57</f>
        <v>6.520857417933505</v>
      </c>
      <c r="D57" s="112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  <c r="AB57" s="160"/>
      <c r="AC57" s="160"/>
      <c r="AD57" s="160"/>
      <c r="AE57" s="160"/>
      <c r="AF57" s="160"/>
      <c r="AG57" s="160"/>
      <c r="AH57" s="160"/>
      <c r="AI57" s="160"/>
      <c r="AJ57" s="160"/>
      <c r="AK57" s="160"/>
      <c r="AL57" s="160"/>
      <c r="AM57" s="160"/>
      <c r="AN57" s="160"/>
      <c r="AO57" s="160"/>
      <c r="AP57" s="160"/>
      <c r="AQ57" s="160"/>
      <c r="AR57" s="160"/>
      <c r="AS57" s="160"/>
      <c r="AT57" s="160"/>
      <c r="AU57" s="160"/>
      <c r="AV57" s="160"/>
      <c r="AW57" s="160"/>
      <c r="AX57" s="160"/>
      <c r="AY57" s="160"/>
      <c r="AZ57" s="160"/>
      <c r="BA57" s="160"/>
      <c r="BB57" s="160"/>
      <c r="BC57" s="160"/>
      <c r="BD57" s="160"/>
      <c r="BE57" s="160"/>
      <c r="BF57" s="160"/>
      <c r="BG57" s="160"/>
      <c r="BH57" s="160"/>
      <c r="BI57" s="160"/>
      <c r="BJ57" s="160"/>
      <c r="BK57" s="160"/>
      <c r="BL57" s="160"/>
      <c r="BM57" s="160"/>
      <c r="BN57" s="160"/>
      <c r="BO57" s="160"/>
      <c r="BP57" s="160"/>
      <c r="BQ57" s="160"/>
      <c r="BR57" s="160"/>
      <c r="BS57" s="160"/>
      <c r="BT57" s="160"/>
      <c r="BU57" s="160"/>
      <c r="BV57" s="160"/>
      <c r="BW57" s="160"/>
      <c r="BX57" s="160"/>
      <c r="BY57" s="160"/>
      <c r="BZ57" s="160"/>
      <c r="CA57" s="160"/>
      <c r="CB57" s="160"/>
      <c r="CC57" s="160"/>
      <c r="CD57" s="160"/>
      <c r="CE57" s="160"/>
      <c r="CF57" s="160"/>
      <c r="CG57" s="160"/>
      <c r="CH57" s="160"/>
      <c r="CI57" s="160"/>
      <c r="CJ57" s="160"/>
      <c r="CK57" s="160"/>
      <c r="CL57" s="160"/>
      <c r="CM57" s="160"/>
      <c r="CN57" s="160"/>
      <c r="CO57" s="160"/>
      <c r="CP57" s="160"/>
      <c r="CQ57" s="160"/>
      <c r="CR57" s="160"/>
      <c r="CS57" s="160"/>
      <c r="CT57" s="160"/>
      <c r="CU57" s="160"/>
      <c r="CV57" s="160"/>
      <c r="CW57" s="160"/>
      <c r="CX57" s="160"/>
      <c r="CY57" s="160"/>
      <c r="CZ57" s="160"/>
      <c r="DA57" s="160"/>
      <c r="DC57">
        <v>53</v>
      </c>
      <c r="DD57" s="114">
        <v>49.310746346068164</v>
      </c>
      <c r="DE57" s="114">
        <v>-30.794388379814777</v>
      </c>
      <c r="DF57" s="114">
        <v>3.2549539212999745</v>
      </c>
      <c r="DG57" s="114">
        <v>46.827453102474934</v>
      </c>
      <c r="DH57" s="114">
        <v>-24.248854457037638</v>
      </c>
      <c r="DI57" s="114">
        <v>5.8709288325782945</v>
      </c>
      <c r="DJ57" s="114">
        <v>7.4735590185894489</v>
      </c>
      <c r="DK57" s="114">
        <f t="shared" si="0"/>
        <v>55.854084404339687</v>
      </c>
      <c r="DL57" s="114">
        <f t="shared" si="1"/>
        <v>3.0362840949974004</v>
      </c>
      <c r="DM57" s="114">
        <f t="shared" si="2"/>
        <v>173.96626404604976</v>
      </c>
      <c r="DN57" s="115">
        <f t="shared" si="3"/>
        <v>8</v>
      </c>
      <c r="DO57">
        <v>5</v>
      </c>
    </row>
    <row r="58" spans="1:119">
      <c r="A58">
        <v>625</v>
      </c>
      <c r="B58" s="120">
        <f>'Color metric'!B52</f>
        <v>0.41479524438573318</v>
      </c>
      <c r="C58" s="112">
        <f>Reference!N58</f>
        <v>6.6729378535345596</v>
      </c>
      <c r="D58" s="112"/>
      <c r="E58" s="172" t="s">
        <v>285</v>
      </c>
      <c r="F58" s="168">
        <f>1/(5*$F$43+1)</f>
        <v>1.996007984031936E-3</v>
      </c>
      <c r="G58" s="168">
        <f t="shared" ref="G58:BR58" si="53">1/(5*$F$43+1)</f>
        <v>1.996007984031936E-3</v>
      </c>
      <c r="H58" s="168">
        <f t="shared" si="53"/>
        <v>1.996007984031936E-3</v>
      </c>
      <c r="I58" s="168">
        <f t="shared" si="53"/>
        <v>1.996007984031936E-3</v>
      </c>
      <c r="J58" s="168">
        <f t="shared" si="53"/>
        <v>1.996007984031936E-3</v>
      </c>
      <c r="K58" s="168">
        <f t="shared" si="53"/>
        <v>1.996007984031936E-3</v>
      </c>
      <c r="L58" s="168">
        <f t="shared" si="53"/>
        <v>1.996007984031936E-3</v>
      </c>
      <c r="M58" s="168">
        <f t="shared" si="53"/>
        <v>1.996007984031936E-3</v>
      </c>
      <c r="N58" s="168">
        <f t="shared" si="53"/>
        <v>1.996007984031936E-3</v>
      </c>
      <c r="O58" s="168">
        <f t="shared" si="53"/>
        <v>1.996007984031936E-3</v>
      </c>
      <c r="P58" s="168">
        <f t="shared" si="53"/>
        <v>1.996007984031936E-3</v>
      </c>
      <c r="Q58" s="168">
        <f t="shared" si="53"/>
        <v>1.996007984031936E-3</v>
      </c>
      <c r="R58" s="168">
        <f t="shared" si="53"/>
        <v>1.996007984031936E-3</v>
      </c>
      <c r="S58" s="168">
        <f t="shared" si="53"/>
        <v>1.996007984031936E-3</v>
      </c>
      <c r="T58" s="168">
        <f t="shared" si="53"/>
        <v>1.996007984031936E-3</v>
      </c>
      <c r="U58" s="168">
        <f t="shared" si="53"/>
        <v>1.996007984031936E-3</v>
      </c>
      <c r="V58" s="168">
        <f t="shared" si="53"/>
        <v>1.996007984031936E-3</v>
      </c>
      <c r="W58" s="168">
        <f t="shared" si="53"/>
        <v>1.996007984031936E-3</v>
      </c>
      <c r="X58" s="168">
        <f t="shared" si="53"/>
        <v>1.996007984031936E-3</v>
      </c>
      <c r="Y58" s="168">
        <f t="shared" si="53"/>
        <v>1.996007984031936E-3</v>
      </c>
      <c r="Z58" s="168">
        <f t="shared" si="53"/>
        <v>1.996007984031936E-3</v>
      </c>
      <c r="AA58" s="168">
        <f t="shared" si="53"/>
        <v>1.996007984031936E-3</v>
      </c>
      <c r="AB58" s="168">
        <f t="shared" si="53"/>
        <v>1.996007984031936E-3</v>
      </c>
      <c r="AC58" s="168">
        <f t="shared" si="53"/>
        <v>1.996007984031936E-3</v>
      </c>
      <c r="AD58" s="168">
        <f t="shared" si="53"/>
        <v>1.996007984031936E-3</v>
      </c>
      <c r="AE58" s="168">
        <f t="shared" si="53"/>
        <v>1.996007984031936E-3</v>
      </c>
      <c r="AF58" s="168">
        <f t="shared" si="53"/>
        <v>1.996007984031936E-3</v>
      </c>
      <c r="AG58" s="168">
        <f t="shared" si="53"/>
        <v>1.996007984031936E-3</v>
      </c>
      <c r="AH58" s="168">
        <f t="shared" si="53"/>
        <v>1.996007984031936E-3</v>
      </c>
      <c r="AI58" s="168">
        <f t="shared" si="53"/>
        <v>1.996007984031936E-3</v>
      </c>
      <c r="AJ58" s="168">
        <f t="shared" si="53"/>
        <v>1.996007984031936E-3</v>
      </c>
      <c r="AK58" s="168">
        <f t="shared" si="53"/>
        <v>1.996007984031936E-3</v>
      </c>
      <c r="AL58" s="168">
        <f t="shared" si="53"/>
        <v>1.996007984031936E-3</v>
      </c>
      <c r="AM58" s="168">
        <f t="shared" si="53"/>
        <v>1.996007984031936E-3</v>
      </c>
      <c r="AN58" s="168">
        <f t="shared" si="53"/>
        <v>1.996007984031936E-3</v>
      </c>
      <c r="AO58" s="168">
        <f t="shared" si="53"/>
        <v>1.996007984031936E-3</v>
      </c>
      <c r="AP58" s="168">
        <f t="shared" si="53"/>
        <v>1.996007984031936E-3</v>
      </c>
      <c r="AQ58" s="168">
        <f t="shared" si="53"/>
        <v>1.996007984031936E-3</v>
      </c>
      <c r="AR58" s="168">
        <f t="shared" si="53"/>
        <v>1.996007984031936E-3</v>
      </c>
      <c r="AS58" s="168">
        <f t="shared" si="53"/>
        <v>1.996007984031936E-3</v>
      </c>
      <c r="AT58" s="168">
        <f t="shared" si="53"/>
        <v>1.996007984031936E-3</v>
      </c>
      <c r="AU58" s="168">
        <f t="shared" si="53"/>
        <v>1.996007984031936E-3</v>
      </c>
      <c r="AV58" s="168">
        <f t="shared" si="53"/>
        <v>1.996007984031936E-3</v>
      </c>
      <c r="AW58" s="168">
        <f t="shared" si="53"/>
        <v>1.996007984031936E-3</v>
      </c>
      <c r="AX58" s="168">
        <f t="shared" si="53"/>
        <v>1.996007984031936E-3</v>
      </c>
      <c r="AY58" s="168">
        <f t="shared" si="53"/>
        <v>1.996007984031936E-3</v>
      </c>
      <c r="AZ58" s="168">
        <f t="shared" si="53"/>
        <v>1.996007984031936E-3</v>
      </c>
      <c r="BA58" s="168">
        <f t="shared" si="53"/>
        <v>1.996007984031936E-3</v>
      </c>
      <c r="BB58" s="168">
        <f t="shared" si="53"/>
        <v>1.996007984031936E-3</v>
      </c>
      <c r="BC58" s="168">
        <f t="shared" si="53"/>
        <v>1.996007984031936E-3</v>
      </c>
      <c r="BD58" s="168">
        <f t="shared" si="53"/>
        <v>1.996007984031936E-3</v>
      </c>
      <c r="BE58" s="168">
        <f t="shared" si="53"/>
        <v>1.996007984031936E-3</v>
      </c>
      <c r="BF58" s="168">
        <f t="shared" si="53"/>
        <v>1.996007984031936E-3</v>
      </c>
      <c r="BG58" s="168">
        <f t="shared" si="53"/>
        <v>1.996007984031936E-3</v>
      </c>
      <c r="BH58" s="168">
        <f t="shared" si="53"/>
        <v>1.996007984031936E-3</v>
      </c>
      <c r="BI58" s="168">
        <f t="shared" si="53"/>
        <v>1.996007984031936E-3</v>
      </c>
      <c r="BJ58" s="168">
        <f t="shared" si="53"/>
        <v>1.996007984031936E-3</v>
      </c>
      <c r="BK58" s="168">
        <f t="shared" si="53"/>
        <v>1.996007984031936E-3</v>
      </c>
      <c r="BL58" s="168">
        <f t="shared" si="53"/>
        <v>1.996007984031936E-3</v>
      </c>
      <c r="BM58" s="168">
        <f t="shared" si="53"/>
        <v>1.996007984031936E-3</v>
      </c>
      <c r="BN58" s="168">
        <f t="shared" si="53"/>
        <v>1.996007984031936E-3</v>
      </c>
      <c r="BO58" s="168">
        <f t="shared" si="53"/>
        <v>1.996007984031936E-3</v>
      </c>
      <c r="BP58" s="168">
        <f t="shared" si="53"/>
        <v>1.996007984031936E-3</v>
      </c>
      <c r="BQ58" s="168">
        <f t="shared" si="53"/>
        <v>1.996007984031936E-3</v>
      </c>
      <c r="BR58" s="168">
        <f t="shared" si="53"/>
        <v>1.996007984031936E-3</v>
      </c>
      <c r="BS58" s="168">
        <f t="shared" ref="BS58:DA58" si="54">1/(5*$F$43+1)</f>
        <v>1.996007984031936E-3</v>
      </c>
      <c r="BT58" s="168">
        <f t="shared" si="54"/>
        <v>1.996007984031936E-3</v>
      </c>
      <c r="BU58" s="168">
        <f t="shared" si="54"/>
        <v>1.996007984031936E-3</v>
      </c>
      <c r="BV58" s="168">
        <f t="shared" si="54"/>
        <v>1.996007984031936E-3</v>
      </c>
      <c r="BW58" s="168">
        <f t="shared" si="54"/>
        <v>1.996007984031936E-3</v>
      </c>
      <c r="BX58" s="168">
        <f t="shared" si="54"/>
        <v>1.996007984031936E-3</v>
      </c>
      <c r="BY58" s="168">
        <f t="shared" si="54"/>
        <v>1.996007984031936E-3</v>
      </c>
      <c r="BZ58" s="168">
        <f t="shared" si="54"/>
        <v>1.996007984031936E-3</v>
      </c>
      <c r="CA58" s="168">
        <f t="shared" si="54"/>
        <v>1.996007984031936E-3</v>
      </c>
      <c r="CB58" s="168">
        <f t="shared" si="54"/>
        <v>1.996007984031936E-3</v>
      </c>
      <c r="CC58" s="168">
        <f t="shared" si="54"/>
        <v>1.996007984031936E-3</v>
      </c>
      <c r="CD58" s="168">
        <f t="shared" si="54"/>
        <v>1.996007984031936E-3</v>
      </c>
      <c r="CE58" s="168">
        <f t="shared" si="54"/>
        <v>1.996007984031936E-3</v>
      </c>
      <c r="CF58" s="168">
        <f t="shared" si="54"/>
        <v>1.996007984031936E-3</v>
      </c>
      <c r="CG58" s="168">
        <f t="shared" si="54"/>
        <v>1.996007984031936E-3</v>
      </c>
      <c r="CH58" s="168">
        <f t="shared" si="54"/>
        <v>1.996007984031936E-3</v>
      </c>
      <c r="CI58" s="168">
        <f t="shared" si="54"/>
        <v>1.996007984031936E-3</v>
      </c>
      <c r="CJ58" s="168">
        <f t="shared" si="54"/>
        <v>1.996007984031936E-3</v>
      </c>
      <c r="CK58" s="168">
        <f t="shared" si="54"/>
        <v>1.996007984031936E-3</v>
      </c>
      <c r="CL58" s="168">
        <f t="shared" si="54"/>
        <v>1.996007984031936E-3</v>
      </c>
      <c r="CM58" s="168">
        <f t="shared" si="54"/>
        <v>1.996007984031936E-3</v>
      </c>
      <c r="CN58" s="168">
        <f t="shared" si="54"/>
        <v>1.996007984031936E-3</v>
      </c>
      <c r="CO58" s="168">
        <f t="shared" si="54"/>
        <v>1.996007984031936E-3</v>
      </c>
      <c r="CP58" s="168">
        <f t="shared" si="54"/>
        <v>1.996007984031936E-3</v>
      </c>
      <c r="CQ58" s="168">
        <f t="shared" si="54"/>
        <v>1.996007984031936E-3</v>
      </c>
      <c r="CR58" s="168">
        <f t="shared" si="54"/>
        <v>1.996007984031936E-3</v>
      </c>
      <c r="CS58" s="168">
        <f t="shared" si="54"/>
        <v>1.996007984031936E-3</v>
      </c>
      <c r="CT58" s="168">
        <f t="shared" si="54"/>
        <v>1.996007984031936E-3</v>
      </c>
      <c r="CU58" s="168">
        <f t="shared" si="54"/>
        <v>1.996007984031936E-3</v>
      </c>
      <c r="CV58" s="168">
        <f t="shared" si="54"/>
        <v>1.996007984031936E-3</v>
      </c>
      <c r="CW58" s="168">
        <f t="shared" si="54"/>
        <v>1.996007984031936E-3</v>
      </c>
      <c r="CX58" s="168">
        <f t="shared" si="54"/>
        <v>1.996007984031936E-3</v>
      </c>
      <c r="CY58" s="168">
        <f t="shared" si="54"/>
        <v>1.996007984031936E-3</v>
      </c>
      <c r="CZ58" s="168">
        <f t="shared" si="54"/>
        <v>1.996007984031936E-3</v>
      </c>
      <c r="DA58" s="168">
        <f t="shared" si="54"/>
        <v>1.996007984031936E-3</v>
      </c>
      <c r="DC58">
        <v>54</v>
      </c>
      <c r="DD58" s="114">
        <v>86.973916270251394</v>
      </c>
      <c r="DE58" s="114">
        <v>-16.161568532224059</v>
      </c>
      <c r="DF58" s="114">
        <v>-0.81452394932007366</v>
      </c>
      <c r="DG58" s="114">
        <v>86.959389438786218</v>
      </c>
      <c r="DH58" s="114">
        <v>-12.269466325509999</v>
      </c>
      <c r="DI58" s="114">
        <v>2.332611947961901</v>
      </c>
      <c r="DJ58" s="114">
        <v>5.0053106769012548</v>
      </c>
      <c r="DK58" s="114">
        <f t="shared" si="0"/>
        <v>25.053134972301699</v>
      </c>
      <c r="DL58" s="114">
        <f t="shared" si="1"/>
        <v>3.1919488647123559</v>
      </c>
      <c r="DM58" s="114">
        <f t="shared" si="2"/>
        <v>182.88519836959259</v>
      </c>
      <c r="DN58" s="115">
        <f t="shared" si="3"/>
        <v>9</v>
      </c>
      <c r="DO58">
        <v>6</v>
      </c>
    </row>
    <row r="59" spans="1:119">
      <c r="A59">
        <v>630</v>
      </c>
      <c r="B59" s="120">
        <f>'Color metric'!B53</f>
        <v>0.36096433289299867</v>
      </c>
      <c r="C59" s="112">
        <f>Reference!N59</f>
        <v>6.82391057249556</v>
      </c>
      <c r="D59" s="112"/>
      <c r="E59" s="172" t="s">
        <v>286</v>
      </c>
      <c r="F59" s="168">
        <f>0.2*F58^4*5*$F$43+0.1*(1-F58^4)^2*(5*$F$43)^(1/3)</f>
        <v>0.79370052754616693</v>
      </c>
      <c r="G59" s="168">
        <f t="shared" ref="G59:BR59" si="55">0.2*G58^4*5*$F$43+0.1*(1-G58^4)^2*(5*$F$43)^(1/3)</f>
        <v>0.79370052754616693</v>
      </c>
      <c r="H59" s="168">
        <f t="shared" si="55"/>
        <v>0.79370052754616693</v>
      </c>
      <c r="I59" s="168">
        <f t="shared" si="55"/>
        <v>0.79370052754616693</v>
      </c>
      <c r="J59" s="168">
        <f t="shared" si="55"/>
        <v>0.79370052754616693</v>
      </c>
      <c r="K59" s="168">
        <f t="shared" si="55"/>
        <v>0.79370052754616693</v>
      </c>
      <c r="L59" s="168">
        <f t="shared" si="55"/>
        <v>0.79370052754616693</v>
      </c>
      <c r="M59" s="168">
        <f t="shared" si="55"/>
        <v>0.79370052754616693</v>
      </c>
      <c r="N59" s="168">
        <f t="shared" si="55"/>
        <v>0.79370052754616693</v>
      </c>
      <c r="O59" s="168">
        <f t="shared" si="55"/>
        <v>0.79370052754616693</v>
      </c>
      <c r="P59" s="168">
        <f t="shared" si="55"/>
        <v>0.79370052754616693</v>
      </c>
      <c r="Q59" s="168">
        <f t="shared" si="55"/>
        <v>0.79370052754616693</v>
      </c>
      <c r="R59" s="168">
        <f t="shared" si="55"/>
        <v>0.79370052754616693</v>
      </c>
      <c r="S59" s="168">
        <f t="shared" si="55"/>
        <v>0.79370052754616693</v>
      </c>
      <c r="T59" s="168">
        <f t="shared" si="55"/>
        <v>0.79370052754616693</v>
      </c>
      <c r="U59" s="168">
        <f t="shared" si="55"/>
        <v>0.79370052754616693</v>
      </c>
      <c r="V59" s="168">
        <f t="shared" si="55"/>
        <v>0.79370052754616693</v>
      </c>
      <c r="W59" s="168">
        <f t="shared" si="55"/>
        <v>0.79370052754616693</v>
      </c>
      <c r="X59" s="168">
        <f t="shared" si="55"/>
        <v>0.79370052754616693</v>
      </c>
      <c r="Y59" s="168">
        <f t="shared" si="55"/>
        <v>0.79370052754616693</v>
      </c>
      <c r="Z59" s="168">
        <f t="shared" si="55"/>
        <v>0.79370052754616693</v>
      </c>
      <c r="AA59" s="168">
        <f t="shared" si="55"/>
        <v>0.79370052754616693</v>
      </c>
      <c r="AB59" s="168">
        <f t="shared" si="55"/>
        <v>0.79370052754616693</v>
      </c>
      <c r="AC59" s="168">
        <f t="shared" si="55"/>
        <v>0.79370052754616693</v>
      </c>
      <c r="AD59" s="168">
        <f t="shared" si="55"/>
        <v>0.79370052754616693</v>
      </c>
      <c r="AE59" s="168">
        <f t="shared" si="55"/>
        <v>0.79370052754616693</v>
      </c>
      <c r="AF59" s="168">
        <f t="shared" si="55"/>
        <v>0.79370052754616693</v>
      </c>
      <c r="AG59" s="168">
        <f t="shared" si="55"/>
        <v>0.79370052754616693</v>
      </c>
      <c r="AH59" s="168">
        <f t="shared" si="55"/>
        <v>0.79370052754616693</v>
      </c>
      <c r="AI59" s="168">
        <f t="shared" si="55"/>
        <v>0.79370052754616693</v>
      </c>
      <c r="AJ59" s="168">
        <f t="shared" si="55"/>
        <v>0.79370052754616693</v>
      </c>
      <c r="AK59" s="168">
        <f t="shared" si="55"/>
        <v>0.79370052754616693</v>
      </c>
      <c r="AL59" s="168">
        <f t="shared" si="55"/>
        <v>0.79370052754616693</v>
      </c>
      <c r="AM59" s="168">
        <f t="shared" si="55"/>
        <v>0.79370052754616693</v>
      </c>
      <c r="AN59" s="168">
        <f t="shared" si="55"/>
        <v>0.79370052754616693</v>
      </c>
      <c r="AO59" s="168">
        <f t="shared" si="55"/>
        <v>0.79370052754616693</v>
      </c>
      <c r="AP59" s="168">
        <f t="shared" si="55"/>
        <v>0.79370052754616693</v>
      </c>
      <c r="AQ59" s="168">
        <f t="shared" si="55"/>
        <v>0.79370052754616693</v>
      </c>
      <c r="AR59" s="168">
        <f t="shared" si="55"/>
        <v>0.79370052754616693</v>
      </c>
      <c r="AS59" s="168">
        <f t="shared" si="55"/>
        <v>0.79370052754616693</v>
      </c>
      <c r="AT59" s="168">
        <f t="shared" si="55"/>
        <v>0.79370052754616693</v>
      </c>
      <c r="AU59" s="168">
        <f t="shared" si="55"/>
        <v>0.79370052754616693</v>
      </c>
      <c r="AV59" s="168">
        <f t="shared" si="55"/>
        <v>0.79370052754616693</v>
      </c>
      <c r="AW59" s="168">
        <f t="shared" si="55"/>
        <v>0.79370052754616693</v>
      </c>
      <c r="AX59" s="168">
        <f t="shared" si="55"/>
        <v>0.79370052754616693</v>
      </c>
      <c r="AY59" s="168">
        <f t="shared" si="55"/>
        <v>0.79370052754616693</v>
      </c>
      <c r="AZ59" s="168">
        <f t="shared" si="55"/>
        <v>0.79370052754616693</v>
      </c>
      <c r="BA59" s="168">
        <f t="shared" si="55"/>
        <v>0.79370052754616693</v>
      </c>
      <c r="BB59" s="168">
        <f t="shared" si="55"/>
        <v>0.79370052754616693</v>
      </c>
      <c r="BC59" s="168">
        <f t="shared" si="55"/>
        <v>0.79370052754616693</v>
      </c>
      <c r="BD59" s="168">
        <f t="shared" si="55"/>
        <v>0.79370052754616693</v>
      </c>
      <c r="BE59" s="168">
        <f t="shared" si="55"/>
        <v>0.79370052754616693</v>
      </c>
      <c r="BF59" s="168">
        <f t="shared" si="55"/>
        <v>0.79370052754616693</v>
      </c>
      <c r="BG59" s="168">
        <f t="shared" si="55"/>
        <v>0.79370052754616693</v>
      </c>
      <c r="BH59" s="168">
        <f t="shared" si="55"/>
        <v>0.79370052754616693</v>
      </c>
      <c r="BI59" s="168">
        <f t="shared" si="55"/>
        <v>0.79370052754616693</v>
      </c>
      <c r="BJ59" s="168">
        <f t="shared" si="55"/>
        <v>0.79370052754616693</v>
      </c>
      <c r="BK59" s="168">
        <f t="shared" si="55"/>
        <v>0.79370052754616693</v>
      </c>
      <c r="BL59" s="168">
        <f t="shared" si="55"/>
        <v>0.79370052754616693</v>
      </c>
      <c r="BM59" s="168">
        <f t="shared" si="55"/>
        <v>0.79370052754616693</v>
      </c>
      <c r="BN59" s="168">
        <f t="shared" si="55"/>
        <v>0.79370052754616693</v>
      </c>
      <c r="BO59" s="168">
        <f t="shared" si="55"/>
        <v>0.79370052754616693</v>
      </c>
      <c r="BP59" s="168">
        <f t="shared" si="55"/>
        <v>0.79370052754616693</v>
      </c>
      <c r="BQ59" s="168">
        <f t="shared" si="55"/>
        <v>0.79370052754616693</v>
      </c>
      <c r="BR59" s="168">
        <f t="shared" si="55"/>
        <v>0.79370052754616693</v>
      </c>
      <c r="BS59" s="168">
        <f t="shared" ref="BS59:DA59" si="56">0.2*BS58^4*5*$F$43+0.1*(1-BS58^4)^2*(5*$F$43)^(1/3)</f>
        <v>0.79370052754616693</v>
      </c>
      <c r="BT59" s="168">
        <f t="shared" si="56"/>
        <v>0.79370052754616693</v>
      </c>
      <c r="BU59" s="168">
        <f t="shared" si="56"/>
        <v>0.79370052754616693</v>
      </c>
      <c r="BV59" s="168">
        <f t="shared" si="56"/>
        <v>0.79370052754616693</v>
      </c>
      <c r="BW59" s="168">
        <f t="shared" si="56"/>
        <v>0.79370052754616693</v>
      </c>
      <c r="BX59" s="168">
        <f t="shared" si="56"/>
        <v>0.79370052754616693</v>
      </c>
      <c r="BY59" s="168">
        <f t="shared" si="56"/>
        <v>0.79370052754616693</v>
      </c>
      <c r="BZ59" s="168">
        <f t="shared" si="56"/>
        <v>0.79370052754616693</v>
      </c>
      <c r="CA59" s="168">
        <f t="shared" si="56"/>
        <v>0.79370052754616693</v>
      </c>
      <c r="CB59" s="168">
        <f t="shared" si="56"/>
        <v>0.79370052754616693</v>
      </c>
      <c r="CC59" s="168">
        <f t="shared" si="56"/>
        <v>0.79370052754616693</v>
      </c>
      <c r="CD59" s="168">
        <f t="shared" si="56"/>
        <v>0.79370052754616693</v>
      </c>
      <c r="CE59" s="168">
        <f t="shared" si="56"/>
        <v>0.79370052754616693</v>
      </c>
      <c r="CF59" s="168">
        <f t="shared" si="56"/>
        <v>0.79370052754616693</v>
      </c>
      <c r="CG59" s="168">
        <f t="shared" si="56"/>
        <v>0.79370052754616693</v>
      </c>
      <c r="CH59" s="168">
        <f t="shared" si="56"/>
        <v>0.79370052754616693</v>
      </c>
      <c r="CI59" s="168">
        <f t="shared" si="56"/>
        <v>0.79370052754616693</v>
      </c>
      <c r="CJ59" s="168">
        <f t="shared" si="56"/>
        <v>0.79370052754616693</v>
      </c>
      <c r="CK59" s="168">
        <f t="shared" si="56"/>
        <v>0.79370052754616693</v>
      </c>
      <c r="CL59" s="168">
        <f t="shared" si="56"/>
        <v>0.79370052754616693</v>
      </c>
      <c r="CM59" s="168">
        <f t="shared" si="56"/>
        <v>0.79370052754616693</v>
      </c>
      <c r="CN59" s="168">
        <f t="shared" si="56"/>
        <v>0.79370052754616693</v>
      </c>
      <c r="CO59" s="168">
        <f t="shared" si="56"/>
        <v>0.79370052754616693</v>
      </c>
      <c r="CP59" s="168">
        <f t="shared" si="56"/>
        <v>0.79370052754616693</v>
      </c>
      <c r="CQ59" s="168">
        <f t="shared" si="56"/>
        <v>0.79370052754616693</v>
      </c>
      <c r="CR59" s="168">
        <f t="shared" si="56"/>
        <v>0.79370052754616693</v>
      </c>
      <c r="CS59" s="168">
        <f t="shared" si="56"/>
        <v>0.79370052754616693</v>
      </c>
      <c r="CT59" s="168">
        <f t="shared" si="56"/>
        <v>0.79370052754616693</v>
      </c>
      <c r="CU59" s="168">
        <f t="shared" si="56"/>
        <v>0.79370052754616693</v>
      </c>
      <c r="CV59" s="168">
        <f t="shared" si="56"/>
        <v>0.79370052754616693</v>
      </c>
      <c r="CW59" s="168">
        <f t="shared" si="56"/>
        <v>0.79370052754616693</v>
      </c>
      <c r="CX59" s="168">
        <f t="shared" si="56"/>
        <v>0.79370052754616693</v>
      </c>
      <c r="CY59" s="168">
        <f t="shared" si="56"/>
        <v>0.79370052754616693</v>
      </c>
      <c r="CZ59" s="168">
        <f t="shared" si="56"/>
        <v>0.79370052754616693</v>
      </c>
      <c r="DA59" s="168">
        <f t="shared" si="56"/>
        <v>0.79370052754616693</v>
      </c>
      <c r="DC59">
        <v>55</v>
      </c>
      <c r="DD59" s="114">
        <v>83.538612479496607</v>
      </c>
      <c r="DE59" s="114">
        <v>-17.925526159233002</v>
      </c>
      <c r="DF59" s="114">
        <v>-2.441578824173094</v>
      </c>
      <c r="DG59" s="114">
        <v>82.887906761587303</v>
      </c>
      <c r="DH59" s="114">
        <v>-13.462098210723543</v>
      </c>
      <c r="DI59" s="114">
        <v>0.40329765177084365</v>
      </c>
      <c r="DJ59" s="114">
        <v>5.3328162490596291</v>
      </c>
      <c r="DK59" s="114">
        <f t="shared" si="0"/>
        <v>28.438929146234411</v>
      </c>
      <c r="DL59" s="114">
        <f t="shared" si="1"/>
        <v>3.2769664057808328</v>
      </c>
      <c r="DM59" s="114">
        <f t="shared" si="2"/>
        <v>187.75634465739645</v>
      </c>
      <c r="DN59" s="115">
        <f t="shared" si="3"/>
        <v>9</v>
      </c>
      <c r="DO59">
        <v>7</v>
      </c>
    </row>
    <row r="60" spans="1:119">
      <c r="A60">
        <v>635</v>
      </c>
      <c r="B60" s="120">
        <f>'Color metric'!B54</f>
        <v>0.31439894319682954</v>
      </c>
      <c r="C60" s="112">
        <f>Reference!N60</f>
        <v>6.9736725429515047</v>
      </c>
      <c r="D60" s="112"/>
      <c r="E60" s="172" t="s">
        <v>287</v>
      </c>
      <c r="F60" s="168">
        <f>$F$44/F55</f>
        <v>0.2</v>
      </c>
      <c r="G60" s="168">
        <f t="shared" ref="G60:BR60" si="57">$F$44/G55</f>
        <v>0.2</v>
      </c>
      <c r="H60" s="168">
        <f t="shared" si="57"/>
        <v>0.2</v>
      </c>
      <c r="I60" s="168">
        <f t="shared" si="57"/>
        <v>0.2</v>
      </c>
      <c r="J60" s="168">
        <f t="shared" si="57"/>
        <v>0.2</v>
      </c>
      <c r="K60" s="168">
        <f t="shared" si="57"/>
        <v>0.2</v>
      </c>
      <c r="L60" s="168">
        <f t="shared" si="57"/>
        <v>0.2</v>
      </c>
      <c r="M60" s="168">
        <f t="shared" si="57"/>
        <v>0.2</v>
      </c>
      <c r="N60" s="168">
        <f t="shared" si="57"/>
        <v>0.2</v>
      </c>
      <c r="O60" s="168">
        <f t="shared" si="57"/>
        <v>0.2</v>
      </c>
      <c r="P60" s="168">
        <f t="shared" si="57"/>
        <v>0.2</v>
      </c>
      <c r="Q60" s="168">
        <f t="shared" si="57"/>
        <v>0.2</v>
      </c>
      <c r="R60" s="168">
        <f t="shared" si="57"/>
        <v>0.2</v>
      </c>
      <c r="S60" s="168">
        <f t="shared" si="57"/>
        <v>0.2</v>
      </c>
      <c r="T60" s="168">
        <f t="shared" si="57"/>
        <v>0.2</v>
      </c>
      <c r="U60" s="168">
        <f t="shared" si="57"/>
        <v>0.2</v>
      </c>
      <c r="V60" s="168">
        <f t="shared" si="57"/>
        <v>0.2</v>
      </c>
      <c r="W60" s="168">
        <f t="shared" si="57"/>
        <v>0.2</v>
      </c>
      <c r="X60" s="168">
        <f t="shared" si="57"/>
        <v>0.2</v>
      </c>
      <c r="Y60" s="168">
        <f t="shared" si="57"/>
        <v>0.2</v>
      </c>
      <c r="Z60" s="168">
        <f t="shared" si="57"/>
        <v>0.2</v>
      </c>
      <c r="AA60" s="168">
        <f t="shared" si="57"/>
        <v>0.2</v>
      </c>
      <c r="AB60" s="168">
        <f t="shared" si="57"/>
        <v>0.2</v>
      </c>
      <c r="AC60" s="168">
        <f t="shared" si="57"/>
        <v>0.2</v>
      </c>
      <c r="AD60" s="168">
        <f t="shared" si="57"/>
        <v>0.2</v>
      </c>
      <c r="AE60" s="168">
        <f t="shared" si="57"/>
        <v>0.2</v>
      </c>
      <c r="AF60" s="168">
        <f t="shared" si="57"/>
        <v>0.2</v>
      </c>
      <c r="AG60" s="168">
        <f t="shared" si="57"/>
        <v>0.2</v>
      </c>
      <c r="AH60" s="168">
        <f t="shared" si="57"/>
        <v>0.2</v>
      </c>
      <c r="AI60" s="168">
        <f t="shared" si="57"/>
        <v>0.2</v>
      </c>
      <c r="AJ60" s="168">
        <f t="shared" si="57"/>
        <v>0.2</v>
      </c>
      <c r="AK60" s="168">
        <f t="shared" si="57"/>
        <v>0.2</v>
      </c>
      <c r="AL60" s="168">
        <f t="shared" si="57"/>
        <v>0.2</v>
      </c>
      <c r="AM60" s="168">
        <f t="shared" si="57"/>
        <v>0.2</v>
      </c>
      <c r="AN60" s="168">
        <f t="shared" si="57"/>
        <v>0.2</v>
      </c>
      <c r="AO60" s="168">
        <f t="shared" si="57"/>
        <v>0.2</v>
      </c>
      <c r="AP60" s="168">
        <f t="shared" si="57"/>
        <v>0.2</v>
      </c>
      <c r="AQ60" s="168">
        <f t="shared" si="57"/>
        <v>0.2</v>
      </c>
      <c r="AR60" s="168">
        <f t="shared" si="57"/>
        <v>0.2</v>
      </c>
      <c r="AS60" s="168">
        <f t="shared" si="57"/>
        <v>0.2</v>
      </c>
      <c r="AT60" s="168">
        <f t="shared" si="57"/>
        <v>0.2</v>
      </c>
      <c r="AU60" s="168">
        <f t="shared" si="57"/>
        <v>0.2</v>
      </c>
      <c r="AV60" s="168">
        <f t="shared" si="57"/>
        <v>0.2</v>
      </c>
      <c r="AW60" s="168">
        <f t="shared" si="57"/>
        <v>0.2</v>
      </c>
      <c r="AX60" s="168">
        <f t="shared" si="57"/>
        <v>0.2</v>
      </c>
      <c r="AY60" s="168">
        <f t="shared" si="57"/>
        <v>0.2</v>
      </c>
      <c r="AZ60" s="168">
        <f t="shared" si="57"/>
        <v>0.2</v>
      </c>
      <c r="BA60" s="168">
        <f t="shared" si="57"/>
        <v>0.2</v>
      </c>
      <c r="BB60" s="168">
        <f t="shared" si="57"/>
        <v>0.2</v>
      </c>
      <c r="BC60" s="168">
        <f t="shared" si="57"/>
        <v>0.2</v>
      </c>
      <c r="BD60" s="168">
        <f t="shared" si="57"/>
        <v>0.2</v>
      </c>
      <c r="BE60" s="168">
        <f t="shared" si="57"/>
        <v>0.2</v>
      </c>
      <c r="BF60" s="168">
        <f t="shared" si="57"/>
        <v>0.2</v>
      </c>
      <c r="BG60" s="168">
        <f t="shared" si="57"/>
        <v>0.2</v>
      </c>
      <c r="BH60" s="168">
        <f t="shared" si="57"/>
        <v>0.2</v>
      </c>
      <c r="BI60" s="168">
        <f t="shared" si="57"/>
        <v>0.2</v>
      </c>
      <c r="BJ60" s="168">
        <f t="shared" si="57"/>
        <v>0.2</v>
      </c>
      <c r="BK60" s="168">
        <f t="shared" si="57"/>
        <v>0.2</v>
      </c>
      <c r="BL60" s="168">
        <f t="shared" si="57"/>
        <v>0.2</v>
      </c>
      <c r="BM60" s="168">
        <f t="shared" si="57"/>
        <v>0.2</v>
      </c>
      <c r="BN60" s="168">
        <f t="shared" si="57"/>
        <v>0.2</v>
      </c>
      <c r="BO60" s="168">
        <f t="shared" si="57"/>
        <v>0.2</v>
      </c>
      <c r="BP60" s="168">
        <f t="shared" si="57"/>
        <v>0.2</v>
      </c>
      <c r="BQ60" s="168">
        <f t="shared" si="57"/>
        <v>0.2</v>
      </c>
      <c r="BR60" s="168">
        <f t="shared" si="57"/>
        <v>0.2</v>
      </c>
      <c r="BS60" s="168">
        <f t="shared" ref="BS60:DA60" si="58">$F$44/BS55</f>
        <v>0.2</v>
      </c>
      <c r="BT60" s="168">
        <f t="shared" si="58"/>
        <v>0.2</v>
      </c>
      <c r="BU60" s="168">
        <f t="shared" si="58"/>
        <v>0.2</v>
      </c>
      <c r="BV60" s="168">
        <f t="shared" si="58"/>
        <v>0.2</v>
      </c>
      <c r="BW60" s="168">
        <f t="shared" si="58"/>
        <v>0.2</v>
      </c>
      <c r="BX60" s="168">
        <f t="shared" si="58"/>
        <v>0.2</v>
      </c>
      <c r="BY60" s="168">
        <f t="shared" si="58"/>
        <v>0.2</v>
      </c>
      <c r="BZ60" s="168">
        <f t="shared" si="58"/>
        <v>0.2</v>
      </c>
      <c r="CA60" s="168">
        <f t="shared" si="58"/>
        <v>0.2</v>
      </c>
      <c r="CB60" s="168">
        <f t="shared" si="58"/>
        <v>0.2</v>
      </c>
      <c r="CC60" s="168">
        <f t="shared" si="58"/>
        <v>0.2</v>
      </c>
      <c r="CD60" s="168">
        <f t="shared" si="58"/>
        <v>0.2</v>
      </c>
      <c r="CE60" s="168">
        <f t="shared" si="58"/>
        <v>0.2</v>
      </c>
      <c r="CF60" s="168">
        <f t="shared" si="58"/>
        <v>0.2</v>
      </c>
      <c r="CG60" s="168">
        <f t="shared" si="58"/>
        <v>0.2</v>
      </c>
      <c r="CH60" s="168">
        <f t="shared" si="58"/>
        <v>0.2</v>
      </c>
      <c r="CI60" s="168">
        <f t="shared" si="58"/>
        <v>0.2</v>
      </c>
      <c r="CJ60" s="168">
        <f t="shared" si="58"/>
        <v>0.2</v>
      </c>
      <c r="CK60" s="168">
        <f t="shared" si="58"/>
        <v>0.2</v>
      </c>
      <c r="CL60" s="168">
        <f t="shared" si="58"/>
        <v>0.2</v>
      </c>
      <c r="CM60" s="168">
        <f t="shared" si="58"/>
        <v>0.2</v>
      </c>
      <c r="CN60" s="168">
        <f t="shared" si="58"/>
        <v>0.2</v>
      </c>
      <c r="CO60" s="168">
        <f t="shared" si="58"/>
        <v>0.2</v>
      </c>
      <c r="CP60" s="168">
        <f t="shared" si="58"/>
        <v>0.2</v>
      </c>
      <c r="CQ60" s="168">
        <f t="shared" si="58"/>
        <v>0.2</v>
      </c>
      <c r="CR60" s="168">
        <f t="shared" si="58"/>
        <v>0.2</v>
      </c>
      <c r="CS60" s="168">
        <f t="shared" si="58"/>
        <v>0.2</v>
      </c>
      <c r="CT60" s="168">
        <f t="shared" si="58"/>
        <v>0.2</v>
      </c>
      <c r="CU60" s="168">
        <f t="shared" si="58"/>
        <v>0.2</v>
      </c>
      <c r="CV60" s="168">
        <f t="shared" si="58"/>
        <v>0.2</v>
      </c>
      <c r="CW60" s="168">
        <f t="shared" si="58"/>
        <v>0.2</v>
      </c>
      <c r="CX60" s="168">
        <f t="shared" si="58"/>
        <v>0.2</v>
      </c>
      <c r="CY60" s="168">
        <f t="shared" si="58"/>
        <v>0.2</v>
      </c>
      <c r="CZ60" s="168">
        <f t="shared" si="58"/>
        <v>0.2</v>
      </c>
      <c r="DA60" s="168">
        <f t="shared" si="58"/>
        <v>0.2</v>
      </c>
      <c r="DC60">
        <v>56</v>
      </c>
      <c r="DD60" s="114">
        <v>70.757994356638932</v>
      </c>
      <c r="DE60" s="114">
        <v>-30.237753530038752</v>
      </c>
      <c r="DF60" s="114">
        <v>-4.026392539513334</v>
      </c>
      <c r="DG60" s="114">
        <v>69.285416004107887</v>
      </c>
      <c r="DH60" s="114">
        <v>-23.413313799114018</v>
      </c>
      <c r="DI60" s="114">
        <v>-1.202068385532381</v>
      </c>
      <c r="DJ60" s="114">
        <v>7.531153402509295</v>
      </c>
      <c r="DK60" s="114">
        <f t="shared" si="0"/>
        <v>56.718271572127328</v>
      </c>
      <c r="DL60" s="114">
        <f t="shared" si="1"/>
        <v>3.27397170825577</v>
      </c>
      <c r="DM60" s="114">
        <f t="shared" si="2"/>
        <v>187.58476112829209</v>
      </c>
      <c r="DN60" s="115">
        <f t="shared" si="3"/>
        <v>9</v>
      </c>
      <c r="DO60">
        <v>7</v>
      </c>
    </row>
    <row r="61" spans="1:119">
      <c r="A61">
        <v>640</v>
      </c>
      <c r="B61" s="120">
        <f>'Color metric'!B55</f>
        <v>0.27014531043593126</v>
      </c>
      <c r="C61" s="112">
        <f>Reference!N61</f>
        <v>7.1221249556524171</v>
      </c>
      <c r="D61" s="112"/>
      <c r="E61" s="172" t="s">
        <v>288</v>
      </c>
      <c r="F61" s="168">
        <f>0.725*(1/F60)^0.2</f>
        <v>1.0003040045593807</v>
      </c>
      <c r="G61" s="168">
        <f t="shared" ref="G61:BR61" si="59">0.725*(1/G60)^0.2</f>
        <v>1.0003040045593807</v>
      </c>
      <c r="H61" s="168">
        <f t="shared" si="59"/>
        <v>1.0003040045593807</v>
      </c>
      <c r="I61" s="168">
        <f t="shared" si="59"/>
        <v>1.0003040045593807</v>
      </c>
      <c r="J61" s="168">
        <f t="shared" si="59"/>
        <v>1.0003040045593807</v>
      </c>
      <c r="K61" s="168">
        <f t="shared" si="59"/>
        <v>1.0003040045593807</v>
      </c>
      <c r="L61" s="168">
        <f t="shared" si="59"/>
        <v>1.0003040045593807</v>
      </c>
      <c r="M61" s="168">
        <f t="shared" si="59"/>
        <v>1.0003040045593807</v>
      </c>
      <c r="N61" s="168">
        <f t="shared" si="59"/>
        <v>1.0003040045593807</v>
      </c>
      <c r="O61" s="168">
        <f t="shared" si="59"/>
        <v>1.0003040045593807</v>
      </c>
      <c r="P61" s="168">
        <f t="shared" si="59"/>
        <v>1.0003040045593807</v>
      </c>
      <c r="Q61" s="168">
        <f t="shared" si="59"/>
        <v>1.0003040045593807</v>
      </c>
      <c r="R61" s="168">
        <f t="shared" si="59"/>
        <v>1.0003040045593807</v>
      </c>
      <c r="S61" s="168">
        <f t="shared" si="59"/>
        <v>1.0003040045593807</v>
      </c>
      <c r="T61" s="168">
        <f t="shared" si="59"/>
        <v>1.0003040045593807</v>
      </c>
      <c r="U61" s="168">
        <f t="shared" si="59"/>
        <v>1.0003040045593807</v>
      </c>
      <c r="V61" s="168">
        <f t="shared" si="59"/>
        <v>1.0003040045593807</v>
      </c>
      <c r="W61" s="168">
        <f t="shared" si="59"/>
        <v>1.0003040045593807</v>
      </c>
      <c r="X61" s="168">
        <f t="shared" si="59"/>
        <v>1.0003040045593807</v>
      </c>
      <c r="Y61" s="168">
        <f t="shared" si="59"/>
        <v>1.0003040045593807</v>
      </c>
      <c r="Z61" s="168">
        <f t="shared" si="59"/>
        <v>1.0003040045593807</v>
      </c>
      <c r="AA61" s="168">
        <f t="shared" si="59"/>
        <v>1.0003040045593807</v>
      </c>
      <c r="AB61" s="168">
        <f t="shared" si="59"/>
        <v>1.0003040045593807</v>
      </c>
      <c r="AC61" s="168">
        <f t="shared" si="59"/>
        <v>1.0003040045593807</v>
      </c>
      <c r="AD61" s="168">
        <f t="shared" si="59"/>
        <v>1.0003040045593807</v>
      </c>
      <c r="AE61" s="168">
        <f t="shared" si="59"/>
        <v>1.0003040045593807</v>
      </c>
      <c r="AF61" s="168">
        <f t="shared" si="59"/>
        <v>1.0003040045593807</v>
      </c>
      <c r="AG61" s="168">
        <f t="shared" si="59"/>
        <v>1.0003040045593807</v>
      </c>
      <c r="AH61" s="168">
        <f t="shared" si="59"/>
        <v>1.0003040045593807</v>
      </c>
      <c r="AI61" s="168">
        <f t="shared" si="59"/>
        <v>1.0003040045593807</v>
      </c>
      <c r="AJ61" s="168">
        <f t="shared" si="59"/>
        <v>1.0003040045593807</v>
      </c>
      <c r="AK61" s="168">
        <f t="shared" si="59"/>
        <v>1.0003040045593807</v>
      </c>
      <c r="AL61" s="168">
        <f t="shared" si="59"/>
        <v>1.0003040045593807</v>
      </c>
      <c r="AM61" s="168">
        <f t="shared" si="59"/>
        <v>1.0003040045593807</v>
      </c>
      <c r="AN61" s="168">
        <f t="shared" si="59"/>
        <v>1.0003040045593807</v>
      </c>
      <c r="AO61" s="168">
        <f t="shared" si="59"/>
        <v>1.0003040045593807</v>
      </c>
      <c r="AP61" s="168">
        <f t="shared" si="59"/>
        <v>1.0003040045593807</v>
      </c>
      <c r="AQ61" s="168">
        <f t="shared" si="59"/>
        <v>1.0003040045593807</v>
      </c>
      <c r="AR61" s="168">
        <f t="shared" si="59"/>
        <v>1.0003040045593807</v>
      </c>
      <c r="AS61" s="168">
        <f t="shared" si="59"/>
        <v>1.0003040045593807</v>
      </c>
      <c r="AT61" s="168">
        <f t="shared" si="59"/>
        <v>1.0003040045593807</v>
      </c>
      <c r="AU61" s="168">
        <f t="shared" si="59"/>
        <v>1.0003040045593807</v>
      </c>
      <c r="AV61" s="168">
        <f t="shared" si="59"/>
        <v>1.0003040045593807</v>
      </c>
      <c r="AW61" s="168">
        <f t="shared" si="59"/>
        <v>1.0003040045593807</v>
      </c>
      <c r="AX61" s="168">
        <f t="shared" si="59"/>
        <v>1.0003040045593807</v>
      </c>
      <c r="AY61" s="168">
        <f t="shared" si="59"/>
        <v>1.0003040045593807</v>
      </c>
      <c r="AZ61" s="168">
        <f t="shared" si="59"/>
        <v>1.0003040045593807</v>
      </c>
      <c r="BA61" s="168">
        <f t="shared" si="59"/>
        <v>1.0003040045593807</v>
      </c>
      <c r="BB61" s="168">
        <f t="shared" si="59"/>
        <v>1.0003040045593807</v>
      </c>
      <c r="BC61" s="168">
        <f t="shared" si="59"/>
        <v>1.0003040045593807</v>
      </c>
      <c r="BD61" s="168">
        <f t="shared" si="59"/>
        <v>1.0003040045593807</v>
      </c>
      <c r="BE61" s="168">
        <f t="shared" si="59"/>
        <v>1.0003040045593807</v>
      </c>
      <c r="BF61" s="168">
        <f t="shared" si="59"/>
        <v>1.0003040045593807</v>
      </c>
      <c r="BG61" s="168">
        <f t="shared" si="59"/>
        <v>1.0003040045593807</v>
      </c>
      <c r="BH61" s="168">
        <f t="shared" si="59"/>
        <v>1.0003040045593807</v>
      </c>
      <c r="BI61" s="168">
        <f t="shared" si="59"/>
        <v>1.0003040045593807</v>
      </c>
      <c r="BJ61" s="168">
        <f t="shared" si="59"/>
        <v>1.0003040045593807</v>
      </c>
      <c r="BK61" s="168">
        <f t="shared" si="59"/>
        <v>1.0003040045593807</v>
      </c>
      <c r="BL61" s="168">
        <f t="shared" si="59"/>
        <v>1.0003040045593807</v>
      </c>
      <c r="BM61" s="168">
        <f t="shared" si="59"/>
        <v>1.0003040045593807</v>
      </c>
      <c r="BN61" s="168">
        <f t="shared" si="59"/>
        <v>1.0003040045593807</v>
      </c>
      <c r="BO61" s="168">
        <f t="shared" si="59"/>
        <v>1.0003040045593807</v>
      </c>
      <c r="BP61" s="168">
        <f t="shared" si="59"/>
        <v>1.0003040045593807</v>
      </c>
      <c r="BQ61" s="168">
        <f t="shared" si="59"/>
        <v>1.0003040045593807</v>
      </c>
      <c r="BR61" s="168">
        <f t="shared" si="59"/>
        <v>1.0003040045593807</v>
      </c>
      <c r="BS61" s="168">
        <f t="shared" ref="BS61:DA61" si="60">0.725*(1/BS60)^0.2</f>
        <v>1.0003040045593807</v>
      </c>
      <c r="BT61" s="168">
        <f t="shared" si="60"/>
        <v>1.0003040045593807</v>
      </c>
      <c r="BU61" s="168">
        <f t="shared" si="60"/>
        <v>1.0003040045593807</v>
      </c>
      <c r="BV61" s="168">
        <f t="shared" si="60"/>
        <v>1.0003040045593807</v>
      </c>
      <c r="BW61" s="168">
        <f t="shared" si="60"/>
        <v>1.0003040045593807</v>
      </c>
      <c r="BX61" s="168">
        <f t="shared" si="60"/>
        <v>1.0003040045593807</v>
      </c>
      <c r="BY61" s="168">
        <f t="shared" si="60"/>
        <v>1.0003040045593807</v>
      </c>
      <c r="BZ61" s="168">
        <f t="shared" si="60"/>
        <v>1.0003040045593807</v>
      </c>
      <c r="CA61" s="168">
        <f t="shared" si="60"/>
        <v>1.0003040045593807</v>
      </c>
      <c r="CB61" s="168">
        <f t="shared" si="60"/>
        <v>1.0003040045593807</v>
      </c>
      <c r="CC61" s="168">
        <f t="shared" si="60"/>
        <v>1.0003040045593807</v>
      </c>
      <c r="CD61" s="168">
        <f t="shared" si="60"/>
        <v>1.0003040045593807</v>
      </c>
      <c r="CE61" s="168">
        <f t="shared" si="60"/>
        <v>1.0003040045593807</v>
      </c>
      <c r="CF61" s="168">
        <f t="shared" si="60"/>
        <v>1.0003040045593807</v>
      </c>
      <c r="CG61" s="168">
        <f t="shared" si="60"/>
        <v>1.0003040045593807</v>
      </c>
      <c r="CH61" s="168">
        <f t="shared" si="60"/>
        <v>1.0003040045593807</v>
      </c>
      <c r="CI61" s="168">
        <f t="shared" si="60"/>
        <v>1.0003040045593807</v>
      </c>
      <c r="CJ61" s="168">
        <f t="shared" si="60"/>
        <v>1.0003040045593807</v>
      </c>
      <c r="CK61" s="168">
        <f t="shared" si="60"/>
        <v>1.0003040045593807</v>
      </c>
      <c r="CL61" s="168">
        <f t="shared" si="60"/>
        <v>1.0003040045593807</v>
      </c>
      <c r="CM61" s="168">
        <f t="shared" si="60"/>
        <v>1.0003040045593807</v>
      </c>
      <c r="CN61" s="168">
        <f t="shared" si="60"/>
        <v>1.0003040045593807</v>
      </c>
      <c r="CO61" s="168">
        <f t="shared" si="60"/>
        <v>1.0003040045593807</v>
      </c>
      <c r="CP61" s="168">
        <f t="shared" si="60"/>
        <v>1.0003040045593807</v>
      </c>
      <c r="CQ61" s="168">
        <f t="shared" si="60"/>
        <v>1.0003040045593807</v>
      </c>
      <c r="CR61" s="168">
        <f t="shared" si="60"/>
        <v>1.0003040045593807</v>
      </c>
      <c r="CS61" s="168">
        <f t="shared" si="60"/>
        <v>1.0003040045593807</v>
      </c>
      <c r="CT61" s="168">
        <f t="shared" si="60"/>
        <v>1.0003040045593807</v>
      </c>
      <c r="CU61" s="168">
        <f t="shared" si="60"/>
        <v>1.0003040045593807</v>
      </c>
      <c r="CV61" s="168">
        <f t="shared" si="60"/>
        <v>1.0003040045593807</v>
      </c>
      <c r="CW61" s="168">
        <f t="shared" si="60"/>
        <v>1.0003040045593807</v>
      </c>
      <c r="CX61" s="168">
        <f t="shared" si="60"/>
        <v>1.0003040045593807</v>
      </c>
      <c r="CY61" s="168">
        <f t="shared" si="60"/>
        <v>1.0003040045593807</v>
      </c>
      <c r="CZ61" s="168">
        <f t="shared" si="60"/>
        <v>1.0003040045593807</v>
      </c>
      <c r="DA61" s="168">
        <f t="shared" si="60"/>
        <v>1.0003040045593807</v>
      </c>
      <c r="DC61">
        <v>57</v>
      </c>
      <c r="DD61" s="114">
        <v>57.227513570119569</v>
      </c>
      <c r="DE61" s="114">
        <v>-31.921887582576353</v>
      </c>
      <c r="DF61" s="114">
        <v>-4.4008025290047783</v>
      </c>
      <c r="DG61" s="114">
        <v>55.172439125068564</v>
      </c>
      <c r="DH61" s="114">
        <v>-24.967951635471088</v>
      </c>
      <c r="DI61" s="114">
        <v>-1.2007136959343554</v>
      </c>
      <c r="DJ61" s="114">
        <v>7.9259778368783316</v>
      </c>
      <c r="DK61" s="114">
        <f t="shared" si="0"/>
        <v>62.821124670686515</v>
      </c>
      <c r="DL61" s="114">
        <f t="shared" si="1"/>
        <v>3.2785906900824928</v>
      </c>
      <c r="DM61" s="114">
        <f t="shared" si="2"/>
        <v>187.84940929261094</v>
      </c>
      <c r="DN61" s="115">
        <f t="shared" si="3"/>
        <v>9</v>
      </c>
      <c r="DO61">
        <v>3</v>
      </c>
    </row>
    <row r="62" spans="1:119">
      <c r="A62">
        <v>645</v>
      </c>
      <c r="B62" s="120">
        <f>'Color metric'!B56</f>
        <v>0.23150594451783355</v>
      </c>
      <c r="C62" s="112">
        <f>Reference!N62</f>
        <v>7.2691732457511247</v>
      </c>
      <c r="D62" s="112"/>
      <c r="E62" s="172" t="s">
        <v>289</v>
      </c>
      <c r="F62" s="168">
        <f>0.725*(1/F60)^0.2</f>
        <v>1.0003040045593807</v>
      </c>
      <c r="G62" s="168">
        <f t="shared" ref="G62:BR62" si="61">0.725*(1/G60)^0.2</f>
        <v>1.0003040045593807</v>
      </c>
      <c r="H62" s="168">
        <f t="shared" si="61"/>
        <v>1.0003040045593807</v>
      </c>
      <c r="I62" s="168">
        <f t="shared" si="61"/>
        <v>1.0003040045593807</v>
      </c>
      <c r="J62" s="168">
        <f t="shared" si="61"/>
        <v>1.0003040045593807</v>
      </c>
      <c r="K62" s="168">
        <f t="shared" si="61"/>
        <v>1.0003040045593807</v>
      </c>
      <c r="L62" s="168">
        <f t="shared" si="61"/>
        <v>1.0003040045593807</v>
      </c>
      <c r="M62" s="168">
        <f t="shared" si="61"/>
        <v>1.0003040045593807</v>
      </c>
      <c r="N62" s="168">
        <f t="shared" si="61"/>
        <v>1.0003040045593807</v>
      </c>
      <c r="O62" s="168">
        <f t="shared" si="61"/>
        <v>1.0003040045593807</v>
      </c>
      <c r="P62" s="168">
        <f t="shared" si="61"/>
        <v>1.0003040045593807</v>
      </c>
      <c r="Q62" s="168">
        <f t="shared" si="61"/>
        <v>1.0003040045593807</v>
      </c>
      <c r="R62" s="168">
        <f t="shared" si="61"/>
        <v>1.0003040045593807</v>
      </c>
      <c r="S62" s="168">
        <f t="shared" si="61"/>
        <v>1.0003040045593807</v>
      </c>
      <c r="T62" s="168">
        <f t="shared" si="61"/>
        <v>1.0003040045593807</v>
      </c>
      <c r="U62" s="168">
        <f t="shared" si="61"/>
        <v>1.0003040045593807</v>
      </c>
      <c r="V62" s="168">
        <f t="shared" si="61"/>
        <v>1.0003040045593807</v>
      </c>
      <c r="W62" s="168">
        <f t="shared" si="61"/>
        <v>1.0003040045593807</v>
      </c>
      <c r="X62" s="168">
        <f t="shared" si="61"/>
        <v>1.0003040045593807</v>
      </c>
      <c r="Y62" s="168">
        <f t="shared" si="61"/>
        <v>1.0003040045593807</v>
      </c>
      <c r="Z62" s="168">
        <f t="shared" si="61"/>
        <v>1.0003040045593807</v>
      </c>
      <c r="AA62" s="168">
        <f t="shared" si="61"/>
        <v>1.0003040045593807</v>
      </c>
      <c r="AB62" s="168">
        <f t="shared" si="61"/>
        <v>1.0003040045593807</v>
      </c>
      <c r="AC62" s="168">
        <f t="shared" si="61"/>
        <v>1.0003040045593807</v>
      </c>
      <c r="AD62" s="168">
        <f t="shared" si="61"/>
        <v>1.0003040045593807</v>
      </c>
      <c r="AE62" s="168">
        <f t="shared" si="61"/>
        <v>1.0003040045593807</v>
      </c>
      <c r="AF62" s="168">
        <f t="shared" si="61"/>
        <v>1.0003040045593807</v>
      </c>
      <c r="AG62" s="168">
        <f t="shared" si="61"/>
        <v>1.0003040045593807</v>
      </c>
      <c r="AH62" s="168">
        <f t="shared" si="61"/>
        <v>1.0003040045593807</v>
      </c>
      <c r="AI62" s="168">
        <f t="shared" si="61"/>
        <v>1.0003040045593807</v>
      </c>
      <c r="AJ62" s="168">
        <f t="shared" si="61"/>
        <v>1.0003040045593807</v>
      </c>
      <c r="AK62" s="168">
        <f t="shared" si="61"/>
        <v>1.0003040045593807</v>
      </c>
      <c r="AL62" s="168">
        <f t="shared" si="61"/>
        <v>1.0003040045593807</v>
      </c>
      <c r="AM62" s="168">
        <f t="shared" si="61"/>
        <v>1.0003040045593807</v>
      </c>
      <c r="AN62" s="168">
        <f t="shared" si="61"/>
        <v>1.0003040045593807</v>
      </c>
      <c r="AO62" s="168">
        <f t="shared" si="61"/>
        <v>1.0003040045593807</v>
      </c>
      <c r="AP62" s="168">
        <f t="shared" si="61"/>
        <v>1.0003040045593807</v>
      </c>
      <c r="AQ62" s="168">
        <f t="shared" si="61"/>
        <v>1.0003040045593807</v>
      </c>
      <c r="AR62" s="168">
        <f t="shared" si="61"/>
        <v>1.0003040045593807</v>
      </c>
      <c r="AS62" s="168">
        <f t="shared" si="61"/>
        <v>1.0003040045593807</v>
      </c>
      <c r="AT62" s="168">
        <f t="shared" si="61"/>
        <v>1.0003040045593807</v>
      </c>
      <c r="AU62" s="168">
        <f t="shared" si="61"/>
        <v>1.0003040045593807</v>
      </c>
      <c r="AV62" s="168">
        <f t="shared" si="61"/>
        <v>1.0003040045593807</v>
      </c>
      <c r="AW62" s="168">
        <f t="shared" si="61"/>
        <v>1.0003040045593807</v>
      </c>
      <c r="AX62" s="168">
        <f t="shared" si="61"/>
        <v>1.0003040045593807</v>
      </c>
      <c r="AY62" s="168">
        <f t="shared" si="61"/>
        <v>1.0003040045593807</v>
      </c>
      <c r="AZ62" s="168">
        <f t="shared" si="61"/>
        <v>1.0003040045593807</v>
      </c>
      <c r="BA62" s="168">
        <f t="shared" si="61"/>
        <v>1.0003040045593807</v>
      </c>
      <c r="BB62" s="168">
        <f t="shared" si="61"/>
        <v>1.0003040045593807</v>
      </c>
      <c r="BC62" s="168">
        <f t="shared" si="61"/>
        <v>1.0003040045593807</v>
      </c>
      <c r="BD62" s="168">
        <f t="shared" si="61"/>
        <v>1.0003040045593807</v>
      </c>
      <c r="BE62" s="168">
        <f t="shared" si="61"/>
        <v>1.0003040045593807</v>
      </c>
      <c r="BF62" s="168">
        <f t="shared" si="61"/>
        <v>1.0003040045593807</v>
      </c>
      <c r="BG62" s="168">
        <f t="shared" si="61"/>
        <v>1.0003040045593807</v>
      </c>
      <c r="BH62" s="168">
        <f t="shared" si="61"/>
        <v>1.0003040045593807</v>
      </c>
      <c r="BI62" s="168">
        <f t="shared" si="61"/>
        <v>1.0003040045593807</v>
      </c>
      <c r="BJ62" s="168">
        <f t="shared" si="61"/>
        <v>1.0003040045593807</v>
      </c>
      <c r="BK62" s="168">
        <f t="shared" si="61"/>
        <v>1.0003040045593807</v>
      </c>
      <c r="BL62" s="168">
        <f t="shared" si="61"/>
        <v>1.0003040045593807</v>
      </c>
      <c r="BM62" s="168">
        <f t="shared" si="61"/>
        <v>1.0003040045593807</v>
      </c>
      <c r="BN62" s="168">
        <f t="shared" si="61"/>
        <v>1.0003040045593807</v>
      </c>
      <c r="BO62" s="168">
        <f t="shared" si="61"/>
        <v>1.0003040045593807</v>
      </c>
      <c r="BP62" s="168">
        <f t="shared" si="61"/>
        <v>1.0003040045593807</v>
      </c>
      <c r="BQ62" s="168">
        <f t="shared" si="61"/>
        <v>1.0003040045593807</v>
      </c>
      <c r="BR62" s="168">
        <f t="shared" si="61"/>
        <v>1.0003040045593807</v>
      </c>
      <c r="BS62" s="168">
        <f t="shared" ref="BS62:DA62" si="62">0.725*(1/BS60)^0.2</f>
        <v>1.0003040045593807</v>
      </c>
      <c r="BT62" s="168">
        <f t="shared" si="62"/>
        <v>1.0003040045593807</v>
      </c>
      <c r="BU62" s="168">
        <f t="shared" si="62"/>
        <v>1.0003040045593807</v>
      </c>
      <c r="BV62" s="168">
        <f t="shared" si="62"/>
        <v>1.0003040045593807</v>
      </c>
      <c r="BW62" s="168">
        <f t="shared" si="62"/>
        <v>1.0003040045593807</v>
      </c>
      <c r="BX62" s="168">
        <f t="shared" si="62"/>
        <v>1.0003040045593807</v>
      </c>
      <c r="BY62" s="168">
        <f t="shared" si="62"/>
        <v>1.0003040045593807</v>
      </c>
      <c r="BZ62" s="168">
        <f t="shared" si="62"/>
        <v>1.0003040045593807</v>
      </c>
      <c r="CA62" s="168">
        <f t="shared" si="62"/>
        <v>1.0003040045593807</v>
      </c>
      <c r="CB62" s="168">
        <f t="shared" si="62"/>
        <v>1.0003040045593807</v>
      </c>
      <c r="CC62" s="168">
        <f t="shared" si="62"/>
        <v>1.0003040045593807</v>
      </c>
      <c r="CD62" s="168">
        <f t="shared" si="62"/>
        <v>1.0003040045593807</v>
      </c>
      <c r="CE62" s="168">
        <f t="shared" si="62"/>
        <v>1.0003040045593807</v>
      </c>
      <c r="CF62" s="168">
        <f t="shared" si="62"/>
        <v>1.0003040045593807</v>
      </c>
      <c r="CG62" s="168">
        <f t="shared" si="62"/>
        <v>1.0003040045593807</v>
      </c>
      <c r="CH62" s="168">
        <f t="shared" si="62"/>
        <v>1.0003040045593807</v>
      </c>
      <c r="CI62" s="168">
        <f t="shared" si="62"/>
        <v>1.0003040045593807</v>
      </c>
      <c r="CJ62" s="168">
        <f t="shared" si="62"/>
        <v>1.0003040045593807</v>
      </c>
      <c r="CK62" s="168">
        <f t="shared" si="62"/>
        <v>1.0003040045593807</v>
      </c>
      <c r="CL62" s="168">
        <f t="shared" si="62"/>
        <v>1.0003040045593807</v>
      </c>
      <c r="CM62" s="168">
        <f t="shared" si="62"/>
        <v>1.0003040045593807</v>
      </c>
      <c r="CN62" s="168">
        <f t="shared" si="62"/>
        <v>1.0003040045593807</v>
      </c>
      <c r="CO62" s="168">
        <f t="shared" si="62"/>
        <v>1.0003040045593807</v>
      </c>
      <c r="CP62" s="168">
        <f t="shared" si="62"/>
        <v>1.0003040045593807</v>
      </c>
      <c r="CQ62" s="168">
        <f t="shared" si="62"/>
        <v>1.0003040045593807</v>
      </c>
      <c r="CR62" s="168">
        <f t="shared" si="62"/>
        <v>1.0003040045593807</v>
      </c>
      <c r="CS62" s="168">
        <f t="shared" si="62"/>
        <v>1.0003040045593807</v>
      </c>
      <c r="CT62" s="168">
        <f t="shared" si="62"/>
        <v>1.0003040045593807</v>
      </c>
      <c r="CU62" s="168">
        <f t="shared" si="62"/>
        <v>1.0003040045593807</v>
      </c>
      <c r="CV62" s="168">
        <f t="shared" si="62"/>
        <v>1.0003040045593807</v>
      </c>
      <c r="CW62" s="168">
        <f t="shared" si="62"/>
        <v>1.0003040045593807</v>
      </c>
      <c r="CX62" s="168">
        <f t="shared" si="62"/>
        <v>1.0003040045593807</v>
      </c>
      <c r="CY62" s="168">
        <f t="shared" si="62"/>
        <v>1.0003040045593807</v>
      </c>
      <c r="CZ62" s="168">
        <f t="shared" si="62"/>
        <v>1.0003040045593807</v>
      </c>
      <c r="DA62" s="168">
        <f t="shared" si="62"/>
        <v>1.0003040045593807</v>
      </c>
      <c r="DC62">
        <v>58</v>
      </c>
      <c r="DD62" s="114">
        <v>53.5297289988888</v>
      </c>
      <c r="DE62" s="114">
        <v>-31.485439648254239</v>
      </c>
      <c r="DF62" s="114">
        <v>-6.492571008121792</v>
      </c>
      <c r="DG62" s="114">
        <v>51.458063729889965</v>
      </c>
      <c r="DH62" s="114">
        <v>-24.870937157435325</v>
      </c>
      <c r="DI62" s="114">
        <v>-4.1667792157979573</v>
      </c>
      <c r="DJ62" s="114">
        <v>7.3111386014126793</v>
      </c>
      <c r="DK62" s="114">
        <f t="shared" si="0"/>
        <v>53.452747649066552</v>
      </c>
      <c r="DL62" s="114">
        <f t="shared" si="1"/>
        <v>3.3449509097831931</v>
      </c>
      <c r="DM62" s="114">
        <f t="shared" si="2"/>
        <v>191.65156980902194</v>
      </c>
      <c r="DN62" s="115">
        <f t="shared" si="3"/>
        <v>9</v>
      </c>
      <c r="DO62">
        <v>4</v>
      </c>
    </row>
    <row r="63" spans="1:119">
      <c r="A63">
        <v>650</v>
      </c>
      <c r="B63" s="120">
        <f>'Color metric'!B57</f>
        <v>0.19815059445178335</v>
      </c>
      <c r="C63" s="112">
        <f>Reference!N63</f>
        <v>7.4147271018001319</v>
      </c>
      <c r="D63" s="112"/>
      <c r="E63" s="172" t="s">
        <v>290</v>
      </c>
      <c r="F63" s="168">
        <f>1.48+F60^(1/2)</f>
        <v>1.9272135954999579</v>
      </c>
      <c r="G63" s="168">
        <f t="shared" ref="G63:BR63" si="63">1.48+G60^(1/2)</f>
        <v>1.9272135954999579</v>
      </c>
      <c r="H63" s="168">
        <f t="shared" si="63"/>
        <v>1.9272135954999579</v>
      </c>
      <c r="I63" s="168">
        <f t="shared" si="63"/>
        <v>1.9272135954999579</v>
      </c>
      <c r="J63" s="168">
        <f t="shared" si="63"/>
        <v>1.9272135954999579</v>
      </c>
      <c r="K63" s="168">
        <f t="shared" si="63"/>
        <v>1.9272135954999579</v>
      </c>
      <c r="L63" s="168">
        <f t="shared" si="63"/>
        <v>1.9272135954999579</v>
      </c>
      <c r="M63" s="168">
        <f t="shared" si="63"/>
        <v>1.9272135954999579</v>
      </c>
      <c r="N63" s="168">
        <f t="shared" si="63"/>
        <v>1.9272135954999579</v>
      </c>
      <c r="O63" s="168">
        <f t="shared" si="63"/>
        <v>1.9272135954999579</v>
      </c>
      <c r="P63" s="168">
        <f t="shared" si="63"/>
        <v>1.9272135954999579</v>
      </c>
      <c r="Q63" s="168">
        <f t="shared" si="63"/>
        <v>1.9272135954999579</v>
      </c>
      <c r="R63" s="168">
        <f t="shared" si="63"/>
        <v>1.9272135954999579</v>
      </c>
      <c r="S63" s="168">
        <f t="shared" si="63"/>
        <v>1.9272135954999579</v>
      </c>
      <c r="T63" s="168">
        <f t="shared" si="63"/>
        <v>1.9272135954999579</v>
      </c>
      <c r="U63" s="168">
        <f t="shared" si="63"/>
        <v>1.9272135954999579</v>
      </c>
      <c r="V63" s="168">
        <f t="shared" si="63"/>
        <v>1.9272135954999579</v>
      </c>
      <c r="W63" s="168">
        <f t="shared" si="63"/>
        <v>1.9272135954999579</v>
      </c>
      <c r="X63" s="168">
        <f t="shared" si="63"/>
        <v>1.9272135954999579</v>
      </c>
      <c r="Y63" s="168">
        <f t="shared" si="63"/>
        <v>1.9272135954999579</v>
      </c>
      <c r="Z63" s="168">
        <f t="shared" si="63"/>
        <v>1.9272135954999579</v>
      </c>
      <c r="AA63" s="168">
        <f t="shared" si="63"/>
        <v>1.9272135954999579</v>
      </c>
      <c r="AB63" s="168">
        <f t="shared" si="63"/>
        <v>1.9272135954999579</v>
      </c>
      <c r="AC63" s="168">
        <f t="shared" si="63"/>
        <v>1.9272135954999579</v>
      </c>
      <c r="AD63" s="168">
        <f t="shared" si="63"/>
        <v>1.9272135954999579</v>
      </c>
      <c r="AE63" s="168">
        <f t="shared" si="63"/>
        <v>1.9272135954999579</v>
      </c>
      <c r="AF63" s="168">
        <f t="shared" si="63"/>
        <v>1.9272135954999579</v>
      </c>
      <c r="AG63" s="168">
        <f t="shared" si="63"/>
        <v>1.9272135954999579</v>
      </c>
      <c r="AH63" s="168">
        <f t="shared" si="63"/>
        <v>1.9272135954999579</v>
      </c>
      <c r="AI63" s="168">
        <f t="shared" si="63"/>
        <v>1.9272135954999579</v>
      </c>
      <c r="AJ63" s="168">
        <f t="shared" si="63"/>
        <v>1.9272135954999579</v>
      </c>
      <c r="AK63" s="168">
        <f t="shared" si="63"/>
        <v>1.9272135954999579</v>
      </c>
      <c r="AL63" s="168">
        <f t="shared" si="63"/>
        <v>1.9272135954999579</v>
      </c>
      <c r="AM63" s="168">
        <f t="shared" si="63"/>
        <v>1.9272135954999579</v>
      </c>
      <c r="AN63" s="168">
        <f t="shared" si="63"/>
        <v>1.9272135954999579</v>
      </c>
      <c r="AO63" s="168">
        <f t="shared" si="63"/>
        <v>1.9272135954999579</v>
      </c>
      <c r="AP63" s="168">
        <f t="shared" si="63"/>
        <v>1.9272135954999579</v>
      </c>
      <c r="AQ63" s="168">
        <f t="shared" si="63"/>
        <v>1.9272135954999579</v>
      </c>
      <c r="AR63" s="168">
        <f t="shared" si="63"/>
        <v>1.9272135954999579</v>
      </c>
      <c r="AS63" s="168">
        <f t="shared" si="63"/>
        <v>1.9272135954999579</v>
      </c>
      <c r="AT63" s="168">
        <f t="shared" si="63"/>
        <v>1.9272135954999579</v>
      </c>
      <c r="AU63" s="168">
        <f t="shared" si="63"/>
        <v>1.9272135954999579</v>
      </c>
      <c r="AV63" s="168">
        <f t="shared" si="63"/>
        <v>1.9272135954999579</v>
      </c>
      <c r="AW63" s="168">
        <f t="shared" si="63"/>
        <v>1.9272135954999579</v>
      </c>
      <c r="AX63" s="168">
        <f t="shared" si="63"/>
        <v>1.9272135954999579</v>
      </c>
      <c r="AY63" s="168">
        <f t="shared" si="63"/>
        <v>1.9272135954999579</v>
      </c>
      <c r="AZ63" s="168">
        <f t="shared" si="63"/>
        <v>1.9272135954999579</v>
      </c>
      <c r="BA63" s="168">
        <f t="shared" si="63"/>
        <v>1.9272135954999579</v>
      </c>
      <c r="BB63" s="168">
        <f t="shared" si="63"/>
        <v>1.9272135954999579</v>
      </c>
      <c r="BC63" s="168">
        <f t="shared" si="63"/>
        <v>1.9272135954999579</v>
      </c>
      <c r="BD63" s="168">
        <f t="shared" si="63"/>
        <v>1.9272135954999579</v>
      </c>
      <c r="BE63" s="168">
        <f t="shared" si="63"/>
        <v>1.9272135954999579</v>
      </c>
      <c r="BF63" s="168">
        <f t="shared" si="63"/>
        <v>1.9272135954999579</v>
      </c>
      <c r="BG63" s="168">
        <f t="shared" si="63"/>
        <v>1.9272135954999579</v>
      </c>
      <c r="BH63" s="168">
        <f t="shared" si="63"/>
        <v>1.9272135954999579</v>
      </c>
      <c r="BI63" s="168">
        <f t="shared" si="63"/>
        <v>1.9272135954999579</v>
      </c>
      <c r="BJ63" s="168">
        <f t="shared" si="63"/>
        <v>1.9272135954999579</v>
      </c>
      <c r="BK63" s="168">
        <f t="shared" si="63"/>
        <v>1.9272135954999579</v>
      </c>
      <c r="BL63" s="168">
        <f t="shared" si="63"/>
        <v>1.9272135954999579</v>
      </c>
      <c r="BM63" s="168">
        <f t="shared" si="63"/>
        <v>1.9272135954999579</v>
      </c>
      <c r="BN63" s="168">
        <f t="shared" si="63"/>
        <v>1.9272135954999579</v>
      </c>
      <c r="BO63" s="168">
        <f t="shared" si="63"/>
        <v>1.9272135954999579</v>
      </c>
      <c r="BP63" s="168">
        <f t="shared" si="63"/>
        <v>1.9272135954999579</v>
      </c>
      <c r="BQ63" s="168">
        <f t="shared" si="63"/>
        <v>1.9272135954999579</v>
      </c>
      <c r="BR63" s="168">
        <f t="shared" si="63"/>
        <v>1.9272135954999579</v>
      </c>
      <c r="BS63" s="168">
        <f t="shared" ref="BS63:DA63" si="64">1.48+BS60^(1/2)</f>
        <v>1.9272135954999579</v>
      </c>
      <c r="BT63" s="168">
        <f t="shared" si="64"/>
        <v>1.9272135954999579</v>
      </c>
      <c r="BU63" s="168">
        <f t="shared" si="64"/>
        <v>1.9272135954999579</v>
      </c>
      <c r="BV63" s="168">
        <f t="shared" si="64"/>
        <v>1.9272135954999579</v>
      </c>
      <c r="BW63" s="168">
        <f t="shared" si="64"/>
        <v>1.9272135954999579</v>
      </c>
      <c r="BX63" s="168">
        <f t="shared" si="64"/>
        <v>1.9272135954999579</v>
      </c>
      <c r="BY63" s="168">
        <f t="shared" si="64"/>
        <v>1.9272135954999579</v>
      </c>
      <c r="BZ63" s="168">
        <f t="shared" si="64"/>
        <v>1.9272135954999579</v>
      </c>
      <c r="CA63" s="168">
        <f t="shared" si="64"/>
        <v>1.9272135954999579</v>
      </c>
      <c r="CB63" s="168">
        <f t="shared" si="64"/>
        <v>1.9272135954999579</v>
      </c>
      <c r="CC63" s="168">
        <f t="shared" si="64"/>
        <v>1.9272135954999579</v>
      </c>
      <c r="CD63" s="168">
        <f t="shared" si="64"/>
        <v>1.9272135954999579</v>
      </c>
      <c r="CE63" s="168">
        <f t="shared" si="64"/>
        <v>1.9272135954999579</v>
      </c>
      <c r="CF63" s="168">
        <f t="shared" si="64"/>
        <v>1.9272135954999579</v>
      </c>
      <c r="CG63" s="168">
        <f t="shared" si="64"/>
        <v>1.9272135954999579</v>
      </c>
      <c r="CH63" s="168">
        <f t="shared" si="64"/>
        <v>1.9272135954999579</v>
      </c>
      <c r="CI63" s="168">
        <f t="shared" si="64"/>
        <v>1.9272135954999579</v>
      </c>
      <c r="CJ63" s="168">
        <f t="shared" si="64"/>
        <v>1.9272135954999579</v>
      </c>
      <c r="CK63" s="168">
        <f t="shared" si="64"/>
        <v>1.9272135954999579</v>
      </c>
      <c r="CL63" s="168">
        <f t="shared" si="64"/>
        <v>1.9272135954999579</v>
      </c>
      <c r="CM63" s="168">
        <f t="shared" si="64"/>
        <v>1.9272135954999579</v>
      </c>
      <c r="CN63" s="168">
        <f t="shared" si="64"/>
        <v>1.9272135954999579</v>
      </c>
      <c r="CO63" s="168">
        <f t="shared" si="64"/>
        <v>1.9272135954999579</v>
      </c>
      <c r="CP63" s="168">
        <f t="shared" si="64"/>
        <v>1.9272135954999579</v>
      </c>
      <c r="CQ63" s="168">
        <f t="shared" si="64"/>
        <v>1.9272135954999579</v>
      </c>
      <c r="CR63" s="168">
        <f t="shared" si="64"/>
        <v>1.9272135954999579</v>
      </c>
      <c r="CS63" s="168">
        <f t="shared" si="64"/>
        <v>1.9272135954999579</v>
      </c>
      <c r="CT63" s="168">
        <f t="shared" si="64"/>
        <v>1.9272135954999579</v>
      </c>
      <c r="CU63" s="168">
        <f t="shared" si="64"/>
        <v>1.9272135954999579</v>
      </c>
      <c r="CV63" s="168">
        <f t="shared" si="64"/>
        <v>1.9272135954999579</v>
      </c>
      <c r="CW63" s="168">
        <f t="shared" si="64"/>
        <v>1.9272135954999579</v>
      </c>
      <c r="CX63" s="168">
        <f t="shared" si="64"/>
        <v>1.9272135954999579</v>
      </c>
      <c r="CY63" s="168">
        <f t="shared" si="64"/>
        <v>1.9272135954999579</v>
      </c>
      <c r="CZ63" s="168">
        <f t="shared" si="64"/>
        <v>1.9272135954999579</v>
      </c>
      <c r="DA63" s="168">
        <f t="shared" si="64"/>
        <v>1.9272135954999579</v>
      </c>
      <c r="DC63">
        <v>59</v>
      </c>
      <c r="DD63" s="114">
        <v>86.811222289713328</v>
      </c>
      <c r="DE63" s="114">
        <v>-15.909730673785331</v>
      </c>
      <c r="DF63" s="114">
        <v>-3.336964834636158</v>
      </c>
      <c r="DG63" s="114">
        <v>86.210201026895646</v>
      </c>
      <c r="DH63" s="114">
        <v>-11.348346090639106</v>
      </c>
      <c r="DI63" s="114">
        <v>-3.473186333000196</v>
      </c>
      <c r="DJ63" s="114">
        <v>4.6028265414133918</v>
      </c>
      <c r="DK63" s="114">
        <f t="shared" si="0"/>
        <v>21.186012170339566</v>
      </c>
      <c r="DL63" s="114">
        <f t="shared" si="1"/>
        <v>3.3483393038208948</v>
      </c>
      <c r="DM63" s="114">
        <f t="shared" si="2"/>
        <v>191.84571048670955</v>
      </c>
      <c r="DN63" s="115">
        <f t="shared" si="3"/>
        <v>9</v>
      </c>
      <c r="DO63">
        <v>5</v>
      </c>
    </row>
    <row r="64" spans="1:119">
      <c r="A64">
        <v>655</v>
      </c>
      <c r="B64" s="120">
        <f>'Color metric'!B58</f>
        <v>0.16875825627476884</v>
      </c>
      <c r="C64" s="112">
        <f>Reference!N64</f>
        <v>7.5587004628266463</v>
      </c>
      <c r="D64" s="112"/>
      <c r="E64" s="172" t="s">
        <v>291</v>
      </c>
      <c r="F64" s="168">
        <f t="array" ref="F64:F66">MMULT($I$43:$K$45,F51:F53)</f>
        <v>117.58062685899085</v>
      </c>
      <c r="G64" s="168">
        <f t="array" ref="G64:G66">MMULT($I$43:$K$45,G51:G53)</f>
        <v>81.732693740242212</v>
      </c>
      <c r="H64" s="168">
        <f t="array" ref="H64:H66">MMULT($I$43:$K$45,H51:H53)</f>
        <v>42.283586046852768</v>
      </c>
      <c r="I64" s="168">
        <f t="array" ref="I64:I66">MMULT($I$43:$K$45,I51:I53)</f>
        <v>8.3815899688695765</v>
      </c>
      <c r="J64" s="168">
        <f t="array" ref="J64:J66">MMULT($I$43:$K$45,J51:J53)</f>
        <v>49.562461192106205</v>
      </c>
      <c r="K64" s="168">
        <f t="array" ref="K64:K66">MMULT($I$43:$K$45,K51:K53)</f>
        <v>28.117712107461877</v>
      </c>
      <c r="L64" s="168">
        <f t="array" ref="L64:L66">MMULT($I$43:$K$45,L51:L53)</f>
        <v>23.834244508405476</v>
      </c>
      <c r="M64" s="168">
        <f t="array" ref="M64:M66">MMULT($I$43:$K$45,M51:M53)</f>
        <v>19.87709414406001</v>
      </c>
      <c r="N64" s="168">
        <f t="array" ref="N64:N66">MMULT($I$43:$K$45,N51:N53)</f>
        <v>18.552572790109668</v>
      </c>
      <c r="O64" s="168">
        <f t="array" ref="O64:O66">MMULT($I$43:$K$45,O51:O53)</f>
        <v>6.0765947480398221</v>
      </c>
      <c r="P64" s="168">
        <f t="array" ref="P64:P66">MMULT($I$43:$K$45,P51:P53)</f>
        <v>68.352547598137704</v>
      </c>
      <c r="Q64" s="168">
        <f t="array" ref="Q64:Q66">MMULT($I$43:$K$45,Q51:Q53)</f>
        <v>37.090852481518674</v>
      </c>
      <c r="R64" s="168">
        <f t="array" ref="R64:R66">MMULT($I$43:$K$45,R51:R53)</f>
        <v>47.850471848846475</v>
      </c>
      <c r="S64" s="168">
        <f t="array" ref="S64:S66">MMULT($I$43:$K$45,S51:S53)</f>
        <v>17.79478496562999</v>
      </c>
      <c r="T64" s="168">
        <f t="array" ref="T64:T66">MMULT($I$43:$K$45,T51:T53)</f>
        <v>52.554378090812307</v>
      </c>
      <c r="U64" s="168">
        <f t="array" ref="U64:U66">MMULT($I$43:$K$45,U51:U53)</f>
        <v>51.170997046940535</v>
      </c>
      <c r="V64" s="168">
        <f t="array" ref="V64:V66">MMULT($I$43:$K$45,V51:V53)</f>
        <v>21.843883869602177</v>
      </c>
      <c r="W64" s="168">
        <f t="array" ref="W64:W66">MMULT($I$43:$K$45,W51:W53)</f>
        <v>23.052374768187057</v>
      </c>
      <c r="X64" s="168">
        <f t="array" ref="X64:X66">MMULT($I$43:$K$45,X51:X53)</f>
        <v>29.211931849239793</v>
      </c>
      <c r="Y64" s="168">
        <f t="array" ref="Y64:Y66">MMULT($I$43:$K$45,Y51:Y53)</f>
        <v>53.912398294364806</v>
      </c>
      <c r="Z64" s="168">
        <f t="array" ref="Z64:Z66">MMULT($I$43:$K$45,Z51:Z53)</f>
        <v>49.820576626998914</v>
      </c>
      <c r="AA64" s="168">
        <f t="array" ref="AA64:AA66">MMULT($I$43:$K$45,AA51:AA53)</f>
        <v>89.251977544536075</v>
      </c>
      <c r="AB64" s="168">
        <f t="array" ref="AB64:AB66">MMULT($I$43:$K$45,AB51:AB53)</f>
        <v>70.950939353043452</v>
      </c>
      <c r="AC64" s="168">
        <f t="array" ref="AC64:AC66">MMULT($I$43:$K$45,AC51:AC53)</f>
        <v>94.128729866449504</v>
      </c>
      <c r="AD64" s="168">
        <f t="array" ref="AD64:AD66">MMULT($I$43:$K$45,AD51:AD53)</f>
        <v>95.935323650621086</v>
      </c>
      <c r="AE64" s="168">
        <f t="array" ref="AE64:AE66">MMULT($I$43:$K$45,AE51:AE53)</f>
        <v>53.854141344662246</v>
      </c>
      <c r="AF64" s="168">
        <f t="array" ref="AF64:AF66">MMULT($I$43:$K$45,AF51:AF53)</f>
        <v>95.218279507744271</v>
      </c>
      <c r="AG64" s="168">
        <f t="array" ref="AG64:AG66">MMULT($I$43:$K$45,AG51:AG53)</f>
        <v>51.205326797458603</v>
      </c>
      <c r="AH64" s="168">
        <f t="array" ref="AH64:AH66">MMULT($I$43:$K$45,AH51:AH53)</f>
        <v>13.789722105097759</v>
      </c>
      <c r="AI64" s="168">
        <f t="array" ref="AI64:AI66">MMULT($I$43:$K$45,AI51:AI53)</f>
        <v>84.491198647621502</v>
      </c>
      <c r="AJ64" s="168">
        <f t="array" ref="AJ64:AJ66">MMULT($I$43:$K$45,AJ51:AJ53)</f>
        <v>37.453766522064818</v>
      </c>
      <c r="AK64" s="168">
        <f t="array" ref="AK64:AK66">MMULT($I$43:$K$45,AK51:AK53)</f>
        <v>88.387114421145228</v>
      </c>
      <c r="AL64" s="168">
        <f t="array" ref="AL64:AL66">MMULT($I$43:$K$45,AL51:AL53)</f>
        <v>57.427728025812954</v>
      </c>
      <c r="AM64" s="168">
        <f t="array" ref="AM64:AM66">MMULT($I$43:$K$45,AM51:AM53)</f>
        <v>89.03172111005037</v>
      </c>
      <c r="AN64" s="168">
        <f t="array" ref="AN64:AN66">MMULT($I$43:$K$45,AN51:AN53)</f>
        <v>34.498889622736378</v>
      </c>
      <c r="AO64" s="168">
        <f t="array" ref="AO64:AO66">MMULT($I$43:$K$45,AO51:AO53)</f>
        <v>13.772211213593041</v>
      </c>
      <c r="AP64" s="168">
        <f t="array" ref="AP64:AP66">MMULT($I$43:$K$45,AP51:AP53)</f>
        <v>63.878419383165046</v>
      </c>
      <c r="AQ64" s="168">
        <f t="array" ref="AQ64:AQ66">MMULT($I$43:$K$45,AQ51:AQ53)</f>
        <v>18.011282399841644</v>
      </c>
      <c r="AR64" s="168">
        <f t="array" ref="AR64:AR66">MMULT($I$43:$K$45,AR51:AR53)</f>
        <v>78.029864280879195</v>
      </c>
      <c r="AS64" s="168">
        <f t="array" ref="AS64:AS66">MMULT($I$43:$K$45,AS51:AS53)</f>
        <v>9.065009008384866</v>
      </c>
      <c r="AT64" s="168">
        <f t="array" ref="AT64:AT66">MMULT($I$43:$K$45,AT51:AT53)</f>
        <v>19.721548551969377</v>
      </c>
      <c r="AU64" s="168">
        <f t="array" ref="AU64:AU66">MMULT($I$43:$K$45,AU51:AU53)</f>
        <v>81.220927373026441</v>
      </c>
      <c r="AV64" s="168">
        <f t="array" ref="AV64:AV66">MMULT($I$43:$K$45,AV51:AV53)</f>
        <v>40.010767771473944</v>
      </c>
      <c r="AW64" s="168">
        <f t="array" ref="AW64:AW66">MMULT($I$43:$K$45,AW51:AW53)</f>
        <v>45.815836643286872</v>
      </c>
      <c r="AX64" s="168">
        <f t="array" ref="AX64:AX66">MMULT($I$43:$K$45,AX51:AX53)</f>
        <v>5.8173721893226169</v>
      </c>
      <c r="AY64" s="168">
        <f t="array" ref="AY64:AY66">MMULT($I$43:$K$45,AY51:AY53)</f>
        <v>25.800526086552782</v>
      </c>
      <c r="AZ64" s="168">
        <f t="array" ref="AZ64:AZ66">MMULT($I$43:$K$45,AZ51:AZ53)</f>
        <v>36.440213996724836</v>
      </c>
      <c r="BA64" s="168">
        <f t="array" ref="BA64:BA66">MMULT($I$43:$K$45,BA51:BA53)</f>
        <v>42.664085387357559</v>
      </c>
      <c r="BB64" s="168">
        <f t="array" ref="BB64:BB66">MMULT($I$43:$K$45,BB51:BB53)</f>
        <v>52.234863390148924</v>
      </c>
      <c r="BC64" s="168">
        <f t="array" ref="BC64:BC66">MMULT($I$43:$K$45,BC51:BC53)</f>
        <v>14.741929923228085</v>
      </c>
      <c r="BD64" s="168">
        <f t="array" ref="BD64:BD66">MMULT($I$43:$K$45,BD51:BD53)</f>
        <v>21.437339148478475</v>
      </c>
      <c r="BE64" s="168">
        <f t="array" ref="BE64:BE66">MMULT($I$43:$K$45,BE51:BE53)</f>
        <v>25.767441665925073</v>
      </c>
      <c r="BF64" s="168">
        <f t="array" ref="BF64:BF66">MMULT($I$43:$K$45,BF51:BF53)</f>
        <v>10.722724211931205</v>
      </c>
      <c r="BG64" s="168">
        <f t="array" ref="BG64:BG66">MMULT($I$43:$K$45,BG51:BG53)</f>
        <v>14.406023910573548</v>
      </c>
      <c r="BH64" s="168">
        <f t="array" ref="BH64:BH66">MMULT($I$43:$K$45,BH51:BH53)</f>
        <v>72.704668800145598</v>
      </c>
      <c r="BI64" s="168">
        <f t="array" ref="BI64:BI66">MMULT($I$43:$K$45,BI51:BI53)</f>
        <v>63.8823792260781</v>
      </c>
      <c r="BJ64" s="168">
        <f t="array" ref="BJ64:BJ66">MMULT($I$43:$K$45,BJ51:BJ53)</f>
        <v>36.071121933893593</v>
      </c>
      <c r="BK64" s="168">
        <f t="array" ref="BK64:BK66">MMULT($I$43:$K$45,BK51:BK53)</f>
        <v>19.932112074511132</v>
      </c>
      <c r="BL64" s="168">
        <f t="array" ref="BL64:BL66">MMULT($I$43:$K$45,BL51:BL53)</f>
        <v>16.653832262209377</v>
      </c>
      <c r="BM64" s="168">
        <f t="array" ref="BM64:BM66">MMULT($I$43:$K$45,BM51:BM53)</f>
        <v>72.088356371400963</v>
      </c>
      <c r="BN64" s="168">
        <f t="array" ref="BN64:BN66">MMULT($I$43:$K$45,BN51:BN53)</f>
        <v>79.270406859714697</v>
      </c>
      <c r="BO64" s="168">
        <f t="array" ref="BO64:BO66">MMULT($I$43:$K$45,BO51:BO53)</f>
        <v>51.298069223747468</v>
      </c>
      <c r="BP64" s="168">
        <f t="array" ref="BP64:BP66">MMULT($I$43:$K$45,BP51:BP53)</f>
        <v>37.804590188745721</v>
      </c>
      <c r="BQ64" s="168">
        <f t="array" ref="BQ64:BQ66">MMULT($I$43:$K$45,BQ51:BQ53)</f>
        <v>8.4664565463883754</v>
      </c>
      <c r="BR64" s="168">
        <f t="array" ref="BR64:BR66">MMULT($I$43:$K$45,BR51:BR53)</f>
        <v>20.38074853717556</v>
      </c>
      <c r="BS64" s="168">
        <f t="array" ref="BS64:BS66">MMULT($I$43:$K$45,BS51:BS53)</f>
        <v>9.6587493785028027</v>
      </c>
      <c r="BT64" s="168">
        <f t="array" ref="BT64:BT66">MMULT($I$43:$K$45,BT51:BT53)</f>
        <v>10.516331161394366</v>
      </c>
      <c r="BU64" s="168">
        <f t="array" ref="BU64:BU66">MMULT($I$43:$K$45,BU51:BU53)</f>
        <v>12.295041317675615</v>
      </c>
      <c r="BV64" s="168">
        <f t="array" ref="BV64:BV66">MMULT($I$43:$K$45,BV51:BV53)</f>
        <v>29.807262012151561</v>
      </c>
      <c r="BW64" s="168">
        <f t="array" ref="BW64:BW66">MMULT($I$43:$K$45,BW51:BW53)</f>
        <v>21.083413138899569</v>
      </c>
      <c r="BX64" s="168">
        <f t="array" ref="BX64:BX66">MMULT($I$43:$K$45,BX51:BX53)</f>
        <v>40.146894176618183</v>
      </c>
      <c r="BY64" s="168">
        <f t="array" ref="BY64:BY66">MMULT($I$43:$K$45,BY51:BY53)</f>
        <v>6.927197854917936</v>
      </c>
      <c r="BZ64" s="168">
        <f t="array" ref="BZ64:BZ66">MMULT($I$43:$K$45,BZ51:BZ53)</f>
        <v>53.120508836248838</v>
      </c>
      <c r="CA64" s="168">
        <f t="array" ref="CA64:CA66">MMULT($I$43:$K$45,CA51:CA53)</f>
        <v>20.243768353737412</v>
      </c>
      <c r="CB64" s="168">
        <f t="array" ref="CB64:CB66">MMULT($I$43:$K$45,CB51:CB53)</f>
        <v>5.5903158668258133</v>
      </c>
      <c r="CC64" s="168">
        <f t="array" ref="CC64:CC66">MMULT($I$43:$K$45,CC51:CC53)</f>
        <v>6.2538601761301571</v>
      </c>
      <c r="CD64" s="168">
        <f t="array" ref="CD64:CD66">MMULT($I$43:$K$45,CD51:CD53)</f>
        <v>13.390204135366515</v>
      </c>
      <c r="CE64" s="168">
        <f t="array" ref="CE64:CE66">MMULT($I$43:$K$45,CE51:CE53)</f>
        <v>12.959358397805332</v>
      </c>
      <c r="CF64" s="168">
        <f t="array" ref="CF64:CF66">MMULT($I$43:$K$45,CF51:CF53)</f>
        <v>11.272730032072566</v>
      </c>
      <c r="CG64" s="168">
        <f t="array" ref="CG64:CG66">MMULT($I$43:$K$45,CG51:CG53)</f>
        <v>47.235303802430884</v>
      </c>
      <c r="CH64" s="168">
        <f t="array" ref="CH64:CH66">MMULT($I$43:$K$45,CH51:CH53)</f>
        <v>35.692200444886417</v>
      </c>
      <c r="CI64" s="168">
        <f t="array" ref="CI64:CI66">MMULT($I$43:$K$45,CI51:CI53)</f>
        <v>14.074633363187983</v>
      </c>
      <c r="CJ64" s="168">
        <f t="array" ref="CJ64:CJ66">MMULT($I$43:$K$45,CJ51:CJ53)</f>
        <v>78.049586937983506</v>
      </c>
      <c r="CK64" s="168">
        <f t="array" ref="CK64:CK66">MMULT($I$43:$K$45,CK51:CK53)</f>
        <v>47.793380815986083</v>
      </c>
      <c r="CL64" s="168">
        <f t="array" ref="CL64:CL66">MMULT($I$43:$K$45,CL51:CL53)</f>
        <v>5.7072767488464464</v>
      </c>
      <c r="CM64" s="168">
        <f t="array" ref="CM64:CM66">MMULT($I$43:$K$45,CM51:CM53)</f>
        <v>12.917202249145348</v>
      </c>
      <c r="CN64" s="168">
        <f t="array" ref="CN64:CN66">MMULT($I$43:$K$45,CN51:CN53)</f>
        <v>37.936893679171931</v>
      </c>
      <c r="CO64" s="168">
        <f t="array" ref="CO64:CO66">MMULT($I$43:$K$45,CO51:CO53)</f>
        <v>12.315426926113378</v>
      </c>
      <c r="CP64" s="168">
        <f t="array" ref="CP64:CP66">MMULT($I$43:$K$45,CP51:CP53)</f>
        <v>35.429870295826291</v>
      </c>
      <c r="CQ64" s="168">
        <f t="array" ref="CQ64:CQ66">MMULT($I$43:$K$45,CQ51:CQ53)</f>
        <v>12.116285561048288</v>
      </c>
      <c r="CR64" s="168">
        <f t="array" ref="CR64:CR66">MMULT($I$43:$K$45,CR51:CR53)</f>
        <v>16.482368830471188</v>
      </c>
      <c r="CS64" s="168">
        <f t="array" ref="CS64:CS66">MMULT($I$43:$K$45,CS51:CS53)</f>
        <v>63.80852115115276</v>
      </c>
      <c r="CT64" s="168">
        <f t="array" ref="CT64:CT66">MMULT($I$43:$K$45,CT51:CT53)</f>
        <v>28.497212029802853</v>
      </c>
      <c r="CU64" s="168">
        <f t="array" ref="CU64:CU66">MMULT($I$43:$K$45,CU51:CU53)</f>
        <v>42.61927378823443</v>
      </c>
      <c r="CV64" s="168">
        <f t="array" ref="CV64:CV66">MMULT($I$43:$K$45,CV51:CV53)</f>
        <v>14.373986542912014</v>
      </c>
      <c r="CW64" s="168">
        <f t="array" ref="CW64:CW66">MMULT($I$43:$K$45,CW51:CW53)</f>
        <v>49.138609326451629</v>
      </c>
      <c r="CX64" s="168">
        <f t="array" ref="CX64:CX66">MMULT($I$43:$K$45,CX51:CX53)</f>
        <v>64.264866059002884</v>
      </c>
      <c r="CY64" s="168">
        <f t="array" ref="CY64:CY66">MMULT($I$43:$K$45,CY51:CY53)</f>
        <v>25.635702213482112</v>
      </c>
      <c r="CZ64" s="168">
        <f t="array" ref="CZ64:CZ66">MMULT($I$43:$K$45,CZ51:CZ53)</f>
        <v>45.032421319100912</v>
      </c>
      <c r="DA64" s="168">
        <f t="array" ref="DA64:DA66">MMULT($I$43:$K$45,DA51:DA53)</f>
        <v>29.863478661955362</v>
      </c>
      <c r="DC64">
        <v>60</v>
      </c>
      <c r="DD64" s="114">
        <v>88.404100177790994</v>
      </c>
      <c r="DE64" s="114">
        <v>-6.6122659861702013</v>
      </c>
      <c r="DF64" s="114">
        <v>-2.8468345169817977</v>
      </c>
      <c r="DG64" s="114">
        <v>87.930187932816978</v>
      </c>
      <c r="DH64" s="114">
        <v>-4.4814322723591049</v>
      </c>
      <c r="DI64" s="114">
        <v>-1.9896937913828796</v>
      </c>
      <c r="DJ64" s="114">
        <v>2.3451514567998677</v>
      </c>
      <c r="DK64" s="114">
        <f t="shared" si="0"/>
        <v>5.4997353553305421</v>
      </c>
      <c r="DL64" s="114">
        <f t="shared" si="1"/>
        <v>3.5481450200706042</v>
      </c>
      <c r="DM64" s="114">
        <f t="shared" si="2"/>
        <v>203.2937347504064</v>
      </c>
      <c r="DN64" s="115">
        <f t="shared" si="3"/>
        <v>10</v>
      </c>
      <c r="DO64">
        <v>7</v>
      </c>
    </row>
    <row r="65" spans="1:119">
      <c r="A65">
        <v>660</v>
      </c>
      <c r="B65" s="120">
        <f>'Color metric'!B59</f>
        <v>0.14398943196829592</v>
      </c>
      <c r="C65" s="112">
        <f>Reference!N65</f>
        <v>7.7010115043346135</v>
      </c>
      <c r="D65" s="112"/>
      <c r="E65" s="172" t="s">
        <v>292</v>
      </c>
      <c r="F65" s="168">
        <v>92.504893989274905</v>
      </c>
      <c r="G65" s="168">
        <v>51.831643955739729</v>
      </c>
      <c r="H65" s="168">
        <v>16.533439286064212</v>
      </c>
      <c r="I65" s="168">
        <v>4.416770116373872</v>
      </c>
      <c r="J65" s="168">
        <v>27.239328303654322</v>
      </c>
      <c r="K65" s="168">
        <v>8.2801425367257835</v>
      </c>
      <c r="L65" s="168">
        <v>12.68749838815611</v>
      </c>
      <c r="M65" s="168">
        <v>5.6287189818039476</v>
      </c>
      <c r="N65" s="168">
        <v>5.7855232916763404</v>
      </c>
      <c r="O65" s="168">
        <v>4.4631616449004925</v>
      </c>
      <c r="P65" s="168">
        <v>28.029074281340748</v>
      </c>
      <c r="Q65" s="168">
        <v>13.6765882927312</v>
      </c>
      <c r="R65" s="168">
        <v>17.196156631078729</v>
      </c>
      <c r="S65" s="168">
        <v>8.2286663411343106</v>
      </c>
      <c r="T65" s="168">
        <v>37.482899567528484</v>
      </c>
      <c r="U65" s="168">
        <v>31.862119172640636</v>
      </c>
      <c r="V65" s="168">
        <v>10.603711894790957</v>
      </c>
      <c r="W65" s="168">
        <v>12.156867198726676</v>
      </c>
      <c r="X65" s="168">
        <v>17.462926628763579</v>
      </c>
      <c r="Y65" s="168">
        <v>30.455269924731592</v>
      </c>
      <c r="Z65" s="168">
        <v>22.87373100664848</v>
      </c>
      <c r="AA65" s="168">
        <v>50.852742260684394</v>
      </c>
      <c r="AB65" s="168">
        <v>38.119333123106543</v>
      </c>
      <c r="AC65" s="168">
        <v>68.966886755799649</v>
      </c>
      <c r="AD65" s="168">
        <v>64.302987870663657</v>
      </c>
      <c r="AE65" s="168">
        <v>31.743098634261582</v>
      </c>
      <c r="AF65" s="168">
        <v>61.771578766846481</v>
      </c>
      <c r="AG65" s="168">
        <v>37.929018954384162</v>
      </c>
      <c r="AH65" s="168">
        <v>10.122988768607922</v>
      </c>
      <c r="AI65" s="168">
        <v>58.824043344084807</v>
      </c>
      <c r="AJ65" s="168">
        <v>27.065733771651001</v>
      </c>
      <c r="AK65" s="168">
        <v>63.152396661551478</v>
      </c>
      <c r="AL65" s="168">
        <v>40.463838344109398</v>
      </c>
      <c r="AM65" s="168">
        <v>66.59574767204505</v>
      </c>
      <c r="AN65" s="168">
        <v>25.638425366936978</v>
      </c>
      <c r="AO65" s="168">
        <v>10.766346847017818</v>
      </c>
      <c r="AP65" s="168">
        <v>49.557917378745863</v>
      </c>
      <c r="AQ65" s="168">
        <v>14.527384106195845</v>
      </c>
      <c r="AR65" s="168">
        <v>61.086881996786843</v>
      </c>
      <c r="AS65" s="168">
        <v>7.2218106717133699</v>
      </c>
      <c r="AT65" s="168">
        <v>15.914119404210942</v>
      </c>
      <c r="AU65" s="168">
        <v>64.980329505203457</v>
      </c>
      <c r="AV65" s="168">
        <v>37.474977018323301</v>
      </c>
      <c r="AW65" s="168">
        <v>43.068931748949652</v>
      </c>
      <c r="AX65" s="168">
        <v>4.6175123490740129</v>
      </c>
      <c r="AY65" s="168">
        <v>25.793620911150771</v>
      </c>
      <c r="AZ65" s="168">
        <v>33.83827285822219</v>
      </c>
      <c r="BA65" s="168">
        <v>36.642887208615392</v>
      </c>
      <c r="BB65" s="168">
        <v>51.623776662777637</v>
      </c>
      <c r="BC65" s="168">
        <v>15.188254209975716</v>
      </c>
      <c r="BD65" s="168">
        <v>21.722635693629933</v>
      </c>
      <c r="BE65" s="168">
        <v>24.81631362810414</v>
      </c>
      <c r="BF65" s="168">
        <v>12.29563244794196</v>
      </c>
      <c r="BG65" s="168">
        <v>20.259232183010965</v>
      </c>
      <c r="BH65" s="168">
        <v>66.695996703373893</v>
      </c>
      <c r="BI65" s="168">
        <v>60.383456717363394</v>
      </c>
      <c r="BJ65" s="168">
        <v>44.529899612202939</v>
      </c>
      <c r="BK65" s="168">
        <v>28.023687405806601</v>
      </c>
      <c r="BL65" s="168">
        <v>24.097041956903546</v>
      </c>
      <c r="BM65" s="168">
        <v>66.042824187016194</v>
      </c>
      <c r="BN65" s="168">
        <v>65.595970075710753</v>
      </c>
      <c r="BO65" s="168">
        <v>46.964438812250521</v>
      </c>
      <c r="BP65" s="168">
        <v>31.513322071544799</v>
      </c>
      <c r="BQ65" s="168">
        <v>6.8454231102268297</v>
      </c>
      <c r="BR65" s="168">
        <v>27.811362212378139</v>
      </c>
      <c r="BS65" s="168">
        <v>10.879267781392347</v>
      </c>
      <c r="BT65" s="168">
        <v>14.81907856747466</v>
      </c>
      <c r="BU65" s="168">
        <v>17.223152188094485</v>
      </c>
      <c r="BV65" s="168">
        <v>30.193515819571711</v>
      </c>
      <c r="BW65" s="168">
        <v>18.315820596178057</v>
      </c>
      <c r="BX65" s="168">
        <v>41.168118313792398</v>
      </c>
      <c r="BY65" s="168">
        <v>7.8651681229734534</v>
      </c>
      <c r="BZ65" s="168">
        <v>44.364165111744576</v>
      </c>
      <c r="CA65" s="168">
        <v>24.348503996056611</v>
      </c>
      <c r="CB65" s="168">
        <v>4.4843702348806183</v>
      </c>
      <c r="CC65" s="168">
        <v>6.712187513949778</v>
      </c>
      <c r="CD65" s="168">
        <v>14.723718128003791</v>
      </c>
      <c r="CE65" s="168">
        <v>12.206524075206454</v>
      </c>
      <c r="CF65" s="168">
        <v>11.990321060739888</v>
      </c>
      <c r="CG65" s="168">
        <v>39.319944857393807</v>
      </c>
      <c r="CH65" s="168">
        <v>28.353685068444396</v>
      </c>
      <c r="CI65" s="168">
        <v>10.219151716563893</v>
      </c>
      <c r="CJ65" s="168">
        <v>61.359690758753466</v>
      </c>
      <c r="CK65" s="168">
        <v>36.927701833148454</v>
      </c>
      <c r="CL65" s="168">
        <v>4.1966840876257878</v>
      </c>
      <c r="CM65" s="168">
        <v>9.2715539850210504</v>
      </c>
      <c r="CN65" s="168">
        <v>26.222239867211417</v>
      </c>
      <c r="CO65" s="168">
        <v>7.2268932528964722</v>
      </c>
      <c r="CP65" s="168">
        <v>21.241466040544104</v>
      </c>
      <c r="CQ65" s="168">
        <v>6.4674844482417218</v>
      </c>
      <c r="CR65" s="168">
        <v>8.423552400916007</v>
      </c>
      <c r="CS65" s="168">
        <v>48.628157529382207</v>
      </c>
      <c r="CT65" s="168">
        <v>17.273768066780338</v>
      </c>
      <c r="CU65" s="168">
        <v>28.022776748141489</v>
      </c>
      <c r="CV65" s="168">
        <v>6.3280105358498933</v>
      </c>
      <c r="CW65" s="168">
        <v>29.740209888790794</v>
      </c>
      <c r="CX65" s="168">
        <v>40.43867807737476</v>
      </c>
      <c r="CY65" s="168">
        <v>12.683454616041104</v>
      </c>
      <c r="CZ65" s="168">
        <v>19.246215658446683</v>
      </c>
      <c r="DA65" s="168">
        <v>10.310517828262414</v>
      </c>
      <c r="DC65">
        <v>61</v>
      </c>
      <c r="DD65" s="114">
        <v>76.883610228850117</v>
      </c>
      <c r="DE65" s="114">
        <v>-14.432183978192667</v>
      </c>
      <c r="DF65" s="114">
        <v>-5.6659381219181606</v>
      </c>
      <c r="DG65" s="114">
        <v>75.762905722813471</v>
      </c>
      <c r="DH65" s="114">
        <v>-9.5554423409785159</v>
      </c>
      <c r="DI65" s="114">
        <v>-6.7320849013954787</v>
      </c>
      <c r="DJ65" s="114">
        <v>5.1161759685705546</v>
      </c>
      <c r="DK65" s="114">
        <f t="shared" si="0"/>
        <v>26.175256541378854</v>
      </c>
      <c r="DL65" s="114">
        <f t="shared" si="1"/>
        <v>3.5156952442348479</v>
      </c>
      <c r="DM65" s="114">
        <f t="shared" si="2"/>
        <v>201.43449954887194</v>
      </c>
      <c r="DN65" s="115">
        <f t="shared" si="3"/>
        <v>9</v>
      </c>
      <c r="DO65">
        <v>6</v>
      </c>
    </row>
    <row r="66" spans="1:119">
      <c r="A66">
        <v>665</v>
      </c>
      <c r="B66" s="120">
        <f>'Color metric'!B60</f>
        <v>0.12186261558784675</v>
      </c>
      <c r="C66" s="112">
        <f>Reference!N66</f>
        <v>7.8415826140602896</v>
      </c>
      <c r="D66" s="112"/>
      <c r="E66" s="172" t="s">
        <v>55</v>
      </c>
      <c r="F66" s="168">
        <v>38.432085815977565</v>
      </c>
      <c r="G66" s="168">
        <v>23.250330256584146</v>
      </c>
      <c r="H66" s="168">
        <v>8.4986203459489733</v>
      </c>
      <c r="I66" s="168">
        <v>2.0400956922868181</v>
      </c>
      <c r="J66" s="168">
        <v>10.941651511932365</v>
      </c>
      <c r="K66" s="168">
        <v>3.6278107425754622</v>
      </c>
      <c r="L66" s="168">
        <v>4.8514554387033133</v>
      </c>
      <c r="M66" s="168">
        <v>2.2358446877070266</v>
      </c>
      <c r="N66" s="168">
        <v>2.3076526770471308</v>
      </c>
      <c r="O66" s="168">
        <v>1.8784557659010406</v>
      </c>
      <c r="P66" s="168">
        <v>7.4779901938869004</v>
      </c>
      <c r="Q66" s="168">
        <v>2.9979282536276322</v>
      </c>
      <c r="R66" s="168">
        <v>3.645398410774602</v>
      </c>
      <c r="S66" s="168">
        <v>2.0368928279885417</v>
      </c>
      <c r="T66" s="168">
        <v>13.888783042481306</v>
      </c>
      <c r="U66" s="168">
        <v>10.502472490506934</v>
      </c>
      <c r="V66" s="168">
        <v>2.3837222124327822</v>
      </c>
      <c r="W66" s="168">
        <v>2.5691850068243065</v>
      </c>
      <c r="X66" s="168">
        <v>4.7539366455137415</v>
      </c>
      <c r="Y66" s="168">
        <v>5.3632859750127126</v>
      </c>
      <c r="Z66" s="168">
        <v>2.9426035863238411</v>
      </c>
      <c r="AA66" s="168">
        <v>7.8319469447675267</v>
      </c>
      <c r="AB66" s="168">
        <v>5.1633413063522644</v>
      </c>
      <c r="AC66" s="168">
        <v>21.478418180882805</v>
      </c>
      <c r="AD66" s="168">
        <v>12.455399178607458</v>
      </c>
      <c r="AE66" s="168">
        <v>2.8165993821238082</v>
      </c>
      <c r="AF66" s="168">
        <v>9.4650094102778208</v>
      </c>
      <c r="AG66" s="168">
        <v>9.9702925120151455</v>
      </c>
      <c r="AH66" s="168">
        <v>2.0013711664297409</v>
      </c>
      <c r="AI66" s="168">
        <v>8.7483186437674281</v>
      </c>
      <c r="AJ66" s="168">
        <v>6.2920981527896798</v>
      </c>
      <c r="AK66" s="168">
        <v>9.5535495387167622</v>
      </c>
      <c r="AL66" s="168">
        <v>4.3151667934843205</v>
      </c>
      <c r="AM66" s="168">
        <v>16.006434602418189</v>
      </c>
      <c r="AN66" s="168">
        <v>2.7475923807600946</v>
      </c>
      <c r="AO66" s="168">
        <v>2.1605469987264452</v>
      </c>
      <c r="AP66" s="168">
        <v>17.542474585166627</v>
      </c>
      <c r="AQ66" s="168">
        <v>2.4591245940307149</v>
      </c>
      <c r="AR66" s="168">
        <v>16.238804321570136</v>
      </c>
      <c r="AS66" s="168">
        <v>2.2345948648198681</v>
      </c>
      <c r="AT66" s="168">
        <v>3.9297777635258782</v>
      </c>
      <c r="AU66" s="168">
        <v>22.353891143408063</v>
      </c>
      <c r="AV66" s="168">
        <v>4.1714283308946998</v>
      </c>
      <c r="AW66" s="168">
        <v>4.9121777737356886</v>
      </c>
      <c r="AX66" s="168">
        <v>1.8225255457441683</v>
      </c>
      <c r="AY66" s="168">
        <v>4.1483306909284421</v>
      </c>
      <c r="AZ66" s="168">
        <v>7.6299306185238898</v>
      </c>
      <c r="BA66" s="168">
        <v>10.669720159541452</v>
      </c>
      <c r="BB66" s="168">
        <v>12.600578558761638</v>
      </c>
      <c r="BC66" s="168">
        <v>3.1791313188844303</v>
      </c>
      <c r="BD66" s="168">
        <v>6.3045529373077747</v>
      </c>
      <c r="BE66" s="168">
        <v>7.8451864482951743</v>
      </c>
      <c r="BF66" s="168">
        <v>3.1029605958505586</v>
      </c>
      <c r="BG66" s="168">
        <v>5.5312002747242808</v>
      </c>
      <c r="BH66" s="168">
        <v>25.948815211685879</v>
      </c>
      <c r="BI66" s="168">
        <v>23.966392444331031</v>
      </c>
      <c r="BJ66" s="168">
        <v>16.681913501241684</v>
      </c>
      <c r="BK66" s="168">
        <v>10.310925906157996</v>
      </c>
      <c r="BL66" s="168">
        <v>9.532398362002068</v>
      </c>
      <c r="BM66" s="168">
        <v>26.995286141865982</v>
      </c>
      <c r="BN66" s="168">
        <v>27.673054637211045</v>
      </c>
      <c r="BO66" s="168">
        <v>20.221253293020506</v>
      </c>
      <c r="BP66" s="168">
        <v>13.739540575277802</v>
      </c>
      <c r="BQ66" s="168">
        <v>3.00480829879166</v>
      </c>
      <c r="BR66" s="168">
        <v>14.714520451333065</v>
      </c>
      <c r="BS66" s="168">
        <v>5.4827494614862822</v>
      </c>
      <c r="BT66" s="168">
        <v>9.1343963215026793</v>
      </c>
      <c r="BU66" s="168">
        <v>10.98219831593574</v>
      </c>
      <c r="BV66" s="168">
        <v>16.389704201516867</v>
      </c>
      <c r="BW66" s="168">
        <v>9.2740844617345619</v>
      </c>
      <c r="BX66" s="168">
        <v>25.487703317894407</v>
      </c>
      <c r="BY66" s="168">
        <v>6.2311648804828321</v>
      </c>
      <c r="BZ66" s="168">
        <v>20.541575812405711</v>
      </c>
      <c r="CA66" s="168">
        <v>19.294097953023492</v>
      </c>
      <c r="CB66" s="168">
        <v>2.0494883903390315</v>
      </c>
      <c r="CC66" s="168">
        <v>5.8925946116949159</v>
      </c>
      <c r="CD66" s="168">
        <v>16.215902821597929</v>
      </c>
      <c r="CE66" s="168">
        <v>10.014214649014882</v>
      </c>
      <c r="CF66" s="168">
        <v>13.801299716948879</v>
      </c>
      <c r="CG66" s="168">
        <v>24.003257323271907</v>
      </c>
      <c r="CH66" s="168">
        <v>20.388553833208277</v>
      </c>
      <c r="CI66" s="168">
        <v>11.438614222784199</v>
      </c>
      <c r="CJ66" s="168">
        <v>29.476943783840504</v>
      </c>
      <c r="CK66" s="168">
        <v>21.450448275019024</v>
      </c>
      <c r="CL66" s="168">
        <v>2.2528005151879515</v>
      </c>
      <c r="CM66" s="168">
        <v>5.8436999058780952</v>
      </c>
      <c r="CN66" s="168">
        <v>19.927668186075568</v>
      </c>
      <c r="CO66" s="168">
        <v>7.6726990462026201</v>
      </c>
      <c r="CP66" s="168">
        <v>16.270386041132902</v>
      </c>
      <c r="CQ66" s="168">
        <v>5.8441556150520562</v>
      </c>
      <c r="CR66" s="168">
        <v>7.745855834817422</v>
      </c>
      <c r="CS66" s="168">
        <v>21.16678500625606</v>
      </c>
      <c r="CT66" s="168">
        <v>10.436184619729241</v>
      </c>
      <c r="CU66" s="168">
        <v>14.895898007916255</v>
      </c>
      <c r="CV66" s="168">
        <v>4.9319834422990869</v>
      </c>
      <c r="CW66" s="168">
        <v>16.309655301128139</v>
      </c>
      <c r="CX66" s="168">
        <v>20.883748977772903</v>
      </c>
      <c r="CY66" s="168">
        <v>7.6210035171178703</v>
      </c>
      <c r="CZ66" s="168">
        <v>11.307433825377434</v>
      </c>
      <c r="DA66" s="168">
        <v>6.9425345627939405</v>
      </c>
      <c r="DC66">
        <v>62</v>
      </c>
      <c r="DD66" s="114">
        <v>67.316766473294095</v>
      </c>
      <c r="DE66" s="114">
        <v>-5.9288807002652826</v>
      </c>
      <c r="DF66" s="114">
        <v>-4.3656547303413626</v>
      </c>
      <c r="DG66" s="114">
        <v>66.433330883232529</v>
      </c>
      <c r="DH66" s="114">
        <v>-4.1741397338831217</v>
      </c>
      <c r="DI66" s="114">
        <v>-0.30130067786858999</v>
      </c>
      <c r="DJ66" s="114">
        <v>4.5142605335468931</v>
      </c>
      <c r="DK66" s="114">
        <f t="shared" si="0"/>
        <v>20.37854816473908</v>
      </c>
      <c r="DL66" s="114">
        <f t="shared" si="1"/>
        <v>3.776291998677586</v>
      </c>
      <c r="DM66" s="114">
        <f t="shared" si="2"/>
        <v>216.36559373324795</v>
      </c>
      <c r="DN66" s="115">
        <f t="shared" si="3"/>
        <v>10</v>
      </c>
      <c r="DO66">
        <v>3</v>
      </c>
    </row>
    <row r="67" spans="1:119">
      <c r="A67">
        <v>670</v>
      </c>
      <c r="B67" s="120">
        <f>'Color metric'!B61</f>
        <v>0.10336856010568031</v>
      </c>
      <c r="C67" s="112">
        <f>Reference!N67</f>
        <v>7.9803403582829207</v>
      </c>
      <c r="D67" s="112"/>
      <c r="E67" s="172" t="s">
        <v>293</v>
      </c>
      <c r="F67" s="168">
        <f t="array" ref="F67:F69">MMULT($I$43:$K$45,F54:F56)</f>
        <v>117.58062685899085</v>
      </c>
      <c r="G67" s="168">
        <f t="array" ref="G67:G69">MMULT($I$43:$K$45,G54:G56)</f>
        <v>117.58062685899085</v>
      </c>
      <c r="H67" s="168">
        <f t="array" ref="H67:H69">MMULT($I$43:$K$45,H54:H56)</f>
        <v>117.58062685899085</v>
      </c>
      <c r="I67" s="168">
        <f t="array" ref="I67:I69">MMULT($I$43:$K$45,I54:I56)</f>
        <v>117.58062685899085</v>
      </c>
      <c r="J67" s="168">
        <f t="array" ref="J67:J69">MMULT($I$43:$K$45,J54:J56)</f>
        <v>117.58062685899085</v>
      </c>
      <c r="K67" s="168">
        <f t="array" ref="K67:K69">MMULT($I$43:$K$45,K54:K56)</f>
        <v>117.58062685899085</v>
      </c>
      <c r="L67" s="168">
        <f t="array" ref="L67:L69">MMULT($I$43:$K$45,L54:L56)</f>
        <v>117.58062685899085</v>
      </c>
      <c r="M67" s="168">
        <f t="array" ref="M67:M69">MMULT($I$43:$K$45,M54:M56)</f>
        <v>117.58062685899085</v>
      </c>
      <c r="N67" s="168">
        <f t="array" ref="N67:N69">MMULT($I$43:$K$45,N54:N56)</f>
        <v>117.58062685899085</v>
      </c>
      <c r="O67" s="168">
        <f t="array" ref="O67:O69">MMULT($I$43:$K$45,O54:O56)</f>
        <v>117.58062685899085</v>
      </c>
      <c r="P67" s="168">
        <f t="array" ref="P67:P69">MMULT($I$43:$K$45,P54:P56)</f>
        <v>117.58062685899085</v>
      </c>
      <c r="Q67" s="168">
        <f t="array" ref="Q67:Q69">MMULT($I$43:$K$45,Q54:Q56)</f>
        <v>117.58062685899085</v>
      </c>
      <c r="R67" s="168">
        <f t="array" ref="R67:R69">MMULT($I$43:$K$45,R54:R56)</f>
        <v>117.58062685899085</v>
      </c>
      <c r="S67" s="168">
        <f t="array" ref="S67:S69">MMULT($I$43:$K$45,S54:S56)</f>
        <v>117.58062685899085</v>
      </c>
      <c r="T67" s="168">
        <f t="array" ref="T67:T69">MMULT($I$43:$K$45,T54:T56)</f>
        <v>117.58062685899085</v>
      </c>
      <c r="U67" s="168">
        <f t="array" ref="U67:U69">MMULT($I$43:$K$45,U54:U56)</f>
        <v>117.58062685899085</v>
      </c>
      <c r="V67" s="168">
        <f t="array" ref="V67:V69">MMULT($I$43:$K$45,V54:V56)</f>
        <v>117.58062685899085</v>
      </c>
      <c r="W67" s="168">
        <f t="array" ref="W67:W69">MMULT($I$43:$K$45,W54:W56)</f>
        <v>117.58062685899085</v>
      </c>
      <c r="X67" s="168">
        <f t="array" ref="X67:X69">MMULT($I$43:$K$45,X54:X56)</f>
        <v>117.58062685899085</v>
      </c>
      <c r="Y67" s="168">
        <f t="array" ref="Y67:Y69">MMULT($I$43:$K$45,Y54:Y56)</f>
        <v>117.58062685899085</v>
      </c>
      <c r="Z67" s="168">
        <f t="array" ref="Z67:Z69">MMULT($I$43:$K$45,Z54:Z56)</f>
        <v>117.58062685899085</v>
      </c>
      <c r="AA67" s="168">
        <f t="array" ref="AA67:AA69">MMULT($I$43:$K$45,AA54:AA56)</f>
        <v>117.58062685899085</v>
      </c>
      <c r="AB67" s="168">
        <f t="array" ref="AB67:AB69">MMULT($I$43:$K$45,AB54:AB56)</f>
        <v>117.58062685899085</v>
      </c>
      <c r="AC67" s="168">
        <f t="array" ref="AC67:AC69">MMULT($I$43:$K$45,AC54:AC56)</f>
        <v>117.58062685899085</v>
      </c>
      <c r="AD67" s="168">
        <f t="array" ref="AD67:AD69">MMULT($I$43:$K$45,AD54:AD56)</f>
        <v>117.58062685899085</v>
      </c>
      <c r="AE67" s="168">
        <f t="array" ref="AE67:AE69">MMULT($I$43:$K$45,AE54:AE56)</f>
        <v>117.58062685899085</v>
      </c>
      <c r="AF67" s="168">
        <f t="array" ref="AF67:AF69">MMULT($I$43:$K$45,AF54:AF56)</f>
        <v>117.58062685899085</v>
      </c>
      <c r="AG67" s="168">
        <f t="array" ref="AG67:AG69">MMULT($I$43:$K$45,AG54:AG56)</f>
        <v>117.58062685899085</v>
      </c>
      <c r="AH67" s="168">
        <f t="array" ref="AH67:AH69">MMULT($I$43:$K$45,AH54:AH56)</f>
        <v>117.58062685899085</v>
      </c>
      <c r="AI67" s="168">
        <f t="array" ref="AI67:AI69">MMULT($I$43:$K$45,AI54:AI56)</f>
        <v>117.58062685899085</v>
      </c>
      <c r="AJ67" s="168">
        <f t="array" ref="AJ67:AJ69">MMULT($I$43:$K$45,AJ54:AJ56)</f>
        <v>117.58062685899085</v>
      </c>
      <c r="AK67" s="168">
        <f t="array" ref="AK67:AK69">MMULT($I$43:$K$45,AK54:AK56)</f>
        <v>117.58062685899085</v>
      </c>
      <c r="AL67" s="168">
        <f t="array" ref="AL67:AL69">MMULT($I$43:$K$45,AL54:AL56)</f>
        <v>117.58062685899085</v>
      </c>
      <c r="AM67" s="168">
        <f t="array" ref="AM67:AM69">MMULT($I$43:$K$45,AM54:AM56)</f>
        <v>117.58062685899085</v>
      </c>
      <c r="AN67" s="168">
        <f t="array" ref="AN67:AN69">MMULT($I$43:$K$45,AN54:AN56)</f>
        <v>117.58062685899085</v>
      </c>
      <c r="AO67" s="168">
        <f t="array" ref="AO67:AO69">MMULT($I$43:$K$45,AO54:AO56)</f>
        <v>117.58062685899085</v>
      </c>
      <c r="AP67" s="168">
        <f t="array" ref="AP67:AP69">MMULT($I$43:$K$45,AP54:AP56)</f>
        <v>117.58062685899085</v>
      </c>
      <c r="AQ67" s="168">
        <f t="array" ref="AQ67:AQ69">MMULT($I$43:$K$45,AQ54:AQ56)</f>
        <v>117.58062685899085</v>
      </c>
      <c r="AR67" s="168">
        <f t="array" ref="AR67:AR69">MMULT($I$43:$K$45,AR54:AR56)</f>
        <v>117.58062685899085</v>
      </c>
      <c r="AS67" s="168">
        <f t="array" ref="AS67:AS69">MMULT($I$43:$K$45,AS54:AS56)</f>
        <v>117.58062685899085</v>
      </c>
      <c r="AT67" s="168">
        <f t="array" ref="AT67:AT69">MMULT($I$43:$K$45,AT54:AT56)</f>
        <v>117.58062685899085</v>
      </c>
      <c r="AU67" s="168">
        <f t="array" ref="AU67:AU69">MMULT($I$43:$K$45,AU54:AU56)</f>
        <v>117.58062685899085</v>
      </c>
      <c r="AV67" s="168">
        <f t="array" ref="AV67:AV69">MMULT($I$43:$K$45,AV54:AV56)</f>
        <v>117.58062685899085</v>
      </c>
      <c r="AW67" s="168">
        <f t="array" ref="AW67:AW69">MMULT($I$43:$K$45,AW54:AW56)</f>
        <v>117.58062685899085</v>
      </c>
      <c r="AX67" s="168">
        <f t="array" ref="AX67:AX69">MMULT($I$43:$K$45,AX54:AX56)</f>
        <v>117.58062685899085</v>
      </c>
      <c r="AY67" s="168">
        <f t="array" ref="AY67:AY69">MMULT($I$43:$K$45,AY54:AY56)</f>
        <v>117.58062685899085</v>
      </c>
      <c r="AZ67" s="168">
        <f t="array" ref="AZ67:AZ69">MMULT($I$43:$K$45,AZ54:AZ56)</f>
        <v>117.58062685899085</v>
      </c>
      <c r="BA67" s="168">
        <f t="array" ref="BA67:BA69">MMULT($I$43:$K$45,BA54:BA56)</f>
        <v>117.58062685899085</v>
      </c>
      <c r="BB67" s="168">
        <f t="array" ref="BB67:BB69">MMULT($I$43:$K$45,BB54:BB56)</f>
        <v>117.58062685899085</v>
      </c>
      <c r="BC67" s="168">
        <f t="array" ref="BC67:BC69">MMULT($I$43:$K$45,BC54:BC56)</f>
        <v>117.58062685899085</v>
      </c>
      <c r="BD67" s="168">
        <f t="array" ref="BD67:BD69">MMULT($I$43:$K$45,BD54:BD56)</f>
        <v>117.58062685899085</v>
      </c>
      <c r="BE67" s="168">
        <f t="array" ref="BE67:BE69">MMULT($I$43:$K$45,BE54:BE56)</f>
        <v>117.58062685899085</v>
      </c>
      <c r="BF67" s="168">
        <f t="array" ref="BF67:BF69">MMULT($I$43:$K$45,BF54:BF56)</f>
        <v>117.58062685899085</v>
      </c>
      <c r="BG67" s="168">
        <f t="array" ref="BG67:BG69">MMULT($I$43:$K$45,BG54:BG56)</f>
        <v>117.58062685899085</v>
      </c>
      <c r="BH67" s="168">
        <f t="array" ref="BH67:BH69">MMULT($I$43:$K$45,BH54:BH56)</f>
        <v>117.58062685899085</v>
      </c>
      <c r="BI67" s="168">
        <f t="array" ref="BI67:BI69">MMULT($I$43:$K$45,BI54:BI56)</f>
        <v>117.58062685899085</v>
      </c>
      <c r="BJ67" s="168">
        <f t="array" ref="BJ67:BJ69">MMULT($I$43:$K$45,BJ54:BJ56)</f>
        <v>117.58062685899085</v>
      </c>
      <c r="BK67" s="168">
        <f t="array" ref="BK67:BK69">MMULT($I$43:$K$45,BK54:BK56)</f>
        <v>117.58062685899085</v>
      </c>
      <c r="BL67" s="168">
        <f t="array" ref="BL67:BL69">MMULT($I$43:$K$45,BL54:BL56)</f>
        <v>117.58062685899085</v>
      </c>
      <c r="BM67" s="168">
        <f t="array" ref="BM67:BM69">MMULT($I$43:$K$45,BM54:BM56)</f>
        <v>117.58062685899085</v>
      </c>
      <c r="BN67" s="168">
        <f t="array" ref="BN67:BN69">MMULT($I$43:$K$45,BN54:BN56)</f>
        <v>117.58062685899085</v>
      </c>
      <c r="BO67" s="168">
        <f t="array" ref="BO67:BO69">MMULT($I$43:$K$45,BO54:BO56)</f>
        <v>117.58062685899085</v>
      </c>
      <c r="BP67" s="168">
        <f t="array" ref="BP67:BP69">MMULT($I$43:$K$45,BP54:BP56)</f>
        <v>117.58062685899085</v>
      </c>
      <c r="BQ67" s="168">
        <f t="array" ref="BQ67:BQ69">MMULT($I$43:$K$45,BQ54:BQ56)</f>
        <v>117.58062685899085</v>
      </c>
      <c r="BR67" s="168">
        <f t="array" ref="BR67:BR69">MMULT($I$43:$K$45,BR54:BR56)</f>
        <v>117.58062685899085</v>
      </c>
      <c r="BS67" s="168">
        <f t="array" ref="BS67:BS69">MMULT($I$43:$K$45,BS54:BS56)</f>
        <v>117.58062685899085</v>
      </c>
      <c r="BT67" s="168">
        <f t="array" ref="BT67:BT69">MMULT($I$43:$K$45,BT54:BT56)</f>
        <v>117.58062685899085</v>
      </c>
      <c r="BU67" s="168">
        <f t="array" ref="BU67:BU69">MMULT($I$43:$K$45,BU54:BU56)</f>
        <v>117.58062685899085</v>
      </c>
      <c r="BV67" s="168">
        <f t="array" ref="BV67:BV69">MMULT($I$43:$K$45,BV54:BV56)</f>
        <v>117.58062685899085</v>
      </c>
      <c r="BW67" s="168">
        <f t="array" ref="BW67:BW69">MMULT($I$43:$K$45,BW54:BW56)</f>
        <v>117.58062685899085</v>
      </c>
      <c r="BX67" s="168">
        <f t="array" ref="BX67:BX69">MMULT($I$43:$K$45,BX54:BX56)</f>
        <v>117.58062685899085</v>
      </c>
      <c r="BY67" s="168">
        <f t="array" ref="BY67:BY69">MMULT($I$43:$K$45,BY54:BY56)</f>
        <v>117.58062685899085</v>
      </c>
      <c r="BZ67" s="168">
        <f t="array" ref="BZ67:BZ69">MMULT($I$43:$K$45,BZ54:BZ56)</f>
        <v>117.58062685899085</v>
      </c>
      <c r="CA67" s="168">
        <f t="array" ref="CA67:CA69">MMULT($I$43:$K$45,CA54:CA56)</f>
        <v>117.58062685899085</v>
      </c>
      <c r="CB67" s="168">
        <f t="array" ref="CB67:CB69">MMULT($I$43:$K$45,CB54:CB56)</f>
        <v>117.58062685899085</v>
      </c>
      <c r="CC67" s="168">
        <f t="array" ref="CC67:CC69">MMULT($I$43:$K$45,CC54:CC56)</f>
        <v>117.58062685899085</v>
      </c>
      <c r="CD67" s="168">
        <f t="array" ref="CD67:CD69">MMULT($I$43:$K$45,CD54:CD56)</f>
        <v>117.58062685899085</v>
      </c>
      <c r="CE67" s="168">
        <f t="array" ref="CE67:CE69">MMULT($I$43:$K$45,CE54:CE56)</f>
        <v>117.58062685899085</v>
      </c>
      <c r="CF67" s="168">
        <f t="array" ref="CF67:CF69">MMULT($I$43:$K$45,CF54:CF56)</f>
        <v>117.58062685899085</v>
      </c>
      <c r="CG67" s="168">
        <f t="array" ref="CG67:CG69">MMULT($I$43:$K$45,CG54:CG56)</f>
        <v>117.58062685899085</v>
      </c>
      <c r="CH67" s="168">
        <f t="array" ref="CH67:CH69">MMULT($I$43:$K$45,CH54:CH56)</f>
        <v>117.58062685899085</v>
      </c>
      <c r="CI67" s="168">
        <f t="array" ref="CI67:CI69">MMULT($I$43:$K$45,CI54:CI56)</f>
        <v>117.58062685899085</v>
      </c>
      <c r="CJ67" s="168">
        <f t="array" ref="CJ67:CJ69">MMULT($I$43:$K$45,CJ54:CJ56)</f>
        <v>117.58062685899085</v>
      </c>
      <c r="CK67" s="168">
        <f t="array" ref="CK67:CK69">MMULT($I$43:$K$45,CK54:CK56)</f>
        <v>117.58062685899085</v>
      </c>
      <c r="CL67" s="168">
        <f t="array" ref="CL67:CL69">MMULT($I$43:$K$45,CL54:CL56)</f>
        <v>117.58062685899085</v>
      </c>
      <c r="CM67" s="168">
        <f t="array" ref="CM67:CM69">MMULT($I$43:$K$45,CM54:CM56)</f>
        <v>117.58062685899085</v>
      </c>
      <c r="CN67" s="168">
        <f t="array" ref="CN67:CN69">MMULT($I$43:$K$45,CN54:CN56)</f>
        <v>117.58062685899085</v>
      </c>
      <c r="CO67" s="168">
        <f t="array" ref="CO67:CO69">MMULT($I$43:$K$45,CO54:CO56)</f>
        <v>117.58062685899085</v>
      </c>
      <c r="CP67" s="168">
        <f t="array" ref="CP67:CP69">MMULT($I$43:$K$45,CP54:CP56)</f>
        <v>117.58062685899085</v>
      </c>
      <c r="CQ67" s="168">
        <f t="array" ref="CQ67:CQ69">MMULT($I$43:$K$45,CQ54:CQ56)</f>
        <v>117.58062685899085</v>
      </c>
      <c r="CR67" s="168">
        <f t="array" ref="CR67:CR69">MMULT($I$43:$K$45,CR54:CR56)</f>
        <v>117.58062685899085</v>
      </c>
      <c r="CS67" s="168">
        <f t="array" ref="CS67:CS69">MMULT($I$43:$K$45,CS54:CS56)</f>
        <v>117.58062685899085</v>
      </c>
      <c r="CT67" s="168">
        <f t="array" ref="CT67:CT69">MMULT($I$43:$K$45,CT54:CT56)</f>
        <v>117.58062685899085</v>
      </c>
      <c r="CU67" s="168">
        <f t="array" ref="CU67:CU69">MMULT($I$43:$K$45,CU54:CU56)</f>
        <v>117.58062685899085</v>
      </c>
      <c r="CV67" s="168">
        <f t="array" ref="CV67:CV69">MMULT($I$43:$K$45,CV54:CV56)</f>
        <v>117.58062685899085</v>
      </c>
      <c r="CW67" s="168">
        <f t="array" ref="CW67:CW69">MMULT($I$43:$K$45,CW54:CW56)</f>
        <v>117.58062685899085</v>
      </c>
      <c r="CX67" s="168">
        <f t="array" ref="CX67:CX69">MMULT($I$43:$K$45,CX54:CX56)</f>
        <v>117.58062685899085</v>
      </c>
      <c r="CY67" s="168">
        <f t="array" ref="CY67:CY69">MMULT($I$43:$K$45,CY54:CY56)</f>
        <v>117.58062685899085</v>
      </c>
      <c r="CZ67" s="168">
        <f t="array" ref="CZ67:CZ69">MMULT($I$43:$K$45,CZ54:CZ56)</f>
        <v>117.58062685899085</v>
      </c>
      <c r="DA67" s="168">
        <f t="array" ref="DA67:DA69">MMULT($I$43:$K$45,DA54:DA56)</f>
        <v>117.58062685899085</v>
      </c>
      <c r="DC67">
        <v>63</v>
      </c>
      <c r="DD67" s="114">
        <v>34.796533365610131</v>
      </c>
      <c r="DE67" s="114">
        <v>-1.8655500581969815</v>
      </c>
      <c r="DF67" s="114">
        <v>-2.8380612906410523</v>
      </c>
      <c r="DG67" s="114">
        <v>34.45111144800422</v>
      </c>
      <c r="DH67" s="114">
        <v>1.9407180964471344</v>
      </c>
      <c r="DI67" s="114">
        <v>0.3659783502989602</v>
      </c>
      <c r="DJ67" s="114">
        <v>4.987270153795107</v>
      </c>
      <c r="DK67" s="114">
        <f t="shared" si="0"/>
        <v>24.87286358693547</v>
      </c>
      <c r="DL67" s="114">
        <f t="shared" si="1"/>
        <v>4.13087632766109</v>
      </c>
      <c r="DM67" s="114">
        <f t="shared" si="2"/>
        <v>236.68177926548103</v>
      </c>
      <c r="DN67" s="115">
        <f t="shared" si="3"/>
        <v>11</v>
      </c>
      <c r="DO67">
        <v>6</v>
      </c>
    </row>
    <row r="68" spans="1:119">
      <c r="A68">
        <v>675</v>
      </c>
      <c r="B68" s="120">
        <f>'Color metric'!B62</f>
        <v>8.7186261558784672E-2</v>
      </c>
      <c r="C68" s="112">
        <f>Reference!N68</f>
        <v>8.1172154394654807</v>
      </c>
      <c r="D68" s="112"/>
      <c r="E68" s="172" t="s">
        <v>294</v>
      </c>
      <c r="F68" s="168">
        <v>92.504893989274905</v>
      </c>
      <c r="G68" s="168">
        <v>92.504893989274905</v>
      </c>
      <c r="H68" s="168">
        <v>92.504893989274905</v>
      </c>
      <c r="I68" s="168">
        <v>92.504893989274905</v>
      </c>
      <c r="J68" s="168">
        <v>92.504893989274905</v>
      </c>
      <c r="K68" s="168">
        <v>92.504893989274905</v>
      </c>
      <c r="L68" s="168">
        <v>92.504893989274905</v>
      </c>
      <c r="M68" s="168">
        <v>92.504893989274905</v>
      </c>
      <c r="N68" s="168">
        <v>92.504893989274905</v>
      </c>
      <c r="O68" s="168">
        <v>92.504893989274905</v>
      </c>
      <c r="P68" s="168">
        <v>92.504893989274905</v>
      </c>
      <c r="Q68" s="168">
        <v>92.504893989274905</v>
      </c>
      <c r="R68" s="168">
        <v>92.504893989274905</v>
      </c>
      <c r="S68" s="168">
        <v>92.504893989274905</v>
      </c>
      <c r="T68" s="168">
        <v>92.504893989274905</v>
      </c>
      <c r="U68" s="168">
        <v>92.504893989274905</v>
      </c>
      <c r="V68" s="168">
        <v>92.504893989274905</v>
      </c>
      <c r="W68" s="168">
        <v>92.504893989274905</v>
      </c>
      <c r="X68" s="168">
        <v>92.504893989274905</v>
      </c>
      <c r="Y68" s="168">
        <v>92.504893989274905</v>
      </c>
      <c r="Z68" s="168">
        <v>92.504893989274905</v>
      </c>
      <c r="AA68" s="168">
        <v>92.504893989274905</v>
      </c>
      <c r="AB68" s="168">
        <v>92.504893989274905</v>
      </c>
      <c r="AC68" s="168">
        <v>92.504893989274905</v>
      </c>
      <c r="AD68" s="168">
        <v>92.504893989274905</v>
      </c>
      <c r="AE68" s="168">
        <v>92.504893989274905</v>
      </c>
      <c r="AF68" s="168">
        <v>92.504893989274905</v>
      </c>
      <c r="AG68" s="168">
        <v>92.504893989274905</v>
      </c>
      <c r="AH68" s="168">
        <v>92.504893989274905</v>
      </c>
      <c r="AI68" s="168">
        <v>92.504893989274905</v>
      </c>
      <c r="AJ68" s="168">
        <v>92.504893989274905</v>
      </c>
      <c r="AK68" s="168">
        <v>92.504893989274905</v>
      </c>
      <c r="AL68" s="168">
        <v>92.504893989274905</v>
      </c>
      <c r="AM68" s="168">
        <v>92.504893989274905</v>
      </c>
      <c r="AN68" s="168">
        <v>92.504893989274905</v>
      </c>
      <c r="AO68" s="168">
        <v>92.504893989274905</v>
      </c>
      <c r="AP68" s="168">
        <v>92.504893989274905</v>
      </c>
      <c r="AQ68" s="168">
        <v>92.504893989274905</v>
      </c>
      <c r="AR68" s="168">
        <v>92.504893989274905</v>
      </c>
      <c r="AS68" s="168">
        <v>92.504893989274905</v>
      </c>
      <c r="AT68" s="168">
        <v>92.504893989274905</v>
      </c>
      <c r="AU68" s="168">
        <v>92.504893989274905</v>
      </c>
      <c r="AV68" s="168">
        <v>92.504893989274905</v>
      </c>
      <c r="AW68" s="168">
        <v>92.504893989274905</v>
      </c>
      <c r="AX68" s="168">
        <v>92.504893989274905</v>
      </c>
      <c r="AY68" s="168">
        <v>92.504893989274905</v>
      </c>
      <c r="AZ68" s="168">
        <v>92.504893989274905</v>
      </c>
      <c r="BA68" s="168">
        <v>92.504893989274905</v>
      </c>
      <c r="BB68" s="168">
        <v>92.504893989274905</v>
      </c>
      <c r="BC68" s="168">
        <v>92.504893989274905</v>
      </c>
      <c r="BD68" s="168">
        <v>92.504893989274905</v>
      </c>
      <c r="BE68" s="168">
        <v>92.504893989274905</v>
      </c>
      <c r="BF68" s="168">
        <v>92.504893989274905</v>
      </c>
      <c r="BG68" s="168">
        <v>92.504893989274905</v>
      </c>
      <c r="BH68" s="168">
        <v>92.504893989274905</v>
      </c>
      <c r="BI68" s="168">
        <v>92.504893989274905</v>
      </c>
      <c r="BJ68" s="168">
        <v>92.504893989274905</v>
      </c>
      <c r="BK68" s="168">
        <v>92.504893989274905</v>
      </c>
      <c r="BL68" s="168">
        <v>92.504893989274905</v>
      </c>
      <c r="BM68" s="168">
        <v>92.504893989274905</v>
      </c>
      <c r="BN68" s="168">
        <v>92.504893989274905</v>
      </c>
      <c r="BO68" s="168">
        <v>92.504893989274905</v>
      </c>
      <c r="BP68" s="168">
        <v>92.504893989274905</v>
      </c>
      <c r="BQ68" s="168">
        <v>92.504893989274905</v>
      </c>
      <c r="BR68" s="168">
        <v>92.504893989274905</v>
      </c>
      <c r="BS68" s="168">
        <v>92.504893989274905</v>
      </c>
      <c r="BT68" s="168">
        <v>92.504893989274905</v>
      </c>
      <c r="BU68" s="168">
        <v>92.504893989274905</v>
      </c>
      <c r="BV68" s="168">
        <v>92.504893989274905</v>
      </c>
      <c r="BW68" s="168">
        <v>92.504893989274905</v>
      </c>
      <c r="BX68" s="168">
        <v>92.504893989274905</v>
      </c>
      <c r="BY68" s="168">
        <v>92.504893989274905</v>
      </c>
      <c r="BZ68" s="168">
        <v>92.504893989274905</v>
      </c>
      <c r="CA68" s="168">
        <v>92.504893989274905</v>
      </c>
      <c r="CB68" s="168">
        <v>92.504893989274905</v>
      </c>
      <c r="CC68" s="168">
        <v>92.504893989274905</v>
      </c>
      <c r="CD68" s="168">
        <v>92.504893989274905</v>
      </c>
      <c r="CE68" s="168">
        <v>92.504893989274905</v>
      </c>
      <c r="CF68" s="168">
        <v>92.504893989274905</v>
      </c>
      <c r="CG68" s="168">
        <v>92.504893989274905</v>
      </c>
      <c r="CH68" s="168">
        <v>92.504893989274905</v>
      </c>
      <c r="CI68" s="168">
        <v>92.504893989274905</v>
      </c>
      <c r="CJ68" s="168">
        <v>92.504893989274905</v>
      </c>
      <c r="CK68" s="168">
        <v>92.504893989274905</v>
      </c>
      <c r="CL68" s="168">
        <v>92.504893989274905</v>
      </c>
      <c r="CM68" s="168">
        <v>92.504893989274905</v>
      </c>
      <c r="CN68" s="168">
        <v>92.504893989274905</v>
      </c>
      <c r="CO68" s="168">
        <v>92.504893989274905</v>
      </c>
      <c r="CP68" s="168">
        <v>92.504893989274905</v>
      </c>
      <c r="CQ68" s="168">
        <v>92.504893989274905</v>
      </c>
      <c r="CR68" s="168">
        <v>92.504893989274905</v>
      </c>
      <c r="CS68" s="168">
        <v>92.504893989274905</v>
      </c>
      <c r="CT68" s="168">
        <v>92.504893989274905</v>
      </c>
      <c r="CU68" s="168">
        <v>92.504893989274905</v>
      </c>
      <c r="CV68" s="168">
        <v>92.504893989274905</v>
      </c>
      <c r="CW68" s="168">
        <v>92.504893989274905</v>
      </c>
      <c r="CX68" s="168">
        <v>92.504893989274905</v>
      </c>
      <c r="CY68" s="168">
        <v>92.504893989274905</v>
      </c>
      <c r="CZ68" s="168">
        <v>92.504893989274905</v>
      </c>
      <c r="DA68" s="168">
        <v>92.504893989274905</v>
      </c>
      <c r="DC68">
        <v>64</v>
      </c>
      <c r="DD68" s="114">
        <v>58.228155134071443</v>
      </c>
      <c r="DE68" s="114">
        <v>-28.677687611559627</v>
      </c>
      <c r="DF68" s="114">
        <v>-14.970225016519469</v>
      </c>
      <c r="DG68" s="114">
        <v>55.252615928672761</v>
      </c>
      <c r="DH68" s="114">
        <v>-20.110413755978321</v>
      </c>
      <c r="DI68" s="114">
        <v>-16.767229721657692</v>
      </c>
      <c r="DJ68" s="114">
        <v>9.2456065668878917</v>
      </c>
      <c r="DK68" s="114">
        <f t="shared" si="0"/>
        <v>85.481240789680513</v>
      </c>
      <c r="DL68" s="114">
        <f t="shared" si="1"/>
        <v>3.6226979004259685</v>
      </c>
      <c r="DM68" s="114">
        <f t="shared" si="2"/>
        <v>207.56530014531256</v>
      </c>
      <c r="DN68" s="115">
        <f t="shared" si="3"/>
        <v>10</v>
      </c>
      <c r="DO68">
        <v>5</v>
      </c>
    </row>
    <row r="69" spans="1:119">
      <c r="A69">
        <v>680</v>
      </c>
      <c r="B69" s="120">
        <f>'Color metric'!B63</f>
        <v>7.3976221928665792E-2</v>
      </c>
      <c r="C69" s="112">
        <f>Reference!N69</f>
        <v>8.2521426459722047</v>
      </c>
      <c r="D69" s="112"/>
      <c r="E69" s="172" t="s">
        <v>295</v>
      </c>
      <c r="F69" s="168">
        <v>38.432085815977565</v>
      </c>
      <c r="G69" s="168">
        <v>38.432085815977565</v>
      </c>
      <c r="H69" s="168">
        <v>38.432085815977565</v>
      </c>
      <c r="I69" s="168">
        <v>38.432085815977565</v>
      </c>
      <c r="J69" s="168">
        <v>38.432085815977565</v>
      </c>
      <c r="K69" s="168">
        <v>38.432085815977565</v>
      </c>
      <c r="L69" s="168">
        <v>38.432085815977565</v>
      </c>
      <c r="M69" s="168">
        <v>38.432085815977565</v>
      </c>
      <c r="N69" s="168">
        <v>38.432085815977565</v>
      </c>
      <c r="O69" s="168">
        <v>38.432085815977565</v>
      </c>
      <c r="P69" s="168">
        <v>38.432085815977565</v>
      </c>
      <c r="Q69" s="168">
        <v>38.432085815977565</v>
      </c>
      <c r="R69" s="168">
        <v>38.432085815977565</v>
      </c>
      <c r="S69" s="168">
        <v>38.432085815977565</v>
      </c>
      <c r="T69" s="168">
        <v>38.432085815977565</v>
      </c>
      <c r="U69" s="168">
        <v>38.432085815977565</v>
      </c>
      <c r="V69" s="168">
        <v>38.432085815977565</v>
      </c>
      <c r="W69" s="168">
        <v>38.432085815977565</v>
      </c>
      <c r="X69" s="168">
        <v>38.432085815977565</v>
      </c>
      <c r="Y69" s="168">
        <v>38.432085815977565</v>
      </c>
      <c r="Z69" s="168">
        <v>38.432085815977565</v>
      </c>
      <c r="AA69" s="168">
        <v>38.432085815977565</v>
      </c>
      <c r="AB69" s="168">
        <v>38.432085815977565</v>
      </c>
      <c r="AC69" s="168">
        <v>38.432085815977565</v>
      </c>
      <c r="AD69" s="168">
        <v>38.432085815977565</v>
      </c>
      <c r="AE69" s="168">
        <v>38.432085815977565</v>
      </c>
      <c r="AF69" s="168">
        <v>38.432085815977565</v>
      </c>
      <c r="AG69" s="168">
        <v>38.432085815977565</v>
      </c>
      <c r="AH69" s="168">
        <v>38.432085815977565</v>
      </c>
      <c r="AI69" s="168">
        <v>38.432085815977565</v>
      </c>
      <c r="AJ69" s="168">
        <v>38.432085815977565</v>
      </c>
      <c r="AK69" s="168">
        <v>38.432085815977565</v>
      </c>
      <c r="AL69" s="168">
        <v>38.432085815977565</v>
      </c>
      <c r="AM69" s="168">
        <v>38.432085815977565</v>
      </c>
      <c r="AN69" s="168">
        <v>38.432085815977565</v>
      </c>
      <c r="AO69" s="168">
        <v>38.432085815977565</v>
      </c>
      <c r="AP69" s="168">
        <v>38.432085815977565</v>
      </c>
      <c r="AQ69" s="168">
        <v>38.432085815977565</v>
      </c>
      <c r="AR69" s="168">
        <v>38.432085815977565</v>
      </c>
      <c r="AS69" s="168">
        <v>38.432085815977565</v>
      </c>
      <c r="AT69" s="168">
        <v>38.432085815977565</v>
      </c>
      <c r="AU69" s="168">
        <v>38.432085815977565</v>
      </c>
      <c r="AV69" s="168">
        <v>38.432085815977565</v>
      </c>
      <c r="AW69" s="168">
        <v>38.432085815977565</v>
      </c>
      <c r="AX69" s="168">
        <v>38.432085815977565</v>
      </c>
      <c r="AY69" s="168">
        <v>38.432085815977565</v>
      </c>
      <c r="AZ69" s="168">
        <v>38.432085815977565</v>
      </c>
      <c r="BA69" s="168">
        <v>38.432085815977565</v>
      </c>
      <c r="BB69" s="168">
        <v>38.432085815977565</v>
      </c>
      <c r="BC69" s="168">
        <v>38.432085815977565</v>
      </c>
      <c r="BD69" s="168">
        <v>38.432085815977565</v>
      </c>
      <c r="BE69" s="168">
        <v>38.432085815977565</v>
      </c>
      <c r="BF69" s="168">
        <v>38.432085815977565</v>
      </c>
      <c r="BG69" s="168">
        <v>38.432085815977565</v>
      </c>
      <c r="BH69" s="168">
        <v>38.432085815977565</v>
      </c>
      <c r="BI69" s="168">
        <v>38.432085815977565</v>
      </c>
      <c r="BJ69" s="168">
        <v>38.432085815977565</v>
      </c>
      <c r="BK69" s="168">
        <v>38.432085815977565</v>
      </c>
      <c r="BL69" s="168">
        <v>38.432085815977565</v>
      </c>
      <c r="BM69" s="168">
        <v>38.432085815977565</v>
      </c>
      <c r="BN69" s="168">
        <v>38.432085815977565</v>
      </c>
      <c r="BO69" s="168">
        <v>38.432085815977565</v>
      </c>
      <c r="BP69" s="168">
        <v>38.432085815977565</v>
      </c>
      <c r="BQ69" s="168">
        <v>38.432085815977565</v>
      </c>
      <c r="BR69" s="168">
        <v>38.432085815977565</v>
      </c>
      <c r="BS69" s="168">
        <v>38.432085815977565</v>
      </c>
      <c r="BT69" s="168">
        <v>38.432085815977565</v>
      </c>
      <c r="BU69" s="168">
        <v>38.432085815977565</v>
      </c>
      <c r="BV69" s="168">
        <v>38.432085815977565</v>
      </c>
      <c r="BW69" s="168">
        <v>38.432085815977565</v>
      </c>
      <c r="BX69" s="168">
        <v>38.432085815977565</v>
      </c>
      <c r="BY69" s="168">
        <v>38.432085815977565</v>
      </c>
      <c r="BZ69" s="168">
        <v>38.432085815977565</v>
      </c>
      <c r="CA69" s="168">
        <v>38.432085815977565</v>
      </c>
      <c r="CB69" s="168">
        <v>38.432085815977565</v>
      </c>
      <c r="CC69" s="168">
        <v>38.432085815977565</v>
      </c>
      <c r="CD69" s="168">
        <v>38.432085815977565</v>
      </c>
      <c r="CE69" s="168">
        <v>38.432085815977565</v>
      </c>
      <c r="CF69" s="168">
        <v>38.432085815977565</v>
      </c>
      <c r="CG69" s="168">
        <v>38.432085815977565</v>
      </c>
      <c r="CH69" s="168">
        <v>38.432085815977565</v>
      </c>
      <c r="CI69" s="168">
        <v>38.432085815977565</v>
      </c>
      <c r="CJ69" s="168">
        <v>38.432085815977565</v>
      </c>
      <c r="CK69" s="168">
        <v>38.432085815977565</v>
      </c>
      <c r="CL69" s="168">
        <v>38.432085815977565</v>
      </c>
      <c r="CM69" s="168">
        <v>38.432085815977565</v>
      </c>
      <c r="CN69" s="168">
        <v>38.432085815977565</v>
      </c>
      <c r="CO69" s="168">
        <v>38.432085815977565</v>
      </c>
      <c r="CP69" s="168">
        <v>38.432085815977565</v>
      </c>
      <c r="CQ69" s="168">
        <v>38.432085815977565</v>
      </c>
      <c r="CR69" s="168">
        <v>38.432085815977565</v>
      </c>
      <c r="CS69" s="168">
        <v>38.432085815977565</v>
      </c>
      <c r="CT69" s="168">
        <v>38.432085815977565</v>
      </c>
      <c r="CU69" s="168">
        <v>38.432085815977565</v>
      </c>
      <c r="CV69" s="168">
        <v>38.432085815977565</v>
      </c>
      <c r="CW69" s="168">
        <v>38.432085815977565</v>
      </c>
      <c r="CX69" s="168">
        <v>38.432085815977565</v>
      </c>
      <c r="CY69" s="168">
        <v>38.432085815977565</v>
      </c>
      <c r="CZ69" s="168">
        <v>38.432085815977565</v>
      </c>
      <c r="DA69" s="168">
        <v>38.432085815977565</v>
      </c>
      <c r="DC69">
        <v>65</v>
      </c>
      <c r="DD69" s="114">
        <v>40.008253194363292</v>
      </c>
      <c r="DE69" s="114">
        <v>-18.190539979936077</v>
      </c>
      <c r="DF69" s="114">
        <v>-10.490984092749278</v>
      </c>
      <c r="DG69" s="114">
        <v>40.017330344062245</v>
      </c>
      <c r="DH69" s="114">
        <v>-10.429252488185108</v>
      </c>
      <c r="DI69" s="114">
        <v>-9.1296108571967434</v>
      </c>
      <c r="DJ69" s="114">
        <v>7.8797844520478773</v>
      </c>
      <c r="DK69" s="114">
        <f t="shared" si="0"/>
        <v>62.091003010735463</v>
      </c>
      <c r="DL69" s="114">
        <f t="shared" si="1"/>
        <v>3.6647242035062355</v>
      </c>
      <c r="DM69" s="114">
        <f t="shared" si="2"/>
        <v>209.97322994034948</v>
      </c>
      <c r="DN69" s="115">
        <f t="shared" si="3"/>
        <v>10</v>
      </c>
      <c r="DO69">
        <v>6</v>
      </c>
    </row>
    <row r="70" spans="1:119">
      <c r="A70">
        <v>685</v>
      </c>
      <c r="B70" s="120">
        <f>'Color metric'!B64</f>
        <v>6.3077939233817701E-2</v>
      </c>
      <c r="C70" s="112">
        <f>Reference!N70</f>
        <v>8.3850607945803048</v>
      </c>
      <c r="D70" s="112"/>
      <c r="E70" s="172" t="s">
        <v>296</v>
      </c>
      <c r="F70" s="168">
        <f>($F$49*(F55/F67)+1-$F$49)*F64</f>
        <v>99.999999999999986</v>
      </c>
      <c r="G70" s="168">
        <f t="shared" ref="G70:BR70" si="65">($F$49*(G55/G67)+1-$F$49)*G64</f>
        <v>69.512041161560177</v>
      </c>
      <c r="H70" s="168">
        <f t="shared" si="65"/>
        <v>35.961354498952929</v>
      </c>
      <c r="I70" s="168">
        <f t="shared" si="65"/>
        <v>7.128376666099288</v>
      </c>
      <c r="J70" s="168">
        <f t="shared" si="65"/>
        <v>42.151893994870626</v>
      </c>
      <c r="K70" s="168">
        <f t="shared" si="65"/>
        <v>23.913558601096913</v>
      </c>
      <c r="L70" s="168">
        <f t="shared" si="65"/>
        <v>20.270554040325717</v>
      </c>
      <c r="M70" s="168">
        <f t="shared" si="65"/>
        <v>16.905075840340356</v>
      </c>
      <c r="N70" s="168">
        <f t="shared" si="65"/>
        <v>15.778596598535684</v>
      </c>
      <c r="O70" s="168">
        <f t="shared" si="65"/>
        <v>5.1680237725958103</v>
      </c>
      <c r="P70" s="168">
        <f t="shared" si="65"/>
        <v>58.132491230983</v>
      </c>
      <c r="Q70" s="168">
        <f t="shared" si="65"/>
        <v>31.545037199027743</v>
      </c>
      <c r="R70" s="168">
        <f t="shared" si="65"/>
        <v>40.695880883703218</v>
      </c>
      <c r="S70" s="168">
        <f t="shared" si="65"/>
        <v>15.134113026094402</v>
      </c>
      <c r="T70" s="168">
        <f t="shared" si="65"/>
        <v>44.69646020329386</v>
      </c>
      <c r="U70" s="168">
        <f t="shared" si="65"/>
        <v>43.519921958153532</v>
      </c>
      <c r="V70" s="168">
        <f t="shared" si="65"/>
        <v>18.577791642324343</v>
      </c>
      <c r="W70" s="168">
        <f t="shared" si="65"/>
        <v>19.605589274356166</v>
      </c>
      <c r="X70" s="168">
        <f t="shared" si="65"/>
        <v>24.84417087201988</v>
      </c>
      <c r="Y70" s="168">
        <f t="shared" si="65"/>
        <v>45.85142955481902</v>
      </c>
      <c r="Z70" s="168">
        <f t="shared" si="65"/>
        <v>42.371416072433838</v>
      </c>
      <c r="AA70" s="168">
        <f t="shared" si="65"/>
        <v>75.907043472027027</v>
      </c>
      <c r="AB70" s="168">
        <f t="shared" si="65"/>
        <v>60.342372079825452</v>
      </c>
      <c r="AC70" s="168">
        <f t="shared" si="65"/>
        <v>80.0546249675415</v>
      </c>
      <c r="AD70" s="168">
        <f t="shared" si="65"/>
        <v>81.591097286521517</v>
      </c>
      <c r="AE70" s="168">
        <f t="shared" si="65"/>
        <v>45.801883170130644</v>
      </c>
      <c r="AF70" s="168">
        <f t="shared" si="65"/>
        <v>80.981265410274816</v>
      </c>
      <c r="AG70" s="168">
        <f t="shared" si="65"/>
        <v>43.549118732686161</v>
      </c>
      <c r="AH70" s="168">
        <f t="shared" si="65"/>
        <v>11.727886194751411</v>
      </c>
      <c r="AI70" s="168">
        <f t="shared" si="65"/>
        <v>71.858095083085402</v>
      </c>
      <c r="AJ70" s="168">
        <f t="shared" si="65"/>
        <v>31.853688420101236</v>
      </c>
      <c r="AK70" s="168">
        <f t="shared" si="65"/>
        <v>75.17149447344238</v>
      </c>
      <c r="AL70" s="168">
        <f t="shared" si="65"/>
        <v>48.841148035962959</v>
      </c>
      <c r="AM70" s="168">
        <f t="shared" si="65"/>
        <v>75.719719726296489</v>
      </c>
      <c r="AN70" s="168">
        <f t="shared" si="65"/>
        <v>29.340623999316943</v>
      </c>
      <c r="AO70" s="168">
        <f t="shared" si="65"/>
        <v>11.71299352750469</v>
      </c>
      <c r="AP70" s="168">
        <f t="shared" si="65"/>
        <v>54.327333583424036</v>
      </c>
      <c r="AQ70" s="168">
        <f t="shared" si="65"/>
        <v>15.318239816361721</v>
      </c>
      <c r="AR70" s="168">
        <f t="shared" si="65"/>
        <v>66.362857866421209</v>
      </c>
      <c r="AS70" s="168">
        <f t="shared" si="65"/>
        <v>7.7096110562976685</v>
      </c>
      <c r="AT70" s="168">
        <f t="shared" si="65"/>
        <v>16.772787387517962</v>
      </c>
      <c r="AU70" s="168">
        <f t="shared" si="65"/>
        <v>69.076793977660145</v>
      </c>
      <c r="AV70" s="168">
        <f t="shared" si="65"/>
        <v>34.028367461807335</v>
      </c>
      <c r="AW70" s="168">
        <f t="shared" si="65"/>
        <v>38.965463841447054</v>
      </c>
      <c r="AX70" s="168">
        <f t="shared" si="65"/>
        <v>4.9475601080942768</v>
      </c>
      <c r="AY70" s="168">
        <f t="shared" si="65"/>
        <v>21.942837672990287</v>
      </c>
      <c r="AZ70" s="168">
        <f t="shared" si="65"/>
        <v>30.991682022945785</v>
      </c>
      <c r="BA70" s="168">
        <f t="shared" si="65"/>
        <v>36.284961670193056</v>
      </c>
      <c r="BB70" s="168">
        <f t="shared" si="65"/>
        <v>44.424719263311836</v>
      </c>
      <c r="BC70" s="168">
        <f t="shared" si="65"/>
        <v>12.537720130466234</v>
      </c>
      <c r="BD70" s="168">
        <f t="shared" si="65"/>
        <v>18.232033389469262</v>
      </c>
      <c r="BE70" s="168">
        <f t="shared" si="65"/>
        <v>21.914700026924336</v>
      </c>
      <c r="BF70" s="168">
        <f t="shared" si="65"/>
        <v>9.1194650839806144</v>
      </c>
      <c r="BG70" s="168">
        <f t="shared" si="65"/>
        <v>12.252038703493257</v>
      </c>
      <c r="BH70" s="168">
        <f t="shared" si="65"/>
        <v>61.833884324614992</v>
      </c>
      <c r="BI70" s="168">
        <f t="shared" si="65"/>
        <v>54.3307013515835</v>
      </c>
      <c r="BJ70" s="168">
        <f t="shared" si="65"/>
        <v>30.677776515983421</v>
      </c>
      <c r="BK70" s="168">
        <f t="shared" si="65"/>
        <v>16.951867503151529</v>
      </c>
      <c r="BL70" s="168">
        <f t="shared" si="65"/>
        <v>14.163755294638433</v>
      </c>
      <c r="BM70" s="168">
        <f t="shared" si="65"/>
        <v>61.309722780992885</v>
      </c>
      <c r="BN70" s="168">
        <f t="shared" si="65"/>
        <v>67.417914819233033</v>
      </c>
      <c r="BO70" s="168">
        <f t="shared" si="65"/>
        <v>43.627994333851383</v>
      </c>
      <c r="BP70" s="168">
        <f t="shared" si="65"/>
        <v>32.152057017082463</v>
      </c>
      <c r="BQ70" s="168">
        <f t="shared" si="65"/>
        <v>7.2005540134956201</v>
      </c>
      <c r="BR70" s="168">
        <f t="shared" si="65"/>
        <v>17.333423950543544</v>
      </c>
      <c r="BS70" s="168">
        <f t="shared" ref="BS70:DA70" si="66">($F$49*(BS55/BS67)+1-$F$49)*BS64</f>
        <v>8.2145755100337272</v>
      </c>
      <c r="BT70" s="168">
        <f t="shared" si="66"/>
        <v>8.9439318723875552</v>
      </c>
      <c r="BU70" s="168">
        <f t="shared" si="66"/>
        <v>10.456689716768139</v>
      </c>
      <c r="BV70" s="168">
        <f t="shared" si="66"/>
        <v>25.350487413116163</v>
      </c>
      <c r="BW70" s="168">
        <f t="shared" si="66"/>
        <v>17.93102631114899</v>
      </c>
      <c r="BX70" s="168">
        <f t="shared" si="66"/>
        <v>34.144140279813733</v>
      </c>
      <c r="BY70" s="168">
        <f t="shared" si="66"/>
        <v>5.8914449088840222</v>
      </c>
      <c r="BZ70" s="168">
        <f t="shared" si="66"/>
        <v>45.177943216745959</v>
      </c>
      <c r="CA70" s="168">
        <f t="shared" si="66"/>
        <v>17.216925010967028</v>
      </c>
      <c r="CB70" s="168">
        <f t="shared" si="66"/>
        <v>4.7544531919616544</v>
      </c>
      <c r="CC70" s="168">
        <f t="shared" si="66"/>
        <v>5.318784516798102</v>
      </c>
      <c r="CD70" s="168">
        <f t="shared" si="66"/>
        <v>11.388104055121923</v>
      </c>
      <c r="CE70" s="168">
        <f t="shared" si="66"/>
        <v>11.021678267923257</v>
      </c>
      <c r="CF70" s="168">
        <f t="shared" si="66"/>
        <v>9.5872341670634587</v>
      </c>
      <c r="CG70" s="168">
        <f t="shared" si="66"/>
        <v>40.172692614641399</v>
      </c>
      <c r="CH70" s="168">
        <f t="shared" si="66"/>
        <v>30.355511276267016</v>
      </c>
      <c r="CI70" s="168">
        <f t="shared" si="66"/>
        <v>11.970197590515532</v>
      </c>
      <c r="CJ70" s="168">
        <f t="shared" si="66"/>
        <v>66.379631596610594</v>
      </c>
      <c r="CK70" s="168">
        <f t="shared" si="66"/>
        <v>40.647326088253067</v>
      </c>
      <c r="CL70" s="168">
        <f t="shared" si="66"/>
        <v>4.8539261112214733</v>
      </c>
      <c r="CM70" s="168">
        <f t="shared" si="66"/>
        <v>10.985825296403943</v>
      </c>
      <c r="CN70" s="168">
        <f t="shared" si="66"/>
        <v>32.264578521653853</v>
      </c>
      <c r="CO70" s="168">
        <f t="shared" si="66"/>
        <v>10.474027273968112</v>
      </c>
      <c r="CP70" s="168">
        <f t="shared" si="66"/>
        <v>30.132404667578218</v>
      </c>
      <c r="CQ70" s="168">
        <f t="shared" si="66"/>
        <v>10.304661477590864</v>
      </c>
      <c r="CR70" s="168">
        <f t="shared" si="66"/>
        <v>14.017929033698509</v>
      </c>
      <c r="CS70" s="168">
        <f t="shared" si="66"/>
        <v>54.267886518138262</v>
      </c>
      <c r="CT70" s="168">
        <f t="shared" si="66"/>
        <v>24.236315786935098</v>
      </c>
      <c r="CU70" s="168">
        <f t="shared" si="66"/>
        <v>36.246850290520904</v>
      </c>
      <c r="CV70" s="168">
        <f t="shared" si="66"/>
        <v>12.224791555287494</v>
      </c>
      <c r="CW70" s="168">
        <f t="shared" si="66"/>
        <v>41.791416357544463</v>
      </c>
      <c r="CX70" s="168">
        <f t="shared" si="66"/>
        <v>54.6559988458582</v>
      </c>
      <c r="CY70" s="168">
        <f t="shared" si="66"/>
        <v>21.802658225513504</v>
      </c>
      <c r="CZ70" s="168">
        <f t="shared" si="66"/>
        <v>38.299184586850572</v>
      </c>
      <c r="DA70" s="168">
        <f t="shared" si="66"/>
        <v>25.398298563052638</v>
      </c>
      <c r="DC70">
        <v>66</v>
      </c>
      <c r="DD70" s="114">
        <v>44.383259732951046</v>
      </c>
      <c r="DE70" s="114">
        <v>-24.986412894909925</v>
      </c>
      <c r="DF70" s="114">
        <v>-17.234987697266554</v>
      </c>
      <c r="DG70" s="114">
        <v>40.861688281593423</v>
      </c>
      <c r="DH70" s="114">
        <v>-15.825804752767015</v>
      </c>
      <c r="DI70" s="114">
        <v>-19.171219261739481</v>
      </c>
      <c r="DJ70" s="114">
        <v>10.00335942032342</v>
      </c>
      <c r="DK70" s="114">
        <f t="shared" ref="DK70:DK103" si="67">DJ70^2</f>
        <v>100.06719969217332</v>
      </c>
      <c r="DL70" s="114">
        <f t="shared" ref="DL70:DL103" si="68">ATAN(DF70/DE70)+PI()*IF(AND((DE70&lt;0),(DF70&gt;0)),1,0)+PI()*IF(AND((DE70&lt;0),(DF70&lt;0)),1,0)+2*PI()*IF(AND((DE70&gt;0),(DF70&lt;0)),1,0)</f>
        <v>3.7454227733517742</v>
      </c>
      <c r="DM70" s="114">
        <f t="shared" ref="DM70:DM103" si="69">DL70*180/PI()</f>
        <v>214.59691740524056</v>
      </c>
      <c r="DN70" s="115">
        <f t="shared" ref="DN70:DN103" si="70">ROUNDDOWN((((DL70/2)/PI()))*16,0)+1</f>
        <v>10</v>
      </c>
      <c r="DO70">
        <v>5</v>
      </c>
    </row>
    <row r="71" spans="1:119">
      <c r="A71">
        <v>690</v>
      </c>
      <c r="B71" s="120">
        <f>'Color metric'!B65</f>
        <v>5.6142668428005284E-2</v>
      </c>
      <c r="C71" s="112">
        <f>Reference!N71</f>
        <v>8.5159126664731541</v>
      </c>
      <c r="D71" s="112"/>
      <c r="E71" s="172" t="s">
        <v>297</v>
      </c>
      <c r="F71" s="168">
        <f>($F$49*(F55/F68)+1-$F$49)*F65</f>
        <v>100.00000000000001</v>
      </c>
      <c r="G71" s="168">
        <f t="shared" ref="G71:BR71" si="71">($F$49*(G55/G68)+1-$F$49)*G65</f>
        <v>56.031245181199971</v>
      </c>
      <c r="H71" s="168">
        <f t="shared" si="71"/>
        <v>17.873042790558859</v>
      </c>
      <c r="I71" s="168">
        <f t="shared" si="71"/>
        <v>4.7746339959980464</v>
      </c>
      <c r="J71" s="168">
        <f t="shared" si="71"/>
        <v>29.446364542412727</v>
      </c>
      <c r="K71" s="168">
        <f t="shared" si="71"/>
        <v>8.9510318639852624</v>
      </c>
      <c r="L71" s="168">
        <f t="shared" si="71"/>
        <v>13.715488814707589</v>
      </c>
      <c r="M71" s="168">
        <f t="shared" si="71"/>
        <v>6.0847796684752131</v>
      </c>
      <c r="N71" s="168">
        <f t="shared" si="71"/>
        <v>6.2542888729185719</v>
      </c>
      <c r="O71" s="168">
        <f t="shared" si="71"/>
        <v>4.8247843464562603</v>
      </c>
      <c r="P71" s="168">
        <f t="shared" si="71"/>
        <v>30.300098808383552</v>
      </c>
      <c r="Q71" s="168">
        <f t="shared" si="71"/>
        <v>14.784718627229472</v>
      </c>
      <c r="R71" s="168">
        <f t="shared" si="71"/>
        <v>18.589456070370147</v>
      </c>
      <c r="S71" s="168">
        <f t="shared" si="71"/>
        <v>8.8953848669761744</v>
      </c>
      <c r="T71" s="168">
        <f t="shared" si="71"/>
        <v>40.519909759449369</v>
      </c>
      <c r="U71" s="168">
        <f t="shared" si="71"/>
        <v>34.443711893053745</v>
      </c>
      <c r="V71" s="168">
        <f t="shared" si="71"/>
        <v>11.462865841476843</v>
      </c>
      <c r="W71" s="168">
        <f t="shared" si="71"/>
        <v>13.141863824130382</v>
      </c>
      <c r="X71" s="168">
        <f t="shared" si="71"/>
        <v>18.877840810009737</v>
      </c>
      <c r="Y71" s="168">
        <f t="shared" si="71"/>
        <v>32.922874251672141</v>
      </c>
      <c r="Z71" s="168">
        <f t="shared" si="71"/>
        <v>24.727049586479701</v>
      </c>
      <c r="AA71" s="168">
        <f t="shared" si="71"/>
        <v>54.973029066527353</v>
      </c>
      <c r="AB71" s="168">
        <f t="shared" si="71"/>
        <v>41.207909635057945</v>
      </c>
      <c r="AC71" s="168">
        <f t="shared" si="71"/>
        <v>74.554851945234105</v>
      </c>
      <c r="AD71" s="168">
        <f t="shared" si="71"/>
        <v>69.513065847217788</v>
      </c>
      <c r="AE71" s="168">
        <f t="shared" si="71"/>
        <v>34.31504784810835</v>
      </c>
      <c r="AF71" s="168">
        <f t="shared" si="71"/>
        <v>66.776552140050384</v>
      </c>
      <c r="AG71" s="168">
        <f t="shared" si="71"/>
        <v>41.002175472771953</v>
      </c>
      <c r="AH71" s="168">
        <f t="shared" si="71"/>
        <v>10.943192659386856</v>
      </c>
      <c r="AI71" s="168">
        <f t="shared" si="71"/>
        <v>63.590195942395141</v>
      </c>
      <c r="AJ71" s="168">
        <f t="shared" si="71"/>
        <v>29.258704706789924</v>
      </c>
      <c r="AK71" s="168">
        <f t="shared" si="71"/>
        <v>68.269249266826293</v>
      </c>
      <c r="AL71" s="168">
        <f t="shared" si="71"/>
        <v>43.742375780464997</v>
      </c>
      <c r="AM71" s="168">
        <f t="shared" si="71"/>
        <v>71.991593958008565</v>
      </c>
      <c r="AN71" s="168">
        <f t="shared" si="71"/>
        <v>27.715750228209032</v>
      </c>
      <c r="AO71" s="168">
        <f t="shared" si="71"/>
        <v>11.638678109577727</v>
      </c>
      <c r="AP71" s="168">
        <f t="shared" si="71"/>
        <v>53.573292440604988</v>
      </c>
      <c r="AQ71" s="168">
        <f t="shared" si="71"/>
        <v>15.704449223929887</v>
      </c>
      <c r="AR71" s="168">
        <f t="shared" si="71"/>
        <v>66.036378576758679</v>
      </c>
      <c r="AS71" s="168">
        <f t="shared" si="71"/>
        <v>7.8069498382979328</v>
      </c>
      <c r="AT71" s="168">
        <f t="shared" si="71"/>
        <v>17.203543205028744</v>
      </c>
      <c r="AU71" s="168">
        <f t="shared" si="71"/>
        <v>70.245288333325746</v>
      </c>
      <c r="AV71" s="168">
        <f t="shared" si="71"/>
        <v>40.51134529451835</v>
      </c>
      <c r="AW71" s="168">
        <f t="shared" si="71"/>
        <v>46.558543977082024</v>
      </c>
      <c r="AX71" s="168">
        <f t="shared" si="71"/>
        <v>4.9916411445316307</v>
      </c>
      <c r="AY71" s="168">
        <f t="shared" si="71"/>
        <v>27.883520318548022</v>
      </c>
      <c r="AZ71" s="168">
        <f t="shared" si="71"/>
        <v>36.579981230123281</v>
      </c>
      <c r="BA71" s="168">
        <f t="shared" si="71"/>
        <v>39.611836334695766</v>
      </c>
      <c r="BB71" s="168">
        <f t="shared" si="71"/>
        <v>55.806535672332053</v>
      </c>
      <c r="BC71" s="168">
        <f t="shared" si="71"/>
        <v>16.418865591842803</v>
      </c>
      <c r="BD71" s="168">
        <f t="shared" si="71"/>
        <v>23.48268805772425</v>
      </c>
      <c r="BE71" s="168">
        <f t="shared" si="71"/>
        <v>26.827027801341377</v>
      </c>
      <c r="BF71" s="168">
        <f t="shared" si="71"/>
        <v>13.291872373117393</v>
      </c>
      <c r="BG71" s="168">
        <f t="shared" si="71"/>
        <v>21.900713907482388</v>
      </c>
      <c r="BH71" s="168">
        <f t="shared" si="71"/>
        <v>72.099965555451263</v>
      </c>
      <c r="BI71" s="168">
        <f t="shared" si="71"/>
        <v>65.275959047490304</v>
      </c>
      <c r="BJ71" s="168">
        <f t="shared" si="71"/>
        <v>48.137885134343037</v>
      </c>
      <c r="BK71" s="168">
        <f t="shared" si="71"/>
        <v>30.294275467258736</v>
      </c>
      <c r="BL71" s="168">
        <f t="shared" si="71"/>
        <v>26.049477944050594</v>
      </c>
      <c r="BM71" s="168">
        <f t="shared" si="71"/>
        <v>71.393870463408419</v>
      </c>
      <c r="BN71" s="168">
        <f t="shared" si="71"/>
        <v>70.910810495405812</v>
      </c>
      <c r="BO71" s="168">
        <f t="shared" si="71"/>
        <v>50.769680161674067</v>
      </c>
      <c r="BP71" s="168">
        <f t="shared" si="71"/>
        <v>34.066653895304704</v>
      </c>
      <c r="BQ71" s="168">
        <f t="shared" si="71"/>
        <v>7.4000658938331361</v>
      </c>
      <c r="BR71" s="168">
        <f t="shared" si="71"/>
        <v>30.064746861504016</v>
      </c>
      <c r="BS71" s="168">
        <f t="shared" ref="BS71:DA71" si="72">($F$49*(BS55/BS68)+1-$F$49)*BS65</f>
        <v>11.760748336897398</v>
      </c>
      <c r="BT71" s="168">
        <f t="shared" si="72"/>
        <v>16.019777904067215</v>
      </c>
      <c r="BU71" s="168">
        <f t="shared" si="72"/>
        <v>18.618638912327551</v>
      </c>
      <c r="BV71" s="168">
        <f t="shared" si="72"/>
        <v>32.639911811663048</v>
      </c>
      <c r="BW71" s="168">
        <f t="shared" si="72"/>
        <v>19.799839561247012</v>
      </c>
      <c r="BX71" s="168">
        <f t="shared" si="72"/>
        <v>44.503719250319314</v>
      </c>
      <c r="BY71" s="168">
        <f t="shared" si="72"/>
        <v>8.502434610524876</v>
      </c>
      <c r="BZ71" s="168">
        <f t="shared" si="72"/>
        <v>47.958722180567229</v>
      </c>
      <c r="CA71" s="168">
        <f t="shared" si="72"/>
        <v>26.321314414867174</v>
      </c>
      <c r="CB71" s="168">
        <f t="shared" si="72"/>
        <v>4.8477113388190478</v>
      </c>
      <c r="CC71" s="168">
        <f t="shared" si="72"/>
        <v>7.2560350317551805</v>
      </c>
      <c r="CD71" s="168">
        <f t="shared" si="72"/>
        <v>15.91669099119326</v>
      </c>
      <c r="CE71" s="168">
        <f t="shared" si="72"/>
        <v>13.195544093722967</v>
      </c>
      <c r="CF71" s="168">
        <f t="shared" si="72"/>
        <v>12.961823470799349</v>
      </c>
      <c r="CG71" s="168">
        <f t="shared" si="72"/>
        <v>42.505799597967865</v>
      </c>
      <c r="CH71" s="168">
        <f t="shared" si="72"/>
        <v>30.651010822986027</v>
      </c>
      <c r="CI71" s="168">
        <f t="shared" si="72"/>
        <v>11.047147103102148</v>
      </c>
      <c r="CJ71" s="168">
        <f t="shared" si="72"/>
        <v>66.331291364830463</v>
      </c>
      <c r="CK71" s="168">
        <f t="shared" si="72"/>
        <v>39.919727746977244</v>
      </c>
      <c r="CL71" s="168">
        <f t="shared" si="72"/>
        <v>4.5367157418853488</v>
      </c>
      <c r="CM71" s="168">
        <f t="shared" si="72"/>
        <v>10.022771320721695</v>
      </c>
      <c r="CN71" s="168">
        <f t="shared" si="72"/>
        <v>28.346867648161027</v>
      </c>
      <c r="CO71" s="168">
        <f t="shared" si="72"/>
        <v>7.8124442299608123</v>
      </c>
      <c r="CP71" s="168">
        <f t="shared" si="72"/>
        <v>22.962532169386478</v>
      </c>
      <c r="CQ71" s="168">
        <f t="shared" si="72"/>
        <v>6.9915051726793704</v>
      </c>
      <c r="CR71" s="168">
        <f t="shared" si="72"/>
        <v>9.1060613527027474</v>
      </c>
      <c r="CS71" s="168">
        <f t="shared" si="72"/>
        <v>52.568199834940849</v>
      </c>
      <c r="CT71" s="168">
        <f t="shared" si="72"/>
        <v>18.673355886211898</v>
      </c>
      <c r="CU71" s="168">
        <f t="shared" si="72"/>
        <v>30.293291024570525</v>
      </c>
      <c r="CV71" s="168">
        <f t="shared" si="72"/>
        <v>6.8407305418711895</v>
      </c>
      <c r="CW71" s="168">
        <f t="shared" si="72"/>
        <v>32.149877272697488</v>
      </c>
      <c r="CX71" s="168">
        <f t="shared" si="72"/>
        <v>43.71517693113973</v>
      </c>
      <c r="CY71" s="168">
        <f t="shared" si="72"/>
        <v>13.711117400460603</v>
      </c>
      <c r="CZ71" s="168">
        <f t="shared" si="72"/>
        <v>20.8056188472343</v>
      </c>
      <c r="DA71" s="168">
        <f t="shared" si="72"/>
        <v>11.145916052244573</v>
      </c>
      <c r="DC71">
        <v>67</v>
      </c>
      <c r="DD71" s="114">
        <v>47.611422112084362</v>
      </c>
      <c r="DE71" s="114">
        <v>-25.282527605781659</v>
      </c>
      <c r="DF71" s="114">
        <v>-18.625729584819439</v>
      </c>
      <c r="DG71" s="114">
        <v>44.039288858656633</v>
      </c>
      <c r="DH71" s="114">
        <v>-15.81485207181754</v>
      </c>
      <c r="DI71" s="114">
        <v>-20.791275575112298</v>
      </c>
      <c r="DJ71" s="114">
        <v>10.348265817649855</v>
      </c>
      <c r="DK71" s="114">
        <f t="shared" si="67"/>
        <v>107.08660543274043</v>
      </c>
      <c r="DL71" s="114">
        <f t="shared" si="68"/>
        <v>3.7765296280376388</v>
      </c>
      <c r="DM71" s="114">
        <f t="shared" si="69"/>
        <v>216.37920889266735</v>
      </c>
      <c r="DN71" s="115">
        <f t="shared" si="70"/>
        <v>10</v>
      </c>
      <c r="DO71">
        <v>5</v>
      </c>
    </row>
    <row r="72" spans="1:119">
      <c r="A72">
        <v>695</v>
      </c>
      <c r="B72" s="120">
        <f>'Color metric'!B66</f>
        <v>4.590488771466314E-2</v>
      </c>
      <c r="C72" s="112">
        <f>Reference!N72</f>
        <v>8.6446449373714369</v>
      </c>
      <c r="D72" s="112"/>
      <c r="E72" s="172" t="s">
        <v>298</v>
      </c>
      <c r="F72" s="168">
        <f>($F$49*(F55/F69)+1-$F$49)*F66</f>
        <v>100</v>
      </c>
      <c r="G72" s="168">
        <f t="shared" ref="G72:BR72" si="73">($F$49*(G55/G69)+1-$F$49)*G66</f>
        <v>60.497185523347703</v>
      </c>
      <c r="H72" s="168">
        <f t="shared" si="73"/>
        <v>22.113346610023957</v>
      </c>
      <c r="I72" s="168">
        <f t="shared" si="73"/>
        <v>5.3083137409072885</v>
      </c>
      <c r="J72" s="168">
        <f t="shared" si="73"/>
        <v>28.470095441407285</v>
      </c>
      <c r="K72" s="168">
        <f t="shared" si="73"/>
        <v>9.4395364330375582</v>
      </c>
      <c r="L72" s="168">
        <f t="shared" si="73"/>
        <v>12.62345078519364</v>
      </c>
      <c r="M72" s="168">
        <f t="shared" si="73"/>
        <v>5.8176511636990247</v>
      </c>
      <c r="N72" s="168">
        <f t="shared" si="73"/>
        <v>6.0044950151723446</v>
      </c>
      <c r="O72" s="168">
        <f t="shared" si="73"/>
        <v>4.8877278607660184</v>
      </c>
      <c r="P72" s="168">
        <f t="shared" si="73"/>
        <v>19.457674583922888</v>
      </c>
      <c r="Q72" s="168">
        <f t="shared" si="73"/>
        <v>7.8005869053854164</v>
      </c>
      <c r="R72" s="168">
        <f t="shared" si="73"/>
        <v>9.4852994142177991</v>
      </c>
      <c r="S72" s="168">
        <f t="shared" si="73"/>
        <v>5.2999799119456945</v>
      </c>
      <c r="T72" s="168">
        <f t="shared" si="73"/>
        <v>36.138509653065071</v>
      </c>
      <c r="U72" s="168">
        <f t="shared" si="73"/>
        <v>27.327354910673851</v>
      </c>
      <c r="V72" s="168">
        <f t="shared" si="73"/>
        <v>6.2024273775996441</v>
      </c>
      <c r="W72" s="168">
        <f t="shared" si="73"/>
        <v>6.6850001822076655</v>
      </c>
      <c r="X72" s="168">
        <f t="shared" si="73"/>
        <v>12.369707614301182</v>
      </c>
      <c r="Y72" s="168">
        <f t="shared" si="73"/>
        <v>13.955230014559882</v>
      </c>
      <c r="Z72" s="168">
        <f t="shared" si="73"/>
        <v>7.656632534632033</v>
      </c>
      <c r="AA72" s="168">
        <f t="shared" si="73"/>
        <v>20.378667403764776</v>
      </c>
      <c r="AB72" s="168">
        <f t="shared" si="73"/>
        <v>13.434975481361155</v>
      </c>
      <c r="AC72" s="168">
        <f t="shared" si="73"/>
        <v>55.886683548030256</v>
      </c>
      <c r="AD72" s="168">
        <f t="shared" si="73"/>
        <v>32.408855554306946</v>
      </c>
      <c r="AE72" s="168">
        <f t="shared" si="73"/>
        <v>7.3287705372286851</v>
      </c>
      <c r="AF72" s="168">
        <f t="shared" si="73"/>
        <v>24.627883731314121</v>
      </c>
      <c r="AG72" s="168">
        <f t="shared" si="73"/>
        <v>25.942626584868172</v>
      </c>
      <c r="AH72" s="168">
        <f t="shared" si="73"/>
        <v>5.207552814106438</v>
      </c>
      <c r="AI72" s="168">
        <f t="shared" si="73"/>
        <v>22.763059714366179</v>
      </c>
      <c r="AJ72" s="168">
        <f t="shared" si="73"/>
        <v>16.371992357942315</v>
      </c>
      <c r="AK72" s="168">
        <f t="shared" si="73"/>
        <v>24.858264483644071</v>
      </c>
      <c r="AL72" s="168">
        <f t="shared" si="73"/>
        <v>11.228031739277482</v>
      </c>
      <c r="AM72" s="168">
        <f t="shared" si="73"/>
        <v>41.648623181840819</v>
      </c>
      <c r="AN72" s="168">
        <f t="shared" si="73"/>
        <v>7.1492148355315761</v>
      </c>
      <c r="AO72" s="168">
        <f t="shared" si="73"/>
        <v>5.6217271398478976</v>
      </c>
      <c r="AP72" s="168">
        <f t="shared" si="73"/>
        <v>45.645387734520526</v>
      </c>
      <c r="AQ72" s="168">
        <f t="shared" si="73"/>
        <v>6.3986238108585054</v>
      </c>
      <c r="AR72" s="168">
        <f t="shared" si="73"/>
        <v>42.253247454029925</v>
      </c>
      <c r="AS72" s="168">
        <f t="shared" si="73"/>
        <v>5.8143991338894976</v>
      </c>
      <c r="AT72" s="168">
        <f t="shared" si="73"/>
        <v>10.225252364242307</v>
      </c>
      <c r="AU72" s="168">
        <f t="shared" si="73"/>
        <v>58.164657652056881</v>
      </c>
      <c r="AV72" s="168">
        <f t="shared" si="73"/>
        <v>10.85402533411416</v>
      </c>
      <c r="AW72" s="168">
        <f t="shared" si="73"/>
        <v>12.781449847027361</v>
      </c>
      <c r="AX72" s="168">
        <f t="shared" si="73"/>
        <v>4.7421978460156344</v>
      </c>
      <c r="AY72" s="168">
        <f t="shared" si="73"/>
        <v>10.793925447584829</v>
      </c>
      <c r="AZ72" s="168">
        <f t="shared" si="73"/>
        <v>19.853022433020953</v>
      </c>
      <c r="BA72" s="168">
        <f t="shared" si="73"/>
        <v>27.762532095267321</v>
      </c>
      <c r="BB72" s="168">
        <f t="shared" si="73"/>
        <v>32.786611216201898</v>
      </c>
      <c r="BC72" s="168">
        <f t="shared" si="73"/>
        <v>8.2720759266278332</v>
      </c>
      <c r="BD72" s="168">
        <f t="shared" si="73"/>
        <v>16.404399614154563</v>
      </c>
      <c r="BE72" s="168">
        <f t="shared" si="73"/>
        <v>20.413116492973835</v>
      </c>
      <c r="BF72" s="168">
        <f t="shared" si="73"/>
        <v>8.0738802746962772</v>
      </c>
      <c r="BG72" s="168">
        <f t="shared" si="73"/>
        <v>14.392141767191744</v>
      </c>
      <c r="BH72" s="168">
        <f t="shared" si="73"/>
        <v>67.51862320441127</v>
      </c>
      <c r="BI72" s="168">
        <f t="shared" si="73"/>
        <v>62.360373983051844</v>
      </c>
      <c r="BJ72" s="168">
        <f t="shared" si="73"/>
        <v>43.40621422714046</v>
      </c>
      <c r="BK72" s="168">
        <f t="shared" si="73"/>
        <v>26.828952130075081</v>
      </c>
      <c r="BL72" s="168">
        <f t="shared" si="73"/>
        <v>24.803229279944819</v>
      </c>
      <c r="BM72" s="168">
        <f t="shared" si="73"/>
        <v>70.241532742006669</v>
      </c>
      <c r="BN72" s="168">
        <f t="shared" si="73"/>
        <v>72.005081300339896</v>
      </c>
      <c r="BO72" s="168">
        <f t="shared" si="73"/>
        <v>52.615549907556208</v>
      </c>
      <c r="BP72" s="168">
        <f t="shared" si="73"/>
        <v>35.750181869040773</v>
      </c>
      <c r="BQ72" s="168">
        <f t="shared" si="73"/>
        <v>7.8184887314714926</v>
      </c>
      <c r="BR72" s="168">
        <f t="shared" si="73"/>
        <v>38.28707221822377</v>
      </c>
      <c r="BS72" s="168">
        <f t="shared" ref="BS72:DA72" si="74">($F$49*(BS55/BS69)+1-$F$49)*BS66</f>
        <v>14.266073113333107</v>
      </c>
      <c r="BT72" s="168">
        <f t="shared" si="74"/>
        <v>23.767630945768733</v>
      </c>
      <c r="BU72" s="168">
        <f t="shared" si="74"/>
        <v>28.575597922322643</v>
      </c>
      <c r="BV72" s="168">
        <f t="shared" si="74"/>
        <v>42.645887813622366</v>
      </c>
      <c r="BW72" s="168">
        <f t="shared" si="74"/>
        <v>24.131098442434784</v>
      </c>
      <c r="BX72" s="168">
        <f t="shared" si="74"/>
        <v>66.318813503737218</v>
      </c>
      <c r="BY72" s="168">
        <f t="shared" si="74"/>
        <v>16.213444438897245</v>
      </c>
      <c r="BZ72" s="168">
        <f t="shared" si="74"/>
        <v>53.449026708474555</v>
      </c>
      <c r="CA72" s="168">
        <f t="shared" si="74"/>
        <v>50.203098643691774</v>
      </c>
      <c r="CB72" s="168">
        <f t="shared" si="74"/>
        <v>5.3327534710254714</v>
      </c>
      <c r="CC72" s="168">
        <f t="shared" si="74"/>
        <v>15.332487130441299</v>
      </c>
      <c r="CD72" s="168">
        <f t="shared" si="74"/>
        <v>42.193657922298897</v>
      </c>
      <c r="CE72" s="168">
        <f t="shared" si="74"/>
        <v>26.056911657008275</v>
      </c>
      <c r="CF72" s="168">
        <f t="shared" si="74"/>
        <v>35.910878693997908</v>
      </c>
      <c r="CG72" s="168">
        <f t="shared" si="74"/>
        <v>62.456296122478243</v>
      </c>
      <c r="CH72" s="168">
        <f t="shared" si="74"/>
        <v>53.050864662495215</v>
      </c>
      <c r="CI72" s="168">
        <f t="shared" si="74"/>
        <v>29.763188700075098</v>
      </c>
      <c r="CJ72" s="168">
        <f t="shared" si="74"/>
        <v>76.698787375172614</v>
      </c>
      <c r="CK72" s="168">
        <f t="shared" si="74"/>
        <v>55.813906062057448</v>
      </c>
      <c r="CL72" s="168">
        <f t="shared" si="74"/>
        <v>5.8617701000536986</v>
      </c>
      <c r="CM72" s="168">
        <f t="shared" si="74"/>
        <v>15.205263471410818</v>
      </c>
      <c r="CN72" s="168">
        <f t="shared" si="74"/>
        <v>51.851643653935994</v>
      </c>
      <c r="CO72" s="168">
        <f t="shared" si="74"/>
        <v>19.964305562132175</v>
      </c>
      <c r="CP72" s="168">
        <f t="shared" si="74"/>
        <v>42.33542285224793</v>
      </c>
      <c r="CQ72" s="168">
        <f t="shared" si="74"/>
        <v>15.20644922327488</v>
      </c>
      <c r="CR72" s="168">
        <f t="shared" si="74"/>
        <v>20.154658979235517</v>
      </c>
      <c r="CS72" s="168">
        <f t="shared" si="74"/>
        <v>55.075816357217555</v>
      </c>
      <c r="CT72" s="168">
        <f t="shared" si="74"/>
        <v>27.154874366435124</v>
      </c>
      <c r="CU72" s="168">
        <f t="shared" si="74"/>
        <v>38.759015264593074</v>
      </c>
      <c r="CV72" s="168">
        <f t="shared" si="74"/>
        <v>12.83298404857508</v>
      </c>
      <c r="CW72" s="168">
        <f t="shared" si="74"/>
        <v>42.437601173204193</v>
      </c>
      <c r="CX72" s="168">
        <f t="shared" si="74"/>
        <v>54.339358726896876</v>
      </c>
      <c r="CY72" s="168">
        <f t="shared" si="74"/>
        <v>19.829794181895668</v>
      </c>
      <c r="CZ72" s="168">
        <f t="shared" si="74"/>
        <v>29.421858286641669</v>
      </c>
      <c r="DA72" s="168">
        <f t="shared" si="74"/>
        <v>18.064423034535601</v>
      </c>
      <c r="DC72">
        <v>68</v>
      </c>
      <c r="DD72" s="114">
        <v>63.950798660051554</v>
      </c>
      <c r="DE72" s="114">
        <v>-16.852876318995982</v>
      </c>
      <c r="DF72" s="114">
        <v>-15.302391746875179</v>
      </c>
      <c r="DG72" s="114">
        <v>61.737070690141231</v>
      </c>
      <c r="DH72" s="114">
        <v>-8.8727427040847537</v>
      </c>
      <c r="DI72" s="114">
        <v>-18.073820706176164</v>
      </c>
      <c r="DJ72" s="114">
        <v>8.7329229077698596</v>
      </c>
      <c r="DK72" s="114">
        <f t="shared" si="67"/>
        <v>76.263942513051575</v>
      </c>
      <c r="DL72" s="114">
        <f t="shared" si="68"/>
        <v>3.8788094553601669</v>
      </c>
      <c r="DM72" s="114">
        <f t="shared" si="69"/>
        <v>222.23941132757506</v>
      </c>
      <c r="DN72" s="115">
        <f t="shared" si="70"/>
        <v>10</v>
      </c>
      <c r="DO72">
        <v>6</v>
      </c>
    </row>
    <row r="73" spans="1:119">
      <c r="A73">
        <v>700</v>
      </c>
      <c r="B73" s="120">
        <f>'Color metric'!B67</f>
        <v>3.8969616908850722E-2</v>
      </c>
      <c r="C73" s="112">
        <f>Reference!N73</f>
        <v>8.7712081024278774</v>
      </c>
      <c r="D73" s="112"/>
      <c r="E73" s="172" t="s">
        <v>299</v>
      </c>
      <c r="F73" s="168">
        <f>($F$49*(F55/F67)+1-$F$49)*F67</f>
        <v>99.999999999999986</v>
      </c>
      <c r="G73" s="168">
        <f t="shared" ref="G73:BR73" si="75">($F$49*(G55/G67)+1-$F$49)*G67</f>
        <v>99.999999999999986</v>
      </c>
      <c r="H73" s="168">
        <f t="shared" si="75"/>
        <v>99.999999999999986</v>
      </c>
      <c r="I73" s="168">
        <f t="shared" si="75"/>
        <v>99.999999999999986</v>
      </c>
      <c r="J73" s="168">
        <f t="shared" si="75"/>
        <v>99.999999999999986</v>
      </c>
      <c r="K73" s="168">
        <f t="shared" si="75"/>
        <v>99.999999999999986</v>
      </c>
      <c r="L73" s="168">
        <f t="shared" si="75"/>
        <v>99.999999999999986</v>
      </c>
      <c r="M73" s="168">
        <f t="shared" si="75"/>
        <v>99.999999999999986</v>
      </c>
      <c r="N73" s="168">
        <f t="shared" si="75"/>
        <v>99.999999999999986</v>
      </c>
      <c r="O73" s="168">
        <f t="shared" si="75"/>
        <v>99.999999999999986</v>
      </c>
      <c r="P73" s="168">
        <f t="shared" si="75"/>
        <v>99.999999999999986</v>
      </c>
      <c r="Q73" s="168">
        <f t="shared" si="75"/>
        <v>99.999999999999986</v>
      </c>
      <c r="R73" s="168">
        <f t="shared" si="75"/>
        <v>99.999999999999986</v>
      </c>
      <c r="S73" s="168">
        <f t="shared" si="75"/>
        <v>99.999999999999986</v>
      </c>
      <c r="T73" s="168">
        <f t="shared" si="75"/>
        <v>99.999999999999986</v>
      </c>
      <c r="U73" s="168">
        <f t="shared" si="75"/>
        <v>99.999999999999986</v>
      </c>
      <c r="V73" s="168">
        <f t="shared" si="75"/>
        <v>99.999999999999986</v>
      </c>
      <c r="W73" s="168">
        <f t="shared" si="75"/>
        <v>99.999999999999986</v>
      </c>
      <c r="X73" s="168">
        <f t="shared" si="75"/>
        <v>99.999999999999986</v>
      </c>
      <c r="Y73" s="168">
        <f t="shared" si="75"/>
        <v>99.999999999999986</v>
      </c>
      <c r="Z73" s="168">
        <f t="shared" si="75"/>
        <v>99.999999999999986</v>
      </c>
      <c r="AA73" s="168">
        <f t="shared" si="75"/>
        <v>99.999999999999986</v>
      </c>
      <c r="AB73" s="168">
        <f t="shared" si="75"/>
        <v>99.999999999999986</v>
      </c>
      <c r="AC73" s="168">
        <f t="shared" si="75"/>
        <v>99.999999999999986</v>
      </c>
      <c r="AD73" s="168">
        <f t="shared" si="75"/>
        <v>99.999999999999986</v>
      </c>
      <c r="AE73" s="168">
        <f t="shared" si="75"/>
        <v>99.999999999999986</v>
      </c>
      <c r="AF73" s="168">
        <f t="shared" si="75"/>
        <v>99.999999999999986</v>
      </c>
      <c r="AG73" s="168">
        <f t="shared" si="75"/>
        <v>99.999999999999986</v>
      </c>
      <c r="AH73" s="168">
        <f t="shared" si="75"/>
        <v>99.999999999999986</v>
      </c>
      <c r="AI73" s="168">
        <f t="shared" si="75"/>
        <v>99.999999999999986</v>
      </c>
      <c r="AJ73" s="168">
        <f t="shared" si="75"/>
        <v>99.999999999999986</v>
      </c>
      <c r="AK73" s="168">
        <f t="shared" si="75"/>
        <v>99.999999999999986</v>
      </c>
      <c r="AL73" s="168">
        <f t="shared" si="75"/>
        <v>99.999999999999986</v>
      </c>
      <c r="AM73" s="168">
        <f t="shared" si="75"/>
        <v>99.999999999999986</v>
      </c>
      <c r="AN73" s="168">
        <f t="shared" si="75"/>
        <v>99.999999999999986</v>
      </c>
      <c r="AO73" s="168">
        <f t="shared" si="75"/>
        <v>99.999999999999986</v>
      </c>
      <c r="AP73" s="168">
        <f t="shared" si="75"/>
        <v>99.999999999999986</v>
      </c>
      <c r="AQ73" s="168">
        <f t="shared" si="75"/>
        <v>99.999999999999986</v>
      </c>
      <c r="AR73" s="168">
        <f t="shared" si="75"/>
        <v>99.999999999999986</v>
      </c>
      <c r="AS73" s="168">
        <f t="shared" si="75"/>
        <v>99.999999999999986</v>
      </c>
      <c r="AT73" s="168">
        <f t="shared" si="75"/>
        <v>99.999999999999986</v>
      </c>
      <c r="AU73" s="168">
        <f t="shared" si="75"/>
        <v>99.999999999999986</v>
      </c>
      <c r="AV73" s="168">
        <f t="shared" si="75"/>
        <v>99.999999999999986</v>
      </c>
      <c r="AW73" s="168">
        <f t="shared" si="75"/>
        <v>99.999999999999986</v>
      </c>
      <c r="AX73" s="168">
        <f t="shared" si="75"/>
        <v>99.999999999999986</v>
      </c>
      <c r="AY73" s="168">
        <f t="shared" si="75"/>
        <v>99.999999999999986</v>
      </c>
      <c r="AZ73" s="168">
        <f t="shared" si="75"/>
        <v>99.999999999999986</v>
      </c>
      <c r="BA73" s="168">
        <f t="shared" si="75"/>
        <v>99.999999999999986</v>
      </c>
      <c r="BB73" s="168">
        <f t="shared" si="75"/>
        <v>99.999999999999986</v>
      </c>
      <c r="BC73" s="168">
        <f t="shared" si="75"/>
        <v>99.999999999999986</v>
      </c>
      <c r="BD73" s="168">
        <f t="shared" si="75"/>
        <v>99.999999999999986</v>
      </c>
      <c r="BE73" s="168">
        <f t="shared" si="75"/>
        <v>99.999999999999986</v>
      </c>
      <c r="BF73" s="168">
        <f t="shared" si="75"/>
        <v>99.999999999999986</v>
      </c>
      <c r="BG73" s="168">
        <f t="shared" si="75"/>
        <v>99.999999999999986</v>
      </c>
      <c r="BH73" s="168">
        <f t="shared" si="75"/>
        <v>99.999999999999986</v>
      </c>
      <c r="BI73" s="168">
        <f t="shared" si="75"/>
        <v>99.999999999999986</v>
      </c>
      <c r="BJ73" s="168">
        <f t="shared" si="75"/>
        <v>99.999999999999986</v>
      </c>
      <c r="BK73" s="168">
        <f t="shared" si="75"/>
        <v>99.999999999999986</v>
      </c>
      <c r="BL73" s="168">
        <f t="shared" si="75"/>
        <v>99.999999999999986</v>
      </c>
      <c r="BM73" s="168">
        <f t="shared" si="75"/>
        <v>99.999999999999986</v>
      </c>
      <c r="BN73" s="168">
        <f t="shared" si="75"/>
        <v>99.999999999999986</v>
      </c>
      <c r="BO73" s="168">
        <f t="shared" si="75"/>
        <v>99.999999999999986</v>
      </c>
      <c r="BP73" s="168">
        <f t="shared" si="75"/>
        <v>99.999999999999986</v>
      </c>
      <c r="BQ73" s="168">
        <f t="shared" si="75"/>
        <v>99.999999999999986</v>
      </c>
      <c r="BR73" s="168">
        <f t="shared" si="75"/>
        <v>99.999999999999986</v>
      </c>
      <c r="BS73" s="168">
        <f t="shared" ref="BS73:DA73" si="76">($F$49*(BS55/BS67)+1-$F$49)*BS67</f>
        <v>99.999999999999986</v>
      </c>
      <c r="BT73" s="168">
        <f t="shared" si="76"/>
        <v>99.999999999999986</v>
      </c>
      <c r="BU73" s="168">
        <f t="shared" si="76"/>
        <v>99.999999999999986</v>
      </c>
      <c r="BV73" s="168">
        <f t="shared" si="76"/>
        <v>99.999999999999986</v>
      </c>
      <c r="BW73" s="168">
        <f t="shared" si="76"/>
        <v>99.999999999999986</v>
      </c>
      <c r="BX73" s="168">
        <f t="shared" si="76"/>
        <v>99.999999999999986</v>
      </c>
      <c r="BY73" s="168">
        <f t="shared" si="76"/>
        <v>99.999999999999986</v>
      </c>
      <c r="BZ73" s="168">
        <f t="shared" si="76"/>
        <v>99.999999999999986</v>
      </c>
      <c r="CA73" s="168">
        <f t="shared" si="76"/>
        <v>99.999999999999986</v>
      </c>
      <c r="CB73" s="168">
        <f t="shared" si="76"/>
        <v>99.999999999999986</v>
      </c>
      <c r="CC73" s="168">
        <f t="shared" si="76"/>
        <v>99.999999999999986</v>
      </c>
      <c r="CD73" s="168">
        <f t="shared" si="76"/>
        <v>99.999999999999986</v>
      </c>
      <c r="CE73" s="168">
        <f t="shared" si="76"/>
        <v>99.999999999999986</v>
      </c>
      <c r="CF73" s="168">
        <f t="shared" si="76"/>
        <v>99.999999999999986</v>
      </c>
      <c r="CG73" s="168">
        <f t="shared" si="76"/>
        <v>99.999999999999986</v>
      </c>
      <c r="CH73" s="168">
        <f t="shared" si="76"/>
        <v>99.999999999999986</v>
      </c>
      <c r="CI73" s="168">
        <f t="shared" si="76"/>
        <v>99.999999999999986</v>
      </c>
      <c r="CJ73" s="168">
        <f t="shared" si="76"/>
        <v>99.999999999999986</v>
      </c>
      <c r="CK73" s="168">
        <f t="shared" si="76"/>
        <v>99.999999999999986</v>
      </c>
      <c r="CL73" s="168">
        <f t="shared" si="76"/>
        <v>99.999999999999986</v>
      </c>
      <c r="CM73" s="168">
        <f t="shared" si="76"/>
        <v>99.999999999999986</v>
      </c>
      <c r="CN73" s="168">
        <f t="shared" si="76"/>
        <v>99.999999999999986</v>
      </c>
      <c r="CO73" s="168">
        <f t="shared" si="76"/>
        <v>99.999999999999986</v>
      </c>
      <c r="CP73" s="168">
        <f t="shared" si="76"/>
        <v>99.999999999999986</v>
      </c>
      <c r="CQ73" s="168">
        <f t="shared" si="76"/>
        <v>99.999999999999986</v>
      </c>
      <c r="CR73" s="168">
        <f t="shared" si="76"/>
        <v>99.999999999999986</v>
      </c>
      <c r="CS73" s="168">
        <f t="shared" si="76"/>
        <v>99.999999999999986</v>
      </c>
      <c r="CT73" s="168">
        <f t="shared" si="76"/>
        <v>99.999999999999986</v>
      </c>
      <c r="CU73" s="168">
        <f t="shared" si="76"/>
        <v>99.999999999999986</v>
      </c>
      <c r="CV73" s="168">
        <f t="shared" si="76"/>
        <v>99.999999999999986</v>
      </c>
      <c r="CW73" s="168">
        <f t="shared" si="76"/>
        <v>99.999999999999986</v>
      </c>
      <c r="CX73" s="168">
        <f t="shared" si="76"/>
        <v>99.999999999999986</v>
      </c>
      <c r="CY73" s="168">
        <f t="shared" si="76"/>
        <v>99.999999999999986</v>
      </c>
      <c r="CZ73" s="168">
        <f t="shared" si="76"/>
        <v>99.999999999999986</v>
      </c>
      <c r="DA73" s="168">
        <f t="shared" si="76"/>
        <v>99.999999999999986</v>
      </c>
      <c r="DC73">
        <v>69</v>
      </c>
      <c r="DD73" s="114">
        <v>53.593605483678864</v>
      </c>
      <c r="DE73" s="114">
        <v>-6.8268905137257185</v>
      </c>
      <c r="DF73" s="114">
        <v>-10.529097012740223</v>
      </c>
      <c r="DG73" s="114">
        <v>51.52889828882217</v>
      </c>
      <c r="DH73" s="114">
        <v>-1.2878631862672829</v>
      </c>
      <c r="DI73" s="114">
        <v>-12.387535358811713</v>
      </c>
      <c r="DJ73" s="114">
        <v>6.1965823339138542</v>
      </c>
      <c r="DK73" s="114">
        <f t="shared" si="67"/>
        <v>38.397632620973269</v>
      </c>
      <c r="DL73" s="114">
        <f t="shared" si="68"/>
        <v>4.1371511299835646</v>
      </c>
      <c r="DM73" s="114">
        <f t="shared" si="69"/>
        <v>237.04129895583773</v>
      </c>
      <c r="DN73" s="115">
        <f t="shared" si="70"/>
        <v>11</v>
      </c>
      <c r="DO73">
        <v>6</v>
      </c>
    </row>
    <row r="74" spans="1:119">
      <c r="A74">
        <v>705</v>
      </c>
      <c r="B74" s="120">
        <f>'Color metric'!B68</f>
        <v>3.4015852047556146E-2</v>
      </c>
      <c r="C74" s="112">
        <f>Reference!N74</f>
        <v>8.8955563964798205</v>
      </c>
      <c r="D74" s="112"/>
      <c r="E74" s="172" t="s">
        <v>300</v>
      </c>
      <c r="F74" s="168">
        <f>($F$49*(F55/F68)+1-$F$49)*F68</f>
        <v>100.00000000000001</v>
      </c>
      <c r="G74" s="168">
        <f t="shared" ref="G74:BR74" si="77">($F$49*(G55/G68)+1-$F$49)*G68</f>
        <v>100.00000000000001</v>
      </c>
      <c r="H74" s="168">
        <f t="shared" si="77"/>
        <v>100.00000000000001</v>
      </c>
      <c r="I74" s="168">
        <f t="shared" si="77"/>
        <v>100.00000000000001</v>
      </c>
      <c r="J74" s="168">
        <f t="shared" si="77"/>
        <v>100.00000000000001</v>
      </c>
      <c r="K74" s="168">
        <f t="shared" si="77"/>
        <v>100.00000000000001</v>
      </c>
      <c r="L74" s="168">
        <f t="shared" si="77"/>
        <v>100.00000000000001</v>
      </c>
      <c r="M74" s="168">
        <f t="shared" si="77"/>
        <v>100.00000000000001</v>
      </c>
      <c r="N74" s="168">
        <f t="shared" si="77"/>
        <v>100.00000000000001</v>
      </c>
      <c r="O74" s="168">
        <f t="shared" si="77"/>
        <v>100.00000000000001</v>
      </c>
      <c r="P74" s="168">
        <f t="shared" si="77"/>
        <v>100.00000000000001</v>
      </c>
      <c r="Q74" s="168">
        <f t="shared" si="77"/>
        <v>100.00000000000001</v>
      </c>
      <c r="R74" s="168">
        <f t="shared" si="77"/>
        <v>100.00000000000001</v>
      </c>
      <c r="S74" s="168">
        <f t="shared" si="77"/>
        <v>100.00000000000001</v>
      </c>
      <c r="T74" s="168">
        <f t="shared" si="77"/>
        <v>100.00000000000001</v>
      </c>
      <c r="U74" s="168">
        <f t="shared" si="77"/>
        <v>100.00000000000001</v>
      </c>
      <c r="V74" s="168">
        <f t="shared" si="77"/>
        <v>100.00000000000001</v>
      </c>
      <c r="W74" s="168">
        <f t="shared" si="77"/>
        <v>100.00000000000001</v>
      </c>
      <c r="X74" s="168">
        <f t="shared" si="77"/>
        <v>100.00000000000001</v>
      </c>
      <c r="Y74" s="168">
        <f t="shared" si="77"/>
        <v>100.00000000000001</v>
      </c>
      <c r="Z74" s="168">
        <f t="shared" si="77"/>
        <v>100.00000000000001</v>
      </c>
      <c r="AA74" s="168">
        <f t="shared" si="77"/>
        <v>100.00000000000001</v>
      </c>
      <c r="AB74" s="168">
        <f t="shared" si="77"/>
        <v>100.00000000000001</v>
      </c>
      <c r="AC74" s="168">
        <f t="shared" si="77"/>
        <v>100.00000000000001</v>
      </c>
      <c r="AD74" s="168">
        <f t="shared" si="77"/>
        <v>100.00000000000001</v>
      </c>
      <c r="AE74" s="168">
        <f t="shared" si="77"/>
        <v>100.00000000000001</v>
      </c>
      <c r="AF74" s="168">
        <f t="shared" si="77"/>
        <v>100.00000000000001</v>
      </c>
      <c r="AG74" s="168">
        <f t="shared" si="77"/>
        <v>100.00000000000001</v>
      </c>
      <c r="AH74" s="168">
        <f t="shared" si="77"/>
        <v>100.00000000000001</v>
      </c>
      <c r="AI74" s="168">
        <f t="shared" si="77"/>
        <v>100.00000000000001</v>
      </c>
      <c r="AJ74" s="168">
        <f t="shared" si="77"/>
        <v>100.00000000000001</v>
      </c>
      <c r="AK74" s="168">
        <f t="shared" si="77"/>
        <v>100.00000000000001</v>
      </c>
      <c r="AL74" s="168">
        <f t="shared" si="77"/>
        <v>100.00000000000001</v>
      </c>
      <c r="AM74" s="168">
        <f t="shared" si="77"/>
        <v>100.00000000000001</v>
      </c>
      <c r="AN74" s="168">
        <f t="shared" si="77"/>
        <v>100.00000000000001</v>
      </c>
      <c r="AO74" s="168">
        <f t="shared" si="77"/>
        <v>100.00000000000001</v>
      </c>
      <c r="AP74" s="168">
        <f t="shared" si="77"/>
        <v>100.00000000000001</v>
      </c>
      <c r="AQ74" s="168">
        <f t="shared" si="77"/>
        <v>100.00000000000001</v>
      </c>
      <c r="AR74" s="168">
        <f t="shared" si="77"/>
        <v>100.00000000000001</v>
      </c>
      <c r="AS74" s="168">
        <f t="shared" si="77"/>
        <v>100.00000000000001</v>
      </c>
      <c r="AT74" s="168">
        <f t="shared" si="77"/>
        <v>100.00000000000001</v>
      </c>
      <c r="AU74" s="168">
        <f t="shared" si="77"/>
        <v>100.00000000000001</v>
      </c>
      <c r="AV74" s="168">
        <f t="shared" si="77"/>
        <v>100.00000000000001</v>
      </c>
      <c r="AW74" s="168">
        <f t="shared" si="77"/>
        <v>100.00000000000001</v>
      </c>
      <c r="AX74" s="168">
        <f t="shared" si="77"/>
        <v>100.00000000000001</v>
      </c>
      <c r="AY74" s="168">
        <f t="shared" si="77"/>
        <v>100.00000000000001</v>
      </c>
      <c r="AZ74" s="168">
        <f t="shared" si="77"/>
        <v>100.00000000000001</v>
      </c>
      <c r="BA74" s="168">
        <f t="shared" si="77"/>
        <v>100.00000000000001</v>
      </c>
      <c r="BB74" s="168">
        <f t="shared" si="77"/>
        <v>100.00000000000001</v>
      </c>
      <c r="BC74" s="168">
        <f t="shared" si="77"/>
        <v>100.00000000000001</v>
      </c>
      <c r="BD74" s="168">
        <f t="shared" si="77"/>
        <v>100.00000000000001</v>
      </c>
      <c r="BE74" s="168">
        <f t="shared" si="77"/>
        <v>100.00000000000001</v>
      </c>
      <c r="BF74" s="168">
        <f t="shared" si="77"/>
        <v>100.00000000000001</v>
      </c>
      <c r="BG74" s="168">
        <f t="shared" si="77"/>
        <v>100.00000000000001</v>
      </c>
      <c r="BH74" s="168">
        <f t="shared" si="77"/>
        <v>100.00000000000001</v>
      </c>
      <c r="BI74" s="168">
        <f t="shared" si="77"/>
        <v>100.00000000000001</v>
      </c>
      <c r="BJ74" s="168">
        <f t="shared" si="77"/>
        <v>100.00000000000001</v>
      </c>
      <c r="BK74" s="168">
        <f t="shared" si="77"/>
        <v>100.00000000000001</v>
      </c>
      <c r="BL74" s="168">
        <f t="shared" si="77"/>
        <v>100.00000000000001</v>
      </c>
      <c r="BM74" s="168">
        <f t="shared" si="77"/>
        <v>100.00000000000001</v>
      </c>
      <c r="BN74" s="168">
        <f t="shared" si="77"/>
        <v>100.00000000000001</v>
      </c>
      <c r="BO74" s="168">
        <f t="shared" si="77"/>
        <v>100.00000000000001</v>
      </c>
      <c r="BP74" s="168">
        <f t="shared" si="77"/>
        <v>100.00000000000001</v>
      </c>
      <c r="BQ74" s="168">
        <f t="shared" si="77"/>
        <v>100.00000000000001</v>
      </c>
      <c r="BR74" s="168">
        <f t="shared" si="77"/>
        <v>100.00000000000001</v>
      </c>
      <c r="BS74" s="168">
        <f t="shared" ref="BS74:DA74" si="78">($F$49*(BS55/BS68)+1-$F$49)*BS68</f>
        <v>100.00000000000001</v>
      </c>
      <c r="BT74" s="168">
        <f t="shared" si="78"/>
        <v>100.00000000000001</v>
      </c>
      <c r="BU74" s="168">
        <f t="shared" si="78"/>
        <v>100.00000000000001</v>
      </c>
      <c r="BV74" s="168">
        <f t="shared" si="78"/>
        <v>100.00000000000001</v>
      </c>
      <c r="BW74" s="168">
        <f t="shared" si="78"/>
        <v>100.00000000000001</v>
      </c>
      <c r="BX74" s="168">
        <f t="shared" si="78"/>
        <v>100.00000000000001</v>
      </c>
      <c r="BY74" s="168">
        <f t="shared" si="78"/>
        <v>100.00000000000001</v>
      </c>
      <c r="BZ74" s="168">
        <f t="shared" si="78"/>
        <v>100.00000000000001</v>
      </c>
      <c r="CA74" s="168">
        <f t="shared" si="78"/>
        <v>100.00000000000001</v>
      </c>
      <c r="CB74" s="168">
        <f t="shared" si="78"/>
        <v>100.00000000000001</v>
      </c>
      <c r="CC74" s="168">
        <f t="shared" si="78"/>
        <v>100.00000000000001</v>
      </c>
      <c r="CD74" s="168">
        <f t="shared" si="78"/>
        <v>100.00000000000001</v>
      </c>
      <c r="CE74" s="168">
        <f t="shared" si="78"/>
        <v>100.00000000000001</v>
      </c>
      <c r="CF74" s="168">
        <f t="shared" si="78"/>
        <v>100.00000000000001</v>
      </c>
      <c r="CG74" s="168">
        <f t="shared" si="78"/>
        <v>100.00000000000001</v>
      </c>
      <c r="CH74" s="168">
        <f t="shared" si="78"/>
        <v>100.00000000000001</v>
      </c>
      <c r="CI74" s="168">
        <f t="shared" si="78"/>
        <v>100.00000000000001</v>
      </c>
      <c r="CJ74" s="168">
        <f t="shared" si="78"/>
        <v>100.00000000000001</v>
      </c>
      <c r="CK74" s="168">
        <f t="shared" si="78"/>
        <v>100.00000000000001</v>
      </c>
      <c r="CL74" s="168">
        <f t="shared" si="78"/>
        <v>100.00000000000001</v>
      </c>
      <c r="CM74" s="168">
        <f t="shared" si="78"/>
        <v>100.00000000000001</v>
      </c>
      <c r="CN74" s="168">
        <f t="shared" si="78"/>
        <v>100.00000000000001</v>
      </c>
      <c r="CO74" s="168">
        <f t="shared" si="78"/>
        <v>100.00000000000001</v>
      </c>
      <c r="CP74" s="168">
        <f t="shared" si="78"/>
        <v>100.00000000000001</v>
      </c>
      <c r="CQ74" s="168">
        <f t="shared" si="78"/>
        <v>100.00000000000001</v>
      </c>
      <c r="CR74" s="168">
        <f t="shared" si="78"/>
        <v>100.00000000000001</v>
      </c>
      <c r="CS74" s="168">
        <f t="shared" si="78"/>
        <v>100.00000000000001</v>
      </c>
      <c r="CT74" s="168">
        <f t="shared" si="78"/>
        <v>100.00000000000001</v>
      </c>
      <c r="CU74" s="168">
        <f t="shared" si="78"/>
        <v>100.00000000000001</v>
      </c>
      <c r="CV74" s="168">
        <f t="shared" si="78"/>
        <v>100.00000000000001</v>
      </c>
      <c r="CW74" s="168">
        <f t="shared" si="78"/>
        <v>100.00000000000001</v>
      </c>
      <c r="CX74" s="168">
        <f t="shared" si="78"/>
        <v>100.00000000000001</v>
      </c>
      <c r="CY74" s="168">
        <f t="shared" si="78"/>
        <v>100.00000000000001</v>
      </c>
      <c r="CZ74" s="168">
        <f t="shared" si="78"/>
        <v>100.00000000000001</v>
      </c>
      <c r="DA74" s="168">
        <f t="shared" si="78"/>
        <v>100.00000000000001</v>
      </c>
      <c r="DC74">
        <v>70</v>
      </c>
      <c r="DD74" s="114">
        <v>72.469549551414389</v>
      </c>
      <c r="DE74" s="114">
        <v>-17.091399706049554</v>
      </c>
      <c r="DF74" s="114">
        <v>-21.083543260056761</v>
      </c>
      <c r="DG74" s="114">
        <v>70.365646618036322</v>
      </c>
      <c r="DH74" s="114">
        <v>-8.3076467327226293</v>
      </c>
      <c r="DI74" s="114">
        <v>-23.744786406213478</v>
      </c>
      <c r="DJ74" s="114">
        <v>9.4160999852631413</v>
      </c>
      <c r="DK74" s="114">
        <f t="shared" si="67"/>
        <v>88.662938932472528</v>
      </c>
      <c r="DL74" s="114">
        <f t="shared" si="68"/>
        <v>4.0311870619428474</v>
      </c>
      <c r="DM74" s="114">
        <f t="shared" si="69"/>
        <v>230.97000507706753</v>
      </c>
      <c r="DN74" s="115">
        <f t="shared" si="70"/>
        <v>11</v>
      </c>
      <c r="DO74">
        <v>6</v>
      </c>
    </row>
    <row r="75" spans="1:119">
      <c r="A75">
        <v>710</v>
      </c>
      <c r="B75" s="120">
        <f>'Color metric'!B69</f>
        <v>2.9062087186261559E-2</v>
      </c>
      <c r="C75" s="112">
        <f>Reference!N75</f>
        <v>9.0176477102233026</v>
      </c>
      <c r="D75" s="112"/>
      <c r="E75" s="172" t="s">
        <v>301</v>
      </c>
      <c r="F75" s="168">
        <f>($F$49*(F55/F69)+1-$F$49)*F69</f>
        <v>100</v>
      </c>
      <c r="G75" s="168">
        <f t="shared" ref="G75:BR75" si="79">($F$49*(G55/G69)+1-$F$49)*G69</f>
        <v>100</v>
      </c>
      <c r="H75" s="168">
        <f t="shared" si="79"/>
        <v>100</v>
      </c>
      <c r="I75" s="168">
        <f t="shared" si="79"/>
        <v>100</v>
      </c>
      <c r="J75" s="168">
        <f t="shared" si="79"/>
        <v>100</v>
      </c>
      <c r="K75" s="168">
        <f t="shared" si="79"/>
        <v>100</v>
      </c>
      <c r="L75" s="168">
        <f t="shared" si="79"/>
        <v>100</v>
      </c>
      <c r="M75" s="168">
        <f t="shared" si="79"/>
        <v>100</v>
      </c>
      <c r="N75" s="168">
        <f t="shared" si="79"/>
        <v>100</v>
      </c>
      <c r="O75" s="168">
        <f t="shared" si="79"/>
        <v>100</v>
      </c>
      <c r="P75" s="168">
        <f t="shared" si="79"/>
        <v>100</v>
      </c>
      <c r="Q75" s="168">
        <f t="shared" si="79"/>
        <v>100</v>
      </c>
      <c r="R75" s="168">
        <f t="shared" si="79"/>
        <v>100</v>
      </c>
      <c r="S75" s="168">
        <f t="shared" si="79"/>
        <v>100</v>
      </c>
      <c r="T75" s="168">
        <f t="shared" si="79"/>
        <v>100</v>
      </c>
      <c r="U75" s="168">
        <f t="shared" si="79"/>
        <v>100</v>
      </c>
      <c r="V75" s="168">
        <f t="shared" si="79"/>
        <v>100</v>
      </c>
      <c r="W75" s="168">
        <f t="shared" si="79"/>
        <v>100</v>
      </c>
      <c r="X75" s="168">
        <f t="shared" si="79"/>
        <v>100</v>
      </c>
      <c r="Y75" s="168">
        <f t="shared" si="79"/>
        <v>100</v>
      </c>
      <c r="Z75" s="168">
        <f t="shared" si="79"/>
        <v>100</v>
      </c>
      <c r="AA75" s="168">
        <f t="shared" si="79"/>
        <v>100</v>
      </c>
      <c r="AB75" s="168">
        <f t="shared" si="79"/>
        <v>100</v>
      </c>
      <c r="AC75" s="168">
        <f t="shared" si="79"/>
        <v>100</v>
      </c>
      <c r="AD75" s="168">
        <f t="shared" si="79"/>
        <v>100</v>
      </c>
      <c r="AE75" s="168">
        <f t="shared" si="79"/>
        <v>100</v>
      </c>
      <c r="AF75" s="168">
        <f t="shared" si="79"/>
        <v>100</v>
      </c>
      <c r="AG75" s="168">
        <f t="shared" si="79"/>
        <v>100</v>
      </c>
      <c r="AH75" s="168">
        <f t="shared" si="79"/>
        <v>100</v>
      </c>
      <c r="AI75" s="168">
        <f t="shared" si="79"/>
        <v>100</v>
      </c>
      <c r="AJ75" s="168">
        <f t="shared" si="79"/>
        <v>100</v>
      </c>
      <c r="AK75" s="168">
        <f t="shared" si="79"/>
        <v>100</v>
      </c>
      <c r="AL75" s="168">
        <f t="shared" si="79"/>
        <v>100</v>
      </c>
      <c r="AM75" s="168">
        <f t="shared" si="79"/>
        <v>100</v>
      </c>
      <c r="AN75" s="168">
        <f t="shared" si="79"/>
        <v>100</v>
      </c>
      <c r="AO75" s="168">
        <f t="shared" si="79"/>
        <v>100</v>
      </c>
      <c r="AP75" s="168">
        <f t="shared" si="79"/>
        <v>100</v>
      </c>
      <c r="AQ75" s="168">
        <f t="shared" si="79"/>
        <v>100</v>
      </c>
      <c r="AR75" s="168">
        <f t="shared" si="79"/>
        <v>100</v>
      </c>
      <c r="AS75" s="168">
        <f t="shared" si="79"/>
        <v>100</v>
      </c>
      <c r="AT75" s="168">
        <f t="shared" si="79"/>
        <v>100</v>
      </c>
      <c r="AU75" s="168">
        <f t="shared" si="79"/>
        <v>100</v>
      </c>
      <c r="AV75" s="168">
        <f t="shared" si="79"/>
        <v>100</v>
      </c>
      <c r="AW75" s="168">
        <f t="shared" si="79"/>
        <v>100</v>
      </c>
      <c r="AX75" s="168">
        <f t="shared" si="79"/>
        <v>100</v>
      </c>
      <c r="AY75" s="168">
        <f t="shared" si="79"/>
        <v>100</v>
      </c>
      <c r="AZ75" s="168">
        <f t="shared" si="79"/>
        <v>100</v>
      </c>
      <c r="BA75" s="168">
        <f t="shared" si="79"/>
        <v>100</v>
      </c>
      <c r="BB75" s="168">
        <f t="shared" si="79"/>
        <v>100</v>
      </c>
      <c r="BC75" s="168">
        <f t="shared" si="79"/>
        <v>100</v>
      </c>
      <c r="BD75" s="168">
        <f t="shared" si="79"/>
        <v>100</v>
      </c>
      <c r="BE75" s="168">
        <f t="shared" si="79"/>
        <v>100</v>
      </c>
      <c r="BF75" s="168">
        <f t="shared" si="79"/>
        <v>100</v>
      </c>
      <c r="BG75" s="168">
        <f t="shared" si="79"/>
        <v>100</v>
      </c>
      <c r="BH75" s="168">
        <f t="shared" si="79"/>
        <v>100</v>
      </c>
      <c r="BI75" s="168">
        <f t="shared" si="79"/>
        <v>100</v>
      </c>
      <c r="BJ75" s="168">
        <f t="shared" si="79"/>
        <v>100</v>
      </c>
      <c r="BK75" s="168">
        <f t="shared" si="79"/>
        <v>100</v>
      </c>
      <c r="BL75" s="168">
        <f t="shared" si="79"/>
        <v>100</v>
      </c>
      <c r="BM75" s="168">
        <f t="shared" si="79"/>
        <v>100</v>
      </c>
      <c r="BN75" s="168">
        <f t="shared" si="79"/>
        <v>100</v>
      </c>
      <c r="BO75" s="168">
        <f t="shared" si="79"/>
        <v>100</v>
      </c>
      <c r="BP75" s="168">
        <f t="shared" si="79"/>
        <v>100</v>
      </c>
      <c r="BQ75" s="168">
        <f t="shared" si="79"/>
        <v>100</v>
      </c>
      <c r="BR75" s="168">
        <f t="shared" si="79"/>
        <v>100</v>
      </c>
      <c r="BS75" s="168">
        <f t="shared" ref="BS75:DA75" si="80">($F$49*(BS55/BS69)+1-$F$49)*BS69</f>
        <v>100</v>
      </c>
      <c r="BT75" s="168">
        <f t="shared" si="80"/>
        <v>100</v>
      </c>
      <c r="BU75" s="168">
        <f t="shared" si="80"/>
        <v>100</v>
      </c>
      <c r="BV75" s="168">
        <f t="shared" si="80"/>
        <v>100</v>
      </c>
      <c r="BW75" s="168">
        <f t="shared" si="80"/>
        <v>100</v>
      </c>
      <c r="BX75" s="168">
        <f t="shared" si="80"/>
        <v>100</v>
      </c>
      <c r="BY75" s="168">
        <f t="shared" si="80"/>
        <v>100</v>
      </c>
      <c r="BZ75" s="168">
        <f t="shared" si="80"/>
        <v>100</v>
      </c>
      <c r="CA75" s="168">
        <f t="shared" si="80"/>
        <v>100</v>
      </c>
      <c r="CB75" s="168">
        <f t="shared" si="80"/>
        <v>100</v>
      </c>
      <c r="CC75" s="168">
        <f t="shared" si="80"/>
        <v>100</v>
      </c>
      <c r="CD75" s="168">
        <f t="shared" si="80"/>
        <v>100</v>
      </c>
      <c r="CE75" s="168">
        <f t="shared" si="80"/>
        <v>100</v>
      </c>
      <c r="CF75" s="168">
        <f t="shared" si="80"/>
        <v>100</v>
      </c>
      <c r="CG75" s="168">
        <f t="shared" si="80"/>
        <v>100</v>
      </c>
      <c r="CH75" s="168">
        <f t="shared" si="80"/>
        <v>100</v>
      </c>
      <c r="CI75" s="168">
        <f t="shared" si="80"/>
        <v>100</v>
      </c>
      <c r="CJ75" s="168">
        <f t="shared" si="80"/>
        <v>100</v>
      </c>
      <c r="CK75" s="168">
        <f t="shared" si="80"/>
        <v>100</v>
      </c>
      <c r="CL75" s="168">
        <f t="shared" si="80"/>
        <v>100</v>
      </c>
      <c r="CM75" s="168">
        <f t="shared" si="80"/>
        <v>100</v>
      </c>
      <c r="CN75" s="168">
        <f t="shared" si="80"/>
        <v>100</v>
      </c>
      <c r="CO75" s="168">
        <f t="shared" si="80"/>
        <v>100</v>
      </c>
      <c r="CP75" s="168">
        <f t="shared" si="80"/>
        <v>100</v>
      </c>
      <c r="CQ75" s="168">
        <f t="shared" si="80"/>
        <v>100</v>
      </c>
      <c r="CR75" s="168">
        <f t="shared" si="80"/>
        <v>100</v>
      </c>
      <c r="CS75" s="168">
        <f t="shared" si="80"/>
        <v>100</v>
      </c>
      <c r="CT75" s="168">
        <f t="shared" si="80"/>
        <v>100</v>
      </c>
      <c r="CU75" s="168">
        <f t="shared" si="80"/>
        <v>100</v>
      </c>
      <c r="CV75" s="168">
        <f t="shared" si="80"/>
        <v>100</v>
      </c>
      <c r="CW75" s="168">
        <f t="shared" si="80"/>
        <v>100</v>
      </c>
      <c r="CX75" s="168">
        <f t="shared" si="80"/>
        <v>100</v>
      </c>
      <c r="CY75" s="168">
        <f t="shared" si="80"/>
        <v>100</v>
      </c>
      <c r="CZ75" s="168">
        <f t="shared" si="80"/>
        <v>100</v>
      </c>
      <c r="DA75" s="168">
        <f t="shared" si="80"/>
        <v>100</v>
      </c>
      <c r="DC75">
        <v>71</v>
      </c>
      <c r="DD75" s="114">
        <v>35.211913529811582</v>
      </c>
      <c r="DE75" s="114">
        <v>-13.850526780415587</v>
      </c>
      <c r="DF75" s="114">
        <v>-20.550068012543694</v>
      </c>
      <c r="DG75" s="114">
        <v>32.609387704694853</v>
      </c>
      <c r="DH75" s="114">
        <v>-5.6500438088158464</v>
      </c>
      <c r="DI75" s="114">
        <v>-20.853136341604202</v>
      </c>
      <c r="DJ75" s="114">
        <v>8.6088856450748814</v>
      </c>
      <c r="DK75" s="114">
        <f t="shared" si="67"/>
        <v>74.112912049976359</v>
      </c>
      <c r="DL75" s="114">
        <f t="shared" si="68"/>
        <v>4.1193339524286934</v>
      </c>
      <c r="DM75" s="114">
        <f t="shared" si="69"/>
        <v>236.02044987910838</v>
      </c>
      <c r="DN75" s="115">
        <f t="shared" si="70"/>
        <v>11</v>
      </c>
      <c r="DO75">
        <v>6</v>
      </c>
    </row>
    <row r="76" spans="1:119">
      <c r="A76">
        <v>715</v>
      </c>
      <c r="B76" s="120">
        <f>'Color metric'!B70</f>
        <v>2.4438573315719945E-2</v>
      </c>
      <c r="C76" s="112">
        <f>Reference!N76</f>
        <v>9.1374435028411014</v>
      </c>
      <c r="D76" s="112"/>
      <c r="E76" s="172" t="s">
        <v>302</v>
      </c>
      <c r="F76" s="168">
        <f t="array" ref="F76:F78">MMULT($M$43:$O$45,F70:F72)</f>
        <v>100</v>
      </c>
      <c r="G76" s="168">
        <f t="array" ref="G76:G78">MMULT($M$43:$O$45,G70:G72)</f>
        <v>71.623995848034994</v>
      </c>
      <c r="H76" s="168">
        <f t="array" ref="H76:H78">MMULT($M$43:$O$45,H70:H72)</f>
        <v>38.474967214953139</v>
      </c>
      <c r="I76" s="168">
        <f t="array" ref="I76:I78">MMULT($M$43:$O$45,I70:I72)</f>
        <v>7.4521548055293962</v>
      </c>
      <c r="J76" s="168">
        <f t="array" ref="J76:J78">MMULT($M$43:$O$45,J70:J72)</f>
        <v>43.194789559589942</v>
      </c>
      <c r="K76" s="168">
        <f t="array" ref="K76:K78">MMULT($M$43:$O$45,K70:K72)</f>
        <v>25.441085695522389</v>
      </c>
      <c r="L76" s="168">
        <f t="array" ref="L76:L78">MMULT($M$43:$O$45,L70:L72)</f>
        <v>20.701087270041803</v>
      </c>
      <c r="M76" s="168">
        <f t="array" ref="M76:M78">MMULT($M$43:$O$45,M70:M72)</f>
        <v>17.896347604428342</v>
      </c>
      <c r="N76" s="168">
        <f t="array" ref="N76:N78">MMULT($M$43:$O$45,N70:N72)</f>
        <v>16.648460824592657</v>
      </c>
      <c r="O76" s="168">
        <f t="array" ref="O76:O78">MMULT($M$43:$O$45,O70:O72)</f>
        <v>5.2125198815112519</v>
      </c>
      <c r="P76" s="168">
        <f t="array" ref="P76:P78">MMULT($M$43:$O$45,P70:P72)</f>
        <v>58.82644637379348</v>
      </c>
      <c r="Q76" s="168">
        <f t="array" ref="Q76:Q78">MMULT($M$43:$O$45,Q70:Q72)</f>
        <v>31.879786654228113</v>
      </c>
      <c r="R76" s="168">
        <f t="array" ref="R76:R78">MMULT($M$43:$O$45,R70:R72)</f>
        <v>41.15709416051638</v>
      </c>
      <c r="S76" s="168">
        <f t="array" ref="S76:S78">MMULT($M$43:$O$45,S70:S72)</f>
        <v>15.076760490442204</v>
      </c>
      <c r="T76" s="168">
        <f t="array" ref="T76:T78">MMULT($M$43:$O$45,T70:T72)</f>
        <v>44.297246441479551</v>
      </c>
      <c r="U76" s="168">
        <f t="array" ref="U76:U78">MMULT($M$43:$O$45,U70:U72)</f>
        <v>43.091882015019813</v>
      </c>
      <c r="V76" s="168">
        <f t="array" ref="V76:V78">MMULT($M$43:$O$45,V70:V72)</f>
        <v>18.300385724549706</v>
      </c>
      <c r="W76" s="168">
        <f t="array" ref="W76:W78">MMULT($M$43:$O$45,W70:W72)</f>
        <v>19.046946556970351</v>
      </c>
      <c r="X76" s="168">
        <f t="array" ref="X76:X78">MMULT($M$43:$O$45,X70:X72)</f>
        <v>24.228347345649347</v>
      </c>
      <c r="Y76" s="168">
        <f t="array" ref="Y76:Y78">MMULT($M$43:$O$45,Y70:Y72)</f>
        <v>43.627926139861046</v>
      </c>
      <c r="Z76" s="168">
        <f t="array" ref="Z76:Z78">MMULT($M$43:$O$45,Z70:Z72)</f>
        <v>40.947923569007195</v>
      </c>
      <c r="AA76" s="168">
        <f t="array" ref="AA76:AA78">MMULT($M$43:$O$45,AA70:AA72)</f>
        <v>71.597348094415281</v>
      </c>
      <c r="AB76" s="168">
        <f t="array" ref="AB76:AB78">MMULT($M$43:$O$45,AB70:AB72)</f>
        <v>57.106279885746893</v>
      </c>
      <c r="AC76" s="168">
        <f t="array" ref="AC76:AC78">MMULT($M$43:$O$45,AC70:AC72)</f>
        <v>77.171766381678935</v>
      </c>
      <c r="AD76" s="168">
        <f t="array" ref="AD76:AD78">MMULT($M$43:$O$45,AD70:AD72)</f>
        <v>75.971468250804719</v>
      </c>
      <c r="AE76" s="168">
        <f t="array" ref="AE76:AE78">MMULT($M$43:$O$45,AE70:AE72)</f>
        <v>41.974429582541809</v>
      </c>
      <c r="AF76" s="168">
        <f t="array" ref="AF76:AF78">MMULT($M$43:$O$45,AF70:AF72)</f>
        <v>74.644210754582204</v>
      </c>
      <c r="AG76" s="168">
        <f t="array" ref="AG76:AG78">MMULT($M$43:$O$45,AG70:AG72)</f>
        <v>41.041880687336757</v>
      </c>
      <c r="AH76" s="168">
        <f t="array" ref="AH76:AH78">MMULT($M$43:$O$45,AH70:AH72)</f>
        <v>10.75515340315483</v>
      </c>
      <c r="AI76" s="168">
        <f t="array" ref="AI76:AI78">MMULT($M$43:$O$45,AI70:AI72)</f>
        <v>65.191874805095139</v>
      </c>
      <c r="AJ76" s="168">
        <f t="array" ref="AJ76:AJ78">MMULT($M$43:$O$45,AJ70:AJ72)</f>
        <v>29.748143609786297</v>
      </c>
      <c r="AK76" s="168">
        <f t="array" ref="AK76:AK78">MMULT($M$43:$O$45,AK70:AK72)</f>
        <v>67.901816453660459</v>
      </c>
      <c r="AL76" s="168">
        <f t="array" ref="AL76:AL78">MMULT($M$43:$O$45,AL70:AL72)</f>
        <v>43.389421872411518</v>
      </c>
      <c r="AM76" s="168">
        <f t="array" ref="AM76:AM78">MMULT($M$43:$O$45,AM70:AM72)</f>
        <v>70.533049782202639</v>
      </c>
      <c r="AN76" s="168">
        <f t="array" ref="AN76:AN78">MMULT($M$43:$O$45,AN70:AN72)</f>
        <v>25.738377874954253</v>
      </c>
      <c r="AO76" s="168">
        <f t="array" ref="AO76:AO78">MMULT($M$43:$O$45,AO70:AO72)</f>
        <v>10.62056822512219</v>
      </c>
      <c r="AP76" s="168">
        <f t="array" ref="AP76:AP78">MMULT($M$43:$O$45,AP70:AP72)</f>
        <v>52.951028531496043</v>
      </c>
      <c r="AQ76" s="168">
        <f t="array" ref="AQ76:AQ78">MMULT($M$43:$O$45,AQ70:AQ72)</f>
        <v>13.580521158047151</v>
      </c>
      <c r="AR76" s="168">
        <f t="array" ref="AR76:AR78">MMULT($M$43:$O$45,AR70:AR72)</f>
        <v>62.047987739860154</v>
      </c>
      <c r="AS76" s="168">
        <f t="array" ref="AS76:AS78">MMULT($M$43:$O$45,AS70:AS72)</f>
        <v>7.3361254447499373</v>
      </c>
      <c r="AT76" s="168">
        <f t="array" ref="AT76:AT78">MMULT($M$43:$O$45,AT70:AT72)</f>
        <v>15.456132481007019</v>
      </c>
      <c r="AU76" s="168">
        <f t="array" ref="AU76:AU78">MMULT($M$43:$O$45,AU70:AU72)</f>
        <v>66.756796814663318</v>
      </c>
      <c r="AV76" s="168">
        <f t="array" ref="AV76:AV78">MMULT($M$43:$O$45,AV70:AV72)</f>
        <v>27.985466605958852</v>
      </c>
      <c r="AW76" s="168">
        <f t="array" ref="AW76:AW78">MMULT($M$43:$O$45,AW70:AW72)</f>
        <v>32.062986841073929</v>
      </c>
      <c r="AX76" s="168">
        <f t="array" ref="AX76:AX78">MMULT($M$43:$O$45,AX70:AX72)</f>
        <v>4.897738310112393</v>
      </c>
      <c r="AY76" s="168">
        <f t="array" ref="AY76:AY78">MMULT($M$43:$O$45,AY70:AY72)</f>
        <v>18.24875547845496</v>
      </c>
      <c r="AZ76" s="168">
        <f t="array" ref="AZ76:AZ78">MMULT($M$43:$O$45,AZ70:AZ72)</f>
        <v>27.397742265275092</v>
      </c>
      <c r="BA76" s="168">
        <f t="array" ref="BA76:BA78">MMULT($M$43:$O$45,BA70:BA72)</f>
        <v>33.799766537204782</v>
      </c>
      <c r="BB76" s="168">
        <f t="array" ref="BB76:BB78">MMULT($M$43:$O$45,BB70:BB72)</f>
        <v>39.123875357915068</v>
      </c>
      <c r="BC76" s="168">
        <f t="array" ref="BC76:BC78">MMULT($M$43:$O$45,BC70:BC72)</f>
        <v>10.675863060736873</v>
      </c>
      <c r="BD76" s="168">
        <f t="array" ref="BD76:BD78">MMULT($M$43:$O$45,BD70:BD72)</f>
        <v>16.433797309525609</v>
      </c>
      <c r="BE76" s="168">
        <f t="array" ref="BE76:BE78">MMULT($M$43:$O$45,BE70:BE72)</f>
        <v>20.270396939458127</v>
      </c>
      <c r="BF76" s="168">
        <f t="array" ref="BF76:BF78">MMULT($M$43:$O$45,BF70:BF72)</f>
        <v>7.7648344512229768</v>
      </c>
      <c r="BG76" s="168">
        <f t="array" ref="BG76:BG78">MMULT($M$43:$O$45,BG70:BG72)</f>
        <v>9.952415814199032</v>
      </c>
      <c r="BH76" s="168">
        <f t="array" ref="BH76:BH78">MMULT($M$43:$O$45,BH70:BH72)</f>
        <v>60.009851141944544</v>
      </c>
      <c r="BI76" s="168">
        <f t="array" ref="BI76:BI78">MMULT($M$43:$O$45,BI70:BI72)</f>
        <v>52.745792246217079</v>
      </c>
      <c r="BJ76" s="168">
        <f t="array" ref="BJ76:BJ78">MMULT($M$43:$O$45,BJ70:BJ72)</f>
        <v>28.13475411466662</v>
      </c>
      <c r="BK76" s="168">
        <f t="array" ref="BK76:BK78">MMULT($M$43:$O$45,BK70:BK72)</f>
        <v>15.036073135622411</v>
      </c>
      <c r="BL76" s="168">
        <f t="array" ref="BL76:BL78">MMULT($M$43:$O$45,BL70:BL72)</f>
        <v>12.793508284508174</v>
      </c>
      <c r="BM76" s="168">
        <f t="array" ref="BM76:BM78">MMULT($M$43:$O$45,BM70:BM72)</f>
        <v>60.129811812282412</v>
      </c>
      <c r="BN76" s="168">
        <f t="array" ref="BN76:BN78">MMULT($M$43:$O$45,BN70:BN72)</f>
        <v>67.282137055600458</v>
      </c>
      <c r="BO76" s="168">
        <f t="array" ref="BO76:BO78">MMULT($M$43:$O$45,BO70:BO72)</f>
        <v>43.278832002702686</v>
      </c>
      <c r="BP76" s="168">
        <f t="array" ref="BP76:BP78">MMULT($M$43:$O$45,BP70:BP72)</f>
        <v>32.275675271344305</v>
      </c>
      <c r="BQ76" s="168">
        <f t="array" ref="BQ76:BQ78">MMULT($M$43:$O$45,BQ70:BQ72)</f>
        <v>7.25784092577757</v>
      </c>
      <c r="BR76" s="168">
        <f t="array" ref="BR76:BR78">MMULT($M$43:$O$45,BR70:BR72)</f>
        <v>17.612230870308579</v>
      </c>
      <c r="BS76" s="168">
        <f t="array" ref="BS76:BS78">MMULT($M$43:$O$45,BS70:BS72)</f>
        <v>8.3315398542543644</v>
      </c>
      <c r="BT76" s="168">
        <f t="array" ref="BT76:BT78">MMULT($M$43:$O$45,BT70:BT72)</f>
        <v>9.6796573101158039</v>
      </c>
      <c r="BU76" s="168">
        <f t="array" ref="BU76:BU78">MMULT($M$43:$O$45,BU70:BU72)</f>
        <v>11.491718235014087</v>
      </c>
      <c r="BV76" s="168">
        <f t="array" ref="BV76:BV78">MMULT($M$43:$O$45,BV70:BV72)</f>
        <v>26.478343967613991</v>
      </c>
      <c r="BW76" s="168">
        <f t="array" ref="BW76:BW78">MMULT($M$43:$O$45,BW70:BW72)</f>
        <v>18.542905522317419</v>
      </c>
      <c r="BX76" s="168">
        <f t="array" ref="BX76:BX78">MMULT($M$43:$O$45,BX70:BX72)</f>
        <v>37.13494127951445</v>
      </c>
      <c r="BY76" s="168">
        <f t="array" ref="BY76:BY78">MMULT($M$43:$O$45,BY70:BY72)</f>
        <v>7.0496164769083585</v>
      </c>
      <c r="BZ76" s="168">
        <f t="array" ref="BZ76:BZ78">MMULT($M$43:$O$45,BZ70:BZ72)</f>
        <v>45.913970803662906</v>
      </c>
      <c r="CA76" s="168">
        <f t="array" ref="CA76:CA78">MMULT($M$43:$O$45,CA70:CA72)</f>
        <v>20.706057257967011</v>
      </c>
      <c r="CB76" s="168">
        <f t="array" ref="CB76:CB78">MMULT($M$43:$O$45,CB70:CB72)</f>
        <v>4.8341279740199479</v>
      </c>
      <c r="CC76" s="168">
        <f t="array" ref="CC76:CC78">MMULT($M$43:$O$45,CC70:CC72)</f>
        <v>6.6085012829356282</v>
      </c>
      <c r="CD76" s="168">
        <f t="array" ref="CD76:CD78">MMULT($M$43:$O$45,CD70:CD72)</f>
        <v>15.754788011301047</v>
      </c>
      <c r="CE76" s="168">
        <f t="array" ref="CE76:CE78">MMULT($M$43:$O$45,CE70:CE72)</f>
        <v>13.163070901223989</v>
      </c>
      <c r="CF76" s="168">
        <f t="array" ref="CF76:CF78">MMULT($M$43:$O$45,CF70:CF72)</f>
        <v>13.456684962866293</v>
      </c>
      <c r="CG76" s="168">
        <f t="array" ref="CG76:CG78">MMULT($M$43:$O$45,CG70:CG72)</f>
        <v>43.594282523133074</v>
      </c>
      <c r="CH76" s="168">
        <f t="array" ref="CH76:CH78">MMULT($M$43:$O$45,CH70:CH72)</f>
        <v>34.420572038830223</v>
      </c>
      <c r="CI76" s="168">
        <f t="array" ref="CI76:CI78">MMULT($M$43:$O$45,CI70:CI72)</f>
        <v>15.479191109164052</v>
      </c>
      <c r="CJ76" s="168">
        <f t="array" ref="CJ76:CJ78">MMULT($M$43:$O$45,CJ70:CJ72)</f>
        <v>68.278888162549535</v>
      </c>
      <c r="CK76" s="168">
        <f t="array" ref="CK76:CK78">MMULT($M$43:$O$45,CK70:CK72)</f>
        <v>43.621850088181191</v>
      </c>
      <c r="CL76" s="168">
        <f t="array" ref="CL76:CL78">MMULT($M$43:$O$45,CL70:CL72)</f>
        <v>5.1265648803061064</v>
      </c>
      <c r="CM76" s="168">
        <f t="array" ref="CM76:CM78">MMULT($M$43:$O$45,CM70:CM72)</f>
        <v>12.02547318194485</v>
      </c>
      <c r="CN76" s="168">
        <f t="array" ref="CN76:CN78">MMULT($M$43:$O$45,CN70:CN72)</f>
        <v>36.936548367270071</v>
      </c>
      <c r="CO76" s="168">
        <f t="array" ref="CO76:CO78">MMULT($M$43:$O$45,CO70:CO72)</f>
        <v>12.950562884611351</v>
      </c>
      <c r="CP76" s="168">
        <f t="array" ref="CP76:CP78">MMULT($M$43:$O$45,CP70:CP72)</f>
        <v>34.361902590010246</v>
      </c>
      <c r="CQ76" s="168">
        <f t="array" ref="CQ76:CQ78">MMULT($M$43:$O$45,CQ70:CQ72)</f>
        <v>12.12437614478975</v>
      </c>
      <c r="CR76" s="168">
        <f t="array" ref="CR76:CR78">MMULT($M$43:$O$45,CR70:CR72)</f>
        <v>16.50915447782311</v>
      </c>
      <c r="CS76" s="168">
        <f t="array" ref="CS76:CS78">MMULT($M$43:$O$45,CS70:CS72)</f>
        <v>54.889521727537101</v>
      </c>
      <c r="CT76" s="168">
        <f t="array" ref="CT76:CT78">MMULT($M$43:$O$45,CT70:CT72)</f>
        <v>26.321005363854063</v>
      </c>
      <c r="CU76" s="168">
        <f t="array" ref="CU76:CU78">MMULT($M$43:$O$45,CU70:CU72)</f>
        <v>38.366199449582751</v>
      </c>
      <c r="CV76" s="168">
        <f t="array" ref="CV76:CV78">MMULT($M$43:$O$45,CV70:CV72)</f>
        <v>13.837383513498253</v>
      </c>
      <c r="CW76" s="168">
        <f t="array" ref="CW76:CW78">MMULT($M$43:$O$45,CW70:CW72)</f>
        <v>44.598229882753444</v>
      </c>
      <c r="CX76" s="168">
        <f t="array" ref="CX76:CX78">MMULT($M$43:$O$45,CX70:CX72)</f>
        <v>57.649190459442693</v>
      </c>
      <c r="CY76" s="168">
        <f t="array" ref="CY76:CY78">MMULT($M$43:$O$45,CY70:CY72)</f>
        <v>23.698606732072697</v>
      </c>
      <c r="CZ76" s="168">
        <f t="array" ref="CZ76:CZ78">MMULT($M$43:$O$45,CZ70:CZ72)</f>
        <v>41.555309187739162</v>
      </c>
      <c r="DA76" s="168">
        <f t="array" ref="DA76:DA78">MMULT($M$43:$O$45,DA70:DA72)</f>
        <v>28.032615825540507</v>
      </c>
      <c r="DC76">
        <v>72</v>
      </c>
      <c r="DD76" s="114">
        <v>76.87940576828862</v>
      </c>
      <c r="DE76" s="114">
        <v>-5.8816081770824598</v>
      </c>
      <c r="DF76" s="114">
        <v>-8.164388062397661</v>
      </c>
      <c r="DG76" s="114">
        <v>76.288046675860173</v>
      </c>
      <c r="DH76" s="114">
        <v>-2.5623602788219935</v>
      </c>
      <c r="DI76" s="114">
        <v>-8.8461123937232955</v>
      </c>
      <c r="DJ76" s="114">
        <v>3.4397471200984677</v>
      </c>
      <c r="DK76" s="114">
        <f t="shared" si="67"/>
        <v>11.831860250225702</v>
      </c>
      <c r="DL76" s="114">
        <f t="shared" si="68"/>
        <v>4.0881039116130609</v>
      </c>
      <c r="DM76" s="114">
        <f t="shared" si="69"/>
        <v>234.23110034635133</v>
      </c>
      <c r="DN76" s="115">
        <f t="shared" si="70"/>
        <v>11</v>
      </c>
      <c r="DO76">
        <v>6</v>
      </c>
    </row>
    <row r="77" spans="1:119">
      <c r="A77">
        <v>720</v>
      </c>
      <c r="B77" s="120">
        <f>'Color metric'!B71</f>
        <v>2.1136063408190225E-2</v>
      </c>
      <c r="C77" s="112">
        <f>Reference!N77</f>
        <v>9.2549087115871647</v>
      </c>
      <c r="D77" s="112"/>
      <c r="E77" s="172" t="s">
        <v>303</v>
      </c>
      <c r="F77" s="168">
        <v>100.00000000000001</v>
      </c>
      <c r="G77" s="168">
        <v>62.478486026062534</v>
      </c>
      <c r="H77" s="168">
        <v>26.397528244930758</v>
      </c>
      <c r="I77" s="168">
        <v>5.8825789355647986</v>
      </c>
      <c r="J77" s="168">
        <v>35.14897692949625</v>
      </c>
      <c r="K77" s="168">
        <v>15.784760909591881</v>
      </c>
      <c r="L77" s="168">
        <v>16.615173977854042</v>
      </c>
      <c r="M77" s="168">
        <v>10.981927895470593</v>
      </c>
      <c r="N77" s="168">
        <v>10.563829861160174</v>
      </c>
      <c r="O77" s="168">
        <v>4.9852798048194371</v>
      </c>
      <c r="P77" s="168">
        <v>42.164561315768211</v>
      </c>
      <c r="Q77" s="168">
        <v>21.896547961882483</v>
      </c>
      <c r="R77" s="168">
        <v>27.977541434698423</v>
      </c>
      <c r="S77" s="168">
        <v>11.470849003047679</v>
      </c>
      <c r="T77" s="168">
        <v>42.101715658504013</v>
      </c>
      <c r="U77" s="168">
        <v>38.054587056202891</v>
      </c>
      <c r="V77" s="168">
        <v>14.316401801498507</v>
      </c>
      <c r="W77" s="168">
        <v>15.613254877056962</v>
      </c>
      <c r="X77" s="168">
        <v>21.119534374684292</v>
      </c>
      <c r="Y77" s="168">
        <v>37.429684047702892</v>
      </c>
      <c r="Z77" s="168">
        <v>31.513363904989465</v>
      </c>
      <c r="AA77" s="168">
        <v>61.990619639767914</v>
      </c>
      <c r="AB77" s="168">
        <v>47.899649449535687</v>
      </c>
      <c r="AC77" s="168">
        <v>75.707844603600051</v>
      </c>
      <c r="AD77" s="168">
        <v>72.325817350461421</v>
      </c>
      <c r="AE77" s="168">
        <v>37.588658884085824</v>
      </c>
      <c r="AF77" s="168">
        <v>70.191907678301291</v>
      </c>
      <c r="AG77" s="168">
        <v>41.073667241954666</v>
      </c>
      <c r="AH77" s="168">
        <v>10.886206073536961</v>
      </c>
      <c r="AI77" s="168">
        <v>64.403326499994463</v>
      </c>
      <c r="AJ77" s="168">
        <v>29.508681313061238</v>
      </c>
      <c r="AK77" s="168">
        <v>68.275579148765971</v>
      </c>
      <c r="AL77" s="168">
        <v>43.714887250770154</v>
      </c>
      <c r="AM77" s="168">
        <v>71.497877340491442</v>
      </c>
      <c r="AN77" s="168">
        <v>26.971240535033516</v>
      </c>
      <c r="AO77" s="168">
        <v>11.238635784833427</v>
      </c>
      <c r="AP77" s="168">
        <v>53.344320874889512</v>
      </c>
      <c r="AQ77" s="168">
        <v>14.858038051352844</v>
      </c>
      <c r="AR77" s="168">
        <v>64.470009139359817</v>
      </c>
      <c r="AS77" s="168">
        <v>7.6190635795903585</v>
      </c>
      <c r="AT77" s="168">
        <v>16.504701653580298</v>
      </c>
      <c r="AU77" s="168">
        <v>68.84337373274991</v>
      </c>
      <c r="AV77" s="168">
        <v>35.427453234237674</v>
      </c>
      <c r="AW77" s="168">
        <v>40.673229127484383</v>
      </c>
      <c r="AX77" s="168">
        <v>4.9536277722613251</v>
      </c>
      <c r="AY77" s="168">
        <v>23.952135779592645</v>
      </c>
      <c r="AZ77" s="168">
        <v>32.83485408094672</v>
      </c>
      <c r="BA77" s="168">
        <v>37.245898669373531</v>
      </c>
      <c r="BB77" s="168">
        <v>48.9753046596026</v>
      </c>
      <c r="BC77" s="168">
        <v>14.0680276045819</v>
      </c>
      <c r="BD77" s="168">
        <v>20.586624075507366</v>
      </c>
      <c r="BE77" s="168">
        <v>24.13258921804016</v>
      </c>
      <c r="BF77" s="168">
        <v>11.019853900311292</v>
      </c>
      <c r="BG77" s="168">
        <v>16.975303038347114</v>
      </c>
      <c r="BH77" s="168">
        <v>67.105071340168266</v>
      </c>
      <c r="BI77" s="168">
        <v>60.092565514330936</v>
      </c>
      <c r="BJ77" s="168">
        <v>39.863409228311255</v>
      </c>
      <c r="BK77" s="168">
        <v>23.982056141181946</v>
      </c>
      <c r="BL77" s="168">
        <v>20.559121739084809</v>
      </c>
      <c r="BM77" s="168">
        <v>66.728864922957655</v>
      </c>
      <c r="BN77" s="168">
        <v>69.402641355010942</v>
      </c>
      <c r="BO77" s="168">
        <v>47.657802368623457</v>
      </c>
      <c r="BP77" s="168">
        <v>33.318099015380739</v>
      </c>
      <c r="BQ77" s="168">
        <v>7.3395812395203324</v>
      </c>
      <c r="BR77" s="168">
        <v>24.872839467039945</v>
      </c>
      <c r="BS77" s="168">
        <v>10.330105600855674</v>
      </c>
      <c r="BT77" s="168">
        <v>13.363335709318315</v>
      </c>
      <c r="BU77" s="168">
        <v>15.62797675201279</v>
      </c>
      <c r="BV77" s="168">
        <v>30.049231924932062</v>
      </c>
      <c r="BW77" s="168">
        <v>19.262982927833498</v>
      </c>
      <c r="BX77" s="168">
        <v>41.369467661778401</v>
      </c>
      <c r="BY77" s="168">
        <v>7.8720285942504091</v>
      </c>
      <c r="BZ77" s="168">
        <v>47.091061205031409</v>
      </c>
      <c r="CA77" s="168">
        <v>23.906385915393468</v>
      </c>
      <c r="CB77" s="168">
        <v>4.8403081964174621</v>
      </c>
      <c r="CC77" s="168">
        <v>6.9581028293505378</v>
      </c>
      <c r="CD77" s="168">
        <v>15.753552887631376</v>
      </c>
      <c r="CE77" s="168">
        <v>13.135083115184262</v>
      </c>
      <c r="CF77" s="168">
        <v>13.0830910407786</v>
      </c>
      <c r="CG77" s="168">
        <v>42.884094995613218</v>
      </c>
      <c r="CH77" s="168">
        <v>32.131725242454714</v>
      </c>
      <c r="CI77" s="168">
        <v>12.815938162185105</v>
      </c>
      <c r="CJ77" s="168">
        <v>67.100729362026073</v>
      </c>
      <c r="CK77" s="168">
        <v>41.396261256652892</v>
      </c>
      <c r="CL77" s="168">
        <v>4.7763798225351355</v>
      </c>
      <c r="CM77" s="168">
        <v>10.833999534869465</v>
      </c>
      <c r="CN77" s="168">
        <v>31.821596911368211</v>
      </c>
      <c r="CO77" s="168">
        <v>9.8979076809301461</v>
      </c>
      <c r="CP77" s="168">
        <v>27.617043137363616</v>
      </c>
      <c r="CQ77" s="168">
        <v>9.0891802525644803</v>
      </c>
      <c r="CR77" s="168">
        <v>12.134441588254926</v>
      </c>
      <c r="CS77" s="168">
        <v>53.52127848866472</v>
      </c>
      <c r="CT77" s="168">
        <v>21.812491501462024</v>
      </c>
      <c r="CU77" s="168">
        <v>33.608764169165255</v>
      </c>
      <c r="CV77" s="168">
        <v>9.719109503624253</v>
      </c>
      <c r="CW77" s="168">
        <v>37.27241644832317</v>
      </c>
      <c r="CX77" s="168">
        <v>49.452327876720034</v>
      </c>
      <c r="CY77" s="168">
        <v>17.828806210841471</v>
      </c>
      <c r="CZ77" s="168">
        <v>29.375365492959752</v>
      </c>
      <c r="DA77" s="168">
        <v>18.120566597972296</v>
      </c>
      <c r="DC77">
        <v>73</v>
      </c>
      <c r="DD77" s="114">
        <v>57.655075671282262</v>
      </c>
      <c r="DE77" s="114">
        <v>-19.758576965888569</v>
      </c>
      <c r="DF77" s="114">
        <v>-25.793693569358418</v>
      </c>
      <c r="DG77" s="114">
        <v>54.622271776110139</v>
      </c>
      <c r="DH77" s="114">
        <v>-10.204273014426132</v>
      </c>
      <c r="DI77" s="114">
        <v>-29.33099244961867</v>
      </c>
      <c r="DJ77" s="114">
        <v>10.629915654970757</v>
      </c>
      <c r="DK77" s="114">
        <f t="shared" si="67"/>
        <v>112.99510683179238</v>
      </c>
      <c r="DL77" s="114">
        <f t="shared" si="68"/>
        <v>4.0587114176383494</v>
      </c>
      <c r="DM77" s="114">
        <f t="shared" si="69"/>
        <v>232.54703449223663</v>
      </c>
      <c r="DN77" s="115">
        <f t="shared" si="70"/>
        <v>11</v>
      </c>
      <c r="DO77">
        <v>6</v>
      </c>
    </row>
    <row r="78" spans="1:119">
      <c r="A78">
        <v>725</v>
      </c>
      <c r="B78" s="120">
        <f>'Color metric'!B72</f>
        <v>1.7833553500660501E-2</v>
      </c>
      <c r="C78" s="112">
        <f>Reference!N78</f>
        <v>9.3700116588001841</v>
      </c>
      <c r="D78" s="112"/>
      <c r="E78" s="172" t="s">
        <v>304</v>
      </c>
      <c r="F78" s="168">
        <v>99.999999999999986</v>
      </c>
      <c r="G78" s="168">
        <v>60.435841087908422</v>
      </c>
      <c r="H78" s="168">
        <v>22.004184791791783</v>
      </c>
      <c r="I78" s="168">
        <v>5.2938318110301195</v>
      </c>
      <c r="J78" s="168">
        <v>28.332809626283673</v>
      </c>
      <c r="K78" s="168">
        <v>9.302969725015803</v>
      </c>
      <c r="L78" s="168">
        <v>12.543605000289505</v>
      </c>
      <c r="M78" s="168">
        <v>5.709383670436587</v>
      </c>
      <c r="N78" s="168">
        <v>5.9089704561590271</v>
      </c>
      <c r="O78" s="168">
        <v>4.8853879355053289</v>
      </c>
      <c r="P78" s="168">
        <v>19.023548109525176</v>
      </c>
      <c r="Q78" s="168">
        <v>7.5321888276806277</v>
      </c>
      <c r="R78" s="168">
        <v>9.1329403785075769</v>
      </c>
      <c r="S78" s="168">
        <v>5.1848139963727062</v>
      </c>
      <c r="T78" s="168">
        <v>36.031151698988182</v>
      </c>
      <c r="U78" s="168">
        <v>27.130909986439324</v>
      </c>
      <c r="V78" s="168">
        <v>6.053308069885718</v>
      </c>
      <c r="W78" s="168">
        <v>6.5238143951685776</v>
      </c>
      <c r="X78" s="168">
        <v>12.212524816726182</v>
      </c>
      <c r="Y78" s="168">
        <v>13.540067656184197</v>
      </c>
      <c r="Z78" s="168">
        <v>7.2251444120573058</v>
      </c>
      <c r="AA78" s="168">
        <v>19.646942172443243</v>
      </c>
      <c r="AB78" s="168">
        <v>12.825118374201981</v>
      </c>
      <c r="AC78" s="168">
        <v>55.547632257754991</v>
      </c>
      <c r="AD78" s="168">
        <v>31.723927225532087</v>
      </c>
      <c r="AE78" s="168">
        <v>6.804597811325495</v>
      </c>
      <c r="AF78" s="168">
        <v>23.845170993111122</v>
      </c>
      <c r="AG78" s="168">
        <v>25.687308387548889</v>
      </c>
      <c r="AH78" s="168">
        <v>5.112095740590676</v>
      </c>
      <c r="AI78" s="168">
        <v>22.057757626144973</v>
      </c>
      <c r="AJ78" s="168">
        <v>16.149511756411755</v>
      </c>
      <c r="AK78" s="168">
        <v>24.126511244518884</v>
      </c>
      <c r="AL78" s="168">
        <v>10.680639624821815</v>
      </c>
      <c r="AM78" s="168">
        <v>41.147704800349324</v>
      </c>
      <c r="AN78" s="168">
        <v>6.8183758700734769</v>
      </c>
      <c r="AO78" s="168">
        <v>5.5287980358946474</v>
      </c>
      <c r="AP78" s="168">
        <v>45.516627908305409</v>
      </c>
      <c r="AQ78" s="168">
        <v>6.2597243541651055</v>
      </c>
      <c r="AR78" s="168">
        <v>41.885612534589228</v>
      </c>
      <c r="AS78" s="168">
        <v>5.7847991589107366</v>
      </c>
      <c r="AT78" s="168">
        <v>10.122452739791125</v>
      </c>
      <c r="AU78" s="168">
        <v>57.990764062281357</v>
      </c>
      <c r="AV78" s="168">
        <v>10.461923500417583</v>
      </c>
      <c r="AW78" s="168">
        <v>12.336897468344876</v>
      </c>
      <c r="AX78" s="168">
        <v>4.7387993628051071</v>
      </c>
      <c r="AY78" s="168">
        <v>10.589211037774053</v>
      </c>
      <c r="AZ78" s="168">
        <v>19.650473043242069</v>
      </c>
      <c r="BA78" s="168">
        <v>27.612963772373629</v>
      </c>
      <c r="BB78" s="168">
        <v>32.543395817325155</v>
      </c>
      <c r="BC78" s="168">
        <v>8.1845873113924217</v>
      </c>
      <c r="BD78" s="168">
        <v>16.346471562740579</v>
      </c>
      <c r="BE78" s="168">
        <v>20.362113167368427</v>
      </c>
      <c r="BF78" s="168">
        <v>8.0340815113874058</v>
      </c>
      <c r="BG78" s="168">
        <v>14.369961763705129</v>
      </c>
      <c r="BH78" s="168">
        <v>67.547249014398147</v>
      </c>
      <c r="BI78" s="168">
        <v>62.421067434734887</v>
      </c>
      <c r="BJ78" s="168">
        <v>43.501797436741334</v>
      </c>
      <c r="BK78" s="168">
        <v>26.904299315790258</v>
      </c>
      <c r="BL78" s="168">
        <v>24.898560808866932</v>
      </c>
      <c r="BM78" s="168">
        <v>70.320958657329257</v>
      </c>
      <c r="BN78" s="168">
        <v>72.055479933643426</v>
      </c>
      <c r="BO78" s="168">
        <v>52.712596399567644</v>
      </c>
      <c r="BP78" s="168">
        <v>35.794416002254991</v>
      </c>
      <c r="BQ78" s="168">
        <v>7.8268221515524532</v>
      </c>
      <c r="BR78" s="168">
        <v>38.53565681193929</v>
      </c>
      <c r="BS78" s="168">
        <v>14.338609983321849</v>
      </c>
      <c r="BT78" s="168">
        <v>23.954495228992936</v>
      </c>
      <c r="BU78" s="168">
        <v>28.806774744549752</v>
      </c>
      <c r="BV78" s="168">
        <v>42.869415525259761</v>
      </c>
      <c r="BW78" s="168">
        <v>24.215469959374918</v>
      </c>
      <c r="BX78" s="168">
        <v>66.752881756862408</v>
      </c>
      <c r="BY78" s="168">
        <v>16.356758186480285</v>
      </c>
      <c r="BZ78" s="168">
        <v>53.559941390761779</v>
      </c>
      <c r="CA78" s="168">
        <v>50.656755769237868</v>
      </c>
      <c r="CB78" s="168">
        <v>5.3410849050560651</v>
      </c>
      <c r="CC78" s="168">
        <v>15.4749150174022</v>
      </c>
      <c r="CD78" s="168">
        <v>42.639968719740907</v>
      </c>
      <c r="CE78" s="168">
        <v>26.274949475226862</v>
      </c>
      <c r="CF78" s="168">
        <v>36.295076877114823</v>
      </c>
      <c r="CG78" s="168">
        <v>62.784512490307613</v>
      </c>
      <c r="CH78" s="168">
        <v>53.397001711492109</v>
      </c>
      <c r="CI78" s="168">
        <v>30.041137246025919</v>
      </c>
      <c r="CJ78" s="168">
        <v>76.857210485419373</v>
      </c>
      <c r="CK78" s="168">
        <v>56.050489484139135</v>
      </c>
      <c r="CL78" s="168">
        <v>5.8790234287434426</v>
      </c>
      <c r="CM78" s="168">
        <v>15.275416573307666</v>
      </c>
      <c r="CN78" s="168">
        <v>52.174151200772393</v>
      </c>
      <c r="CO78" s="168">
        <v>20.124915933514025</v>
      </c>
      <c r="CP78" s="168">
        <v>42.563296072615167</v>
      </c>
      <c r="CQ78" s="168">
        <v>15.300450725448071</v>
      </c>
      <c r="CR78" s="168">
        <v>20.27669626825481</v>
      </c>
      <c r="CS78" s="168">
        <v>55.097883266818286</v>
      </c>
      <c r="CT78" s="168">
        <v>27.231301063579089</v>
      </c>
      <c r="CU78" s="168">
        <v>38.831439367036481</v>
      </c>
      <c r="CV78" s="168">
        <v>12.872983535474164</v>
      </c>
      <c r="CW78" s="168">
        <v>42.502442159709922</v>
      </c>
      <c r="CX78" s="168">
        <v>54.396847159238511</v>
      </c>
      <c r="CY78" s="168">
        <v>19.845664630091523</v>
      </c>
      <c r="CZ78" s="168">
        <v>29.385486463671139</v>
      </c>
      <c r="DA78" s="168">
        <v>18.03323721916469</v>
      </c>
      <c r="DC78">
        <v>74</v>
      </c>
      <c r="DD78" s="114">
        <v>28.495843994690745</v>
      </c>
      <c r="DE78" s="114">
        <v>-0.82602367673037358</v>
      </c>
      <c r="DF78" s="114">
        <v>-3.7054392614178302</v>
      </c>
      <c r="DG78" s="114">
        <v>28.124556395451343</v>
      </c>
      <c r="DH78" s="114">
        <v>-1.1467573130477735</v>
      </c>
      <c r="DI78" s="114">
        <v>-2.2229382260474742</v>
      </c>
      <c r="DJ78" s="114">
        <v>1.5615805668259701</v>
      </c>
      <c r="DK78" s="114">
        <f t="shared" si="67"/>
        <v>2.4385338666885183</v>
      </c>
      <c r="DL78" s="114">
        <f t="shared" si="68"/>
        <v>4.4930533517356919</v>
      </c>
      <c r="DM78" s="114">
        <f t="shared" si="69"/>
        <v>257.43299418156369</v>
      </c>
      <c r="DN78" s="115">
        <f t="shared" si="70"/>
        <v>12</v>
      </c>
      <c r="DO78">
        <v>3</v>
      </c>
    </row>
    <row r="79" spans="1:119">
      <c r="A79">
        <v>730</v>
      </c>
      <c r="B79" s="120">
        <f>'Color metric'!B73</f>
        <v>1.6182298546895641E-2</v>
      </c>
      <c r="C79" s="112">
        <f>Reference!N79</f>
        <v>9.4827239567895774</v>
      </c>
      <c r="D79" s="112"/>
      <c r="E79" s="172" t="s">
        <v>305</v>
      </c>
      <c r="F79" s="168">
        <f t="array" ref="F79:F81">MMULT($M$43:$O$45,F73:F75)</f>
        <v>100</v>
      </c>
      <c r="G79" s="168">
        <f t="array" ref="G79:G81">MMULT($M$43:$O$45,G73:G75)</f>
        <v>100</v>
      </c>
      <c r="H79" s="168">
        <f t="array" ref="H79:H81">MMULT($M$43:$O$45,H73:H75)</f>
        <v>100</v>
      </c>
      <c r="I79" s="168">
        <f t="array" ref="I79:I81">MMULT($M$43:$O$45,I73:I75)</f>
        <v>100</v>
      </c>
      <c r="J79" s="168">
        <f t="array" ref="J79:J81">MMULT($M$43:$O$45,J73:J75)</f>
        <v>100</v>
      </c>
      <c r="K79" s="168">
        <f t="array" ref="K79:K81">MMULT($M$43:$O$45,K73:K75)</f>
        <v>100</v>
      </c>
      <c r="L79" s="168">
        <f t="array" ref="L79:L81">MMULT($M$43:$O$45,L73:L75)</f>
        <v>100</v>
      </c>
      <c r="M79" s="168">
        <f t="array" ref="M79:M81">MMULT($M$43:$O$45,M73:M75)</f>
        <v>100</v>
      </c>
      <c r="N79" s="168">
        <f t="array" ref="N79:N81">MMULT($M$43:$O$45,N73:N75)</f>
        <v>100</v>
      </c>
      <c r="O79" s="168">
        <f t="array" ref="O79:O81">MMULT($M$43:$O$45,O73:O75)</f>
        <v>100</v>
      </c>
      <c r="P79" s="168">
        <f t="array" ref="P79:P81">MMULT($M$43:$O$45,P73:P75)</f>
        <v>100</v>
      </c>
      <c r="Q79" s="168">
        <f t="array" ref="Q79:Q81">MMULT($M$43:$O$45,Q73:Q75)</f>
        <v>100</v>
      </c>
      <c r="R79" s="168">
        <f t="array" ref="R79:R81">MMULT($M$43:$O$45,R73:R75)</f>
        <v>100</v>
      </c>
      <c r="S79" s="168">
        <f t="array" ref="S79:S81">MMULT($M$43:$O$45,S73:S75)</f>
        <v>100</v>
      </c>
      <c r="T79" s="168">
        <f t="array" ref="T79:T81">MMULT($M$43:$O$45,T73:T75)</f>
        <v>100</v>
      </c>
      <c r="U79" s="168">
        <f t="array" ref="U79:U81">MMULT($M$43:$O$45,U73:U75)</f>
        <v>100</v>
      </c>
      <c r="V79" s="168">
        <f t="array" ref="V79:V81">MMULT($M$43:$O$45,V73:V75)</f>
        <v>100</v>
      </c>
      <c r="W79" s="168">
        <f t="array" ref="W79:W81">MMULT($M$43:$O$45,W73:W75)</f>
        <v>100</v>
      </c>
      <c r="X79" s="168">
        <f t="array" ref="X79:X81">MMULT($M$43:$O$45,X73:X75)</f>
        <v>100</v>
      </c>
      <c r="Y79" s="168">
        <f t="array" ref="Y79:Y81">MMULT($M$43:$O$45,Y73:Y75)</f>
        <v>100</v>
      </c>
      <c r="Z79" s="168">
        <f t="array" ref="Z79:Z81">MMULT($M$43:$O$45,Z73:Z75)</f>
        <v>100</v>
      </c>
      <c r="AA79" s="168">
        <f t="array" ref="AA79:AA81">MMULT($M$43:$O$45,AA73:AA75)</f>
        <v>100</v>
      </c>
      <c r="AB79" s="168">
        <f t="array" ref="AB79:AB81">MMULT($M$43:$O$45,AB73:AB75)</f>
        <v>100</v>
      </c>
      <c r="AC79" s="168">
        <f t="array" ref="AC79:AC81">MMULT($M$43:$O$45,AC73:AC75)</f>
        <v>100</v>
      </c>
      <c r="AD79" s="168">
        <f t="array" ref="AD79:AD81">MMULT($M$43:$O$45,AD73:AD75)</f>
        <v>100</v>
      </c>
      <c r="AE79" s="168">
        <f t="array" ref="AE79:AE81">MMULT($M$43:$O$45,AE73:AE75)</f>
        <v>100</v>
      </c>
      <c r="AF79" s="168">
        <f t="array" ref="AF79:AF81">MMULT($M$43:$O$45,AF73:AF75)</f>
        <v>100</v>
      </c>
      <c r="AG79" s="168">
        <f t="array" ref="AG79:AG81">MMULT($M$43:$O$45,AG73:AG75)</f>
        <v>100</v>
      </c>
      <c r="AH79" s="168">
        <f t="array" ref="AH79:AH81">MMULT($M$43:$O$45,AH73:AH75)</f>
        <v>100</v>
      </c>
      <c r="AI79" s="168">
        <f t="array" ref="AI79:AI81">MMULT($M$43:$O$45,AI73:AI75)</f>
        <v>100</v>
      </c>
      <c r="AJ79" s="168">
        <f t="array" ref="AJ79:AJ81">MMULT($M$43:$O$45,AJ73:AJ75)</f>
        <v>100</v>
      </c>
      <c r="AK79" s="168">
        <f t="array" ref="AK79:AK81">MMULT($M$43:$O$45,AK73:AK75)</f>
        <v>100</v>
      </c>
      <c r="AL79" s="168">
        <f t="array" ref="AL79:AL81">MMULT($M$43:$O$45,AL73:AL75)</f>
        <v>100</v>
      </c>
      <c r="AM79" s="168">
        <f t="array" ref="AM79:AM81">MMULT($M$43:$O$45,AM73:AM75)</f>
        <v>100</v>
      </c>
      <c r="AN79" s="168">
        <f t="array" ref="AN79:AN81">MMULT($M$43:$O$45,AN73:AN75)</f>
        <v>100</v>
      </c>
      <c r="AO79" s="168">
        <f t="array" ref="AO79:AO81">MMULT($M$43:$O$45,AO73:AO75)</f>
        <v>100</v>
      </c>
      <c r="AP79" s="168">
        <f t="array" ref="AP79:AP81">MMULT($M$43:$O$45,AP73:AP75)</f>
        <v>100</v>
      </c>
      <c r="AQ79" s="168">
        <f t="array" ref="AQ79:AQ81">MMULT($M$43:$O$45,AQ73:AQ75)</f>
        <v>100</v>
      </c>
      <c r="AR79" s="168">
        <f t="array" ref="AR79:AR81">MMULT($M$43:$O$45,AR73:AR75)</f>
        <v>100</v>
      </c>
      <c r="AS79" s="168">
        <f t="array" ref="AS79:AS81">MMULT($M$43:$O$45,AS73:AS75)</f>
        <v>100</v>
      </c>
      <c r="AT79" s="168">
        <f t="array" ref="AT79:AT81">MMULT($M$43:$O$45,AT73:AT75)</f>
        <v>100</v>
      </c>
      <c r="AU79" s="168">
        <f t="array" ref="AU79:AU81">MMULT($M$43:$O$45,AU73:AU75)</f>
        <v>100</v>
      </c>
      <c r="AV79" s="168">
        <f t="array" ref="AV79:AV81">MMULT($M$43:$O$45,AV73:AV75)</f>
        <v>100</v>
      </c>
      <c r="AW79" s="168">
        <f t="array" ref="AW79:AW81">MMULT($M$43:$O$45,AW73:AW75)</f>
        <v>100</v>
      </c>
      <c r="AX79" s="168">
        <f t="array" ref="AX79:AX81">MMULT($M$43:$O$45,AX73:AX75)</f>
        <v>100</v>
      </c>
      <c r="AY79" s="168">
        <f t="array" ref="AY79:AY81">MMULT($M$43:$O$45,AY73:AY75)</f>
        <v>100</v>
      </c>
      <c r="AZ79" s="168">
        <f t="array" ref="AZ79:AZ81">MMULT($M$43:$O$45,AZ73:AZ75)</f>
        <v>100</v>
      </c>
      <c r="BA79" s="168">
        <f t="array" ref="BA79:BA81">MMULT($M$43:$O$45,BA73:BA75)</f>
        <v>100</v>
      </c>
      <c r="BB79" s="168">
        <f t="array" ref="BB79:BB81">MMULT($M$43:$O$45,BB73:BB75)</f>
        <v>100</v>
      </c>
      <c r="BC79" s="168">
        <f t="array" ref="BC79:BC81">MMULT($M$43:$O$45,BC73:BC75)</f>
        <v>100</v>
      </c>
      <c r="BD79" s="168">
        <f t="array" ref="BD79:BD81">MMULT($M$43:$O$45,BD73:BD75)</f>
        <v>100</v>
      </c>
      <c r="BE79" s="168">
        <f t="array" ref="BE79:BE81">MMULT($M$43:$O$45,BE73:BE75)</f>
        <v>100</v>
      </c>
      <c r="BF79" s="168">
        <f t="array" ref="BF79:BF81">MMULT($M$43:$O$45,BF73:BF75)</f>
        <v>100</v>
      </c>
      <c r="BG79" s="168">
        <f t="array" ref="BG79:BG81">MMULT($M$43:$O$45,BG73:BG75)</f>
        <v>100</v>
      </c>
      <c r="BH79" s="168">
        <f t="array" ref="BH79:BH81">MMULT($M$43:$O$45,BH73:BH75)</f>
        <v>100</v>
      </c>
      <c r="BI79" s="168">
        <f t="array" ref="BI79:BI81">MMULT($M$43:$O$45,BI73:BI75)</f>
        <v>100</v>
      </c>
      <c r="BJ79" s="168">
        <f t="array" ref="BJ79:BJ81">MMULT($M$43:$O$45,BJ73:BJ75)</f>
        <v>100</v>
      </c>
      <c r="BK79" s="168">
        <f t="array" ref="BK79:BK81">MMULT($M$43:$O$45,BK73:BK75)</f>
        <v>100</v>
      </c>
      <c r="BL79" s="168">
        <f t="array" ref="BL79:BL81">MMULT($M$43:$O$45,BL73:BL75)</f>
        <v>100</v>
      </c>
      <c r="BM79" s="168">
        <f t="array" ref="BM79:BM81">MMULT($M$43:$O$45,BM73:BM75)</f>
        <v>100</v>
      </c>
      <c r="BN79" s="168">
        <f t="array" ref="BN79:BN81">MMULT($M$43:$O$45,BN73:BN75)</f>
        <v>100</v>
      </c>
      <c r="BO79" s="168">
        <f t="array" ref="BO79:BO81">MMULT($M$43:$O$45,BO73:BO75)</f>
        <v>100</v>
      </c>
      <c r="BP79" s="168">
        <f t="array" ref="BP79:BP81">MMULT($M$43:$O$45,BP73:BP75)</f>
        <v>100</v>
      </c>
      <c r="BQ79" s="168">
        <f t="array" ref="BQ79:BQ81">MMULT($M$43:$O$45,BQ73:BQ75)</f>
        <v>100</v>
      </c>
      <c r="BR79" s="168">
        <f t="array" ref="BR79:BR81">MMULT($M$43:$O$45,BR73:BR75)</f>
        <v>100</v>
      </c>
      <c r="BS79" s="168">
        <f t="array" ref="BS79:BS81">MMULT($M$43:$O$45,BS73:BS75)</f>
        <v>100</v>
      </c>
      <c r="BT79" s="168">
        <f t="array" ref="BT79:BT81">MMULT($M$43:$O$45,BT73:BT75)</f>
        <v>100</v>
      </c>
      <c r="BU79" s="168">
        <f t="array" ref="BU79:BU81">MMULT($M$43:$O$45,BU73:BU75)</f>
        <v>100</v>
      </c>
      <c r="BV79" s="168">
        <f t="array" ref="BV79:BV81">MMULT($M$43:$O$45,BV73:BV75)</f>
        <v>100</v>
      </c>
      <c r="BW79" s="168">
        <f t="array" ref="BW79:BW81">MMULT($M$43:$O$45,BW73:BW75)</f>
        <v>100</v>
      </c>
      <c r="BX79" s="168">
        <f t="array" ref="BX79:BX81">MMULT($M$43:$O$45,BX73:BX75)</f>
        <v>100</v>
      </c>
      <c r="BY79" s="168">
        <f t="array" ref="BY79:BY81">MMULT($M$43:$O$45,BY73:BY75)</f>
        <v>100</v>
      </c>
      <c r="BZ79" s="168">
        <f t="array" ref="BZ79:BZ81">MMULT($M$43:$O$45,BZ73:BZ75)</f>
        <v>100</v>
      </c>
      <c r="CA79" s="168">
        <f t="array" ref="CA79:CA81">MMULT($M$43:$O$45,CA73:CA75)</f>
        <v>100</v>
      </c>
      <c r="CB79" s="168">
        <f t="array" ref="CB79:CB81">MMULT($M$43:$O$45,CB73:CB75)</f>
        <v>100</v>
      </c>
      <c r="CC79" s="168">
        <f t="array" ref="CC79:CC81">MMULT($M$43:$O$45,CC73:CC75)</f>
        <v>100</v>
      </c>
      <c r="CD79" s="168">
        <f t="array" ref="CD79:CD81">MMULT($M$43:$O$45,CD73:CD75)</f>
        <v>100</v>
      </c>
      <c r="CE79" s="168">
        <f t="array" ref="CE79:CE81">MMULT($M$43:$O$45,CE73:CE75)</f>
        <v>100</v>
      </c>
      <c r="CF79" s="168">
        <f t="array" ref="CF79:CF81">MMULT($M$43:$O$45,CF73:CF75)</f>
        <v>100</v>
      </c>
      <c r="CG79" s="168">
        <f t="array" ref="CG79:CG81">MMULT($M$43:$O$45,CG73:CG75)</f>
        <v>100</v>
      </c>
      <c r="CH79" s="168">
        <f t="array" ref="CH79:CH81">MMULT($M$43:$O$45,CH73:CH75)</f>
        <v>100</v>
      </c>
      <c r="CI79" s="168">
        <f t="array" ref="CI79:CI81">MMULT($M$43:$O$45,CI73:CI75)</f>
        <v>100</v>
      </c>
      <c r="CJ79" s="168">
        <f t="array" ref="CJ79:CJ81">MMULT($M$43:$O$45,CJ73:CJ75)</f>
        <v>100</v>
      </c>
      <c r="CK79" s="168">
        <f t="array" ref="CK79:CK81">MMULT($M$43:$O$45,CK73:CK75)</f>
        <v>100</v>
      </c>
      <c r="CL79" s="168">
        <f t="array" ref="CL79:CL81">MMULT($M$43:$O$45,CL73:CL75)</f>
        <v>100</v>
      </c>
      <c r="CM79" s="168">
        <f t="array" ref="CM79:CM81">MMULT($M$43:$O$45,CM73:CM75)</f>
        <v>100</v>
      </c>
      <c r="CN79" s="168">
        <f t="array" ref="CN79:CN81">MMULT($M$43:$O$45,CN73:CN75)</f>
        <v>100</v>
      </c>
      <c r="CO79" s="168">
        <f t="array" ref="CO79:CO81">MMULT($M$43:$O$45,CO73:CO75)</f>
        <v>100</v>
      </c>
      <c r="CP79" s="168">
        <f t="array" ref="CP79:CP81">MMULT($M$43:$O$45,CP73:CP75)</f>
        <v>100</v>
      </c>
      <c r="CQ79" s="168">
        <f t="array" ref="CQ79:CQ81">MMULT($M$43:$O$45,CQ73:CQ75)</f>
        <v>100</v>
      </c>
      <c r="CR79" s="168">
        <f t="array" ref="CR79:CR81">MMULT($M$43:$O$45,CR73:CR75)</f>
        <v>100</v>
      </c>
      <c r="CS79" s="168">
        <f t="array" ref="CS79:CS81">MMULT($M$43:$O$45,CS73:CS75)</f>
        <v>100</v>
      </c>
      <c r="CT79" s="168">
        <f t="array" ref="CT79:CT81">MMULT($M$43:$O$45,CT73:CT75)</f>
        <v>100</v>
      </c>
      <c r="CU79" s="168">
        <f t="array" ref="CU79:CU81">MMULT($M$43:$O$45,CU73:CU75)</f>
        <v>100</v>
      </c>
      <c r="CV79" s="168">
        <f t="array" ref="CV79:CV81">MMULT($M$43:$O$45,CV73:CV75)</f>
        <v>100</v>
      </c>
      <c r="CW79" s="168">
        <f t="array" ref="CW79:CW81">MMULT($M$43:$O$45,CW73:CW75)</f>
        <v>100</v>
      </c>
      <c r="CX79" s="168">
        <f t="array" ref="CX79:CX81">MMULT($M$43:$O$45,CX73:CX75)</f>
        <v>100</v>
      </c>
      <c r="CY79" s="168">
        <f t="array" ref="CY79:CY81">MMULT($M$43:$O$45,CY73:CY75)</f>
        <v>100</v>
      </c>
      <c r="CZ79" s="168">
        <f t="array" ref="CZ79:CZ81">MMULT($M$43:$O$45,CZ73:CZ75)</f>
        <v>100</v>
      </c>
      <c r="DA79" s="168">
        <f t="array" ref="DA79:DA81">MMULT($M$43:$O$45,DA73:DA75)</f>
        <v>100</v>
      </c>
      <c r="DC79">
        <v>75</v>
      </c>
      <c r="DD79" s="114">
        <v>33.314559246782167</v>
      </c>
      <c r="DE79" s="114">
        <v>-10.827816224348979</v>
      </c>
      <c r="DF79" s="114">
        <v>-21.817852996045271</v>
      </c>
      <c r="DG79" s="114">
        <v>31.419257671692783</v>
      </c>
      <c r="DH79" s="114">
        <v>-3.5321738721799836</v>
      </c>
      <c r="DI79" s="114">
        <v>-21.683977277247145</v>
      </c>
      <c r="DJ79" s="114">
        <v>7.5389978179716941</v>
      </c>
      <c r="DK79" s="114">
        <f t="shared" si="67"/>
        <v>56.836488099381967</v>
      </c>
      <c r="DL79" s="114">
        <f t="shared" si="68"/>
        <v>4.2517198799531322</v>
      </c>
      <c r="DM79" s="114">
        <f t="shared" si="69"/>
        <v>243.60560479318352</v>
      </c>
      <c r="DN79" s="115">
        <f t="shared" si="70"/>
        <v>11</v>
      </c>
      <c r="DO79">
        <v>6</v>
      </c>
    </row>
    <row r="80" spans="1:119">
      <c r="A80">
        <v>735</v>
      </c>
      <c r="B80" s="120">
        <f>'Color metric'!B74</f>
        <v>1.5191545574636724E-2</v>
      </c>
      <c r="C80" s="112">
        <f>Reference!N80</f>
        <v>9.593020411009153</v>
      </c>
      <c r="D80" s="112"/>
      <c r="E80" s="172" t="s">
        <v>306</v>
      </c>
      <c r="F80" s="168">
        <v>100.00000000000001</v>
      </c>
      <c r="G80" s="168">
        <v>100.00000000000001</v>
      </c>
      <c r="H80" s="168">
        <v>100.00000000000001</v>
      </c>
      <c r="I80" s="168">
        <v>100.00000000000001</v>
      </c>
      <c r="J80" s="168">
        <v>100.00000000000001</v>
      </c>
      <c r="K80" s="168">
        <v>100.00000000000001</v>
      </c>
      <c r="L80" s="168">
        <v>100.00000000000001</v>
      </c>
      <c r="M80" s="168">
        <v>100.00000000000001</v>
      </c>
      <c r="N80" s="168">
        <v>100.00000000000001</v>
      </c>
      <c r="O80" s="168">
        <v>100.00000000000001</v>
      </c>
      <c r="P80" s="168">
        <v>100.00000000000001</v>
      </c>
      <c r="Q80" s="168">
        <v>100.00000000000001</v>
      </c>
      <c r="R80" s="168">
        <v>100.00000000000001</v>
      </c>
      <c r="S80" s="168">
        <v>100.00000000000001</v>
      </c>
      <c r="T80" s="168">
        <v>100.00000000000001</v>
      </c>
      <c r="U80" s="168">
        <v>100.00000000000001</v>
      </c>
      <c r="V80" s="168">
        <v>100.00000000000001</v>
      </c>
      <c r="W80" s="168">
        <v>100.00000000000001</v>
      </c>
      <c r="X80" s="168">
        <v>100.00000000000001</v>
      </c>
      <c r="Y80" s="168">
        <v>100.00000000000001</v>
      </c>
      <c r="Z80" s="168">
        <v>100.00000000000001</v>
      </c>
      <c r="AA80" s="168">
        <v>100.00000000000001</v>
      </c>
      <c r="AB80" s="168">
        <v>100.00000000000001</v>
      </c>
      <c r="AC80" s="168">
        <v>100.00000000000001</v>
      </c>
      <c r="AD80" s="168">
        <v>100.00000000000001</v>
      </c>
      <c r="AE80" s="168">
        <v>100.00000000000001</v>
      </c>
      <c r="AF80" s="168">
        <v>100.00000000000001</v>
      </c>
      <c r="AG80" s="168">
        <v>100.00000000000001</v>
      </c>
      <c r="AH80" s="168">
        <v>100.00000000000001</v>
      </c>
      <c r="AI80" s="168">
        <v>100.00000000000001</v>
      </c>
      <c r="AJ80" s="168">
        <v>100.00000000000001</v>
      </c>
      <c r="AK80" s="168">
        <v>100.00000000000001</v>
      </c>
      <c r="AL80" s="168">
        <v>100.00000000000001</v>
      </c>
      <c r="AM80" s="168">
        <v>100.00000000000001</v>
      </c>
      <c r="AN80" s="168">
        <v>100.00000000000001</v>
      </c>
      <c r="AO80" s="168">
        <v>100.00000000000001</v>
      </c>
      <c r="AP80" s="168">
        <v>100.00000000000001</v>
      </c>
      <c r="AQ80" s="168">
        <v>100.00000000000001</v>
      </c>
      <c r="AR80" s="168">
        <v>100.00000000000001</v>
      </c>
      <c r="AS80" s="168">
        <v>100.00000000000001</v>
      </c>
      <c r="AT80" s="168">
        <v>100.00000000000001</v>
      </c>
      <c r="AU80" s="168">
        <v>100.00000000000001</v>
      </c>
      <c r="AV80" s="168">
        <v>100.00000000000001</v>
      </c>
      <c r="AW80" s="168">
        <v>100.00000000000001</v>
      </c>
      <c r="AX80" s="168">
        <v>100.00000000000001</v>
      </c>
      <c r="AY80" s="168">
        <v>100.00000000000001</v>
      </c>
      <c r="AZ80" s="168">
        <v>100.00000000000001</v>
      </c>
      <c r="BA80" s="168">
        <v>100.00000000000001</v>
      </c>
      <c r="BB80" s="168">
        <v>100.00000000000001</v>
      </c>
      <c r="BC80" s="168">
        <v>100.00000000000001</v>
      </c>
      <c r="BD80" s="168">
        <v>100.00000000000001</v>
      </c>
      <c r="BE80" s="168">
        <v>100.00000000000001</v>
      </c>
      <c r="BF80" s="168">
        <v>100.00000000000001</v>
      </c>
      <c r="BG80" s="168">
        <v>100.00000000000001</v>
      </c>
      <c r="BH80" s="168">
        <v>100.00000000000001</v>
      </c>
      <c r="BI80" s="168">
        <v>100.00000000000001</v>
      </c>
      <c r="BJ80" s="168">
        <v>100.00000000000001</v>
      </c>
      <c r="BK80" s="168">
        <v>100.00000000000001</v>
      </c>
      <c r="BL80" s="168">
        <v>100.00000000000001</v>
      </c>
      <c r="BM80" s="168">
        <v>100.00000000000001</v>
      </c>
      <c r="BN80" s="168">
        <v>100.00000000000001</v>
      </c>
      <c r="BO80" s="168">
        <v>100.00000000000001</v>
      </c>
      <c r="BP80" s="168">
        <v>100.00000000000001</v>
      </c>
      <c r="BQ80" s="168">
        <v>100.00000000000001</v>
      </c>
      <c r="BR80" s="168">
        <v>100.00000000000001</v>
      </c>
      <c r="BS80" s="168">
        <v>100.00000000000001</v>
      </c>
      <c r="BT80" s="168">
        <v>100.00000000000001</v>
      </c>
      <c r="BU80" s="168">
        <v>100.00000000000001</v>
      </c>
      <c r="BV80" s="168">
        <v>100.00000000000001</v>
      </c>
      <c r="BW80" s="168">
        <v>100.00000000000001</v>
      </c>
      <c r="BX80" s="168">
        <v>100.00000000000001</v>
      </c>
      <c r="BY80" s="168">
        <v>100.00000000000001</v>
      </c>
      <c r="BZ80" s="168">
        <v>100.00000000000001</v>
      </c>
      <c r="CA80" s="168">
        <v>100.00000000000001</v>
      </c>
      <c r="CB80" s="168">
        <v>100.00000000000001</v>
      </c>
      <c r="CC80" s="168">
        <v>100.00000000000001</v>
      </c>
      <c r="CD80" s="168">
        <v>100.00000000000001</v>
      </c>
      <c r="CE80" s="168">
        <v>100.00000000000001</v>
      </c>
      <c r="CF80" s="168">
        <v>100.00000000000001</v>
      </c>
      <c r="CG80" s="168">
        <v>100.00000000000001</v>
      </c>
      <c r="CH80" s="168">
        <v>100.00000000000001</v>
      </c>
      <c r="CI80" s="168">
        <v>100.00000000000001</v>
      </c>
      <c r="CJ80" s="168">
        <v>100.00000000000001</v>
      </c>
      <c r="CK80" s="168">
        <v>100.00000000000001</v>
      </c>
      <c r="CL80" s="168">
        <v>100.00000000000001</v>
      </c>
      <c r="CM80" s="168">
        <v>100.00000000000001</v>
      </c>
      <c r="CN80" s="168">
        <v>100.00000000000001</v>
      </c>
      <c r="CO80" s="168">
        <v>100.00000000000001</v>
      </c>
      <c r="CP80" s="168">
        <v>100.00000000000001</v>
      </c>
      <c r="CQ80" s="168">
        <v>100.00000000000001</v>
      </c>
      <c r="CR80" s="168">
        <v>100.00000000000001</v>
      </c>
      <c r="CS80" s="168">
        <v>100.00000000000001</v>
      </c>
      <c r="CT80" s="168">
        <v>100.00000000000001</v>
      </c>
      <c r="CU80" s="168">
        <v>100.00000000000001</v>
      </c>
      <c r="CV80" s="168">
        <v>100.00000000000001</v>
      </c>
      <c r="CW80" s="168">
        <v>100.00000000000001</v>
      </c>
      <c r="CX80" s="168">
        <v>100.00000000000001</v>
      </c>
      <c r="CY80" s="168">
        <v>100.00000000000001</v>
      </c>
      <c r="CZ80" s="168">
        <v>100.00000000000001</v>
      </c>
      <c r="DA80" s="168">
        <v>100.00000000000001</v>
      </c>
      <c r="DC80">
        <v>76</v>
      </c>
      <c r="DD80" s="114">
        <v>48.383532883747975</v>
      </c>
      <c r="DE80" s="114">
        <v>-12.217318510020331</v>
      </c>
      <c r="DF80" s="114">
        <v>-30.24179191698969</v>
      </c>
      <c r="DG80" s="114">
        <v>44.455554113215825</v>
      </c>
      <c r="DH80" s="114">
        <v>-3.5200586289156313</v>
      </c>
      <c r="DI80" s="114">
        <v>-33.544518028352272</v>
      </c>
      <c r="DJ80" s="114">
        <v>10.098482382412755</v>
      </c>
      <c r="DK80" s="114">
        <f t="shared" si="67"/>
        <v>101.97934642790078</v>
      </c>
      <c r="DL80" s="114">
        <f t="shared" si="68"/>
        <v>4.3284494787025345</v>
      </c>
      <c r="DM80" s="114">
        <f t="shared" si="69"/>
        <v>248.00188696525652</v>
      </c>
      <c r="DN80" s="115">
        <f t="shared" si="70"/>
        <v>12</v>
      </c>
      <c r="DO80">
        <v>6</v>
      </c>
    </row>
    <row r="81" spans="1:119">
      <c r="A81">
        <v>740</v>
      </c>
      <c r="B81" s="120">
        <f>'Color metric'!B75</f>
        <v>1.3870541611624834E-2</v>
      </c>
      <c r="C81" s="112">
        <f>Reference!N81</f>
        <v>9.7008789219059004</v>
      </c>
      <c r="D81" s="112"/>
      <c r="E81" s="172" t="s">
        <v>307</v>
      </c>
      <c r="F81" s="168">
        <v>99.999999999999986</v>
      </c>
      <c r="G81" s="168">
        <v>99.999999999999986</v>
      </c>
      <c r="H81" s="168">
        <v>99.999999999999986</v>
      </c>
      <c r="I81" s="168">
        <v>99.999999999999986</v>
      </c>
      <c r="J81" s="168">
        <v>99.999999999999986</v>
      </c>
      <c r="K81" s="168">
        <v>99.999999999999986</v>
      </c>
      <c r="L81" s="168">
        <v>99.999999999999986</v>
      </c>
      <c r="M81" s="168">
        <v>99.999999999999986</v>
      </c>
      <c r="N81" s="168">
        <v>99.999999999999986</v>
      </c>
      <c r="O81" s="168">
        <v>99.999999999999986</v>
      </c>
      <c r="P81" s="168">
        <v>99.999999999999986</v>
      </c>
      <c r="Q81" s="168">
        <v>99.999999999999986</v>
      </c>
      <c r="R81" s="168">
        <v>99.999999999999986</v>
      </c>
      <c r="S81" s="168">
        <v>99.999999999999986</v>
      </c>
      <c r="T81" s="168">
        <v>99.999999999999986</v>
      </c>
      <c r="U81" s="168">
        <v>99.999999999999986</v>
      </c>
      <c r="V81" s="168">
        <v>99.999999999999986</v>
      </c>
      <c r="W81" s="168">
        <v>99.999999999999986</v>
      </c>
      <c r="X81" s="168">
        <v>99.999999999999986</v>
      </c>
      <c r="Y81" s="168">
        <v>99.999999999999986</v>
      </c>
      <c r="Z81" s="168">
        <v>99.999999999999986</v>
      </c>
      <c r="AA81" s="168">
        <v>99.999999999999986</v>
      </c>
      <c r="AB81" s="168">
        <v>99.999999999999986</v>
      </c>
      <c r="AC81" s="168">
        <v>99.999999999999986</v>
      </c>
      <c r="AD81" s="168">
        <v>99.999999999999986</v>
      </c>
      <c r="AE81" s="168">
        <v>99.999999999999986</v>
      </c>
      <c r="AF81" s="168">
        <v>99.999999999999986</v>
      </c>
      <c r="AG81" s="168">
        <v>99.999999999999986</v>
      </c>
      <c r="AH81" s="168">
        <v>99.999999999999986</v>
      </c>
      <c r="AI81" s="168">
        <v>99.999999999999986</v>
      </c>
      <c r="AJ81" s="168">
        <v>99.999999999999986</v>
      </c>
      <c r="AK81" s="168">
        <v>99.999999999999986</v>
      </c>
      <c r="AL81" s="168">
        <v>99.999999999999986</v>
      </c>
      <c r="AM81" s="168">
        <v>99.999999999999986</v>
      </c>
      <c r="AN81" s="168">
        <v>99.999999999999986</v>
      </c>
      <c r="AO81" s="168">
        <v>99.999999999999986</v>
      </c>
      <c r="AP81" s="168">
        <v>99.999999999999986</v>
      </c>
      <c r="AQ81" s="168">
        <v>99.999999999999986</v>
      </c>
      <c r="AR81" s="168">
        <v>99.999999999999986</v>
      </c>
      <c r="AS81" s="168">
        <v>99.999999999999986</v>
      </c>
      <c r="AT81" s="168">
        <v>99.999999999999986</v>
      </c>
      <c r="AU81" s="168">
        <v>99.999999999999986</v>
      </c>
      <c r="AV81" s="168">
        <v>99.999999999999986</v>
      </c>
      <c r="AW81" s="168">
        <v>99.999999999999986</v>
      </c>
      <c r="AX81" s="168">
        <v>99.999999999999986</v>
      </c>
      <c r="AY81" s="168">
        <v>99.999999999999986</v>
      </c>
      <c r="AZ81" s="168">
        <v>99.999999999999986</v>
      </c>
      <c r="BA81" s="168">
        <v>99.999999999999986</v>
      </c>
      <c r="BB81" s="168">
        <v>99.999999999999986</v>
      </c>
      <c r="BC81" s="168">
        <v>99.999999999999986</v>
      </c>
      <c r="BD81" s="168">
        <v>99.999999999999986</v>
      </c>
      <c r="BE81" s="168">
        <v>99.999999999999986</v>
      </c>
      <c r="BF81" s="168">
        <v>99.999999999999986</v>
      </c>
      <c r="BG81" s="168">
        <v>99.999999999999986</v>
      </c>
      <c r="BH81" s="168">
        <v>99.999999999999986</v>
      </c>
      <c r="BI81" s="168">
        <v>99.999999999999986</v>
      </c>
      <c r="BJ81" s="168">
        <v>99.999999999999986</v>
      </c>
      <c r="BK81" s="168">
        <v>99.999999999999986</v>
      </c>
      <c r="BL81" s="168">
        <v>99.999999999999986</v>
      </c>
      <c r="BM81" s="168">
        <v>99.999999999999986</v>
      </c>
      <c r="BN81" s="168">
        <v>99.999999999999986</v>
      </c>
      <c r="BO81" s="168">
        <v>99.999999999999986</v>
      </c>
      <c r="BP81" s="168">
        <v>99.999999999999986</v>
      </c>
      <c r="BQ81" s="168">
        <v>99.999999999999986</v>
      </c>
      <c r="BR81" s="168">
        <v>99.999999999999986</v>
      </c>
      <c r="BS81" s="168">
        <v>99.999999999999986</v>
      </c>
      <c r="BT81" s="168">
        <v>99.999999999999986</v>
      </c>
      <c r="BU81" s="168">
        <v>99.999999999999986</v>
      </c>
      <c r="BV81" s="168">
        <v>99.999999999999986</v>
      </c>
      <c r="BW81" s="168">
        <v>99.999999999999986</v>
      </c>
      <c r="BX81" s="168">
        <v>99.999999999999986</v>
      </c>
      <c r="BY81" s="168">
        <v>99.999999999999986</v>
      </c>
      <c r="BZ81" s="168">
        <v>99.999999999999986</v>
      </c>
      <c r="CA81" s="168">
        <v>99.999999999999986</v>
      </c>
      <c r="CB81" s="168">
        <v>99.999999999999986</v>
      </c>
      <c r="CC81" s="168">
        <v>99.999999999999986</v>
      </c>
      <c r="CD81" s="168">
        <v>99.999999999999986</v>
      </c>
      <c r="CE81" s="168">
        <v>99.999999999999986</v>
      </c>
      <c r="CF81" s="168">
        <v>99.999999999999986</v>
      </c>
      <c r="CG81" s="168">
        <v>99.999999999999986</v>
      </c>
      <c r="CH81" s="168">
        <v>99.999999999999986</v>
      </c>
      <c r="CI81" s="168">
        <v>99.999999999999986</v>
      </c>
      <c r="CJ81" s="168">
        <v>99.999999999999986</v>
      </c>
      <c r="CK81" s="168">
        <v>99.999999999999986</v>
      </c>
      <c r="CL81" s="168">
        <v>99.999999999999986</v>
      </c>
      <c r="CM81" s="168">
        <v>99.999999999999986</v>
      </c>
      <c r="CN81" s="168">
        <v>99.999999999999986</v>
      </c>
      <c r="CO81" s="168">
        <v>99.999999999999986</v>
      </c>
      <c r="CP81" s="168">
        <v>99.999999999999986</v>
      </c>
      <c r="CQ81" s="168">
        <v>99.999999999999986</v>
      </c>
      <c r="CR81" s="168">
        <v>99.999999999999986</v>
      </c>
      <c r="CS81" s="168">
        <v>99.999999999999986</v>
      </c>
      <c r="CT81" s="168">
        <v>99.999999999999986</v>
      </c>
      <c r="CU81" s="168">
        <v>99.999999999999986</v>
      </c>
      <c r="CV81" s="168">
        <v>99.999999999999986</v>
      </c>
      <c r="CW81" s="168">
        <v>99.999999999999986</v>
      </c>
      <c r="CX81" s="168">
        <v>99.999999999999986</v>
      </c>
      <c r="CY81" s="168">
        <v>99.999999999999986</v>
      </c>
      <c r="CZ81" s="168">
        <v>99.999999999999986</v>
      </c>
      <c r="DA81" s="168">
        <v>99.999999999999986</v>
      </c>
      <c r="DC81">
        <v>77</v>
      </c>
      <c r="DD81" s="114">
        <v>45.07261197323583</v>
      </c>
      <c r="DE81" s="114">
        <v>-7.1097643710027025</v>
      </c>
      <c r="DF81" s="114">
        <v>-22.934435378873133</v>
      </c>
      <c r="DG81" s="114">
        <v>42.152197503167159</v>
      </c>
      <c r="DH81" s="114">
        <v>-3.7306566242816865</v>
      </c>
      <c r="DI81" s="114">
        <v>-25.390328894985412</v>
      </c>
      <c r="DJ81" s="114">
        <v>5.0969209139851088</v>
      </c>
      <c r="DK81" s="114">
        <f t="shared" si="67"/>
        <v>25.978602803418799</v>
      </c>
      <c r="DL81" s="114">
        <f t="shared" si="68"/>
        <v>4.4117797538975587</v>
      </c>
      <c r="DM81" s="114">
        <f t="shared" si="69"/>
        <v>252.77636003959512</v>
      </c>
      <c r="DN81" s="115">
        <f t="shared" si="70"/>
        <v>12</v>
      </c>
      <c r="DO81">
        <v>1</v>
      </c>
    </row>
    <row r="82" spans="1:119">
      <c r="A82">
        <v>745</v>
      </c>
      <c r="B82" s="120">
        <f>'Color metric'!B76</f>
        <v>1.2219286657859972E-2</v>
      </c>
      <c r="C82" s="112">
        <f>Reference!N82</f>
        <v>9.8062803858049481</v>
      </c>
      <c r="D82" s="112"/>
      <c r="E82" s="172" t="s">
        <v>308</v>
      </c>
      <c r="F82" s="168">
        <f t="array" ref="F82:F84">MMULT($Q$43:$S$45,F76:F78)</f>
        <v>100.00100000000002</v>
      </c>
      <c r="G82" s="168">
        <f t="array" ref="G82:G84">MMULT($Q$43:$S$45,G76:G78)</f>
        <v>66.203922747377646</v>
      </c>
      <c r="H82" s="168">
        <f t="array" ref="H82:H84">MMULT($Q$43:$S$45,H76:H78)</f>
        <v>31.450159224113605</v>
      </c>
      <c r="I82" s="168">
        <f t="array" ref="I82:I84">MMULT($Q$43:$S$45,I76:I78)</f>
        <v>6.5406397973964463</v>
      </c>
      <c r="J82" s="168">
        <f t="array" ref="J82:J84">MMULT($Q$43:$S$45,J76:J78)</f>
        <v>38.821158102756129</v>
      </c>
      <c r="K82" s="168">
        <f t="array" ref="K82:K84">MMULT($Q$43:$S$45,K76:K78)</f>
        <v>20.058072419928401</v>
      </c>
      <c r="L82" s="168">
        <f t="array" ref="L82:L84">MMULT($Q$43:$S$45,L76:L78)</f>
        <v>18.528012445847089</v>
      </c>
      <c r="M82" s="168">
        <f t="array" ref="M82:M84">MMULT($Q$43:$S$45,M76:M78)</f>
        <v>14.091499999153147</v>
      </c>
      <c r="N82" s="168">
        <f t="array" ref="N82:N84">MMULT($Q$43:$S$45,N76:N78)</f>
        <v>13.301421370203549</v>
      </c>
      <c r="O82" s="168">
        <f t="array" ref="O82:O84">MMULT($Q$43:$S$45,O76:O78)</f>
        <v>5.0817468801826857</v>
      </c>
      <c r="P82" s="168">
        <f t="array" ref="P82:P84">MMULT($Q$43:$S$45,P76:P78)</f>
        <v>50.479021106411601</v>
      </c>
      <c r="Q82" s="168">
        <f t="array" ref="Q82:Q84">MMULT($Q$43:$S$45,Q76:Q78)</f>
        <v>26.917522654835121</v>
      </c>
      <c r="R82" s="168">
        <f t="array" ref="R82:R84">MMULT($Q$43:$S$45,R76:R78)</f>
        <v>34.596717913992386</v>
      </c>
      <c r="S82" s="168">
        <f t="array" ref="S82:S84">MMULT($Q$43:$S$45,S76:S78)</f>
        <v>13.370808711615418</v>
      </c>
      <c r="T82" s="168">
        <f t="array" ref="T82:T84">MMULT($Q$43:$S$45,T76:T78)</f>
        <v>43.435388949428699</v>
      </c>
      <c r="U82" s="168">
        <f t="array" ref="U82:U84">MMULT($Q$43:$S$45,U76:U78)</f>
        <v>40.877526732322998</v>
      </c>
      <c r="V82" s="168">
        <f t="array" ref="V82:V84">MMULT($Q$43:$S$45,V76:V78)</f>
        <v>16.519283554972102</v>
      </c>
      <c r="W82" s="168">
        <f t="array" ref="W82:W84">MMULT($Q$43:$S$45,W76:W78)</f>
        <v>17.666712171299761</v>
      </c>
      <c r="X82" s="168">
        <f t="array" ref="X82:X84">MMULT($Q$43:$S$45,X76:X78)</f>
        <v>23.032084584962977</v>
      </c>
      <c r="Y82" s="168">
        <f t="array" ref="Y82:Y84">MMULT($Q$43:$S$45,Y76:Y78)</f>
        <v>41.725210287963016</v>
      </c>
      <c r="Z82" s="168">
        <f t="array" ref="Z82:Z84">MMULT($Q$43:$S$45,Z76:Z78)</f>
        <v>37.10141839499677</v>
      </c>
      <c r="AA82" s="168">
        <f t="array" ref="AA82:AA84">MMULT($Q$43:$S$45,AA76:AA78)</f>
        <v>69.066678235154043</v>
      </c>
      <c r="AB82" s="168">
        <f t="array" ref="AB82:AB84">MMULT($Q$43:$S$45,AB76:AB78)</f>
        <v>54.247708498333317</v>
      </c>
      <c r="AC82" s="168">
        <f t="array" ref="AC82:AC84">MMULT($Q$43:$S$45,AC76:AC78)</f>
        <v>77.865312145552295</v>
      </c>
      <c r="AD82" s="168">
        <f t="array" ref="AD82:AD84">MMULT($Q$43:$S$45,AD76:AD78)</f>
        <v>76.941843936037159</v>
      </c>
      <c r="AE82" s="168">
        <f t="array" ref="AE82:AE84">MMULT($Q$43:$S$45,AE76:AE78)</f>
        <v>41.720303394774731</v>
      </c>
      <c r="AF82" s="168">
        <f t="array" ref="AF82:AF84">MMULT($Q$43:$S$45,AF76:AF78)</f>
        <v>75.574277871626265</v>
      </c>
      <c r="AG82" s="168">
        <f t="array" ref="AG82:AG84">MMULT($Q$43:$S$45,AG76:AG78)</f>
        <v>42.272289155091592</v>
      </c>
      <c r="AH82" s="168">
        <f t="array" ref="AH82:AH84">MMULT($Q$43:$S$45,AH76:AH78)</f>
        <v>11.28954940041929</v>
      </c>
      <c r="AI82" s="168">
        <f t="array" ref="AI82:AI84">MMULT($Q$43:$S$45,AI76:AI78)</f>
        <v>68.043025052234725</v>
      </c>
      <c r="AJ82" s="168">
        <f t="array" ref="AJ82:AJ84">MMULT($Q$43:$S$45,AJ76:AJ78)</f>
        <v>30.653396712248277</v>
      </c>
      <c r="AK82" s="168">
        <f t="array" ref="AK82:AK84">MMULT($Q$43:$S$45,AK76:AK78)</f>
        <v>71.60425150735405</v>
      </c>
      <c r="AL82" s="168">
        <f t="array" ref="AL82:AL84">MMULT($Q$43:$S$45,AL76:AL78)</f>
        <v>46.187621890252139</v>
      </c>
      <c r="AM82" s="168">
        <f t="array" ref="AM82:AM84">MMULT($Q$43:$S$45,AM76:AM78)</f>
        <v>73.510540946982502</v>
      </c>
      <c r="AN82" s="168">
        <f t="array" ref="AN82:AN84">MMULT($Q$43:$S$45,AN76:AN78)</f>
        <v>28.076678732018433</v>
      </c>
      <c r="AO82" s="168">
        <f t="array" ref="AO82:AO84">MMULT($Q$43:$S$45,AO76:AO78)</f>
        <v>11.447131096582714</v>
      </c>
      <c r="AP82" s="168">
        <f t="array" ref="AP82:AP84">MMULT($Q$43:$S$45,AP76:AP78)</f>
        <v>53.807467241565227</v>
      </c>
      <c r="AQ82" s="168">
        <f t="array" ref="AQ82:AQ84">MMULT($Q$43:$S$45,AQ76:AQ78)</f>
        <v>15.036840844937927</v>
      </c>
      <c r="AR82" s="168">
        <f t="array" ref="AR82:AR84">MMULT($Q$43:$S$45,AR76:AR78)</f>
        <v>65.303708204715548</v>
      </c>
      <c r="AS82" s="168">
        <f t="array" ref="AS82:AS84">MMULT($Q$43:$S$45,AS76:AS78)</f>
        <v>7.6531958743165669</v>
      </c>
      <c r="AT82" s="168">
        <f t="array" ref="AT82:AT84">MMULT($Q$43:$S$45,AT76:AT78)</f>
        <v>16.598384152890237</v>
      </c>
      <c r="AU82" s="168">
        <f t="array" ref="AU82:AU84">MMULT($Q$43:$S$45,AU76:AU78)</f>
        <v>68.884785604612176</v>
      </c>
      <c r="AV82" s="168">
        <f t="array" ref="AV82:AV84">MMULT($Q$43:$S$45,AV76:AV78)</f>
        <v>34.491878779320444</v>
      </c>
      <c r="AW82" s="168">
        <f t="array" ref="AW82:AW84">MMULT($Q$43:$S$45,AW76:AW78)</f>
        <v>39.547640913279743</v>
      </c>
      <c r="AX82" s="168">
        <f t="array" ref="AX82:AX84">MMULT($Q$43:$S$45,AX76:AX78)</f>
        <v>4.9487993255010032</v>
      </c>
      <c r="AY82" s="168">
        <f t="array" ref="AY82:AY84">MMULT($Q$43:$S$45,AY76:AY78)</f>
        <v>22.781105882480361</v>
      </c>
      <c r="AZ82" s="168">
        <f t="array" ref="AZ82:AZ84">MMULT($Q$43:$S$45,AZ76:AZ78)</f>
        <v>31.753632683848739</v>
      </c>
      <c r="BA82" s="168">
        <f t="array" ref="BA82:BA84">MMULT($Q$43:$S$45,BA76:BA78)</f>
        <v>36.661198292828693</v>
      </c>
      <c r="BB82" s="168">
        <f t="array" ref="BB82:BB84">MMULT($Q$43:$S$45,BB76:BB78)</f>
        <v>46.429456487198941</v>
      </c>
      <c r="BC82" s="168">
        <f t="array" ref="BC82:BC84">MMULT($Q$43:$S$45,BC76:BC78)</f>
        <v>13.209116922744251</v>
      </c>
      <c r="BD82" s="168">
        <f t="array" ref="BD82:BD84">MMULT($Q$43:$S$45,BD76:BD78)</f>
        <v>19.302047022481862</v>
      </c>
      <c r="BE82" s="168">
        <f t="array" ref="BE82:BE84">MMULT($Q$43:$S$45,BE76:BE78)</f>
        <v>22.92435664671299</v>
      </c>
      <c r="BF82" s="168">
        <f t="array" ref="BF82:BF84">MMULT($Q$43:$S$45,BF76:BF78)</f>
        <v>9.9863710409066186</v>
      </c>
      <c r="BG82" s="168">
        <f t="array" ref="BG82:BG84">MMULT($Q$43:$S$45,BG76:BG78)</f>
        <v>14.44357166274358</v>
      </c>
      <c r="BH82" s="168">
        <f t="array" ref="BH82:BH84">MMULT($Q$43:$S$45,BH76:BH78)</f>
        <v>64.305873588023502</v>
      </c>
      <c r="BI82" s="168">
        <f t="array" ref="BI82:BI84">MMULT($Q$43:$S$45,BI76:BI78)</f>
        <v>57.046848898572044</v>
      </c>
      <c r="BJ82" s="168">
        <f t="array" ref="BJ82:BJ84">MMULT($Q$43:$S$45,BJ76:BJ78)</f>
        <v>35.006765293825808</v>
      </c>
      <c r="BK82" s="168">
        <f t="array" ref="BK82:BK84">MMULT($Q$43:$S$45,BK76:BK78)</f>
        <v>20.26603483166857</v>
      </c>
      <c r="BL82" s="168">
        <f t="array" ref="BL82:BL84">MMULT($Q$43:$S$45,BL76:BL78)</f>
        <v>17.191563044908683</v>
      </c>
      <c r="BM82" s="168">
        <f t="array" ref="BM82:BM84">MMULT($Q$43:$S$45,BM76:BM78)</f>
        <v>63.875189288825283</v>
      </c>
      <c r="BN82" s="168">
        <f t="array" ref="BN82:BN84">MMULT($Q$43:$S$45,BN76:BN78)</f>
        <v>68.368228311534438</v>
      </c>
      <c r="BO82" s="168">
        <f t="array" ref="BO82:BO84">MMULT($Q$43:$S$45,BO76:BO78)</f>
        <v>45.554039210989473</v>
      </c>
      <c r="BP82" s="168">
        <f t="array" ref="BP82:BP84">MMULT($Q$43:$S$45,BP76:BP78)</f>
        <v>32.717352618555189</v>
      </c>
      <c r="BQ82" s="168">
        <f t="array" ref="BQ82:BQ84">MMULT($Q$43:$S$45,BQ76:BQ78)</f>
        <v>7.2694635027053485</v>
      </c>
      <c r="BR82" s="168">
        <f t="array" ref="BR82:BR84">MMULT($Q$43:$S$45,BR76:BR78)</f>
        <v>20.968565950505756</v>
      </c>
      <c r="BS82" s="168">
        <f t="array" ref="BS82:BS84">MMULT($Q$43:$S$45,BS76:BS78)</f>
        <v>9.235958719991249</v>
      </c>
      <c r="BT82" s="168">
        <f t="array" ref="BT82:BT84">MMULT($Q$43:$S$45,BT76:BT78)</f>
        <v>11.094590602714201</v>
      </c>
      <c r="BU82" s="168">
        <f t="array" ref="BU82:BU84">MMULT($Q$43:$S$45,BU76:BU78)</f>
        <v>12.979283899067941</v>
      </c>
      <c r="BV82" s="168">
        <f t="array" ref="BV82:BV84">MMULT($Q$43:$S$45,BV76:BV78)</f>
        <v>27.649229625731106</v>
      </c>
      <c r="BW82" s="168">
        <f t="array" ref="BW82:BW84">MMULT($Q$43:$S$45,BW76:BW78)</f>
        <v>18.592892512317427</v>
      </c>
      <c r="BX82" s="168">
        <f t="array" ref="BX82:BX84">MMULT($Q$43:$S$45,BX76:BX78)</f>
        <v>37.722477059021728</v>
      </c>
      <c r="BY82" s="168">
        <f t="array" ref="BY82:BY84">MMULT($Q$43:$S$45,BY76:BY78)</f>
        <v>6.8840265639703349</v>
      </c>
      <c r="BZ82" s="168">
        <f t="array" ref="BZ82:BZ84">MMULT($Q$43:$S$45,BZ76:BZ78)</f>
        <v>46.123836722312873</v>
      </c>
      <c r="CA82" s="168">
        <f t="array" ref="CA82:CA84">MMULT($Q$43:$S$45,CA76:CA78)</f>
        <v>20.554705798066482</v>
      </c>
      <c r="CB82" s="168">
        <f t="array" ref="CB82:CB84">MMULT($Q$43:$S$45,CB76:CB78)</f>
        <v>4.7985469935932059</v>
      </c>
      <c r="CC82" s="168">
        <f t="array" ref="CC82:CC84">MMULT($Q$43:$S$45,CC76:CC78)</f>
        <v>6.1518264087695718</v>
      </c>
      <c r="CD82" s="168">
        <f t="array" ref="CD82:CD84">MMULT($Q$43:$S$45,CD76:CD78)</f>
        <v>13.638768565535184</v>
      </c>
      <c r="CE82" s="168">
        <f t="array" ref="CE82:CE84">MMULT($Q$43:$S$45,CE76:CE78)</f>
        <v>12.112276900904806</v>
      </c>
      <c r="CF82" s="168">
        <f t="array" ref="CF82:CF84">MMULT($Q$43:$S$45,CF76:CF78)</f>
        <v>11.402496113462869</v>
      </c>
      <c r="CG82" s="168">
        <f t="array" ref="CG82:CG84">MMULT($Q$43:$S$45,CG76:CG78)</f>
        <v>41.595526169430386</v>
      </c>
      <c r="CH82" s="168">
        <f t="array" ref="CH82:CH84">MMULT($Q$43:$S$45,CH76:CH78)</f>
        <v>31.350881092138781</v>
      </c>
      <c r="CI82" s="168">
        <f t="array" ref="CI82:CI84">MMULT($Q$43:$S$45,CI76:CI78)</f>
        <v>12.498683963617296</v>
      </c>
      <c r="CJ82" s="168">
        <f t="array" ref="CJ82:CJ84">MMULT($Q$43:$S$45,CJ76:CJ78)</f>
        <v>66.792900700683106</v>
      </c>
      <c r="CK82" s="168">
        <f t="array" ref="CK82:CK84">MMULT($Q$43:$S$45,CK76:CK78)</f>
        <v>41.111014765861732</v>
      </c>
      <c r="CL82" s="168">
        <f t="array" ref="CL82:CL84">MMULT($Q$43:$S$45,CL76:CL78)</f>
        <v>4.8261422062608172</v>
      </c>
      <c r="CM82" s="168">
        <f t="array" ref="CM82:CM84">MMULT($Q$43:$S$45,CM76:CM78)</f>
        <v>10.948986377282244</v>
      </c>
      <c r="CN82" s="168">
        <f t="array" ref="CN82:CN84">MMULT($Q$43:$S$45,CN76:CN78)</f>
        <v>32.213923887726516</v>
      </c>
      <c r="CO82" s="168">
        <f t="array" ref="CO82:CO84">MMULT($Q$43:$S$45,CO76:CO78)</f>
        <v>10.28299591012026</v>
      </c>
      <c r="CP82" s="168">
        <f t="array" ref="CP82:CP84">MMULT($Q$43:$S$45,CP76:CP78)</f>
        <v>29.06988730414032</v>
      </c>
      <c r="CQ82" s="168">
        <f t="array" ref="CQ82:CQ84">MMULT($Q$43:$S$45,CQ76:CQ78)</f>
        <v>9.7834145747196359</v>
      </c>
      <c r="CR82" s="168">
        <f t="array" ref="CR82:CR84">MMULT($Q$43:$S$45,CR76:CR78)</f>
        <v>13.198799694642034</v>
      </c>
      <c r="CS82" s="168">
        <f t="array" ref="CS82:CS84">MMULT($Q$43:$S$45,CS76:CS78)</f>
        <v>53.930984510125441</v>
      </c>
      <c r="CT82" s="168">
        <f t="array" ref="CT82:CT84">MMULT($Q$43:$S$45,CT76:CT78)</f>
        <v>23.14337062734247</v>
      </c>
      <c r="CU82" s="168">
        <f t="array" ref="CU82:CU84">MMULT($Q$43:$S$45,CU76:CU78)</f>
        <v>35.052200275369948</v>
      </c>
      <c r="CV82" s="168">
        <f t="array" ref="CV82:CV84">MMULT($Q$43:$S$45,CV76:CV78)</f>
        <v>11.075992450281335</v>
      </c>
      <c r="CW82" s="168">
        <f t="array" ref="CW82:CW84">MMULT($Q$43:$S$45,CW76:CW78)</f>
        <v>39.716233503047569</v>
      </c>
      <c r="CX82" s="168">
        <f t="array" ref="CX82:CX84">MMULT($Q$43:$S$45,CX76:CX78)</f>
        <v>52.258186939963096</v>
      </c>
      <c r="CY82" s="168">
        <f t="array" ref="CY82:CY84">MMULT($Q$43:$S$45,CY76:CY78)</f>
        <v>19.957818039606003</v>
      </c>
      <c r="CZ82" s="168">
        <f t="array" ref="CZ82:CZ84">MMULT($Q$43:$S$45,CZ76:CZ78)</f>
        <v>34.121508785931596</v>
      </c>
      <c r="DA82" s="168">
        <f t="array" ref="DA82:DA84">MMULT($Q$43:$S$45,DA76:DA78)</f>
        <v>21.990443583638466</v>
      </c>
      <c r="DC82">
        <v>78</v>
      </c>
      <c r="DD82" s="114">
        <v>44.618306447770543</v>
      </c>
      <c r="DE82" s="114">
        <v>-10.329487290944845</v>
      </c>
      <c r="DF82" s="114">
        <v>-29.814588420225721</v>
      </c>
      <c r="DG82" s="114">
        <v>41.897342372400715</v>
      </c>
      <c r="DH82" s="114">
        <v>-3.0097622409385831</v>
      </c>
      <c r="DI82" s="114">
        <v>-32.244027531820464</v>
      </c>
      <c r="DJ82" s="114">
        <v>8.1782757781875155</v>
      </c>
      <c r="DK82" s="114">
        <f t="shared" si="67"/>
        <v>66.884194704088614</v>
      </c>
      <c r="DL82" s="114">
        <f t="shared" si="68"/>
        <v>4.3788735565201424</v>
      </c>
      <c r="DM82" s="114">
        <f t="shared" si="69"/>
        <v>250.89097381004473</v>
      </c>
      <c r="DN82" s="115">
        <f t="shared" si="70"/>
        <v>12</v>
      </c>
      <c r="DO82">
        <v>6</v>
      </c>
    </row>
    <row r="83" spans="1:119">
      <c r="A83">
        <v>750</v>
      </c>
      <c r="B83" s="120">
        <f>'Color metric'!B77</f>
        <v>1.2219286657859972E-2</v>
      </c>
      <c r="C83" s="112">
        <f>Reference!N83</f>
        <v>9.9092085951654774</v>
      </c>
      <c r="D83" s="112"/>
      <c r="E83" s="172" t="s">
        <v>309</v>
      </c>
      <c r="F83" s="168">
        <v>100.00000000000003</v>
      </c>
      <c r="G83" s="168">
        <v>60.281957262295307</v>
      </c>
      <c r="H83" s="168">
        <v>23.418116925569738</v>
      </c>
      <c r="I83" s="168">
        <v>5.4945509508385797</v>
      </c>
      <c r="J83" s="168">
        <v>32.983630404432326</v>
      </c>
      <c r="K83" s="168">
        <v>13.264820981661016</v>
      </c>
      <c r="L83" s="168">
        <v>15.487228727927601</v>
      </c>
      <c r="M83" s="168">
        <v>9.1482263246711835</v>
      </c>
      <c r="N83" s="168">
        <v>8.9494887944676531</v>
      </c>
      <c r="O83" s="168">
        <v>4.9284217811400239</v>
      </c>
      <c r="P83" s="168">
        <v>37.261519087681684</v>
      </c>
      <c r="Q83" s="168">
        <v>18.935649970576229</v>
      </c>
      <c r="R83" s="168">
        <v>24.074170487760384</v>
      </c>
      <c r="S83" s="168">
        <v>10.350439599469757</v>
      </c>
      <c r="T83" s="168">
        <v>41.315425855907279</v>
      </c>
      <c r="U83" s="168">
        <v>36.389998448909445</v>
      </c>
      <c r="V83" s="168">
        <v>13.017352276057961</v>
      </c>
      <c r="W83" s="168">
        <v>14.402317259331626</v>
      </c>
      <c r="X83" s="168">
        <v>19.991723752241974</v>
      </c>
      <c r="Y83" s="168">
        <v>34.896548935773637</v>
      </c>
      <c r="Z83" s="168">
        <v>28.217991481934568</v>
      </c>
      <c r="AA83" s="168">
        <v>57.817727302346867</v>
      </c>
      <c r="AB83" s="168">
        <v>44.15606472178375</v>
      </c>
      <c r="AC83" s="168">
        <v>74.435785284809072</v>
      </c>
      <c r="AD83" s="168">
        <v>69.603676596355555</v>
      </c>
      <c r="AE83" s="168">
        <v>35.152076645486844</v>
      </c>
      <c r="AF83" s="168">
        <v>67.017771858781501</v>
      </c>
      <c r="AG83" s="168">
        <v>40.366891195638438</v>
      </c>
      <c r="AH83" s="168">
        <v>10.648346827165442</v>
      </c>
      <c r="AI83" s="168">
        <v>62.256852362563926</v>
      </c>
      <c r="AJ83" s="168">
        <v>28.833651423526753</v>
      </c>
      <c r="AK83" s="168">
        <v>66.312515312292064</v>
      </c>
      <c r="AL83" s="168">
        <v>42.256563017050496</v>
      </c>
      <c r="AM83" s="168">
        <v>70.311052854073793</v>
      </c>
      <c r="AN83" s="168">
        <v>26.319270253845538</v>
      </c>
      <c r="AO83" s="168">
        <v>11.115680320802419</v>
      </c>
      <c r="AP83" s="168">
        <v>53.0714201577456</v>
      </c>
      <c r="AQ83" s="168">
        <v>14.752576469916942</v>
      </c>
      <c r="AR83" s="168">
        <v>63.978472030751426</v>
      </c>
      <c r="AS83" s="168">
        <v>7.5989573805942943</v>
      </c>
      <c r="AT83" s="168">
        <v>16.449473163040409</v>
      </c>
      <c r="AU83" s="168">
        <v>68.819220359488952</v>
      </c>
      <c r="AV83" s="168">
        <v>35.979045946335845</v>
      </c>
      <c r="AW83" s="168">
        <v>41.33685975502371</v>
      </c>
      <c r="AX83" s="168">
        <v>4.9565015430749089</v>
      </c>
      <c r="AY83" s="168">
        <v>24.642656269329294</v>
      </c>
      <c r="AZ83" s="168">
        <v>33.472469623346342</v>
      </c>
      <c r="BA83" s="168">
        <v>37.590789786097467</v>
      </c>
      <c r="BB83" s="168">
        <v>50.476656738053315</v>
      </c>
      <c r="BC83" s="168">
        <v>14.574530474396004</v>
      </c>
      <c r="BD83" s="168">
        <v>21.344199716480126</v>
      </c>
      <c r="BE83" s="168">
        <v>24.845171832069422</v>
      </c>
      <c r="BF83" s="168">
        <v>11.629320223336322</v>
      </c>
      <c r="BG83" s="168">
        <v>18.468318862772453</v>
      </c>
      <c r="BH83" s="168">
        <v>68.756145359783076</v>
      </c>
      <c r="BI83" s="168">
        <v>61.888993253202131</v>
      </c>
      <c r="BJ83" s="168">
        <v>42.727629056731168</v>
      </c>
      <c r="BK83" s="168">
        <v>26.173553801423154</v>
      </c>
      <c r="BL83" s="168">
        <v>22.545130734309652</v>
      </c>
      <c r="BM83" s="168">
        <v>68.412102388534123</v>
      </c>
      <c r="BN83" s="168">
        <v>70.013072686492805</v>
      </c>
      <c r="BO83" s="168">
        <v>48.898726539391831</v>
      </c>
      <c r="BP83" s="168">
        <v>33.672584287358582</v>
      </c>
      <c r="BQ83" s="168">
        <v>7.3809788317489673</v>
      </c>
      <c r="BR83" s="168">
        <v>27.175491281631558</v>
      </c>
      <c r="BS83" s="168">
        <v>10.975430683472377</v>
      </c>
      <c r="BT83" s="168">
        <v>14.701417555547144</v>
      </c>
      <c r="BU83" s="168">
        <v>17.190158336637904</v>
      </c>
      <c r="BV83" s="168">
        <v>31.464842407294537</v>
      </c>
      <c r="BW83" s="168">
        <v>19.658308839528988</v>
      </c>
      <c r="BX83" s="168">
        <v>43.520648417839325</v>
      </c>
      <c r="BY83" s="168">
        <v>8.4548034233121747</v>
      </c>
      <c r="BZ83" s="168">
        <v>47.661789079589646</v>
      </c>
      <c r="CA83" s="168">
        <v>25.883338109073563</v>
      </c>
      <c r="CB83" s="168">
        <v>4.8649695203745527</v>
      </c>
      <c r="CC83" s="168">
        <v>7.433710014379626</v>
      </c>
      <c r="CD83" s="168">
        <v>17.001067602629053</v>
      </c>
      <c r="CE83" s="168">
        <v>13.738472439844049</v>
      </c>
      <c r="CF83" s="168">
        <v>14.074503684207992</v>
      </c>
      <c r="CG83" s="168">
        <v>43.644465175842647</v>
      </c>
      <c r="CH83" s="168">
        <v>32.592646841107687</v>
      </c>
      <c r="CI83" s="168">
        <v>13.003317491920926</v>
      </c>
      <c r="CJ83" s="168">
        <v>67.282774977014455</v>
      </c>
      <c r="CK83" s="168">
        <v>41.56490141931701</v>
      </c>
      <c r="CL83" s="168">
        <v>4.747077484172916</v>
      </c>
      <c r="CM83" s="168">
        <v>10.766313140788988</v>
      </c>
      <c r="CN83" s="168">
        <v>31.590691961858653</v>
      </c>
      <c r="CO83" s="168">
        <v>9.6710124415745842</v>
      </c>
      <c r="CP83" s="168">
        <v>26.76066258527592</v>
      </c>
      <c r="CQ83" s="168">
        <v>8.6799269472187195</v>
      </c>
      <c r="CR83" s="168">
        <v>11.506970858802058</v>
      </c>
      <c r="CS83" s="168">
        <v>53.280012737693568</v>
      </c>
      <c r="CT83" s="168">
        <v>21.027876882523564</v>
      </c>
      <c r="CU83" s="168">
        <v>32.757842323305709</v>
      </c>
      <c r="CV83" s="168">
        <v>8.9190602472332632</v>
      </c>
      <c r="CW83" s="168">
        <v>35.831596756222204</v>
      </c>
      <c r="CX83" s="168">
        <v>47.79808202648622</v>
      </c>
      <c r="CY83" s="168">
        <v>16.57346975229472</v>
      </c>
      <c r="CZ83" s="168">
        <v>26.57676234671321</v>
      </c>
      <c r="DA83" s="168">
        <v>15.838625608514384</v>
      </c>
      <c r="DC83">
        <v>79</v>
      </c>
      <c r="DD83" s="114">
        <v>74.224781635860907</v>
      </c>
      <c r="DE83" s="114">
        <v>-2.5020599543801976</v>
      </c>
      <c r="DF83" s="114">
        <v>-19.168002165556121</v>
      </c>
      <c r="DG83" s="114">
        <v>72.472554579531945</v>
      </c>
      <c r="DH83" s="114">
        <v>5.9141217864836663E-2</v>
      </c>
      <c r="DI83" s="114">
        <v>-21.629237313620919</v>
      </c>
      <c r="DJ83" s="114">
        <v>3.9607738581885927</v>
      </c>
      <c r="DK83" s="114">
        <f t="shared" si="67"/>
        <v>15.687729555710151</v>
      </c>
      <c r="DL83" s="114">
        <f t="shared" si="68"/>
        <v>4.5825897096566743</v>
      </c>
      <c r="DM83" s="114">
        <f t="shared" si="69"/>
        <v>262.56304960340873</v>
      </c>
      <c r="DN83" s="115">
        <f t="shared" si="70"/>
        <v>12</v>
      </c>
      <c r="DO83">
        <v>3</v>
      </c>
    </row>
    <row r="84" spans="1:119">
      <c r="A84">
        <v>755</v>
      </c>
      <c r="B84" s="120">
        <f>'Color metric'!B78</f>
        <v>1.0898282694848084E-2</v>
      </c>
      <c r="C84" s="112">
        <f>Reference!N84</f>
        <v>10.009650138518269</v>
      </c>
      <c r="D84" s="112"/>
      <c r="E84" s="172" t="s">
        <v>310</v>
      </c>
      <c r="F84" s="168">
        <v>99.999999999999986</v>
      </c>
      <c r="G84" s="168">
        <v>60.435841087908422</v>
      </c>
      <c r="H84" s="168">
        <v>22.004184791791783</v>
      </c>
      <c r="I84" s="168">
        <v>5.2938318110301195</v>
      </c>
      <c r="J84" s="168">
        <v>28.332809626283673</v>
      </c>
      <c r="K84" s="168">
        <v>9.302969725015803</v>
      </c>
      <c r="L84" s="168">
        <v>12.543605000289505</v>
      </c>
      <c r="M84" s="168">
        <v>5.709383670436587</v>
      </c>
      <c r="N84" s="168">
        <v>5.9089704561590271</v>
      </c>
      <c r="O84" s="168">
        <v>4.8853879355053289</v>
      </c>
      <c r="P84" s="168">
        <v>19.023548109525176</v>
      </c>
      <c r="Q84" s="168">
        <v>7.5321888276806277</v>
      </c>
      <c r="R84" s="168">
        <v>9.1329403785075769</v>
      </c>
      <c r="S84" s="168">
        <v>5.1848139963727062</v>
      </c>
      <c r="T84" s="168">
        <v>36.031151698988182</v>
      </c>
      <c r="U84" s="168">
        <v>27.130909986439324</v>
      </c>
      <c r="V84" s="168">
        <v>6.053308069885718</v>
      </c>
      <c r="W84" s="168">
        <v>6.5238143951685776</v>
      </c>
      <c r="X84" s="168">
        <v>12.212524816726182</v>
      </c>
      <c r="Y84" s="168">
        <v>13.540067656184197</v>
      </c>
      <c r="Z84" s="168">
        <v>7.2251444120573058</v>
      </c>
      <c r="AA84" s="168">
        <v>19.646942172443243</v>
      </c>
      <c r="AB84" s="168">
        <v>12.825118374201981</v>
      </c>
      <c r="AC84" s="168">
        <v>55.547632257754991</v>
      </c>
      <c r="AD84" s="168">
        <v>31.723927225532087</v>
      </c>
      <c r="AE84" s="168">
        <v>6.804597811325495</v>
      </c>
      <c r="AF84" s="168">
        <v>23.845170993111122</v>
      </c>
      <c r="AG84" s="168">
        <v>25.687308387548889</v>
      </c>
      <c r="AH84" s="168">
        <v>5.112095740590676</v>
      </c>
      <c r="AI84" s="168">
        <v>22.057757626144973</v>
      </c>
      <c r="AJ84" s="168">
        <v>16.149511756411755</v>
      </c>
      <c r="AK84" s="168">
        <v>24.126511244518884</v>
      </c>
      <c r="AL84" s="168">
        <v>10.680639624821815</v>
      </c>
      <c r="AM84" s="168">
        <v>41.147704800349324</v>
      </c>
      <c r="AN84" s="168">
        <v>6.8183758700734769</v>
      </c>
      <c r="AO84" s="168">
        <v>5.5287980358946474</v>
      </c>
      <c r="AP84" s="168">
        <v>45.516627908305409</v>
      </c>
      <c r="AQ84" s="168">
        <v>6.2597243541651055</v>
      </c>
      <c r="AR84" s="168">
        <v>41.885612534589228</v>
      </c>
      <c r="AS84" s="168">
        <v>5.7847991589107366</v>
      </c>
      <c r="AT84" s="168">
        <v>10.122452739791125</v>
      </c>
      <c r="AU84" s="168">
        <v>57.990764062281357</v>
      </c>
      <c r="AV84" s="168">
        <v>10.461923500417583</v>
      </c>
      <c r="AW84" s="168">
        <v>12.336897468344876</v>
      </c>
      <c r="AX84" s="168">
        <v>4.7387993628051071</v>
      </c>
      <c r="AY84" s="168">
        <v>10.589211037774053</v>
      </c>
      <c r="AZ84" s="168">
        <v>19.650473043242069</v>
      </c>
      <c r="BA84" s="168">
        <v>27.612963772373629</v>
      </c>
      <c r="BB84" s="168">
        <v>32.543395817325155</v>
      </c>
      <c r="BC84" s="168">
        <v>8.1845873113924217</v>
      </c>
      <c r="BD84" s="168">
        <v>16.346471562740579</v>
      </c>
      <c r="BE84" s="168">
        <v>20.362113167368427</v>
      </c>
      <c r="BF84" s="168">
        <v>8.0340815113874058</v>
      </c>
      <c r="BG84" s="168">
        <v>14.369961763705129</v>
      </c>
      <c r="BH84" s="168">
        <v>67.547249014398147</v>
      </c>
      <c r="BI84" s="168">
        <v>62.421067434734887</v>
      </c>
      <c r="BJ84" s="168">
        <v>43.501797436741334</v>
      </c>
      <c r="BK84" s="168">
        <v>26.904299315790258</v>
      </c>
      <c r="BL84" s="168">
        <v>24.898560808866932</v>
      </c>
      <c r="BM84" s="168">
        <v>70.320958657329257</v>
      </c>
      <c r="BN84" s="168">
        <v>72.055479933643426</v>
      </c>
      <c r="BO84" s="168">
        <v>52.712596399567644</v>
      </c>
      <c r="BP84" s="168">
        <v>35.794416002254991</v>
      </c>
      <c r="BQ84" s="168">
        <v>7.8268221515524532</v>
      </c>
      <c r="BR84" s="168">
        <v>38.53565681193929</v>
      </c>
      <c r="BS84" s="168">
        <v>14.338609983321849</v>
      </c>
      <c r="BT84" s="168">
        <v>23.954495228992936</v>
      </c>
      <c r="BU84" s="168">
        <v>28.806774744549752</v>
      </c>
      <c r="BV84" s="168">
        <v>42.869415525259761</v>
      </c>
      <c r="BW84" s="168">
        <v>24.215469959374918</v>
      </c>
      <c r="BX84" s="168">
        <v>66.752881756862408</v>
      </c>
      <c r="BY84" s="168">
        <v>16.356758186480285</v>
      </c>
      <c r="BZ84" s="168">
        <v>53.559941390761779</v>
      </c>
      <c r="CA84" s="168">
        <v>50.656755769237868</v>
      </c>
      <c r="CB84" s="168">
        <v>5.3410849050560651</v>
      </c>
      <c r="CC84" s="168">
        <v>15.4749150174022</v>
      </c>
      <c r="CD84" s="168">
        <v>42.639968719740907</v>
      </c>
      <c r="CE84" s="168">
        <v>26.274949475226862</v>
      </c>
      <c r="CF84" s="168">
        <v>36.295076877114823</v>
      </c>
      <c r="CG84" s="168">
        <v>62.784512490307613</v>
      </c>
      <c r="CH84" s="168">
        <v>53.397001711492109</v>
      </c>
      <c r="CI84" s="168">
        <v>30.041137246025919</v>
      </c>
      <c r="CJ84" s="168">
        <v>76.857210485419373</v>
      </c>
      <c r="CK84" s="168">
        <v>56.050489484139135</v>
      </c>
      <c r="CL84" s="168">
        <v>5.8790234287434426</v>
      </c>
      <c r="CM84" s="168">
        <v>15.275416573307666</v>
      </c>
      <c r="CN84" s="168">
        <v>52.174151200772393</v>
      </c>
      <c r="CO84" s="168">
        <v>20.124915933514025</v>
      </c>
      <c r="CP84" s="168">
        <v>42.563296072615167</v>
      </c>
      <c r="CQ84" s="168">
        <v>15.300450725448071</v>
      </c>
      <c r="CR84" s="168">
        <v>20.27669626825481</v>
      </c>
      <c r="CS84" s="168">
        <v>55.097883266818286</v>
      </c>
      <c r="CT84" s="168">
        <v>27.231301063579089</v>
      </c>
      <c r="CU84" s="168">
        <v>38.831439367036481</v>
      </c>
      <c r="CV84" s="168">
        <v>12.872983535474164</v>
      </c>
      <c r="CW84" s="168">
        <v>42.502442159709922</v>
      </c>
      <c r="CX84" s="168">
        <v>54.396847159238511</v>
      </c>
      <c r="CY84" s="168">
        <v>19.845664630091523</v>
      </c>
      <c r="CZ84" s="168">
        <v>29.385486463671139</v>
      </c>
      <c r="DA84" s="168">
        <v>18.03323721916469</v>
      </c>
      <c r="DC84">
        <v>80</v>
      </c>
      <c r="DD84" s="114">
        <v>66.490402729537436</v>
      </c>
      <c r="DE84" s="114">
        <v>1.9343369391532599</v>
      </c>
      <c r="DF84" s="114">
        <v>-21.901273127886444</v>
      </c>
      <c r="DG84" s="114">
        <v>64.801115255986474</v>
      </c>
      <c r="DH84" s="114">
        <v>3.8230482184404808</v>
      </c>
      <c r="DI84" s="114">
        <v>-23.917987643809727</v>
      </c>
      <c r="DJ84" s="114">
        <v>3.2385274282517114</v>
      </c>
      <c r="DK84" s="114">
        <f t="shared" si="67"/>
        <v>10.488059903538643</v>
      </c>
      <c r="DL84" s="114">
        <f t="shared" si="68"/>
        <v>4.8004811521819928</v>
      </c>
      <c r="DM84" s="114">
        <f t="shared" si="69"/>
        <v>275.04730965212684</v>
      </c>
      <c r="DN84" s="115">
        <f t="shared" si="70"/>
        <v>13</v>
      </c>
      <c r="DO84">
        <v>7</v>
      </c>
    </row>
    <row r="85" spans="1:119">
      <c r="A85">
        <v>760</v>
      </c>
      <c r="B85" s="120">
        <f>'Color metric'!B79</f>
        <v>1.1558784676354027E-2</v>
      </c>
      <c r="C85" s="112">
        <f>Reference!N85</f>
        <v>10.107594300371147</v>
      </c>
      <c r="D85" s="112"/>
      <c r="E85" s="172" t="s">
        <v>311</v>
      </c>
      <c r="F85" s="168">
        <f t="array" ref="F85:F87">MMULT($Q$43:$S$45,F79:F81)</f>
        <v>100.00100000000002</v>
      </c>
      <c r="G85" s="168">
        <f t="array" ref="G85:G87">MMULT($Q$43:$S$45,G79:G81)</f>
        <v>100.00100000000002</v>
      </c>
      <c r="H85" s="168">
        <f t="array" ref="H85:H87">MMULT($Q$43:$S$45,H79:H81)</f>
        <v>100.00100000000002</v>
      </c>
      <c r="I85" s="168">
        <f t="array" ref="I85:I87">MMULT($Q$43:$S$45,I79:I81)</f>
        <v>100.00100000000002</v>
      </c>
      <c r="J85" s="168">
        <f t="array" ref="J85:J87">MMULT($Q$43:$S$45,J79:J81)</f>
        <v>100.00100000000002</v>
      </c>
      <c r="K85" s="168">
        <f t="array" ref="K85:K87">MMULT($Q$43:$S$45,K79:K81)</f>
        <v>100.00100000000002</v>
      </c>
      <c r="L85" s="168">
        <f t="array" ref="L85:L87">MMULT($Q$43:$S$45,L79:L81)</f>
        <v>100.00100000000002</v>
      </c>
      <c r="M85" s="168">
        <f t="array" ref="M85:M87">MMULT($Q$43:$S$45,M79:M81)</f>
        <v>100.00100000000002</v>
      </c>
      <c r="N85" s="168">
        <f t="array" ref="N85:N87">MMULT($Q$43:$S$45,N79:N81)</f>
        <v>100.00100000000002</v>
      </c>
      <c r="O85" s="168">
        <f t="array" ref="O85:O87">MMULT($Q$43:$S$45,O79:O81)</f>
        <v>100.00100000000002</v>
      </c>
      <c r="P85" s="168">
        <f t="array" ref="P85:P87">MMULT($Q$43:$S$45,P79:P81)</f>
        <v>100.00100000000002</v>
      </c>
      <c r="Q85" s="168">
        <f t="array" ref="Q85:Q87">MMULT($Q$43:$S$45,Q79:Q81)</f>
        <v>100.00100000000002</v>
      </c>
      <c r="R85" s="168">
        <f t="array" ref="R85:R87">MMULT($Q$43:$S$45,R79:R81)</f>
        <v>100.00100000000002</v>
      </c>
      <c r="S85" s="168">
        <f t="array" ref="S85:S87">MMULT($Q$43:$S$45,S79:S81)</f>
        <v>100.00100000000002</v>
      </c>
      <c r="T85" s="168">
        <f t="array" ref="T85:T87">MMULT($Q$43:$S$45,T79:T81)</f>
        <v>100.00100000000002</v>
      </c>
      <c r="U85" s="168">
        <f t="array" ref="U85:U87">MMULT($Q$43:$S$45,U79:U81)</f>
        <v>100.00100000000002</v>
      </c>
      <c r="V85" s="168">
        <f t="array" ref="V85:V87">MMULT($Q$43:$S$45,V79:V81)</f>
        <v>100.00100000000002</v>
      </c>
      <c r="W85" s="168">
        <f t="array" ref="W85:W87">MMULT($Q$43:$S$45,W79:W81)</f>
        <v>100.00100000000002</v>
      </c>
      <c r="X85" s="168">
        <f t="array" ref="X85:X87">MMULT($Q$43:$S$45,X79:X81)</f>
        <v>100.00100000000002</v>
      </c>
      <c r="Y85" s="168">
        <f t="array" ref="Y85:Y87">MMULT($Q$43:$S$45,Y79:Y81)</f>
        <v>100.00100000000002</v>
      </c>
      <c r="Z85" s="168">
        <f t="array" ref="Z85:Z87">MMULT($Q$43:$S$45,Z79:Z81)</f>
        <v>100.00100000000002</v>
      </c>
      <c r="AA85" s="168">
        <f t="array" ref="AA85:AA87">MMULT($Q$43:$S$45,AA79:AA81)</f>
        <v>100.00100000000002</v>
      </c>
      <c r="AB85" s="168">
        <f t="array" ref="AB85:AB87">MMULT($Q$43:$S$45,AB79:AB81)</f>
        <v>100.00100000000002</v>
      </c>
      <c r="AC85" s="168">
        <f t="array" ref="AC85:AC87">MMULT($Q$43:$S$45,AC79:AC81)</f>
        <v>100.00100000000002</v>
      </c>
      <c r="AD85" s="168">
        <f t="array" ref="AD85:AD87">MMULT($Q$43:$S$45,AD79:AD81)</f>
        <v>100.00100000000002</v>
      </c>
      <c r="AE85" s="168">
        <f t="array" ref="AE85:AE87">MMULT($Q$43:$S$45,AE79:AE81)</f>
        <v>100.00100000000002</v>
      </c>
      <c r="AF85" s="168">
        <f t="array" ref="AF85:AF87">MMULT($Q$43:$S$45,AF79:AF81)</f>
        <v>100.00100000000002</v>
      </c>
      <c r="AG85" s="168">
        <f t="array" ref="AG85:AG87">MMULT($Q$43:$S$45,AG79:AG81)</f>
        <v>100.00100000000002</v>
      </c>
      <c r="AH85" s="168">
        <f t="array" ref="AH85:AH87">MMULT($Q$43:$S$45,AH79:AH81)</f>
        <v>100.00100000000002</v>
      </c>
      <c r="AI85" s="168">
        <f t="array" ref="AI85:AI87">MMULT($Q$43:$S$45,AI79:AI81)</f>
        <v>100.00100000000002</v>
      </c>
      <c r="AJ85" s="168">
        <f t="array" ref="AJ85:AJ87">MMULT($Q$43:$S$45,AJ79:AJ81)</f>
        <v>100.00100000000002</v>
      </c>
      <c r="AK85" s="168">
        <f t="array" ref="AK85:AK87">MMULT($Q$43:$S$45,AK79:AK81)</f>
        <v>100.00100000000002</v>
      </c>
      <c r="AL85" s="168">
        <f t="array" ref="AL85:AL87">MMULT($Q$43:$S$45,AL79:AL81)</f>
        <v>100.00100000000002</v>
      </c>
      <c r="AM85" s="168">
        <f t="array" ref="AM85:AM87">MMULT($Q$43:$S$45,AM79:AM81)</f>
        <v>100.00100000000002</v>
      </c>
      <c r="AN85" s="168">
        <f t="array" ref="AN85:AN87">MMULT($Q$43:$S$45,AN79:AN81)</f>
        <v>100.00100000000002</v>
      </c>
      <c r="AO85" s="168">
        <f t="array" ref="AO85:AO87">MMULT($Q$43:$S$45,AO79:AO81)</f>
        <v>100.00100000000002</v>
      </c>
      <c r="AP85" s="168">
        <f t="array" ref="AP85:AP87">MMULT($Q$43:$S$45,AP79:AP81)</f>
        <v>100.00100000000002</v>
      </c>
      <c r="AQ85" s="168">
        <f t="array" ref="AQ85:AQ87">MMULT($Q$43:$S$45,AQ79:AQ81)</f>
        <v>100.00100000000002</v>
      </c>
      <c r="AR85" s="168">
        <f t="array" ref="AR85:AR87">MMULT($Q$43:$S$45,AR79:AR81)</f>
        <v>100.00100000000002</v>
      </c>
      <c r="AS85" s="168">
        <f t="array" ref="AS85:AS87">MMULT($Q$43:$S$45,AS79:AS81)</f>
        <v>100.00100000000002</v>
      </c>
      <c r="AT85" s="168">
        <f t="array" ref="AT85:AT87">MMULT($Q$43:$S$45,AT79:AT81)</f>
        <v>100.00100000000002</v>
      </c>
      <c r="AU85" s="168">
        <f t="array" ref="AU85:AU87">MMULT($Q$43:$S$45,AU79:AU81)</f>
        <v>100.00100000000002</v>
      </c>
      <c r="AV85" s="168">
        <f t="array" ref="AV85:AV87">MMULT($Q$43:$S$45,AV79:AV81)</f>
        <v>100.00100000000002</v>
      </c>
      <c r="AW85" s="168">
        <f t="array" ref="AW85:AW87">MMULT($Q$43:$S$45,AW79:AW81)</f>
        <v>100.00100000000002</v>
      </c>
      <c r="AX85" s="168">
        <f t="array" ref="AX85:AX87">MMULT($Q$43:$S$45,AX79:AX81)</f>
        <v>100.00100000000002</v>
      </c>
      <c r="AY85" s="168">
        <f t="array" ref="AY85:AY87">MMULT($Q$43:$S$45,AY79:AY81)</f>
        <v>100.00100000000002</v>
      </c>
      <c r="AZ85" s="168">
        <f t="array" ref="AZ85:AZ87">MMULT($Q$43:$S$45,AZ79:AZ81)</f>
        <v>100.00100000000002</v>
      </c>
      <c r="BA85" s="168">
        <f t="array" ref="BA85:BA87">MMULT($Q$43:$S$45,BA79:BA81)</f>
        <v>100.00100000000002</v>
      </c>
      <c r="BB85" s="168">
        <f t="array" ref="BB85:BB87">MMULT($Q$43:$S$45,BB79:BB81)</f>
        <v>100.00100000000002</v>
      </c>
      <c r="BC85" s="168">
        <f t="array" ref="BC85:BC87">MMULT($Q$43:$S$45,BC79:BC81)</f>
        <v>100.00100000000002</v>
      </c>
      <c r="BD85" s="168">
        <f t="array" ref="BD85:BD87">MMULT($Q$43:$S$45,BD79:BD81)</f>
        <v>100.00100000000002</v>
      </c>
      <c r="BE85" s="168">
        <f t="array" ref="BE85:BE87">MMULT($Q$43:$S$45,BE79:BE81)</f>
        <v>100.00100000000002</v>
      </c>
      <c r="BF85" s="168">
        <f t="array" ref="BF85:BF87">MMULT($Q$43:$S$45,BF79:BF81)</f>
        <v>100.00100000000002</v>
      </c>
      <c r="BG85" s="168">
        <f t="array" ref="BG85:BG87">MMULT($Q$43:$S$45,BG79:BG81)</f>
        <v>100.00100000000002</v>
      </c>
      <c r="BH85" s="168">
        <f t="array" ref="BH85:BH87">MMULT($Q$43:$S$45,BH79:BH81)</f>
        <v>100.00100000000002</v>
      </c>
      <c r="BI85" s="168">
        <f t="array" ref="BI85:BI87">MMULT($Q$43:$S$45,BI79:BI81)</f>
        <v>100.00100000000002</v>
      </c>
      <c r="BJ85" s="168">
        <f t="array" ref="BJ85:BJ87">MMULT($Q$43:$S$45,BJ79:BJ81)</f>
        <v>100.00100000000002</v>
      </c>
      <c r="BK85" s="168">
        <f t="array" ref="BK85:BK87">MMULT($Q$43:$S$45,BK79:BK81)</f>
        <v>100.00100000000002</v>
      </c>
      <c r="BL85" s="168">
        <f t="array" ref="BL85:BL87">MMULT($Q$43:$S$45,BL79:BL81)</f>
        <v>100.00100000000002</v>
      </c>
      <c r="BM85" s="168">
        <f t="array" ref="BM85:BM87">MMULT($Q$43:$S$45,BM79:BM81)</f>
        <v>100.00100000000002</v>
      </c>
      <c r="BN85" s="168">
        <f t="array" ref="BN85:BN87">MMULT($Q$43:$S$45,BN79:BN81)</f>
        <v>100.00100000000002</v>
      </c>
      <c r="BO85" s="168">
        <f t="array" ref="BO85:BO87">MMULT($Q$43:$S$45,BO79:BO81)</f>
        <v>100.00100000000002</v>
      </c>
      <c r="BP85" s="168">
        <f t="array" ref="BP85:BP87">MMULT($Q$43:$S$45,BP79:BP81)</f>
        <v>100.00100000000002</v>
      </c>
      <c r="BQ85" s="168">
        <f t="array" ref="BQ85:BQ87">MMULT($Q$43:$S$45,BQ79:BQ81)</f>
        <v>100.00100000000002</v>
      </c>
      <c r="BR85" s="168">
        <f t="array" ref="BR85:BR87">MMULT($Q$43:$S$45,BR79:BR81)</f>
        <v>100.00100000000002</v>
      </c>
      <c r="BS85" s="168">
        <f t="array" ref="BS85:BS87">MMULT($Q$43:$S$45,BS79:BS81)</f>
        <v>100.00100000000002</v>
      </c>
      <c r="BT85" s="168">
        <f t="array" ref="BT85:BT87">MMULT($Q$43:$S$45,BT79:BT81)</f>
        <v>100.00100000000002</v>
      </c>
      <c r="BU85" s="168">
        <f t="array" ref="BU85:BU87">MMULT($Q$43:$S$45,BU79:BU81)</f>
        <v>100.00100000000002</v>
      </c>
      <c r="BV85" s="168">
        <f t="array" ref="BV85:BV87">MMULT($Q$43:$S$45,BV79:BV81)</f>
        <v>100.00100000000002</v>
      </c>
      <c r="BW85" s="168">
        <f t="array" ref="BW85:BW87">MMULT($Q$43:$S$45,BW79:BW81)</f>
        <v>100.00100000000002</v>
      </c>
      <c r="BX85" s="168">
        <f t="array" ref="BX85:BX87">MMULT($Q$43:$S$45,BX79:BX81)</f>
        <v>100.00100000000002</v>
      </c>
      <c r="BY85" s="168">
        <f t="array" ref="BY85:BY87">MMULT($Q$43:$S$45,BY79:BY81)</f>
        <v>100.00100000000002</v>
      </c>
      <c r="BZ85" s="168">
        <f t="array" ref="BZ85:BZ87">MMULT($Q$43:$S$45,BZ79:BZ81)</f>
        <v>100.00100000000002</v>
      </c>
      <c r="CA85" s="168">
        <f t="array" ref="CA85:CA87">MMULT($Q$43:$S$45,CA79:CA81)</f>
        <v>100.00100000000002</v>
      </c>
      <c r="CB85" s="168">
        <f t="array" ref="CB85:CB87">MMULT($Q$43:$S$45,CB79:CB81)</f>
        <v>100.00100000000002</v>
      </c>
      <c r="CC85" s="168">
        <f t="array" ref="CC85:CC87">MMULT($Q$43:$S$45,CC79:CC81)</f>
        <v>100.00100000000002</v>
      </c>
      <c r="CD85" s="168">
        <f t="array" ref="CD85:CD87">MMULT($Q$43:$S$45,CD79:CD81)</f>
        <v>100.00100000000002</v>
      </c>
      <c r="CE85" s="168">
        <f t="array" ref="CE85:CE87">MMULT($Q$43:$S$45,CE79:CE81)</f>
        <v>100.00100000000002</v>
      </c>
      <c r="CF85" s="168">
        <f t="array" ref="CF85:CF87">MMULT($Q$43:$S$45,CF79:CF81)</f>
        <v>100.00100000000002</v>
      </c>
      <c r="CG85" s="168">
        <f t="array" ref="CG85:CG87">MMULT($Q$43:$S$45,CG79:CG81)</f>
        <v>100.00100000000002</v>
      </c>
      <c r="CH85" s="168">
        <f t="array" ref="CH85:CH87">MMULT($Q$43:$S$45,CH79:CH81)</f>
        <v>100.00100000000002</v>
      </c>
      <c r="CI85" s="168">
        <f t="array" ref="CI85:CI87">MMULT($Q$43:$S$45,CI79:CI81)</f>
        <v>100.00100000000002</v>
      </c>
      <c r="CJ85" s="168">
        <f t="array" ref="CJ85:CJ87">MMULT($Q$43:$S$45,CJ79:CJ81)</f>
        <v>100.00100000000002</v>
      </c>
      <c r="CK85" s="168">
        <f t="array" ref="CK85:CK87">MMULT($Q$43:$S$45,CK79:CK81)</f>
        <v>100.00100000000002</v>
      </c>
      <c r="CL85" s="168">
        <f t="array" ref="CL85:CL87">MMULT($Q$43:$S$45,CL79:CL81)</f>
        <v>100.00100000000002</v>
      </c>
      <c r="CM85" s="168">
        <f t="array" ref="CM85:CM87">MMULT($Q$43:$S$45,CM79:CM81)</f>
        <v>100.00100000000002</v>
      </c>
      <c r="CN85" s="168">
        <f t="array" ref="CN85:CN87">MMULT($Q$43:$S$45,CN79:CN81)</f>
        <v>100.00100000000002</v>
      </c>
      <c r="CO85" s="168">
        <f t="array" ref="CO85:CO87">MMULT($Q$43:$S$45,CO79:CO81)</f>
        <v>100.00100000000002</v>
      </c>
      <c r="CP85" s="168">
        <f t="array" ref="CP85:CP87">MMULT($Q$43:$S$45,CP79:CP81)</f>
        <v>100.00100000000002</v>
      </c>
      <c r="CQ85" s="168">
        <f t="array" ref="CQ85:CQ87">MMULT($Q$43:$S$45,CQ79:CQ81)</f>
        <v>100.00100000000002</v>
      </c>
      <c r="CR85" s="168">
        <f t="array" ref="CR85:CR87">MMULT($Q$43:$S$45,CR79:CR81)</f>
        <v>100.00100000000002</v>
      </c>
      <c r="CS85" s="168">
        <f t="array" ref="CS85:CS87">MMULT($Q$43:$S$45,CS79:CS81)</f>
        <v>100.00100000000002</v>
      </c>
      <c r="CT85" s="168">
        <f t="array" ref="CT85:CT87">MMULT($Q$43:$S$45,CT79:CT81)</f>
        <v>100.00100000000002</v>
      </c>
      <c r="CU85" s="168">
        <f t="array" ref="CU85:CU87">MMULT($Q$43:$S$45,CU79:CU81)</f>
        <v>100.00100000000002</v>
      </c>
      <c r="CV85" s="168">
        <f t="array" ref="CV85:CV87">MMULT($Q$43:$S$45,CV79:CV81)</f>
        <v>100.00100000000002</v>
      </c>
      <c r="CW85" s="168">
        <f t="array" ref="CW85:CW87">MMULT($Q$43:$S$45,CW79:CW81)</f>
        <v>100.00100000000002</v>
      </c>
      <c r="CX85" s="168">
        <f t="array" ref="CX85:CX87">MMULT($Q$43:$S$45,CX79:CX81)</f>
        <v>100.00100000000002</v>
      </c>
      <c r="CY85" s="168">
        <f t="array" ref="CY85:CY87">MMULT($Q$43:$S$45,CY79:CY81)</f>
        <v>100.00100000000002</v>
      </c>
      <c r="CZ85" s="168">
        <f t="array" ref="CZ85:CZ87">MMULT($Q$43:$S$45,CZ79:CZ81)</f>
        <v>100.00100000000002</v>
      </c>
      <c r="DA85" s="168">
        <f t="array" ref="DA85:DA87">MMULT($Q$43:$S$45,DA79:DA81)</f>
        <v>100.00100000000002</v>
      </c>
      <c r="DC85">
        <v>81</v>
      </c>
      <c r="DD85" s="114">
        <v>45.172252823571917</v>
      </c>
      <c r="DE85" s="114">
        <v>5.8327280734882319</v>
      </c>
      <c r="DF85" s="114">
        <v>-25.637462093234323</v>
      </c>
      <c r="DG85" s="114">
        <v>41.924407844675329</v>
      </c>
      <c r="DH85" s="114">
        <v>4.3525333761436462</v>
      </c>
      <c r="DI85" s="114">
        <v>-29.813411666236927</v>
      </c>
      <c r="DJ85" s="114">
        <v>5.4934532113463428</v>
      </c>
      <c r="DK85" s="114">
        <f t="shared" si="67"/>
        <v>30.178028185251446</v>
      </c>
      <c r="DL85" s="114">
        <f t="shared" si="68"/>
        <v>4.9360893001299866</v>
      </c>
      <c r="DM85" s="114">
        <f t="shared" si="69"/>
        <v>282.81708419713254</v>
      </c>
      <c r="DN85" s="115">
        <f t="shared" si="70"/>
        <v>13</v>
      </c>
      <c r="DO85">
        <v>1</v>
      </c>
    </row>
    <row r="86" spans="1:119">
      <c r="A86">
        <v>765</v>
      </c>
      <c r="B86" s="120">
        <f>'Color metric'!B80</f>
        <v>1.1889035667107001E-2</v>
      </c>
      <c r="C86" s="112">
        <f>Reference!N86</f>
        <v>10.203032961346086</v>
      </c>
      <c r="D86" s="112"/>
      <c r="E86" s="172" t="s">
        <v>312</v>
      </c>
      <c r="F86" s="168">
        <v>100.00000000000003</v>
      </c>
      <c r="G86" s="168">
        <v>100.00000000000003</v>
      </c>
      <c r="H86" s="168">
        <v>100.00000000000003</v>
      </c>
      <c r="I86" s="168">
        <v>100.00000000000003</v>
      </c>
      <c r="J86" s="168">
        <v>100.00000000000003</v>
      </c>
      <c r="K86" s="168">
        <v>100.00000000000003</v>
      </c>
      <c r="L86" s="168">
        <v>100.00000000000003</v>
      </c>
      <c r="M86" s="168">
        <v>100.00000000000003</v>
      </c>
      <c r="N86" s="168">
        <v>100.00000000000003</v>
      </c>
      <c r="O86" s="168">
        <v>100.00000000000003</v>
      </c>
      <c r="P86" s="168">
        <v>100.00000000000003</v>
      </c>
      <c r="Q86" s="168">
        <v>100.00000000000003</v>
      </c>
      <c r="R86" s="168">
        <v>100.00000000000003</v>
      </c>
      <c r="S86" s="168">
        <v>100.00000000000003</v>
      </c>
      <c r="T86" s="168">
        <v>100.00000000000003</v>
      </c>
      <c r="U86" s="168">
        <v>100.00000000000003</v>
      </c>
      <c r="V86" s="168">
        <v>100.00000000000003</v>
      </c>
      <c r="W86" s="168">
        <v>100.00000000000003</v>
      </c>
      <c r="X86" s="168">
        <v>100.00000000000003</v>
      </c>
      <c r="Y86" s="168">
        <v>100.00000000000003</v>
      </c>
      <c r="Z86" s="168">
        <v>100.00000000000003</v>
      </c>
      <c r="AA86" s="168">
        <v>100.00000000000003</v>
      </c>
      <c r="AB86" s="168">
        <v>100.00000000000003</v>
      </c>
      <c r="AC86" s="168">
        <v>100.00000000000003</v>
      </c>
      <c r="AD86" s="168">
        <v>100.00000000000003</v>
      </c>
      <c r="AE86" s="168">
        <v>100.00000000000003</v>
      </c>
      <c r="AF86" s="168">
        <v>100.00000000000003</v>
      </c>
      <c r="AG86" s="168">
        <v>100.00000000000003</v>
      </c>
      <c r="AH86" s="168">
        <v>100.00000000000003</v>
      </c>
      <c r="AI86" s="168">
        <v>100.00000000000003</v>
      </c>
      <c r="AJ86" s="168">
        <v>100.00000000000003</v>
      </c>
      <c r="AK86" s="168">
        <v>100.00000000000003</v>
      </c>
      <c r="AL86" s="168">
        <v>100.00000000000003</v>
      </c>
      <c r="AM86" s="168">
        <v>100.00000000000003</v>
      </c>
      <c r="AN86" s="168">
        <v>100.00000000000003</v>
      </c>
      <c r="AO86" s="168">
        <v>100.00000000000003</v>
      </c>
      <c r="AP86" s="168">
        <v>100.00000000000003</v>
      </c>
      <c r="AQ86" s="168">
        <v>100.00000000000003</v>
      </c>
      <c r="AR86" s="168">
        <v>100.00000000000003</v>
      </c>
      <c r="AS86" s="168">
        <v>100.00000000000003</v>
      </c>
      <c r="AT86" s="168">
        <v>100.00000000000003</v>
      </c>
      <c r="AU86" s="168">
        <v>100.00000000000003</v>
      </c>
      <c r="AV86" s="168">
        <v>100.00000000000003</v>
      </c>
      <c r="AW86" s="168">
        <v>100.00000000000003</v>
      </c>
      <c r="AX86" s="168">
        <v>100.00000000000003</v>
      </c>
      <c r="AY86" s="168">
        <v>100.00000000000003</v>
      </c>
      <c r="AZ86" s="168">
        <v>100.00000000000003</v>
      </c>
      <c r="BA86" s="168">
        <v>100.00000000000003</v>
      </c>
      <c r="BB86" s="168">
        <v>100.00000000000003</v>
      </c>
      <c r="BC86" s="168">
        <v>100.00000000000003</v>
      </c>
      <c r="BD86" s="168">
        <v>100.00000000000003</v>
      </c>
      <c r="BE86" s="168">
        <v>100.00000000000003</v>
      </c>
      <c r="BF86" s="168">
        <v>100.00000000000003</v>
      </c>
      <c r="BG86" s="168">
        <v>100.00000000000003</v>
      </c>
      <c r="BH86" s="168">
        <v>100.00000000000003</v>
      </c>
      <c r="BI86" s="168">
        <v>100.00000000000003</v>
      </c>
      <c r="BJ86" s="168">
        <v>100.00000000000003</v>
      </c>
      <c r="BK86" s="168">
        <v>100.00000000000003</v>
      </c>
      <c r="BL86" s="168">
        <v>100.00000000000003</v>
      </c>
      <c r="BM86" s="168">
        <v>100.00000000000003</v>
      </c>
      <c r="BN86" s="168">
        <v>100.00000000000003</v>
      </c>
      <c r="BO86" s="168">
        <v>100.00000000000003</v>
      </c>
      <c r="BP86" s="168">
        <v>100.00000000000003</v>
      </c>
      <c r="BQ86" s="168">
        <v>100.00000000000003</v>
      </c>
      <c r="BR86" s="168">
        <v>100.00000000000003</v>
      </c>
      <c r="BS86" s="168">
        <v>100.00000000000003</v>
      </c>
      <c r="BT86" s="168">
        <v>100.00000000000003</v>
      </c>
      <c r="BU86" s="168">
        <v>100.00000000000003</v>
      </c>
      <c r="BV86" s="168">
        <v>100.00000000000003</v>
      </c>
      <c r="BW86" s="168">
        <v>100.00000000000003</v>
      </c>
      <c r="BX86" s="168">
        <v>100.00000000000003</v>
      </c>
      <c r="BY86" s="168">
        <v>100.00000000000003</v>
      </c>
      <c r="BZ86" s="168">
        <v>100.00000000000003</v>
      </c>
      <c r="CA86" s="168">
        <v>100.00000000000003</v>
      </c>
      <c r="CB86" s="168">
        <v>100.00000000000003</v>
      </c>
      <c r="CC86" s="168">
        <v>100.00000000000003</v>
      </c>
      <c r="CD86" s="168">
        <v>100.00000000000003</v>
      </c>
      <c r="CE86" s="168">
        <v>100.00000000000003</v>
      </c>
      <c r="CF86" s="168">
        <v>100.00000000000003</v>
      </c>
      <c r="CG86" s="168">
        <v>100.00000000000003</v>
      </c>
      <c r="CH86" s="168">
        <v>100.00000000000003</v>
      </c>
      <c r="CI86" s="168">
        <v>100.00000000000003</v>
      </c>
      <c r="CJ86" s="168">
        <v>100.00000000000003</v>
      </c>
      <c r="CK86" s="168">
        <v>100.00000000000003</v>
      </c>
      <c r="CL86" s="168">
        <v>100.00000000000003</v>
      </c>
      <c r="CM86" s="168">
        <v>100.00000000000003</v>
      </c>
      <c r="CN86" s="168">
        <v>100.00000000000003</v>
      </c>
      <c r="CO86" s="168">
        <v>100.00000000000003</v>
      </c>
      <c r="CP86" s="168">
        <v>100.00000000000003</v>
      </c>
      <c r="CQ86" s="168">
        <v>100.00000000000003</v>
      </c>
      <c r="CR86" s="168">
        <v>100.00000000000003</v>
      </c>
      <c r="CS86" s="168">
        <v>100.00000000000003</v>
      </c>
      <c r="CT86" s="168">
        <v>100.00000000000003</v>
      </c>
      <c r="CU86" s="168">
        <v>100.00000000000003</v>
      </c>
      <c r="CV86" s="168">
        <v>100.00000000000003</v>
      </c>
      <c r="CW86" s="168">
        <v>100.00000000000003</v>
      </c>
      <c r="CX86" s="168">
        <v>100.00000000000003</v>
      </c>
      <c r="CY86" s="168">
        <v>100.00000000000003</v>
      </c>
      <c r="CZ86" s="168">
        <v>100.00000000000003</v>
      </c>
      <c r="DA86" s="168">
        <v>100.00000000000003</v>
      </c>
      <c r="DC86">
        <v>82</v>
      </c>
      <c r="DD86" s="114">
        <v>87.574167663250208</v>
      </c>
      <c r="DE86" s="114">
        <v>1.5130811652898335</v>
      </c>
      <c r="DF86" s="114">
        <v>-9.2064507141103977</v>
      </c>
      <c r="DG86" s="114">
        <v>87.200504392384119</v>
      </c>
      <c r="DH86" s="114">
        <v>2.3076159964989511</v>
      </c>
      <c r="DI86" s="114">
        <v>-10.17937219638257</v>
      </c>
      <c r="DJ86" s="114">
        <v>1.3105289194312064</v>
      </c>
      <c r="DK86" s="114">
        <f t="shared" si="67"/>
        <v>1.7174860486655255</v>
      </c>
      <c r="DL86" s="114">
        <f t="shared" si="68"/>
        <v>4.8752828652056195</v>
      </c>
      <c r="DM86" s="114">
        <f t="shared" si="69"/>
        <v>279.33313210872944</v>
      </c>
      <c r="DN86" s="115">
        <f t="shared" si="70"/>
        <v>13</v>
      </c>
      <c r="DO86">
        <v>3</v>
      </c>
    </row>
    <row r="87" spans="1:119">
      <c r="A87">
        <v>770</v>
      </c>
      <c r="B87" s="120">
        <f>'Color metric'!B81</f>
        <v>1.0237780713342139E-2</v>
      </c>
      <c r="C87" s="112">
        <f>Reference!N87</f>
        <v>10.295960498789814</v>
      </c>
      <c r="D87" s="112"/>
      <c r="E87" s="172" t="s">
        <v>313</v>
      </c>
      <c r="F87" s="168">
        <v>99.999999999999986</v>
      </c>
      <c r="G87" s="168">
        <v>99.999999999999986</v>
      </c>
      <c r="H87" s="168">
        <v>99.999999999999986</v>
      </c>
      <c r="I87" s="168">
        <v>99.999999999999986</v>
      </c>
      <c r="J87" s="168">
        <v>99.999999999999986</v>
      </c>
      <c r="K87" s="168">
        <v>99.999999999999986</v>
      </c>
      <c r="L87" s="168">
        <v>99.999999999999986</v>
      </c>
      <c r="M87" s="168">
        <v>99.999999999999986</v>
      </c>
      <c r="N87" s="168">
        <v>99.999999999999986</v>
      </c>
      <c r="O87" s="168">
        <v>99.999999999999986</v>
      </c>
      <c r="P87" s="168">
        <v>99.999999999999986</v>
      </c>
      <c r="Q87" s="168">
        <v>99.999999999999986</v>
      </c>
      <c r="R87" s="168">
        <v>99.999999999999986</v>
      </c>
      <c r="S87" s="168">
        <v>99.999999999999986</v>
      </c>
      <c r="T87" s="168">
        <v>99.999999999999986</v>
      </c>
      <c r="U87" s="168">
        <v>99.999999999999986</v>
      </c>
      <c r="V87" s="168">
        <v>99.999999999999986</v>
      </c>
      <c r="W87" s="168">
        <v>99.999999999999986</v>
      </c>
      <c r="X87" s="168">
        <v>99.999999999999986</v>
      </c>
      <c r="Y87" s="168">
        <v>99.999999999999986</v>
      </c>
      <c r="Z87" s="168">
        <v>99.999999999999986</v>
      </c>
      <c r="AA87" s="168">
        <v>99.999999999999986</v>
      </c>
      <c r="AB87" s="168">
        <v>99.999999999999986</v>
      </c>
      <c r="AC87" s="168">
        <v>99.999999999999986</v>
      </c>
      <c r="AD87" s="168">
        <v>99.999999999999986</v>
      </c>
      <c r="AE87" s="168">
        <v>99.999999999999986</v>
      </c>
      <c r="AF87" s="168">
        <v>99.999999999999986</v>
      </c>
      <c r="AG87" s="168">
        <v>99.999999999999986</v>
      </c>
      <c r="AH87" s="168">
        <v>99.999999999999986</v>
      </c>
      <c r="AI87" s="168">
        <v>99.999999999999986</v>
      </c>
      <c r="AJ87" s="168">
        <v>99.999999999999986</v>
      </c>
      <c r="AK87" s="168">
        <v>99.999999999999986</v>
      </c>
      <c r="AL87" s="168">
        <v>99.999999999999986</v>
      </c>
      <c r="AM87" s="168">
        <v>99.999999999999986</v>
      </c>
      <c r="AN87" s="168">
        <v>99.999999999999986</v>
      </c>
      <c r="AO87" s="168">
        <v>99.999999999999986</v>
      </c>
      <c r="AP87" s="168">
        <v>99.999999999999986</v>
      </c>
      <c r="AQ87" s="168">
        <v>99.999999999999986</v>
      </c>
      <c r="AR87" s="168">
        <v>99.999999999999986</v>
      </c>
      <c r="AS87" s="168">
        <v>99.999999999999986</v>
      </c>
      <c r="AT87" s="168">
        <v>99.999999999999986</v>
      </c>
      <c r="AU87" s="168">
        <v>99.999999999999986</v>
      </c>
      <c r="AV87" s="168">
        <v>99.999999999999986</v>
      </c>
      <c r="AW87" s="168">
        <v>99.999999999999986</v>
      </c>
      <c r="AX87" s="168">
        <v>99.999999999999986</v>
      </c>
      <c r="AY87" s="168">
        <v>99.999999999999986</v>
      </c>
      <c r="AZ87" s="168">
        <v>99.999999999999986</v>
      </c>
      <c r="BA87" s="168">
        <v>99.999999999999986</v>
      </c>
      <c r="BB87" s="168">
        <v>99.999999999999986</v>
      </c>
      <c r="BC87" s="168">
        <v>99.999999999999986</v>
      </c>
      <c r="BD87" s="168">
        <v>99.999999999999986</v>
      </c>
      <c r="BE87" s="168">
        <v>99.999999999999986</v>
      </c>
      <c r="BF87" s="168">
        <v>99.999999999999986</v>
      </c>
      <c r="BG87" s="168">
        <v>99.999999999999986</v>
      </c>
      <c r="BH87" s="168">
        <v>99.999999999999986</v>
      </c>
      <c r="BI87" s="168">
        <v>99.999999999999986</v>
      </c>
      <c r="BJ87" s="168">
        <v>99.999999999999986</v>
      </c>
      <c r="BK87" s="168">
        <v>99.999999999999986</v>
      </c>
      <c r="BL87" s="168">
        <v>99.999999999999986</v>
      </c>
      <c r="BM87" s="168">
        <v>99.999999999999986</v>
      </c>
      <c r="BN87" s="168">
        <v>99.999999999999986</v>
      </c>
      <c r="BO87" s="168">
        <v>99.999999999999986</v>
      </c>
      <c r="BP87" s="168">
        <v>99.999999999999986</v>
      </c>
      <c r="BQ87" s="168">
        <v>99.999999999999986</v>
      </c>
      <c r="BR87" s="168">
        <v>99.999999999999986</v>
      </c>
      <c r="BS87" s="168">
        <v>99.999999999999986</v>
      </c>
      <c r="BT87" s="168">
        <v>99.999999999999986</v>
      </c>
      <c r="BU87" s="168">
        <v>99.999999999999986</v>
      </c>
      <c r="BV87" s="168">
        <v>99.999999999999986</v>
      </c>
      <c r="BW87" s="168">
        <v>99.999999999999986</v>
      </c>
      <c r="BX87" s="168">
        <v>99.999999999999986</v>
      </c>
      <c r="BY87" s="168">
        <v>99.999999999999986</v>
      </c>
      <c r="BZ87" s="168">
        <v>99.999999999999986</v>
      </c>
      <c r="CA87" s="168">
        <v>99.999999999999986</v>
      </c>
      <c r="CB87" s="168">
        <v>99.999999999999986</v>
      </c>
      <c r="CC87" s="168">
        <v>99.999999999999986</v>
      </c>
      <c r="CD87" s="168">
        <v>99.999999999999986</v>
      </c>
      <c r="CE87" s="168">
        <v>99.999999999999986</v>
      </c>
      <c r="CF87" s="168">
        <v>99.999999999999986</v>
      </c>
      <c r="CG87" s="168">
        <v>99.999999999999986</v>
      </c>
      <c r="CH87" s="168">
        <v>99.999999999999986</v>
      </c>
      <c r="CI87" s="168">
        <v>99.999999999999986</v>
      </c>
      <c r="CJ87" s="168">
        <v>99.999999999999986</v>
      </c>
      <c r="CK87" s="168">
        <v>99.999999999999986</v>
      </c>
      <c r="CL87" s="168">
        <v>99.999999999999986</v>
      </c>
      <c r="CM87" s="168">
        <v>99.999999999999986</v>
      </c>
      <c r="CN87" s="168">
        <v>99.999999999999986</v>
      </c>
      <c r="CO87" s="168">
        <v>99.999999999999986</v>
      </c>
      <c r="CP87" s="168">
        <v>99.999999999999986</v>
      </c>
      <c r="CQ87" s="168">
        <v>99.999999999999986</v>
      </c>
      <c r="CR87" s="168">
        <v>99.999999999999986</v>
      </c>
      <c r="CS87" s="168">
        <v>99.999999999999986</v>
      </c>
      <c r="CT87" s="168">
        <v>99.999999999999986</v>
      </c>
      <c r="CU87" s="168">
        <v>99.999999999999986</v>
      </c>
      <c r="CV87" s="168">
        <v>99.999999999999986</v>
      </c>
      <c r="CW87" s="168">
        <v>99.999999999999986</v>
      </c>
      <c r="CX87" s="168">
        <v>99.999999999999986</v>
      </c>
      <c r="CY87" s="168">
        <v>99.999999999999986</v>
      </c>
      <c r="CZ87" s="168">
        <v>99.999999999999986</v>
      </c>
      <c r="DA87" s="168">
        <v>99.999999999999986</v>
      </c>
      <c r="DC87">
        <v>83</v>
      </c>
      <c r="DD87" s="114">
        <v>73.499260346241996</v>
      </c>
      <c r="DE87" s="114">
        <v>3.8346917230244508</v>
      </c>
      <c r="DF87" s="114">
        <v>-15.365460885849668</v>
      </c>
      <c r="DG87" s="114">
        <v>73.085797012957812</v>
      </c>
      <c r="DH87" s="114">
        <v>4.5381843486036644</v>
      </c>
      <c r="DI87" s="114">
        <v>-17.585643191076343</v>
      </c>
      <c r="DJ87" s="114">
        <v>2.3653886088033058</v>
      </c>
      <c r="DK87" s="114">
        <f t="shared" si="67"/>
        <v>5.5950632706564383</v>
      </c>
      <c r="DL87" s="114">
        <f t="shared" si="68"/>
        <v>4.9569588317399056</v>
      </c>
      <c r="DM87" s="114">
        <f t="shared" si="69"/>
        <v>284.0128202787958</v>
      </c>
      <c r="DN87" s="115">
        <f t="shared" si="70"/>
        <v>13</v>
      </c>
      <c r="DO87">
        <v>3</v>
      </c>
    </row>
    <row r="88" spans="1:119">
      <c r="A88">
        <v>775</v>
      </c>
      <c r="B88" s="120">
        <f>'Color metric'!B82</f>
        <v>8.5865257595772789E-3</v>
      </c>
      <c r="C88" s="112">
        <f>Reference!N88</f>
        <v>10.386373688079253</v>
      </c>
      <c r="D88" s="112"/>
      <c r="E88" s="172" t="s">
        <v>314</v>
      </c>
      <c r="F88" s="168">
        <f t="shared" ref="F88:BQ88" si="81">((400*(F59*F82/100)^0.42)/(((F59*F82/100)^0.42)+27.13))+0.1</f>
        <v>13.047263118560837</v>
      </c>
      <c r="G88" s="168">
        <f t="shared" si="81"/>
        <v>11.044323634007622</v>
      </c>
      <c r="H88" s="168">
        <f t="shared" si="81"/>
        <v>8.1653144276928877</v>
      </c>
      <c r="I88" s="168">
        <f t="shared" si="81"/>
        <v>4.3114315968594648</v>
      </c>
      <c r="J88" s="168">
        <f t="shared" si="81"/>
        <v>8.8946697383263995</v>
      </c>
      <c r="K88" s="168">
        <f t="shared" si="81"/>
        <v>6.8002520030015932</v>
      </c>
      <c r="L88" s="168">
        <f t="shared" si="81"/>
        <v>6.5841983825682497</v>
      </c>
      <c r="M88" s="168">
        <f t="shared" si="81"/>
        <v>5.8902248763811453</v>
      </c>
      <c r="N88" s="168">
        <f t="shared" si="81"/>
        <v>5.7535485494576015</v>
      </c>
      <c r="O88" s="168">
        <f t="shared" si="81"/>
        <v>3.8918823036541701</v>
      </c>
      <c r="P88" s="168">
        <f t="shared" si="81"/>
        <v>9.8950216756255482</v>
      </c>
      <c r="Q88" s="168">
        <f t="shared" si="81"/>
        <v>7.6646504437762539</v>
      </c>
      <c r="R88" s="168">
        <f t="shared" si="81"/>
        <v>8.487966623201455</v>
      </c>
      <c r="S88" s="168">
        <f t="shared" si="81"/>
        <v>5.7657412929097687</v>
      </c>
      <c r="T88" s="168">
        <f t="shared" si="81"/>
        <v>9.3096722216906134</v>
      </c>
      <c r="U88" s="168">
        <f t="shared" si="81"/>
        <v>9.0830765030387504</v>
      </c>
      <c r="V88" s="168">
        <f t="shared" si="81"/>
        <v>6.2838064049062412</v>
      </c>
      <c r="W88" s="168">
        <f t="shared" si="81"/>
        <v>6.4578893740893939</v>
      </c>
      <c r="X88" s="168">
        <f t="shared" si="81"/>
        <v>7.1937344246379418</v>
      </c>
      <c r="Y88" s="168">
        <f t="shared" si="81"/>
        <v>9.1590887112432782</v>
      </c>
      <c r="Z88" s="168">
        <f t="shared" si="81"/>
        <v>8.7324648720645008</v>
      </c>
      <c r="AA88" s="168">
        <f t="shared" si="81"/>
        <v>11.235185468961989</v>
      </c>
      <c r="AB88" s="168">
        <f t="shared" si="81"/>
        <v>10.188174847662255</v>
      </c>
      <c r="AC88" s="168">
        <f t="shared" si="81"/>
        <v>11.793516722776408</v>
      </c>
      <c r="AD88" s="168">
        <f t="shared" si="81"/>
        <v>11.736768670203714</v>
      </c>
      <c r="AE88" s="168">
        <f t="shared" si="81"/>
        <v>9.1586513822195634</v>
      </c>
      <c r="AF88" s="168">
        <f t="shared" si="81"/>
        <v>11.651968983874717</v>
      </c>
      <c r="AG88" s="168">
        <f t="shared" si="81"/>
        <v>9.2076554850465158</v>
      </c>
      <c r="AH88" s="168">
        <f t="shared" si="81"/>
        <v>5.3822246448311866</v>
      </c>
      <c r="AI88" s="168">
        <f t="shared" si="81"/>
        <v>11.167495770362583</v>
      </c>
      <c r="AJ88" s="168">
        <f t="shared" si="81"/>
        <v>8.0805826649301906</v>
      </c>
      <c r="AK88" s="168">
        <f t="shared" si="81"/>
        <v>11.400414775831482</v>
      </c>
      <c r="AL88" s="168">
        <f t="shared" si="81"/>
        <v>9.544723954023457</v>
      </c>
      <c r="AM88" s="168">
        <f t="shared" si="81"/>
        <v>11.522227385482527</v>
      </c>
      <c r="AN88" s="168">
        <f t="shared" si="81"/>
        <v>7.7971974197683256</v>
      </c>
      <c r="AO88" s="168">
        <f t="shared" si="81"/>
        <v>5.4126573003613485</v>
      </c>
      <c r="AP88" s="168">
        <f t="shared" si="81"/>
        <v>10.154574764855171</v>
      </c>
      <c r="AQ88" s="168">
        <f t="shared" si="81"/>
        <v>6.0479238607194121</v>
      </c>
      <c r="AR88" s="168">
        <f t="shared" si="81"/>
        <v>10.983279781844665</v>
      </c>
      <c r="AS88" s="168">
        <f t="shared" si="81"/>
        <v>4.5954326799281908</v>
      </c>
      <c r="AT88" s="168">
        <f t="shared" si="81"/>
        <v>6.2960331780272876</v>
      </c>
      <c r="AU88" s="168">
        <f t="shared" si="81"/>
        <v>11.223202143851239</v>
      </c>
      <c r="AV88" s="168">
        <f t="shared" si="81"/>
        <v>8.4775053571675922</v>
      </c>
      <c r="AW88" s="168">
        <f t="shared" si="81"/>
        <v>8.9618985729059428</v>
      </c>
      <c r="AX88" s="168">
        <f t="shared" si="81"/>
        <v>3.8502904018325492</v>
      </c>
      <c r="AY88" s="168">
        <f t="shared" si="81"/>
        <v>7.1617402932220857</v>
      </c>
      <c r="AZ88" s="168">
        <f t="shared" si="81"/>
        <v>8.197250091020333</v>
      </c>
      <c r="BA88" s="168">
        <f t="shared" si="81"/>
        <v>8.6902236630354199</v>
      </c>
      <c r="BB88" s="168">
        <f t="shared" si="81"/>
        <v>9.5649715406224214</v>
      </c>
      <c r="BC88" s="168">
        <f t="shared" si="81"/>
        <v>5.7372703195028629</v>
      </c>
      <c r="BD88" s="168">
        <f t="shared" si="81"/>
        <v>6.6947684748300373</v>
      </c>
      <c r="BE88" s="168">
        <f t="shared" si="81"/>
        <v>7.1800270724989561</v>
      </c>
      <c r="BF88" s="168">
        <f t="shared" si="81"/>
        <v>5.1203267764465128</v>
      </c>
      <c r="BG88" s="168">
        <f t="shared" si="81"/>
        <v>5.9496682376392078</v>
      </c>
      <c r="BH88" s="168">
        <f t="shared" si="81"/>
        <v>10.915020511526228</v>
      </c>
      <c r="BI88" s="168">
        <f t="shared" si="81"/>
        <v>10.398070498648272</v>
      </c>
      <c r="BJ88" s="168">
        <f t="shared" si="81"/>
        <v>8.5287018333718283</v>
      </c>
      <c r="BK88" s="168">
        <f t="shared" si="81"/>
        <v>6.8288520999832558</v>
      </c>
      <c r="BL88" s="168">
        <f t="shared" si="81"/>
        <v>6.3866402960637192</v>
      </c>
      <c r="BM88" s="168">
        <f t="shared" si="81"/>
        <v>10.885361280624133</v>
      </c>
      <c r="BN88" s="168">
        <f t="shared" si="81"/>
        <v>11.189066222462852</v>
      </c>
      <c r="BO88" s="168">
        <f t="shared" si="81"/>
        <v>9.4913738985929701</v>
      </c>
      <c r="BP88" s="168">
        <f t="shared" si="81"/>
        <v>8.2974742943567499</v>
      </c>
      <c r="BQ88" s="168">
        <f t="shared" si="81"/>
        <v>4.5004068781910531</v>
      </c>
      <c r="BR88" s="168">
        <f t="shared" ref="BR88:DA88" si="82">((400*(BR59*BR82/100)^0.42)/(((BR59*BR82/100)^0.42)+27.13))+0.1</f>
        <v>6.9241985553553205</v>
      </c>
      <c r="BS88" s="168">
        <f t="shared" si="82"/>
        <v>4.9602561017826163</v>
      </c>
      <c r="BT88" s="168">
        <f t="shared" si="82"/>
        <v>5.3442240572906732</v>
      </c>
      <c r="BU88" s="168">
        <f t="shared" si="82"/>
        <v>5.6964436717491838</v>
      </c>
      <c r="BV88" s="168">
        <f t="shared" si="82"/>
        <v>7.7487060592546664</v>
      </c>
      <c r="BW88" s="168">
        <f t="shared" si="82"/>
        <v>6.5935705370675191</v>
      </c>
      <c r="BX88" s="168">
        <f t="shared" si="82"/>
        <v>8.79155168121172</v>
      </c>
      <c r="BY88" s="168">
        <f t="shared" si="82"/>
        <v>4.4019345624862689</v>
      </c>
      <c r="BZ88" s="168">
        <f t="shared" si="82"/>
        <v>9.5393729515531529</v>
      </c>
      <c r="CA88" s="168">
        <f t="shared" si="82"/>
        <v>6.8682641352643987</v>
      </c>
      <c r="CB88" s="168">
        <f t="shared" si="82"/>
        <v>3.8024862208492873</v>
      </c>
      <c r="CC88" s="168">
        <f t="shared" si="82"/>
        <v>4.2055105664436248</v>
      </c>
      <c r="CD88" s="168">
        <f t="shared" si="82"/>
        <v>5.8124788694871059</v>
      </c>
      <c r="CE88" s="168">
        <f t="shared" si="82"/>
        <v>5.538455685175701</v>
      </c>
      <c r="CF88" s="168">
        <f t="shared" si="82"/>
        <v>5.4040625295909379</v>
      </c>
      <c r="CG88" s="168">
        <f t="shared" si="82"/>
        <v>9.1475201871840657</v>
      </c>
      <c r="CH88" s="168">
        <f t="shared" si="82"/>
        <v>8.1548271028596151</v>
      </c>
      <c r="CI88" s="168">
        <f t="shared" si="82"/>
        <v>5.6096672717123184</v>
      </c>
      <c r="CJ88" s="168">
        <f t="shared" si="82"/>
        <v>11.083992002291547</v>
      </c>
      <c r="CK88" s="168">
        <f t="shared" si="82"/>
        <v>9.1041069637107945</v>
      </c>
      <c r="CL88" s="168">
        <f t="shared" si="82"/>
        <v>3.8113311773735745</v>
      </c>
      <c r="CM88" s="168">
        <f t="shared" si="82"/>
        <v>5.315585280203762</v>
      </c>
      <c r="CN88" s="168">
        <f t="shared" si="82"/>
        <v>8.2453423831090333</v>
      </c>
      <c r="CO88" s="168">
        <f t="shared" si="82"/>
        <v>5.1816364830126869</v>
      </c>
      <c r="CP88" s="168">
        <f t="shared" si="82"/>
        <v>7.9081963632669758</v>
      </c>
      <c r="CQ88" s="168">
        <f t="shared" si="82"/>
        <v>5.0777553944312448</v>
      </c>
      <c r="CR88" s="168">
        <f t="shared" si="82"/>
        <v>5.7354466603048735</v>
      </c>
      <c r="CS88" s="168">
        <f t="shared" si="82"/>
        <v>10.164018473676862</v>
      </c>
      <c r="CT88" s="168">
        <f t="shared" si="82"/>
        <v>7.2078545190509633</v>
      </c>
      <c r="CU88" s="168">
        <f t="shared" si="82"/>
        <v>8.5331978803956652</v>
      </c>
      <c r="CV88" s="168">
        <f t="shared" si="82"/>
        <v>5.3405784253210085</v>
      </c>
      <c r="CW88" s="168">
        <f t="shared" si="82"/>
        <v>8.9773942605920478</v>
      </c>
      <c r="CX88" s="168">
        <f t="shared" si="82"/>
        <v>10.034998687792683</v>
      </c>
      <c r="CY88" s="168">
        <f t="shared" si="82"/>
        <v>6.7864015408266418</v>
      </c>
      <c r="CZ88" s="168">
        <f t="shared" si="82"/>
        <v>8.4403954642550936</v>
      </c>
      <c r="DA88" s="168">
        <f t="shared" si="82"/>
        <v>7.0595558575452602</v>
      </c>
      <c r="DC88">
        <v>84</v>
      </c>
      <c r="DD88" s="114">
        <v>28.459665529475359</v>
      </c>
      <c r="DE88" s="114">
        <v>4.6395434403674329</v>
      </c>
      <c r="DF88" s="114">
        <v>-6.015226315407924</v>
      </c>
      <c r="DG88" s="114">
        <v>27.157132713783319</v>
      </c>
      <c r="DH88" s="114">
        <v>5.7295616943660654</v>
      </c>
      <c r="DI88" s="114">
        <v>-7.907805479902219</v>
      </c>
      <c r="DJ88" s="114">
        <v>2.5429485688630793</v>
      </c>
      <c r="DK88" s="114">
        <f t="shared" si="67"/>
        <v>6.4665874238827827</v>
      </c>
      <c r="DL88" s="114">
        <f t="shared" si="68"/>
        <v>5.3693832429123622</v>
      </c>
      <c r="DM88" s="114">
        <f t="shared" si="69"/>
        <v>307.64299840714568</v>
      </c>
      <c r="DN88" s="115">
        <f t="shared" si="70"/>
        <v>14</v>
      </c>
      <c r="DO88">
        <v>6</v>
      </c>
    </row>
    <row r="89" spans="1:119">
      <c r="A89">
        <v>780</v>
      </c>
      <c r="B89" s="120">
        <f>'Color metric'!B83</f>
        <v>6.2747688243064729E-3</v>
      </c>
      <c r="C89" s="112">
        <f>Reference!N89</f>
        <v>10.474271604822833</v>
      </c>
      <c r="D89" s="112"/>
      <c r="E89" s="172" t="s">
        <v>315</v>
      </c>
      <c r="F89" s="168">
        <f t="shared" ref="F89:BQ89" si="83">((400*(F59*F83/100)^0.42)/(((F59*F83/100)^0.42)+27.13))+0.1</f>
        <v>13.047210500554206</v>
      </c>
      <c r="G89" s="168">
        <f t="shared" si="83"/>
        <v>10.633077292697426</v>
      </c>
      <c r="H89" s="168">
        <f t="shared" si="83"/>
        <v>7.2425425493764894</v>
      </c>
      <c r="I89" s="168">
        <f t="shared" si="83"/>
        <v>4.0170907791186501</v>
      </c>
      <c r="J89" s="168">
        <f t="shared" si="83"/>
        <v>8.3248547807505453</v>
      </c>
      <c r="K89" s="168">
        <f t="shared" si="83"/>
        <v>5.7471019598484174</v>
      </c>
      <c r="L89" s="168">
        <f t="shared" si="83"/>
        <v>6.120991980907875</v>
      </c>
      <c r="M89" s="168">
        <f t="shared" si="83"/>
        <v>4.9410473564400617</v>
      </c>
      <c r="N89" s="168">
        <f t="shared" si="83"/>
        <v>4.8971285291778957</v>
      </c>
      <c r="O89" s="168">
        <f t="shared" si="83"/>
        <v>3.8438575784508457</v>
      </c>
      <c r="P89" s="168">
        <f t="shared" si="83"/>
        <v>8.7477529208383</v>
      </c>
      <c r="Q89" s="168">
        <f t="shared" si="83"/>
        <v>6.6427636987246208</v>
      </c>
      <c r="R89" s="168">
        <f t="shared" si="83"/>
        <v>7.3244046277635375</v>
      </c>
      <c r="S89" s="168">
        <f t="shared" si="83"/>
        <v>5.1954302448676888</v>
      </c>
      <c r="T89" s="168">
        <f t="shared" si="83"/>
        <v>9.1224597908708382</v>
      </c>
      <c r="U89" s="168">
        <f t="shared" si="83"/>
        <v>8.6640495738651531</v>
      </c>
      <c r="V89" s="168">
        <f t="shared" si="83"/>
        <v>5.7032353862705172</v>
      </c>
      <c r="W89" s="168">
        <f t="shared" si="83"/>
        <v>5.9427476034918971</v>
      </c>
      <c r="X89" s="168">
        <f t="shared" si="83"/>
        <v>6.791090338896872</v>
      </c>
      <c r="Y89" s="168">
        <f t="shared" si="83"/>
        <v>8.5177807924516138</v>
      </c>
      <c r="Z89" s="168">
        <f t="shared" si="83"/>
        <v>7.8131315597760018</v>
      </c>
      <c r="AA89" s="168">
        <f t="shared" si="83"/>
        <v>10.454782572652851</v>
      </c>
      <c r="AB89" s="168">
        <f t="shared" si="83"/>
        <v>9.3720640310141441</v>
      </c>
      <c r="AC89" s="168">
        <f t="shared" si="83"/>
        <v>11.580663576424028</v>
      </c>
      <c r="AD89" s="168">
        <f t="shared" si="83"/>
        <v>11.270452919308829</v>
      </c>
      <c r="AE89" s="168">
        <f t="shared" si="83"/>
        <v>8.5430689791613439</v>
      </c>
      <c r="AF89" s="168">
        <f t="shared" si="83"/>
        <v>11.099081685072621</v>
      </c>
      <c r="AG89" s="168">
        <f t="shared" si="83"/>
        <v>9.0368310987222795</v>
      </c>
      <c r="AH89" s="168">
        <f t="shared" si="83"/>
        <v>5.2557323478186904</v>
      </c>
      <c r="AI89" s="168">
        <f t="shared" si="83"/>
        <v>10.77282366560873</v>
      </c>
      <c r="AJ89" s="168">
        <f t="shared" si="83"/>
        <v>7.8820026699547929</v>
      </c>
      <c r="AK89" s="168">
        <f t="shared" si="83"/>
        <v>11.051653427045965</v>
      </c>
      <c r="AL89" s="168">
        <f t="shared" si="83"/>
        <v>9.2062646751213695</v>
      </c>
      <c r="AM89" s="168">
        <f t="shared" si="83"/>
        <v>11.316660261662298</v>
      </c>
      <c r="AN89" s="168">
        <f t="shared" si="83"/>
        <v>7.5949081778669774</v>
      </c>
      <c r="AO89" s="168">
        <f t="shared" si="83"/>
        <v>5.3483537215447461</v>
      </c>
      <c r="AP89" s="168">
        <f t="shared" si="83"/>
        <v>10.098027088494367</v>
      </c>
      <c r="AQ89" s="168">
        <f t="shared" si="83"/>
        <v>6.0011369880670236</v>
      </c>
      <c r="AR89" s="168">
        <f t="shared" si="83"/>
        <v>10.892484843325743</v>
      </c>
      <c r="AS89" s="168">
        <f t="shared" si="83"/>
        <v>4.5821744161808233</v>
      </c>
      <c r="AT89" s="168">
        <f t="shared" si="83"/>
        <v>6.2729867686900924</v>
      </c>
      <c r="AU89" s="168">
        <f t="shared" si="83"/>
        <v>11.218877938719118</v>
      </c>
      <c r="AV89" s="168">
        <f t="shared" si="83"/>
        <v>8.6241643994264603</v>
      </c>
      <c r="AW89" s="168">
        <f t="shared" si="83"/>
        <v>9.1243810571174411</v>
      </c>
      <c r="AX89" s="168">
        <f t="shared" si="83"/>
        <v>3.8527177972643432</v>
      </c>
      <c r="AY89" s="168">
        <f t="shared" si="83"/>
        <v>7.3942727801474302</v>
      </c>
      <c r="AZ89" s="168">
        <f t="shared" si="83"/>
        <v>8.3747789141908164</v>
      </c>
      <c r="BA89" s="168">
        <f t="shared" si="83"/>
        <v>8.7790719983874457</v>
      </c>
      <c r="BB89" s="168">
        <f t="shared" si="83"/>
        <v>9.894833701605668</v>
      </c>
      <c r="BC89" s="168">
        <f t="shared" si="83"/>
        <v>5.9715599850323704</v>
      </c>
      <c r="BD89" s="168">
        <f t="shared" si="83"/>
        <v>6.9744012745944746</v>
      </c>
      <c r="BE89" s="168">
        <f t="shared" si="83"/>
        <v>7.4189303543933445</v>
      </c>
      <c r="BF89" s="168">
        <f t="shared" si="83"/>
        <v>5.4475351159760619</v>
      </c>
      <c r="BG89" s="168">
        <f t="shared" si="83"/>
        <v>6.575558210543778</v>
      </c>
      <c r="BH89" s="168">
        <f t="shared" si="83"/>
        <v>11.214715625546043</v>
      </c>
      <c r="BI89" s="168">
        <f t="shared" si="83"/>
        <v>10.746997949185992</v>
      </c>
      <c r="BJ89" s="168">
        <f t="shared" si="83"/>
        <v>9.2477917834684131</v>
      </c>
      <c r="BK89" s="168">
        <f t="shared" si="83"/>
        <v>7.5777783348221526</v>
      </c>
      <c r="BL89" s="168">
        <f t="shared" si="83"/>
        <v>7.1314669727510394</v>
      </c>
      <c r="BM89" s="168">
        <f t="shared" si="83"/>
        <v>11.191971609861731</v>
      </c>
      <c r="BN89" s="168">
        <f t="shared" si="83"/>
        <v>11.297229912732698</v>
      </c>
      <c r="BO89" s="168">
        <f t="shared" si="83"/>
        <v>9.7681844959888604</v>
      </c>
      <c r="BP89" s="168">
        <f t="shared" si="83"/>
        <v>8.3950905368876132</v>
      </c>
      <c r="BQ89" s="168">
        <f t="shared" si="83"/>
        <v>4.5283206623989063</v>
      </c>
      <c r="BR89" s="168">
        <f t="shared" ref="BR89:DA89" si="84">((400*(BR59*BR83/100)^0.42)/(((BR59*BR83/100)^0.42)+27.13))+0.1</f>
        <v>7.6944385225961387</v>
      </c>
      <c r="BS89" s="168">
        <f t="shared" si="84"/>
        <v>5.3208032428263232</v>
      </c>
      <c r="BT89" s="168">
        <f t="shared" si="84"/>
        <v>5.9926602200884602</v>
      </c>
      <c r="BU89" s="168">
        <f t="shared" si="84"/>
        <v>6.3864279377033233</v>
      </c>
      <c r="BV89" s="168">
        <f t="shared" si="84"/>
        <v>8.1668638191725371</v>
      </c>
      <c r="BW89" s="168">
        <f t="shared" si="84"/>
        <v>6.7447755313161579</v>
      </c>
      <c r="BX89" s="168">
        <f t="shared" si="84"/>
        <v>9.3170856810678515</v>
      </c>
      <c r="BY89" s="168">
        <f t="shared" si="84"/>
        <v>4.7852471537960568</v>
      </c>
      <c r="BZ89" s="168">
        <f t="shared" si="84"/>
        <v>9.6671783389419552</v>
      </c>
      <c r="CA89" s="168">
        <f t="shared" si="84"/>
        <v>7.543491711900848</v>
      </c>
      <c r="CB89" s="168">
        <f t="shared" si="84"/>
        <v>3.8237261095526733</v>
      </c>
      <c r="CC89" s="168">
        <f t="shared" si="84"/>
        <v>4.5414334604039235</v>
      </c>
      <c r="CD89" s="168">
        <f t="shared" si="84"/>
        <v>6.3577474271904126</v>
      </c>
      <c r="CE89" s="168">
        <f t="shared" si="84"/>
        <v>5.8297303616916532</v>
      </c>
      <c r="CF89" s="168">
        <f t="shared" si="84"/>
        <v>5.887333099191304</v>
      </c>
      <c r="CG89" s="168">
        <f t="shared" si="84"/>
        <v>9.3278362806563422</v>
      </c>
      <c r="CH89" s="168">
        <f t="shared" si="84"/>
        <v>8.2846054356617245</v>
      </c>
      <c r="CI89" s="168">
        <f t="shared" si="84"/>
        <v>5.7007328338110979</v>
      </c>
      <c r="CJ89" s="168">
        <f t="shared" si="84"/>
        <v>11.116825225338967</v>
      </c>
      <c r="CK89" s="168">
        <f t="shared" si="84"/>
        <v>9.1447851416868264</v>
      </c>
      <c r="CL89" s="168">
        <f t="shared" si="84"/>
        <v>3.7859087221388332</v>
      </c>
      <c r="CM89" s="168">
        <f t="shared" si="84"/>
        <v>5.2793352796143669</v>
      </c>
      <c r="CN89" s="168">
        <f t="shared" si="84"/>
        <v>8.180125985128166</v>
      </c>
      <c r="CO89" s="168">
        <f t="shared" si="84"/>
        <v>5.0539536906618077</v>
      </c>
      <c r="CP89" s="168">
        <f t="shared" si="84"/>
        <v>7.6464543019639901</v>
      </c>
      <c r="CQ89" s="168">
        <f t="shared" si="84"/>
        <v>4.836628538753093</v>
      </c>
      <c r="CR89" s="168">
        <f t="shared" si="84"/>
        <v>5.4241488286217869</v>
      </c>
      <c r="CS89" s="168">
        <f t="shared" si="84"/>
        <v>10.114100067719884</v>
      </c>
      <c r="CT89" s="168">
        <f t="shared" si="84"/>
        <v>6.9321606822991342</v>
      </c>
      <c r="CU89" s="168">
        <f t="shared" si="84"/>
        <v>8.3016462783460465</v>
      </c>
      <c r="CV89" s="168">
        <f t="shared" si="84"/>
        <v>4.8903535189545835</v>
      </c>
      <c r="CW89" s="168">
        <f t="shared" si="84"/>
        <v>8.6097872849138426</v>
      </c>
      <c r="CX89" s="168">
        <f t="shared" si="84"/>
        <v>9.6783843308697115</v>
      </c>
      <c r="CY89" s="168">
        <f t="shared" si="84"/>
        <v>6.2921858328810369</v>
      </c>
      <c r="CZ89" s="168">
        <f t="shared" si="84"/>
        <v>7.6250403211269564</v>
      </c>
      <c r="DA89" s="168">
        <f t="shared" si="84"/>
        <v>6.1771303167108638</v>
      </c>
      <c r="DC89">
        <v>85</v>
      </c>
      <c r="DD89" s="114">
        <v>41.978005809815151</v>
      </c>
      <c r="DE89" s="114">
        <v>7.1838881385564166</v>
      </c>
      <c r="DF89" s="114">
        <v>-11.491501510986431</v>
      </c>
      <c r="DG89" s="114">
        <v>40.329263264681408</v>
      </c>
      <c r="DH89" s="114">
        <v>5.1695902959214859</v>
      </c>
      <c r="DI89" s="114">
        <v>-13.438050300337933</v>
      </c>
      <c r="DJ89" s="114">
        <v>3.2503538220174777</v>
      </c>
      <c r="DK89" s="114">
        <f t="shared" si="67"/>
        <v>10.564799968303625</v>
      </c>
      <c r="DL89" s="114">
        <f t="shared" si="68"/>
        <v>5.2710946500415758</v>
      </c>
      <c r="DM89" s="114">
        <f t="shared" si="69"/>
        <v>302.01147686136994</v>
      </c>
      <c r="DN89" s="115">
        <f t="shared" si="70"/>
        <v>14</v>
      </c>
      <c r="DO89">
        <v>1</v>
      </c>
    </row>
    <row r="90" spans="1:119">
      <c r="A90">
        <v>785</v>
      </c>
      <c r="B90" s="120">
        <v>0</v>
      </c>
      <c r="C90" s="112">
        <f>Reference!N90</f>
        <v>10.55965552814056</v>
      </c>
      <c r="D90" s="112"/>
      <c r="E90" s="172" t="s">
        <v>316</v>
      </c>
      <c r="F90" s="168">
        <f t="shared" ref="F90:BQ90" si="85">((400*(F59*F84/100)^0.42)/(((F59*F84/100)^0.42)+27.13))+0.1</f>
        <v>13.047210500554202</v>
      </c>
      <c r="G90" s="168">
        <f t="shared" si="85"/>
        <v>10.644064500403289</v>
      </c>
      <c r="H90" s="168">
        <f t="shared" si="85"/>
        <v>7.0613502537028703</v>
      </c>
      <c r="I90" s="168">
        <f t="shared" si="85"/>
        <v>3.9569279927414742</v>
      </c>
      <c r="J90" s="168">
        <f t="shared" si="85"/>
        <v>7.8260432252623824</v>
      </c>
      <c r="K90" s="168">
        <f t="shared" si="85"/>
        <v>4.9748555351137336</v>
      </c>
      <c r="L90" s="168">
        <f t="shared" si="85"/>
        <v>5.6178608850191942</v>
      </c>
      <c r="M90" s="168">
        <f t="shared" si="85"/>
        <v>4.0800683261763284</v>
      </c>
      <c r="N90" s="168">
        <f t="shared" si="85"/>
        <v>4.1373388914698035</v>
      </c>
      <c r="O90" s="168">
        <f t="shared" si="85"/>
        <v>3.8302210045700549</v>
      </c>
      <c r="P90" s="168">
        <f t="shared" si="85"/>
        <v>6.6552936708834549</v>
      </c>
      <c r="Q90" s="168">
        <f t="shared" si="85"/>
        <v>4.5657764333532489</v>
      </c>
      <c r="R90" s="168">
        <f t="shared" si="85"/>
        <v>4.9376894379456049</v>
      </c>
      <c r="S90" s="168">
        <f t="shared" si="85"/>
        <v>3.9236879990732083</v>
      </c>
      <c r="T90" s="168">
        <f t="shared" si="85"/>
        <v>8.6292365738863133</v>
      </c>
      <c r="U90" s="168">
        <f t="shared" si="85"/>
        <v>7.6893027258498092</v>
      </c>
      <c r="V90" s="168">
        <f t="shared" si="85"/>
        <v>4.178050065673756</v>
      </c>
      <c r="W90" s="168">
        <f t="shared" si="85"/>
        <v>4.3069259539546172</v>
      </c>
      <c r="X90" s="168">
        <f t="shared" si="85"/>
        <v>5.5570581125139045</v>
      </c>
      <c r="Y90" s="168">
        <f t="shared" si="85"/>
        <v>5.7953272239951445</v>
      </c>
      <c r="Z90" s="168">
        <f t="shared" si="85"/>
        <v>4.4892431735204683</v>
      </c>
      <c r="AA90" s="168">
        <f t="shared" si="85"/>
        <v>6.7431883881099388</v>
      </c>
      <c r="AB90" s="168">
        <f t="shared" si="85"/>
        <v>5.6688180542455351</v>
      </c>
      <c r="AC90" s="168">
        <f t="shared" si="85"/>
        <v>10.286441138433824</v>
      </c>
      <c r="AD90" s="168">
        <f t="shared" si="85"/>
        <v>8.1941321397558067</v>
      </c>
      <c r="AE90" s="168">
        <f t="shared" si="85"/>
        <v>4.3812410336165772</v>
      </c>
      <c r="AF90" s="168">
        <f t="shared" si="85"/>
        <v>7.2959827432165163</v>
      </c>
      <c r="AG90" s="168">
        <f t="shared" si="85"/>
        <v>7.5202026379607316</v>
      </c>
      <c r="AH90" s="168">
        <f t="shared" si="85"/>
        <v>3.9012868123771294</v>
      </c>
      <c r="AI90" s="168">
        <f t="shared" si="85"/>
        <v>7.0683397086612931</v>
      </c>
      <c r="AJ90" s="168">
        <f t="shared" si="85"/>
        <v>6.2261843875540972</v>
      </c>
      <c r="AK90" s="168">
        <f t="shared" si="85"/>
        <v>7.3308781965626091</v>
      </c>
      <c r="AL90" s="168">
        <f t="shared" si="85"/>
        <v>5.2622088475443762</v>
      </c>
      <c r="AM90" s="168">
        <f t="shared" si="85"/>
        <v>9.1074051564910636</v>
      </c>
      <c r="AN90" s="168">
        <f t="shared" si="85"/>
        <v>4.3848407842575421</v>
      </c>
      <c r="AO90" s="168">
        <f t="shared" si="85"/>
        <v>4.027226069281185</v>
      </c>
      <c r="AP90" s="168">
        <f t="shared" si="85"/>
        <v>9.4882098497200431</v>
      </c>
      <c r="AQ90" s="168">
        <f t="shared" si="85"/>
        <v>4.2352901094037874</v>
      </c>
      <c r="AR90" s="168">
        <f t="shared" si="85"/>
        <v>9.1733677024253844</v>
      </c>
      <c r="AS90" s="168">
        <f t="shared" si="85"/>
        <v>4.1018448731460042</v>
      </c>
      <c r="AT90" s="168">
        <f t="shared" si="85"/>
        <v>5.1485853097077516</v>
      </c>
      <c r="AU90" s="168">
        <f t="shared" si="85"/>
        <v>10.467449940225773</v>
      </c>
      <c r="AV90" s="168">
        <f t="shared" si="85"/>
        <v>5.2181152940604774</v>
      </c>
      <c r="AW90" s="168">
        <f t="shared" si="85"/>
        <v>5.5800121268815417</v>
      </c>
      <c r="AX90" s="168">
        <f t="shared" si="85"/>
        <v>3.7832326269003511</v>
      </c>
      <c r="AY90" s="168">
        <f t="shared" si="85"/>
        <v>5.2438421873597036</v>
      </c>
      <c r="AZ90" s="168">
        <f t="shared" si="85"/>
        <v>6.7436814667898579</v>
      </c>
      <c r="BA90" s="168">
        <f t="shared" si="85"/>
        <v>7.7445714251764901</v>
      </c>
      <c r="BB90" s="168">
        <f t="shared" si="85"/>
        <v>8.2795149379855957</v>
      </c>
      <c r="BC90" s="168">
        <f t="shared" si="85"/>
        <v>4.7224967228973833</v>
      </c>
      <c r="BD90" s="168">
        <f t="shared" si="85"/>
        <v>6.2569731195794107</v>
      </c>
      <c r="BE90" s="168">
        <f t="shared" si="85"/>
        <v>6.8420064234228555</v>
      </c>
      <c r="BF90" s="168">
        <f t="shared" si="85"/>
        <v>4.6870149170664126</v>
      </c>
      <c r="BG90" s="168">
        <f t="shared" si="85"/>
        <v>5.9373115865068185</v>
      </c>
      <c r="BH90" s="168">
        <f t="shared" si="85"/>
        <v>11.134491365752224</v>
      </c>
      <c r="BI90" s="168">
        <f t="shared" si="85"/>
        <v>10.784322783043217</v>
      </c>
      <c r="BJ90" s="168">
        <f t="shared" si="85"/>
        <v>9.3154473054551623</v>
      </c>
      <c r="BK90" s="168">
        <f t="shared" si="85"/>
        <v>7.6631189476317703</v>
      </c>
      <c r="BL90" s="168">
        <f t="shared" si="85"/>
        <v>7.4254108599340949</v>
      </c>
      <c r="BM90" s="168">
        <f t="shared" si="85"/>
        <v>11.317305333592483</v>
      </c>
      <c r="BN90" s="168">
        <f t="shared" si="85"/>
        <v>11.429423673223067</v>
      </c>
      <c r="BO90" s="168">
        <f t="shared" si="85"/>
        <v>10.070289064344077</v>
      </c>
      <c r="BP90" s="168">
        <f t="shared" si="85"/>
        <v>8.6061563730237101</v>
      </c>
      <c r="BQ90" s="168">
        <f t="shared" si="85"/>
        <v>4.6375059103145464</v>
      </c>
      <c r="BR90" s="168">
        <f t="shared" ref="BR90:DA90" si="86">((400*(BR59*BR84/100)^0.42)/(((BR59*BR84/100)^0.42)+27.13))+0.1</f>
        <v>8.868043391037185</v>
      </c>
      <c r="BS90" s="168">
        <f t="shared" si="86"/>
        <v>5.9320372831523311</v>
      </c>
      <c r="BT90" s="168">
        <f t="shared" si="86"/>
        <v>7.3095715053721877</v>
      </c>
      <c r="BU90" s="168">
        <f t="shared" si="86"/>
        <v>7.8790145027134022</v>
      </c>
      <c r="BV90" s="168">
        <f t="shared" si="86"/>
        <v>9.2602372991316599</v>
      </c>
      <c r="BW90" s="168">
        <f t="shared" si="86"/>
        <v>7.3418615707850794</v>
      </c>
      <c r="BX90" s="168">
        <f t="shared" si="86"/>
        <v>11.08130337392137</v>
      </c>
      <c r="BY90" s="168">
        <f t="shared" si="86"/>
        <v>6.2585750643728506</v>
      </c>
      <c r="BZ90" s="168">
        <f t="shared" si="86"/>
        <v>10.135610484596777</v>
      </c>
      <c r="CA90" s="168">
        <f t="shared" si="86"/>
        <v>9.9091369768977469</v>
      </c>
      <c r="CB90" s="168">
        <f t="shared" si="86"/>
        <v>3.9712105824809436</v>
      </c>
      <c r="CC90" s="168">
        <f t="shared" si="86"/>
        <v>6.1190111472388775</v>
      </c>
      <c r="CD90" s="168">
        <f t="shared" si="86"/>
        <v>9.2400848849975166</v>
      </c>
      <c r="CE90" s="168">
        <f t="shared" si="86"/>
        <v>7.5897039964085176</v>
      </c>
      <c r="CF90" s="168">
        <f t="shared" si="86"/>
        <v>8.6548609365437681</v>
      </c>
      <c r="CG90" s="168">
        <f t="shared" si="86"/>
        <v>10.809708285076365</v>
      </c>
      <c r="CH90" s="168">
        <f t="shared" si="86"/>
        <v>10.123098035020137</v>
      </c>
      <c r="CI90" s="168">
        <f t="shared" si="86"/>
        <v>8.0145746787637879</v>
      </c>
      <c r="CJ90" s="168">
        <f t="shared" si="86"/>
        <v>11.7315473094963</v>
      </c>
      <c r="CK90" s="168">
        <f t="shared" si="86"/>
        <v>10.32408287889028</v>
      </c>
      <c r="CL90" s="168">
        <f t="shared" si="86"/>
        <v>4.1288190890744181</v>
      </c>
      <c r="CM90" s="168">
        <f t="shared" si="86"/>
        <v>6.0867879838498515</v>
      </c>
      <c r="CN90" s="168">
        <f t="shared" si="86"/>
        <v>10.028452119105184</v>
      </c>
      <c r="CO90" s="168">
        <f t="shared" si="86"/>
        <v>6.8094638099406719</v>
      </c>
      <c r="CP90" s="168">
        <f t="shared" si="86"/>
        <v>9.2333362123403262</v>
      </c>
      <c r="CQ90" s="168">
        <f t="shared" si="86"/>
        <v>6.0908451522838085</v>
      </c>
      <c r="CR90" s="168">
        <f t="shared" si="86"/>
        <v>6.8303136088469127</v>
      </c>
      <c r="CS90" s="168">
        <f t="shared" si="86"/>
        <v>10.252600857018077</v>
      </c>
      <c r="CT90" s="168">
        <f t="shared" si="86"/>
        <v>7.700860776751786</v>
      </c>
      <c r="CU90" s="168">
        <f t="shared" si="86"/>
        <v>8.8956263974552421</v>
      </c>
      <c r="CV90" s="168">
        <f t="shared" si="86"/>
        <v>5.677416161690358</v>
      </c>
      <c r="CW90" s="168">
        <f t="shared" si="86"/>
        <v>9.2279747068429216</v>
      </c>
      <c r="CX90" s="168">
        <f t="shared" si="86"/>
        <v>10.199520216588713</v>
      </c>
      <c r="CY90" s="168">
        <f t="shared" si="86"/>
        <v>6.770858121068362</v>
      </c>
      <c r="CZ90" s="168">
        <f t="shared" si="86"/>
        <v>7.9429924810370585</v>
      </c>
      <c r="DA90" s="168">
        <f t="shared" si="86"/>
        <v>6.5120769174672315</v>
      </c>
      <c r="DC90">
        <v>86</v>
      </c>
      <c r="DD90" s="114">
        <v>66.676277246087764</v>
      </c>
      <c r="DE90" s="114">
        <v>11.280934137846254</v>
      </c>
      <c r="DF90" s="114">
        <v>-19.514914012450443</v>
      </c>
      <c r="DG90" s="114">
        <v>63.854573329077624</v>
      </c>
      <c r="DH90" s="114">
        <v>7.2929531685868429</v>
      </c>
      <c r="DI90" s="114">
        <v>-24.960569559126981</v>
      </c>
      <c r="DJ90" s="114">
        <v>7.3158163959666549</v>
      </c>
      <c r="DK90" s="114">
        <f t="shared" si="67"/>
        <v>53.521169539494537</v>
      </c>
      <c r="DL90" s="114">
        <f t="shared" si="68"/>
        <v>5.2365253807467429</v>
      </c>
      <c r="DM90" s="114">
        <f t="shared" si="69"/>
        <v>300.03080362992483</v>
      </c>
      <c r="DN90" s="115">
        <f t="shared" si="70"/>
        <v>14</v>
      </c>
      <c r="DO90">
        <v>3</v>
      </c>
    </row>
    <row r="91" spans="1:119">
      <c r="A91">
        <v>790</v>
      </c>
      <c r="B91" s="120">
        <f t="shared" ref="B91:B99" si="87">B90</f>
        <v>0</v>
      </c>
      <c r="C91" s="112">
        <f>Reference!N91</f>
        <v>10.642528845187499</v>
      </c>
      <c r="D91" s="112"/>
      <c r="E91" s="172" t="s">
        <v>317</v>
      </c>
      <c r="F91" s="168">
        <f t="shared" ref="F91:BQ91" si="88">((400*(F59*F85/100)^0.42)/(((F59*F85/100)^0.42)+27.13))+0.1</f>
        <v>13.047263118560837</v>
      </c>
      <c r="G91" s="168">
        <f t="shared" si="88"/>
        <v>13.047263118560837</v>
      </c>
      <c r="H91" s="168">
        <f t="shared" si="88"/>
        <v>13.047263118560837</v>
      </c>
      <c r="I91" s="168">
        <f t="shared" si="88"/>
        <v>13.047263118560837</v>
      </c>
      <c r="J91" s="168">
        <f t="shared" si="88"/>
        <v>13.047263118560837</v>
      </c>
      <c r="K91" s="168">
        <f t="shared" si="88"/>
        <v>13.047263118560837</v>
      </c>
      <c r="L91" s="168">
        <f t="shared" si="88"/>
        <v>13.047263118560837</v>
      </c>
      <c r="M91" s="168">
        <f t="shared" si="88"/>
        <v>13.047263118560837</v>
      </c>
      <c r="N91" s="168">
        <f t="shared" si="88"/>
        <v>13.047263118560837</v>
      </c>
      <c r="O91" s="168">
        <f t="shared" si="88"/>
        <v>13.047263118560837</v>
      </c>
      <c r="P91" s="168">
        <f t="shared" si="88"/>
        <v>13.047263118560837</v>
      </c>
      <c r="Q91" s="168">
        <f t="shared" si="88"/>
        <v>13.047263118560837</v>
      </c>
      <c r="R91" s="168">
        <f t="shared" si="88"/>
        <v>13.047263118560837</v>
      </c>
      <c r="S91" s="168">
        <f t="shared" si="88"/>
        <v>13.047263118560837</v>
      </c>
      <c r="T91" s="168">
        <f t="shared" si="88"/>
        <v>13.047263118560837</v>
      </c>
      <c r="U91" s="168">
        <f t="shared" si="88"/>
        <v>13.047263118560837</v>
      </c>
      <c r="V91" s="168">
        <f t="shared" si="88"/>
        <v>13.047263118560837</v>
      </c>
      <c r="W91" s="168">
        <f t="shared" si="88"/>
        <v>13.047263118560837</v>
      </c>
      <c r="X91" s="168">
        <f t="shared" si="88"/>
        <v>13.047263118560837</v>
      </c>
      <c r="Y91" s="168">
        <f t="shared" si="88"/>
        <v>13.047263118560837</v>
      </c>
      <c r="Z91" s="168">
        <f t="shared" si="88"/>
        <v>13.047263118560837</v>
      </c>
      <c r="AA91" s="168">
        <f t="shared" si="88"/>
        <v>13.047263118560837</v>
      </c>
      <c r="AB91" s="168">
        <f t="shared" si="88"/>
        <v>13.047263118560837</v>
      </c>
      <c r="AC91" s="168">
        <f t="shared" si="88"/>
        <v>13.047263118560837</v>
      </c>
      <c r="AD91" s="168">
        <f t="shared" si="88"/>
        <v>13.047263118560837</v>
      </c>
      <c r="AE91" s="168">
        <f t="shared" si="88"/>
        <v>13.047263118560837</v>
      </c>
      <c r="AF91" s="168">
        <f t="shared" si="88"/>
        <v>13.047263118560837</v>
      </c>
      <c r="AG91" s="168">
        <f t="shared" si="88"/>
        <v>13.047263118560837</v>
      </c>
      <c r="AH91" s="168">
        <f t="shared" si="88"/>
        <v>13.047263118560837</v>
      </c>
      <c r="AI91" s="168">
        <f t="shared" si="88"/>
        <v>13.047263118560837</v>
      </c>
      <c r="AJ91" s="168">
        <f t="shared" si="88"/>
        <v>13.047263118560837</v>
      </c>
      <c r="AK91" s="168">
        <f t="shared" si="88"/>
        <v>13.047263118560837</v>
      </c>
      <c r="AL91" s="168">
        <f t="shared" si="88"/>
        <v>13.047263118560837</v>
      </c>
      <c r="AM91" s="168">
        <f t="shared" si="88"/>
        <v>13.047263118560837</v>
      </c>
      <c r="AN91" s="168">
        <f t="shared" si="88"/>
        <v>13.047263118560837</v>
      </c>
      <c r="AO91" s="168">
        <f t="shared" si="88"/>
        <v>13.047263118560837</v>
      </c>
      <c r="AP91" s="168">
        <f t="shared" si="88"/>
        <v>13.047263118560837</v>
      </c>
      <c r="AQ91" s="168">
        <f t="shared" si="88"/>
        <v>13.047263118560837</v>
      </c>
      <c r="AR91" s="168">
        <f t="shared" si="88"/>
        <v>13.047263118560837</v>
      </c>
      <c r="AS91" s="168">
        <f t="shared" si="88"/>
        <v>13.047263118560837</v>
      </c>
      <c r="AT91" s="168">
        <f t="shared" si="88"/>
        <v>13.047263118560837</v>
      </c>
      <c r="AU91" s="168">
        <f t="shared" si="88"/>
        <v>13.047263118560837</v>
      </c>
      <c r="AV91" s="168">
        <f t="shared" si="88"/>
        <v>13.047263118560837</v>
      </c>
      <c r="AW91" s="168">
        <f t="shared" si="88"/>
        <v>13.047263118560837</v>
      </c>
      <c r="AX91" s="168">
        <f t="shared" si="88"/>
        <v>13.047263118560837</v>
      </c>
      <c r="AY91" s="168">
        <f t="shared" si="88"/>
        <v>13.047263118560837</v>
      </c>
      <c r="AZ91" s="168">
        <f t="shared" si="88"/>
        <v>13.047263118560837</v>
      </c>
      <c r="BA91" s="168">
        <f t="shared" si="88"/>
        <v>13.047263118560837</v>
      </c>
      <c r="BB91" s="168">
        <f t="shared" si="88"/>
        <v>13.047263118560837</v>
      </c>
      <c r="BC91" s="168">
        <f t="shared" si="88"/>
        <v>13.047263118560837</v>
      </c>
      <c r="BD91" s="168">
        <f t="shared" si="88"/>
        <v>13.047263118560837</v>
      </c>
      <c r="BE91" s="168">
        <f t="shared" si="88"/>
        <v>13.047263118560837</v>
      </c>
      <c r="BF91" s="168">
        <f t="shared" si="88"/>
        <v>13.047263118560837</v>
      </c>
      <c r="BG91" s="168">
        <f t="shared" si="88"/>
        <v>13.047263118560837</v>
      </c>
      <c r="BH91" s="168">
        <f t="shared" si="88"/>
        <v>13.047263118560837</v>
      </c>
      <c r="BI91" s="168">
        <f t="shared" si="88"/>
        <v>13.047263118560837</v>
      </c>
      <c r="BJ91" s="168">
        <f t="shared" si="88"/>
        <v>13.047263118560837</v>
      </c>
      <c r="BK91" s="168">
        <f t="shared" si="88"/>
        <v>13.047263118560837</v>
      </c>
      <c r="BL91" s="168">
        <f t="shared" si="88"/>
        <v>13.047263118560837</v>
      </c>
      <c r="BM91" s="168">
        <f t="shared" si="88"/>
        <v>13.047263118560837</v>
      </c>
      <c r="BN91" s="168">
        <f t="shared" si="88"/>
        <v>13.047263118560837</v>
      </c>
      <c r="BO91" s="168">
        <f t="shared" si="88"/>
        <v>13.047263118560837</v>
      </c>
      <c r="BP91" s="168">
        <f t="shared" si="88"/>
        <v>13.047263118560837</v>
      </c>
      <c r="BQ91" s="168">
        <f t="shared" si="88"/>
        <v>13.047263118560837</v>
      </c>
      <c r="BR91" s="168">
        <f t="shared" ref="BR91:DA91" si="89">((400*(BR59*BR85/100)^0.42)/(((BR59*BR85/100)^0.42)+27.13))+0.1</f>
        <v>13.047263118560837</v>
      </c>
      <c r="BS91" s="168">
        <f t="shared" si="89"/>
        <v>13.047263118560837</v>
      </c>
      <c r="BT91" s="168">
        <f t="shared" si="89"/>
        <v>13.047263118560837</v>
      </c>
      <c r="BU91" s="168">
        <f t="shared" si="89"/>
        <v>13.047263118560837</v>
      </c>
      <c r="BV91" s="168">
        <f t="shared" si="89"/>
        <v>13.047263118560837</v>
      </c>
      <c r="BW91" s="168">
        <f t="shared" si="89"/>
        <v>13.047263118560837</v>
      </c>
      <c r="BX91" s="168">
        <f t="shared" si="89"/>
        <v>13.047263118560837</v>
      </c>
      <c r="BY91" s="168">
        <f t="shared" si="89"/>
        <v>13.047263118560837</v>
      </c>
      <c r="BZ91" s="168">
        <f t="shared" si="89"/>
        <v>13.047263118560837</v>
      </c>
      <c r="CA91" s="168">
        <f t="shared" si="89"/>
        <v>13.047263118560837</v>
      </c>
      <c r="CB91" s="168">
        <f t="shared" si="89"/>
        <v>13.047263118560837</v>
      </c>
      <c r="CC91" s="168">
        <f t="shared" si="89"/>
        <v>13.047263118560837</v>
      </c>
      <c r="CD91" s="168">
        <f t="shared" si="89"/>
        <v>13.047263118560837</v>
      </c>
      <c r="CE91" s="168">
        <f t="shared" si="89"/>
        <v>13.047263118560837</v>
      </c>
      <c r="CF91" s="168">
        <f t="shared" si="89"/>
        <v>13.047263118560837</v>
      </c>
      <c r="CG91" s="168">
        <f t="shared" si="89"/>
        <v>13.047263118560837</v>
      </c>
      <c r="CH91" s="168">
        <f t="shared" si="89"/>
        <v>13.047263118560837</v>
      </c>
      <c r="CI91" s="168">
        <f t="shared" si="89"/>
        <v>13.047263118560837</v>
      </c>
      <c r="CJ91" s="168">
        <f t="shared" si="89"/>
        <v>13.047263118560837</v>
      </c>
      <c r="CK91" s="168">
        <f t="shared" si="89"/>
        <v>13.047263118560837</v>
      </c>
      <c r="CL91" s="168">
        <f t="shared" si="89"/>
        <v>13.047263118560837</v>
      </c>
      <c r="CM91" s="168">
        <f t="shared" si="89"/>
        <v>13.047263118560837</v>
      </c>
      <c r="CN91" s="168">
        <f t="shared" si="89"/>
        <v>13.047263118560837</v>
      </c>
      <c r="CO91" s="168">
        <f t="shared" si="89"/>
        <v>13.047263118560837</v>
      </c>
      <c r="CP91" s="168">
        <f t="shared" si="89"/>
        <v>13.047263118560837</v>
      </c>
      <c r="CQ91" s="168">
        <f t="shared" si="89"/>
        <v>13.047263118560837</v>
      </c>
      <c r="CR91" s="168">
        <f t="shared" si="89"/>
        <v>13.047263118560837</v>
      </c>
      <c r="CS91" s="168">
        <f t="shared" si="89"/>
        <v>13.047263118560837</v>
      </c>
      <c r="CT91" s="168">
        <f t="shared" si="89"/>
        <v>13.047263118560837</v>
      </c>
      <c r="CU91" s="168">
        <f t="shared" si="89"/>
        <v>13.047263118560837</v>
      </c>
      <c r="CV91" s="168">
        <f t="shared" si="89"/>
        <v>13.047263118560837</v>
      </c>
      <c r="CW91" s="168">
        <f t="shared" si="89"/>
        <v>13.047263118560837</v>
      </c>
      <c r="CX91" s="168">
        <f t="shared" si="89"/>
        <v>13.047263118560837</v>
      </c>
      <c r="CY91" s="168">
        <f t="shared" si="89"/>
        <v>13.047263118560837</v>
      </c>
      <c r="CZ91" s="168">
        <f t="shared" si="89"/>
        <v>13.047263118560837</v>
      </c>
      <c r="DA91" s="168">
        <f t="shared" si="89"/>
        <v>13.047263118560837</v>
      </c>
      <c r="DC91">
        <v>87</v>
      </c>
      <c r="DD91" s="114">
        <v>40.648895014612421</v>
      </c>
      <c r="DE91" s="114">
        <v>14.442277337248333</v>
      </c>
      <c r="DF91" s="114">
        <v>-18.899104468025552</v>
      </c>
      <c r="DG91" s="114">
        <v>38.057060758353863</v>
      </c>
      <c r="DH91" s="114">
        <v>13.55222157595909</v>
      </c>
      <c r="DI91" s="114">
        <v>-22.630543449446549</v>
      </c>
      <c r="DJ91" s="114">
        <v>4.6296264365699846</v>
      </c>
      <c r="DK91" s="114">
        <f t="shared" si="67"/>
        <v>21.433440942187694</v>
      </c>
      <c r="DL91" s="114">
        <f t="shared" si="68"/>
        <v>5.3649023464820607</v>
      </c>
      <c r="DM91" s="114">
        <f t="shared" si="69"/>
        <v>307.38626195325412</v>
      </c>
      <c r="DN91" s="115">
        <f t="shared" si="70"/>
        <v>14</v>
      </c>
      <c r="DO91">
        <v>6</v>
      </c>
    </row>
    <row r="92" spans="1:119">
      <c r="A92">
        <v>795</v>
      </c>
      <c r="B92" s="120">
        <f t="shared" si="87"/>
        <v>0</v>
      </c>
      <c r="C92" s="112">
        <f>Reference!N92</f>
        <v>10.722896957068821</v>
      </c>
      <c r="D92" s="112"/>
      <c r="E92" s="172" t="s">
        <v>318</v>
      </c>
      <c r="F92" s="168">
        <f t="shared" ref="F92:BQ92" si="90">((400*(F59*F86/100)^0.42)/(((F59*F86/100)^0.42)+27.13))+0.1</f>
        <v>13.047210500554206</v>
      </c>
      <c r="G92" s="168">
        <f t="shared" si="90"/>
        <v>13.047210500554206</v>
      </c>
      <c r="H92" s="168">
        <f t="shared" si="90"/>
        <v>13.047210500554206</v>
      </c>
      <c r="I92" s="168">
        <f t="shared" si="90"/>
        <v>13.047210500554206</v>
      </c>
      <c r="J92" s="168">
        <f t="shared" si="90"/>
        <v>13.047210500554206</v>
      </c>
      <c r="K92" s="168">
        <f t="shared" si="90"/>
        <v>13.047210500554206</v>
      </c>
      <c r="L92" s="168">
        <f t="shared" si="90"/>
        <v>13.047210500554206</v>
      </c>
      <c r="M92" s="168">
        <f t="shared" si="90"/>
        <v>13.047210500554206</v>
      </c>
      <c r="N92" s="168">
        <f t="shared" si="90"/>
        <v>13.047210500554206</v>
      </c>
      <c r="O92" s="168">
        <f t="shared" si="90"/>
        <v>13.047210500554206</v>
      </c>
      <c r="P92" s="168">
        <f t="shared" si="90"/>
        <v>13.047210500554206</v>
      </c>
      <c r="Q92" s="168">
        <f t="shared" si="90"/>
        <v>13.047210500554206</v>
      </c>
      <c r="R92" s="168">
        <f t="shared" si="90"/>
        <v>13.047210500554206</v>
      </c>
      <c r="S92" s="168">
        <f t="shared" si="90"/>
        <v>13.047210500554206</v>
      </c>
      <c r="T92" s="168">
        <f t="shared" si="90"/>
        <v>13.047210500554206</v>
      </c>
      <c r="U92" s="168">
        <f t="shared" si="90"/>
        <v>13.047210500554206</v>
      </c>
      <c r="V92" s="168">
        <f t="shared" si="90"/>
        <v>13.047210500554206</v>
      </c>
      <c r="W92" s="168">
        <f t="shared" si="90"/>
        <v>13.047210500554206</v>
      </c>
      <c r="X92" s="168">
        <f t="shared" si="90"/>
        <v>13.047210500554206</v>
      </c>
      <c r="Y92" s="168">
        <f t="shared" si="90"/>
        <v>13.047210500554206</v>
      </c>
      <c r="Z92" s="168">
        <f t="shared" si="90"/>
        <v>13.047210500554206</v>
      </c>
      <c r="AA92" s="168">
        <f t="shared" si="90"/>
        <v>13.047210500554206</v>
      </c>
      <c r="AB92" s="168">
        <f t="shared" si="90"/>
        <v>13.047210500554206</v>
      </c>
      <c r="AC92" s="168">
        <f t="shared" si="90"/>
        <v>13.047210500554206</v>
      </c>
      <c r="AD92" s="168">
        <f t="shared" si="90"/>
        <v>13.047210500554206</v>
      </c>
      <c r="AE92" s="168">
        <f t="shared" si="90"/>
        <v>13.047210500554206</v>
      </c>
      <c r="AF92" s="168">
        <f t="shared" si="90"/>
        <v>13.047210500554206</v>
      </c>
      <c r="AG92" s="168">
        <f t="shared" si="90"/>
        <v>13.047210500554206</v>
      </c>
      <c r="AH92" s="168">
        <f t="shared" si="90"/>
        <v>13.047210500554206</v>
      </c>
      <c r="AI92" s="168">
        <f t="shared" si="90"/>
        <v>13.047210500554206</v>
      </c>
      <c r="AJ92" s="168">
        <f t="shared" si="90"/>
        <v>13.047210500554206</v>
      </c>
      <c r="AK92" s="168">
        <f t="shared" si="90"/>
        <v>13.047210500554206</v>
      </c>
      <c r="AL92" s="168">
        <f t="shared" si="90"/>
        <v>13.047210500554206</v>
      </c>
      <c r="AM92" s="168">
        <f t="shared" si="90"/>
        <v>13.047210500554206</v>
      </c>
      <c r="AN92" s="168">
        <f t="shared" si="90"/>
        <v>13.047210500554206</v>
      </c>
      <c r="AO92" s="168">
        <f t="shared" si="90"/>
        <v>13.047210500554206</v>
      </c>
      <c r="AP92" s="168">
        <f t="shared" si="90"/>
        <v>13.047210500554206</v>
      </c>
      <c r="AQ92" s="168">
        <f t="shared" si="90"/>
        <v>13.047210500554206</v>
      </c>
      <c r="AR92" s="168">
        <f t="shared" si="90"/>
        <v>13.047210500554206</v>
      </c>
      <c r="AS92" s="168">
        <f t="shared" si="90"/>
        <v>13.047210500554206</v>
      </c>
      <c r="AT92" s="168">
        <f t="shared" si="90"/>
        <v>13.047210500554206</v>
      </c>
      <c r="AU92" s="168">
        <f t="shared" si="90"/>
        <v>13.047210500554206</v>
      </c>
      <c r="AV92" s="168">
        <f t="shared" si="90"/>
        <v>13.047210500554206</v>
      </c>
      <c r="AW92" s="168">
        <f t="shared" si="90"/>
        <v>13.047210500554206</v>
      </c>
      <c r="AX92" s="168">
        <f t="shared" si="90"/>
        <v>13.047210500554206</v>
      </c>
      <c r="AY92" s="168">
        <f t="shared" si="90"/>
        <v>13.047210500554206</v>
      </c>
      <c r="AZ92" s="168">
        <f t="shared" si="90"/>
        <v>13.047210500554206</v>
      </c>
      <c r="BA92" s="168">
        <f t="shared" si="90"/>
        <v>13.047210500554206</v>
      </c>
      <c r="BB92" s="168">
        <f t="shared" si="90"/>
        <v>13.047210500554206</v>
      </c>
      <c r="BC92" s="168">
        <f t="shared" si="90"/>
        <v>13.047210500554206</v>
      </c>
      <c r="BD92" s="168">
        <f t="shared" si="90"/>
        <v>13.047210500554206</v>
      </c>
      <c r="BE92" s="168">
        <f t="shared" si="90"/>
        <v>13.047210500554206</v>
      </c>
      <c r="BF92" s="168">
        <f t="shared" si="90"/>
        <v>13.047210500554206</v>
      </c>
      <c r="BG92" s="168">
        <f t="shared" si="90"/>
        <v>13.047210500554206</v>
      </c>
      <c r="BH92" s="168">
        <f t="shared" si="90"/>
        <v>13.047210500554206</v>
      </c>
      <c r="BI92" s="168">
        <f t="shared" si="90"/>
        <v>13.047210500554206</v>
      </c>
      <c r="BJ92" s="168">
        <f t="shared" si="90"/>
        <v>13.047210500554206</v>
      </c>
      <c r="BK92" s="168">
        <f t="shared" si="90"/>
        <v>13.047210500554206</v>
      </c>
      <c r="BL92" s="168">
        <f t="shared" si="90"/>
        <v>13.047210500554206</v>
      </c>
      <c r="BM92" s="168">
        <f t="shared" si="90"/>
        <v>13.047210500554206</v>
      </c>
      <c r="BN92" s="168">
        <f t="shared" si="90"/>
        <v>13.047210500554206</v>
      </c>
      <c r="BO92" s="168">
        <f t="shared" si="90"/>
        <v>13.047210500554206</v>
      </c>
      <c r="BP92" s="168">
        <f t="shared" si="90"/>
        <v>13.047210500554206</v>
      </c>
      <c r="BQ92" s="168">
        <f t="shared" si="90"/>
        <v>13.047210500554206</v>
      </c>
      <c r="BR92" s="168">
        <f t="shared" ref="BR92:DA92" si="91">((400*(BR59*BR86/100)^0.42)/(((BR59*BR86/100)^0.42)+27.13))+0.1</f>
        <v>13.047210500554206</v>
      </c>
      <c r="BS92" s="168">
        <f t="shared" si="91"/>
        <v>13.047210500554206</v>
      </c>
      <c r="BT92" s="168">
        <f t="shared" si="91"/>
        <v>13.047210500554206</v>
      </c>
      <c r="BU92" s="168">
        <f t="shared" si="91"/>
        <v>13.047210500554206</v>
      </c>
      <c r="BV92" s="168">
        <f t="shared" si="91"/>
        <v>13.047210500554206</v>
      </c>
      <c r="BW92" s="168">
        <f t="shared" si="91"/>
        <v>13.047210500554206</v>
      </c>
      <c r="BX92" s="168">
        <f t="shared" si="91"/>
        <v>13.047210500554206</v>
      </c>
      <c r="BY92" s="168">
        <f t="shared" si="91"/>
        <v>13.047210500554206</v>
      </c>
      <c r="BZ92" s="168">
        <f t="shared" si="91"/>
        <v>13.047210500554206</v>
      </c>
      <c r="CA92" s="168">
        <f t="shared" si="91"/>
        <v>13.047210500554206</v>
      </c>
      <c r="CB92" s="168">
        <f t="shared" si="91"/>
        <v>13.047210500554206</v>
      </c>
      <c r="CC92" s="168">
        <f t="shared" si="91"/>
        <v>13.047210500554206</v>
      </c>
      <c r="CD92" s="168">
        <f t="shared" si="91"/>
        <v>13.047210500554206</v>
      </c>
      <c r="CE92" s="168">
        <f t="shared" si="91"/>
        <v>13.047210500554206</v>
      </c>
      <c r="CF92" s="168">
        <f t="shared" si="91"/>
        <v>13.047210500554206</v>
      </c>
      <c r="CG92" s="168">
        <f t="shared" si="91"/>
        <v>13.047210500554206</v>
      </c>
      <c r="CH92" s="168">
        <f t="shared" si="91"/>
        <v>13.047210500554206</v>
      </c>
      <c r="CI92" s="168">
        <f t="shared" si="91"/>
        <v>13.047210500554206</v>
      </c>
      <c r="CJ92" s="168">
        <f t="shared" si="91"/>
        <v>13.047210500554206</v>
      </c>
      <c r="CK92" s="168">
        <f t="shared" si="91"/>
        <v>13.047210500554206</v>
      </c>
      <c r="CL92" s="168">
        <f t="shared" si="91"/>
        <v>13.047210500554206</v>
      </c>
      <c r="CM92" s="168">
        <f t="shared" si="91"/>
        <v>13.047210500554206</v>
      </c>
      <c r="CN92" s="168">
        <f t="shared" si="91"/>
        <v>13.047210500554206</v>
      </c>
      <c r="CO92" s="168">
        <f t="shared" si="91"/>
        <v>13.047210500554206</v>
      </c>
      <c r="CP92" s="168">
        <f t="shared" si="91"/>
        <v>13.047210500554206</v>
      </c>
      <c r="CQ92" s="168">
        <f t="shared" si="91"/>
        <v>13.047210500554206</v>
      </c>
      <c r="CR92" s="168">
        <f t="shared" si="91"/>
        <v>13.047210500554206</v>
      </c>
      <c r="CS92" s="168">
        <f t="shared" si="91"/>
        <v>13.047210500554206</v>
      </c>
      <c r="CT92" s="168">
        <f t="shared" si="91"/>
        <v>13.047210500554206</v>
      </c>
      <c r="CU92" s="168">
        <f t="shared" si="91"/>
        <v>13.047210500554206</v>
      </c>
      <c r="CV92" s="168">
        <f t="shared" si="91"/>
        <v>13.047210500554206</v>
      </c>
      <c r="CW92" s="168">
        <f t="shared" si="91"/>
        <v>13.047210500554206</v>
      </c>
      <c r="CX92" s="168">
        <f t="shared" si="91"/>
        <v>13.047210500554206</v>
      </c>
      <c r="CY92" s="168">
        <f t="shared" si="91"/>
        <v>13.047210500554206</v>
      </c>
      <c r="CZ92" s="168">
        <f t="shared" si="91"/>
        <v>13.047210500554206</v>
      </c>
      <c r="DA92" s="168">
        <f t="shared" si="91"/>
        <v>13.047210500554206</v>
      </c>
      <c r="DC92">
        <v>88</v>
      </c>
      <c r="DD92" s="114">
        <v>63.416711761944846</v>
      </c>
      <c r="DE92" s="114">
        <v>18.32010456532884</v>
      </c>
      <c r="DF92" s="114">
        <v>-14.599893417871408</v>
      </c>
      <c r="DG92" s="114">
        <v>61.535956793694645</v>
      </c>
      <c r="DH92" s="114">
        <v>15.884654174971946</v>
      </c>
      <c r="DI92" s="114">
        <v>-19.755497211044087</v>
      </c>
      <c r="DJ92" s="114">
        <v>6.004074310554782</v>
      </c>
      <c r="DK92" s="114">
        <f t="shared" si="67"/>
        <v>36.048908326663884</v>
      </c>
      <c r="DL92" s="114">
        <f t="shared" si="68"/>
        <v>5.6103173693738846</v>
      </c>
      <c r="DM92" s="114">
        <f t="shared" si="69"/>
        <v>321.44750699406211</v>
      </c>
      <c r="DN92" s="115">
        <f t="shared" si="70"/>
        <v>15</v>
      </c>
      <c r="DO92">
        <v>6</v>
      </c>
    </row>
    <row r="93" spans="1:119">
      <c r="A93">
        <v>800</v>
      </c>
      <c r="B93" s="120">
        <f t="shared" si="87"/>
        <v>0</v>
      </c>
      <c r="C93" s="112">
        <f>Reference!N93</f>
        <v>10.800767186278412</v>
      </c>
      <c r="D93" s="112"/>
      <c r="E93" s="172" t="s">
        <v>319</v>
      </c>
      <c r="F93" s="168">
        <f t="shared" ref="F93:BQ93" si="92">((400*(F59*F87/100)^0.42)/(((F59*F87/100)^0.42)+27.13))+0.1</f>
        <v>13.047210500554202</v>
      </c>
      <c r="G93" s="168">
        <f t="shared" si="92"/>
        <v>13.047210500554202</v>
      </c>
      <c r="H93" s="168">
        <f t="shared" si="92"/>
        <v>13.047210500554202</v>
      </c>
      <c r="I93" s="168">
        <f t="shared" si="92"/>
        <v>13.047210500554202</v>
      </c>
      <c r="J93" s="168">
        <f t="shared" si="92"/>
        <v>13.047210500554202</v>
      </c>
      <c r="K93" s="168">
        <f t="shared" si="92"/>
        <v>13.047210500554202</v>
      </c>
      <c r="L93" s="168">
        <f t="shared" si="92"/>
        <v>13.047210500554202</v>
      </c>
      <c r="M93" s="168">
        <f t="shared" si="92"/>
        <v>13.047210500554202</v>
      </c>
      <c r="N93" s="168">
        <f t="shared" si="92"/>
        <v>13.047210500554202</v>
      </c>
      <c r="O93" s="168">
        <f t="shared" si="92"/>
        <v>13.047210500554202</v>
      </c>
      <c r="P93" s="168">
        <f t="shared" si="92"/>
        <v>13.047210500554202</v>
      </c>
      <c r="Q93" s="168">
        <f t="shared" si="92"/>
        <v>13.047210500554202</v>
      </c>
      <c r="R93" s="168">
        <f t="shared" si="92"/>
        <v>13.047210500554202</v>
      </c>
      <c r="S93" s="168">
        <f t="shared" si="92"/>
        <v>13.047210500554202</v>
      </c>
      <c r="T93" s="168">
        <f t="shared" si="92"/>
        <v>13.047210500554202</v>
      </c>
      <c r="U93" s="168">
        <f t="shared" si="92"/>
        <v>13.047210500554202</v>
      </c>
      <c r="V93" s="168">
        <f t="shared" si="92"/>
        <v>13.047210500554202</v>
      </c>
      <c r="W93" s="168">
        <f t="shared" si="92"/>
        <v>13.047210500554202</v>
      </c>
      <c r="X93" s="168">
        <f t="shared" si="92"/>
        <v>13.047210500554202</v>
      </c>
      <c r="Y93" s="168">
        <f t="shared" si="92"/>
        <v>13.047210500554202</v>
      </c>
      <c r="Z93" s="168">
        <f t="shared" si="92"/>
        <v>13.047210500554202</v>
      </c>
      <c r="AA93" s="168">
        <f t="shared" si="92"/>
        <v>13.047210500554202</v>
      </c>
      <c r="AB93" s="168">
        <f t="shared" si="92"/>
        <v>13.047210500554202</v>
      </c>
      <c r="AC93" s="168">
        <f t="shared" si="92"/>
        <v>13.047210500554202</v>
      </c>
      <c r="AD93" s="168">
        <f t="shared" si="92"/>
        <v>13.047210500554202</v>
      </c>
      <c r="AE93" s="168">
        <f t="shared" si="92"/>
        <v>13.047210500554202</v>
      </c>
      <c r="AF93" s="168">
        <f t="shared" si="92"/>
        <v>13.047210500554202</v>
      </c>
      <c r="AG93" s="168">
        <f t="shared" si="92"/>
        <v>13.047210500554202</v>
      </c>
      <c r="AH93" s="168">
        <f t="shared" si="92"/>
        <v>13.047210500554202</v>
      </c>
      <c r="AI93" s="168">
        <f t="shared" si="92"/>
        <v>13.047210500554202</v>
      </c>
      <c r="AJ93" s="168">
        <f t="shared" si="92"/>
        <v>13.047210500554202</v>
      </c>
      <c r="AK93" s="168">
        <f t="shared" si="92"/>
        <v>13.047210500554202</v>
      </c>
      <c r="AL93" s="168">
        <f t="shared" si="92"/>
        <v>13.047210500554202</v>
      </c>
      <c r="AM93" s="168">
        <f t="shared" si="92"/>
        <v>13.047210500554202</v>
      </c>
      <c r="AN93" s="168">
        <f t="shared" si="92"/>
        <v>13.047210500554202</v>
      </c>
      <c r="AO93" s="168">
        <f t="shared" si="92"/>
        <v>13.047210500554202</v>
      </c>
      <c r="AP93" s="168">
        <f t="shared" si="92"/>
        <v>13.047210500554202</v>
      </c>
      <c r="AQ93" s="168">
        <f t="shared" si="92"/>
        <v>13.047210500554202</v>
      </c>
      <c r="AR93" s="168">
        <f t="shared" si="92"/>
        <v>13.047210500554202</v>
      </c>
      <c r="AS93" s="168">
        <f t="shared" si="92"/>
        <v>13.047210500554202</v>
      </c>
      <c r="AT93" s="168">
        <f t="shared" si="92"/>
        <v>13.047210500554202</v>
      </c>
      <c r="AU93" s="168">
        <f t="shared" si="92"/>
        <v>13.047210500554202</v>
      </c>
      <c r="AV93" s="168">
        <f t="shared" si="92"/>
        <v>13.047210500554202</v>
      </c>
      <c r="AW93" s="168">
        <f t="shared" si="92"/>
        <v>13.047210500554202</v>
      </c>
      <c r="AX93" s="168">
        <f t="shared" si="92"/>
        <v>13.047210500554202</v>
      </c>
      <c r="AY93" s="168">
        <f t="shared" si="92"/>
        <v>13.047210500554202</v>
      </c>
      <c r="AZ93" s="168">
        <f t="shared" si="92"/>
        <v>13.047210500554202</v>
      </c>
      <c r="BA93" s="168">
        <f t="shared" si="92"/>
        <v>13.047210500554202</v>
      </c>
      <c r="BB93" s="168">
        <f t="shared" si="92"/>
        <v>13.047210500554202</v>
      </c>
      <c r="BC93" s="168">
        <f t="shared" si="92"/>
        <v>13.047210500554202</v>
      </c>
      <c r="BD93" s="168">
        <f t="shared" si="92"/>
        <v>13.047210500554202</v>
      </c>
      <c r="BE93" s="168">
        <f t="shared" si="92"/>
        <v>13.047210500554202</v>
      </c>
      <c r="BF93" s="168">
        <f t="shared" si="92"/>
        <v>13.047210500554202</v>
      </c>
      <c r="BG93" s="168">
        <f t="shared" si="92"/>
        <v>13.047210500554202</v>
      </c>
      <c r="BH93" s="168">
        <f t="shared" si="92"/>
        <v>13.047210500554202</v>
      </c>
      <c r="BI93" s="168">
        <f t="shared" si="92"/>
        <v>13.047210500554202</v>
      </c>
      <c r="BJ93" s="168">
        <f t="shared" si="92"/>
        <v>13.047210500554202</v>
      </c>
      <c r="BK93" s="168">
        <f t="shared" si="92"/>
        <v>13.047210500554202</v>
      </c>
      <c r="BL93" s="168">
        <f t="shared" si="92"/>
        <v>13.047210500554202</v>
      </c>
      <c r="BM93" s="168">
        <f t="shared" si="92"/>
        <v>13.047210500554202</v>
      </c>
      <c r="BN93" s="168">
        <f t="shared" si="92"/>
        <v>13.047210500554202</v>
      </c>
      <c r="BO93" s="168">
        <f t="shared" si="92"/>
        <v>13.047210500554202</v>
      </c>
      <c r="BP93" s="168">
        <f t="shared" si="92"/>
        <v>13.047210500554202</v>
      </c>
      <c r="BQ93" s="168">
        <f t="shared" si="92"/>
        <v>13.047210500554202</v>
      </c>
      <c r="BR93" s="168">
        <f t="shared" ref="BR93:DA93" si="93">((400*(BR59*BR87/100)^0.42)/(((BR59*BR87/100)^0.42)+27.13))+0.1</f>
        <v>13.047210500554202</v>
      </c>
      <c r="BS93" s="168">
        <f t="shared" si="93"/>
        <v>13.047210500554202</v>
      </c>
      <c r="BT93" s="168">
        <f t="shared" si="93"/>
        <v>13.047210500554202</v>
      </c>
      <c r="BU93" s="168">
        <f t="shared" si="93"/>
        <v>13.047210500554202</v>
      </c>
      <c r="BV93" s="168">
        <f t="shared" si="93"/>
        <v>13.047210500554202</v>
      </c>
      <c r="BW93" s="168">
        <f t="shared" si="93"/>
        <v>13.047210500554202</v>
      </c>
      <c r="BX93" s="168">
        <f t="shared" si="93"/>
        <v>13.047210500554202</v>
      </c>
      <c r="BY93" s="168">
        <f t="shared" si="93"/>
        <v>13.047210500554202</v>
      </c>
      <c r="BZ93" s="168">
        <f t="shared" si="93"/>
        <v>13.047210500554202</v>
      </c>
      <c r="CA93" s="168">
        <f t="shared" si="93"/>
        <v>13.047210500554202</v>
      </c>
      <c r="CB93" s="168">
        <f t="shared" si="93"/>
        <v>13.047210500554202</v>
      </c>
      <c r="CC93" s="168">
        <f t="shared" si="93"/>
        <v>13.047210500554202</v>
      </c>
      <c r="CD93" s="168">
        <f t="shared" si="93"/>
        <v>13.047210500554202</v>
      </c>
      <c r="CE93" s="168">
        <f t="shared" si="93"/>
        <v>13.047210500554202</v>
      </c>
      <c r="CF93" s="168">
        <f t="shared" si="93"/>
        <v>13.047210500554202</v>
      </c>
      <c r="CG93" s="168">
        <f t="shared" si="93"/>
        <v>13.047210500554202</v>
      </c>
      <c r="CH93" s="168">
        <f t="shared" si="93"/>
        <v>13.047210500554202</v>
      </c>
      <c r="CI93" s="168">
        <f t="shared" si="93"/>
        <v>13.047210500554202</v>
      </c>
      <c r="CJ93" s="168">
        <f t="shared" si="93"/>
        <v>13.047210500554202</v>
      </c>
      <c r="CK93" s="168">
        <f t="shared" si="93"/>
        <v>13.047210500554202</v>
      </c>
      <c r="CL93" s="168">
        <f t="shared" si="93"/>
        <v>13.047210500554202</v>
      </c>
      <c r="CM93" s="168">
        <f t="shared" si="93"/>
        <v>13.047210500554202</v>
      </c>
      <c r="CN93" s="168">
        <f t="shared" si="93"/>
        <v>13.047210500554202</v>
      </c>
      <c r="CO93" s="168">
        <f t="shared" si="93"/>
        <v>13.047210500554202</v>
      </c>
      <c r="CP93" s="168">
        <f t="shared" si="93"/>
        <v>13.047210500554202</v>
      </c>
      <c r="CQ93" s="168">
        <f t="shared" si="93"/>
        <v>13.047210500554202</v>
      </c>
      <c r="CR93" s="168">
        <f t="shared" si="93"/>
        <v>13.047210500554202</v>
      </c>
      <c r="CS93" s="168">
        <f t="shared" si="93"/>
        <v>13.047210500554202</v>
      </c>
      <c r="CT93" s="168">
        <f t="shared" si="93"/>
        <v>13.047210500554202</v>
      </c>
      <c r="CU93" s="168">
        <f t="shared" si="93"/>
        <v>13.047210500554202</v>
      </c>
      <c r="CV93" s="168">
        <f t="shared" si="93"/>
        <v>13.047210500554202</v>
      </c>
      <c r="CW93" s="168">
        <f t="shared" si="93"/>
        <v>13.047210500554202</v>
      </c>
      <c r="CX93" s="168">
        <f t="shared" si="93"/>
        <v>13.047210500554202</v>
      </c>
      <c r="CY93" s="168">
        <f t="shared" si="93"/>
        <v>13.047210500554202</v>
      </c>
      <c r="CZ93" s="168">
        <f t="shared" si="93"/>
        <v>13.047210500554202</v>
      </c>
      <c r="DA93" s="168">
        <f t="shared" si="93"/>
        <v>13.047210500554202</v>
      </c>
      <c r="DC93">
        <v>89</v>
      </c>
      <c r="DD93" s="114">
        <v>39.303925811161236</v>
      </c>
      <c r="DE93" s="114">
        <v>17.958295966312075</v>
      </c>
      <c r="DF93" s="114">
        <v>-12.73870341188824</v>
      </c>
      <c r="DG93" s="114">
        <v>37.771723550449181</v>
      </c>
      <c r="DH93" s="114">
        <v>13.498718056760131</v>
      </c>
      <c r="DI93" s="114">
        <v>-17.383594357829235</v>
      </c>
      <c r="DJ93" s="114">
        <v>6.6189493727312536</v>
      </c>
      <c r="DK93" s="114">
        <f t="shared" si="67"/>
        <v>43.810490798779455</v>
      </c>
      <c r="DL93" s="114">
        <f t="shared" si="68"/>
        <v>5.6662122125496204</v>
      </c>
      <c r="DM93" s="114">
        <f t="shared" si="69"/>
        <v>324.65004560457737</v>
      </c>
      <c r="DN93" s="115">
        <f t="shared" si="70"/>
        <v>15</v>
      </c>
      <c r="DO93">
        <v>1</v>
      </c>
    </row>
    <row r="94" spans="1:119">
      <c r="A94">
        <v>805</v>
      </c>
      <c r="B94" s="120">
        <f t="shared" si="87"/>
        <v>0</v>
      </c>
      <c r="C94" s="112">
        <f>Reference!N94</f>
        <v>10.876148685778604</v>
      </c>
      <c r="D94" s="112"/>
      <c r="E94" s="172" t="s">
        <v>51</v>
      </c>
      <c r="F94" s="168">
        <f>F88-12*F89/11+F90/11</f>
        <v>5.2618006631144354E-5</v>
      </c>
      <c r="G94" s="168">
        <f t="shared" ref="G94:BR94" si="94">G88-12*G89/11+G90/11</f>
        <v>0.4122451783743657</v>
      </c>
      <c r="H94" s="168">
        <f t="shared" si="94"/>
        <v>0.90629985143697733</v>
      </c>
      <c r="I94" s="168">
        <f t="shared" si="94"/>
        <v>0.28887147352470738</v>
      </c>
      <c r="J94" s="168">
        <f t="shared" si="94"/>
        <v>0.52446845253147545</v>
      </c>
      <c r="K94" s="168">
        <f t="shared" si="94"/>
        <v>0.98294582272275</v>
      </c>
      <c r="L94" s="168">
        <f t="shared" si="94"/>
        <v>0.41746721112504004</v>
      </c>
      <c r="M94" s="168">
        <f t="shared" si="94"/>
        <v>0.87090669900801743</v>
      </c>
      <c r="N94" s="168">
        <f t="shared" si="94"/>
        <v>0.78734823503351548</v>
      </c>
      <c r="O94" s="168">
        <f t="shared" si="94"/>
        <v>4.6785036668707258E-2</v>
      </c>
      <c r="P94" s="168">
        <f t="shared" si="94"/>
        <v>0.95704518660953553</v>
      </c>
      <c r="Q94" s="168">
        <f t="shared" si="94"/>
        <v>0.83306972092696352</v>
      </c>
      <c r="R94" s="168">
        <f t="shared" si="94"/>
        <v>0.94658788727265142</v>
      </c>
      <c r="S94" s="168">
        <f t="shared" si="94"/>
        <v>0.45469811660621834</v>
      </c>
      <c r="T94" s="168">
        <f t="shared" si="94"/>
        <v>0.14237395654845397</v>
      </c>
      <c r="U94" s="168">
        <f t="shared" si="94"/>
        <v>0.33041357935401994</v>
      </c>
      <c r="V94" s="168">
        <f t="shared" si="94"/>
        <v>0.44191780767238237</v>
      </c>
      <c r="W94" s="168">
        <f t="shared" si="94"/>
        <v>0.36643071154865259</v>
      </c>
      <c r="X94" s="168">
        <f t="shared" si="94"/>
        <v>0.29045933788807266</v>
      </c>
      <c r="Y94" s="168">
        <f t="shared" si="94"/>
        <v>0.3938121398410771</v>
      </c>
      <c r="Z94" s="168">
        <f t="shared" si="94"/>
        <v>0.61716164081072389</v>
      </c>
      <c r="AA94" s="168">
        <f t="shared" si="94"/>
        <v>0.44298524316887267</v>
      </c>
      <c r="AB94" s="168">
        <f t="shared" si="94"/>
        <v>0.47945209148732759</v>
      </c>
      <c r="AC94" s="168">
        <f t="shared" si="94"/>
        <v>9.5196561080543307E-2</v>
      </c>
      <c r="AD94" s="168">
        <f t="shared" si="94"/>
        <v>0.18665022548097465</v>
      </c>
      <c r="AE94" s="168">
        <f t="shared" si="94"/>
        <v>0.2372344080086945</v>
      </c>
      <c r="AF94" s="168">
        <f t="shared" si="94"/>
        <v>0.20715103136063062</v>
      </c>
      <c r="AG94" s="168">
        <f t="shared" si="94"/>
        <v>3.2949071709551081E-2</v>
      </c>
      <c r="AH94" s="168">
        <f t="shared" si="94"/>
        <v>3.3608846996267538E-3</v>
      </c>
      <c r="AI94" s="168">
        <f t="shared" si="94"/>
        <v>5.7900835940448925E-2</v>
      </c>
      <c r="AJ94" s="168">
        <f t="shared" si="94"/>
        <v>4.8051060211698582E-2</v>
      </c>
      <c r="AK94" s="168">
        <f t="shared" si="94"/>
        <v>1.0509055105212384E-2</v>
      </c>
      <c r="AL94" s="168">
        <f t="shared" si="94"/>
        <v>-2.0091250877639188E-2</v>
      </c>
      <c r="AM94" s="168">
        <f t="shared" si="94"/>
        <v>4.7257506228448598E-3</v>
      </c>
      <c r="AN94" s="168">
        <f t="shared" si="94"/>
        <v>-8.9535066608600944E-2</v>
      </c>
      <c r="AO94" s="168">
        <f t="shared" si="94"/>
        <v>-5.5798935025539509E-2</v>
      </c>
      <c r="AP94" s="168">
        <f t="shared" si="94"/>
        <v>1.1097455631393638E-3</v>
      </c>
      <c r="AQ94" s="168">
        <f t="shared" si="94"/>
        <v>-0.11374466177154202</v>
      </c>
      <c r="AR94" s="168">
        <f t="shared" si="94"/>
        <v>-6.5488437926563225E-2</v>
      </c>
      <c r="AS94" s="168">
        <f t="shared" si="94"/>
        <v>-3.0408058346707234E-2</v>
      </c>
      <c r="AT94" s="168">
        <f t="shared" si="94"/>
        <v>-7.9171905115744512E-2</v>
      </c>
      <c r="AU94" s="168">
        <f t="shared" si="94"/>
        <v>-6.3987431094545966E-2</v>
      </c>
      <c r="AV94" s="168">
        <f t="shared" si="94"/>
        <v>-0.4562998700194108</v>
      </c>
      <c r="AW94" s="168">
        <f t="shared" si="94"/>
        <v>-0.48469784150567219</v>
      </c>
      <c r="AX94" s="168">
        <f t="shared" si="94"/>
        <v>-8.7442291012480022E-3</v>
      </c>
      <c r="AY94" s="168">
        <f t="shared" si="94"/>
        <v>-0.42802617717877428</v>
      </c>
      <c r="AZ94" s="168">
        <f t="shared" si="94"/>
        <v>-0.32581040929784288</v>
      </c>
      <c r="BA94" s="168">
        <f t="shared" si="94"/>
        <v>-0.18289384200756864</v>
      </c>
      <c r="BB94" s="168">
        <f t="shared" si="94"/>
        <v>-0.47670932131234423</v>
      </c>
      <c r="BC94" s="168">
        <f t="shared" si="94"/>
        <v>-0.34784087117814211</v>
      </c>
      <c r="BD94" s="168">
        <f t="shared" si="94"/>
        <v>-0.34485354112944377</v>
      </c>
      <c r="BE94" s="168">
        <f t="shared" si="94"/>
        <v>-0.29135091198261398</v>
      </c>
      <c r="BF94" s="168">
        <f t="shared" si="94"/>
        <v>-0.39634653943042564</v>
      </c>
      <c r="BG94" s="168">
        <f t="shared" si="94"/>
        <v>-0.6839123932715665</v>
      </c>
      <c r="BH94" s="168">
        <f t="shared" si="94"/>
        <v>-0.30698822854652774</v>
      </c>
      <c r="BI94" s="168">
        <f t="shared" si="94"/>
        <v>-0.34553428382342621</v>
      </c>
      <c r="BJ94" s="168">
        <f t="shared" si="94"/>
        <v>-0.71293944809778909</v>
      </c>
      <c r="BK94" s="168">
        <f t="shared" si="94"/>
        <v>-0.74116799731074989</v>
      </c>
      <c r="BL94" s="168">
        <f t="shared" si="94"/>
        <v>-0.71810450512522417</v>
      </c>
      <c r="BM94" s="168">
        <f t="shared" si="94"/>
        <v>-0.29521635435298466</v>
      </c>
      <c r="BN94" s="168">
        <f t="shared" si="94"/>
        <v>-9.6146075679813148E-2</v>
      </c>
      <c r="BO94" s="168">
        <f t="shared" si="94"/>
        <v>-0.2493465457272328</v>
      </c>
      <c r="BP94" s="168">
        <f t="shared" si="94"/>
        <v>-7.8428439245762482E-2</v>
      </c>
      <c r="BQ94" s="168">
        <f t="shared" si="94"/>
        <v>-1.7987852579158525E-2</v>
      </c>
      <c r="BR94" s="168">
        <f t="shared" si="94"/>
        <v>-0.66354861556435929</v>
      </c>
      <c r="BS94" s="168">
        <f t="shared" ref="BS94:DA94" si="95">BS88-12*BS89/11+BS90/11</f>
        <v>-0.30498041010497923</v>
      </c>
      <c r="BT94" s="168">
        <f t="shared" si="95"/>
        <v>-0.52871695504472094</v>
      </c>
      <c r="BU94" s="168">
        <f t="shared" si="95"/>
        <v>-0.55429457822595019</v>
      </c>
      <c r="BV94" s="168">
        <f t="shared" si="95"/>
        <v>-0.31876017083067765</v>
      </c>
      <c r="BW94" s="168">
        <f t="shared" si="95"/>
        <v>-9.6924445206009291E-2</v>
      </c>
      <c r="BX94" s="168">
        <f t="shared" si="95"/>
        <v>-0.36515057323308353</v>
      </c>
      <c r="BY94" s="168">
        <f t="shared" si="95"/>
        <v>-0.24937369034826107</v>
      </c>
      <c r="BZ94" s="168">
        <f t="shared" si="95"/>
        <v>-8.5220646874728079E-2</v>
      </c>
      <c r="CA94" s="168">
        <f t="shared" si="95"/>
        <v>-0.46016891618218603</v>
      </c>
      <c r="CB94" s="168">
        <f t="shared" si="95"/>
        <v>-7.8322093462701026E-3</v>
      </c>
      <c r="CC94" s="168">
        <f t="shared" si="95"/>
        <v>-0.19250674061166695</v>
      </c>
      <c r="CD94" s="168">
        <f t="shared" si="95"/>
        <v>-0.28323787972084347</v>
      </c>
      <c r="CE94" s="168">
        <f t="shared" si="95"/>
        <v>-0.13127707335987426</v>
      </c>
      <c r="CF94" s="168">
        <f t="shared" si="95"/>
        <v>-0.2316771298410516</v>
      </c>
      <c r="CG94" s="168">
        <f t="shared" si="95"/>
        <v>-4.5600456706820336E-2</v>
      </c>
      <c r="CH94" s="168">
        <f t="shared" si="95"/>
        <v>3.7357358048655365E-2</v>
      </c>
      <c r="CI94" s="168">
        <f t="shared" si="95"/>
        <v>0.1192836965332833</v>
      </c>
      <c r="CJ94" s="168">
        <f t="shared" si="95"/>
        <v>2.3050602785065211E-2</v>
      </c>
      <c r="CK94" s="168">
        <f t="shared" si="95"/>
        <v>6.6530707224281116E-2</v>
      </c>
      <c r="CL94" s="168">
        <f t="shared" si="95"/>
        <v>5.6596124956158345E-2</v>
      </c>
      <c r="CM94" s="168">
        <f t="shared" si="95"/>
        <v>0.10965479188353011</v>
      </c>
      <c r="CN94" s="168">
        <f t="shared" si="95"/>
        <v>0.23324604652423264</v>
      </c>
      <c r="CO94" s="168">
        <f t="shared" si="95"/>
        <v>0.28727462137623061</v>
      </c>
      <c r="CP94" s="168">
        <f t="shared" si="95"/>
        <v>0.40600405315538102</v>
      </c>
      <c r="CQ94" s="168">
        <f t="shared" si="95"/>
        <v>0.35514654781730792</v>
      </c>
      <c r="CR94" s="168">
        <f t="shared" si="95"/>
        <v>0.43913099352173479</v>
      </c>
      <c r="CS94" s="168">
        <f t="shared" si="95"/>
        <v>6.2509386802268363E-2</v>
      </c>
      <c r="CT94" s="168">
        <f t="shared" si="95"/>
        <v>0.34557566352025215</v>
      </c>
      <c r="CU94" s="168">
        <f t="shared" si="95"/>
        <v>0.28554979469590902</v>
      </c>
      <c r="CV94" s="168">
        <f t="shared" si="95"/>
        <v>0.52177605570604113</v>
      </c>
      <c r="CW94" s="168">
        <f t="shared" si="95"/>
        <v>0.42380583221721235</v>
      </c>
      <c r="CX94" s="168">
        <f t="shared" si="95"/>
        <v>0.40399034653379029</v>
      </c>
      <c r="CY94" s="168">
        <f t="shared" si="95"/>
        <v>0.53773137050809006</v>
      </c>
      <c r="CZ94" s="168">
        <f t="shared" si="95"/>
        <v>0.84425988493814663</v>
      </c>
      <c r="DA94" s="168">
        <f t="shared" si="95"/>
        <v>0.91287523181224905</v>
      </c>
      <c r="DC94">
        <v>90</v>
      </c>
      <c r="DD94" s="114">
        <v>44.930090183819836</v>
      </c>
      <c r="DE94" s="114">
        <v>20.473429431015216</v>
      </c>
      <c r="DF94" s="114">
        <v>-12.95606736411488</v>
      </c>
      <c r="DG94" s="114">
        <v>43.589343089034671</v>
      </c>
      <c r="DH94" s="114">
        <v>17.327792230914341</v>
      </c>
      <c r="DI94" s="114">
        <v>-18.704207512107072</v>
      </c>
      <c r="DJ94" s="114">
        <v>6.6883294870836787</v>
      </c>
      <c r="DK94" s="114">
        <f t="shared" si="67"/>
        <v>44.733751327793023</v>
      </c>
      <c r="DL94" s="114">
        <f t="shared" si="68"/>
        <v>5.7189798719487435</v>
      </c>
      <c r="DM94" s="114">
        <f t="shared" si="69"/>
        <v>327.673409782931</v>
      </c>
      <c r="DN94" s="115">
        <f t="shared" si="70"/>
        <v>15</v>
      </c>
      <c r="DO94">
        <v>5</v>
      </c>
    </row>
    <row r="95" spans="1:119">
      <c r="A95">
        <v>810</v>
      </c>
      <c r="B95" s="120">
        <f t="shared" si="87"/>
        <v>0</v>
      </c>
      <c r="C95" s="112">
        <f>Reference!N95</f>
        <v>10.949052349823821</v>
      </c>
      <c r="D95" s="112"/>
      <c r="E95" s="172" t="s">
        <v>52</v>
      </c>
      <c r="F95" s="168">
        <f>(1/9)*(F88+F89-2*F90)</f>
        <v>5.8464451820030818E-6</v>
      </c>
      <c r="G95" s="168">
        <f t="shared" ref="G95:BR95" si="96">(1/9)*(G88+G89-2*G90)</f>
        <v>4.3252436210941089E-2</v>
      </c>
      <c r="H95" s="168">
        <f t="shared" si="96"/>
        <v>0.14279516329595962</v>
      </c>
      <c r="I95" s="168">
        <f t="shared" si="96"/>
        <v>4.6074043388351721E-2</v>
      </c>
      <c r="J95" s="168">
        <f t="shared" si="96"/>
        <v>0.17415978539468666</v>
      </c>
      <c r="K95" s="168">
        <f t="shared" si="96"/>
        <v>0.28862698806917148</v>
      </c>
      <c r="L95" s="168">
        <f t="shared" si="96"/>
        <v>0.16327428815974837</v>
      </c>
      <c r="M95" s="168">
        <f t="shared" si="96"/>
        <v>0.29679284227428321</v>
      </c>
      <c r="N95" s="168">
        <f t="shared" si="96"/>
        <v>0.26399992174398768</v>
      </c>
      <c r="O95" s="168">
        <f t="shared" si="96"/>
        <v>8.3664303294339604E-3</v>
      </c>
      <c r="P95" s="168">
        <f t="shared" si="96"/>
        <v>0.59246525052188204</v>
      </c>
      <c r="Q95" s="168">
        <f t="shared" si="96"/>
        <v>0.57509569731048626</v>
      </c>
      <c r="R95" s="168">
        <f t="shared" si="96"/>
        <v>0.65966581945264258</v>
      </c>
      <c r="S95" s="168">
        <f t="shared" si="96"/>
        <v>0.34597728218122664</v>
      </c>
      <c r="T95" s="168">
        <f t="shared" si="96"/>
        <v>0.13040654053209186</v>
      </c>
      <c r="U95" s="168">
        <f t="shared" si="96"/>
        <v>0.26316895835603166</v>
      </c>
      <c r="V95" s="168">
        <f t="shared" si="96"/>
        <v>0.40343796220324946</v>
      </c>
      <c r="W95" s="168">
        <f t="shared" si="96"/>
        <v>0.4207538966302285</v>
      </c>
      <c r="X95" s="168">
        <f t="shared" si="96"/>
        <v>0.31896761538966717</v>
      </c>
      <c r="Y95" s="168">
        <f t="shared" si="96"/>
        <v>0.67624611730051143</v>
      </c>
      <c r="Z95" s="168">
        <f t="shared" si="96"/>
        <v>0.84079000942217375</v>
      </c>
      <c r="AA95" s="168">
        <f t="shared" si="96"/>
        <v>0.91151014059944024</v>
      </c>
      <c r="AB95" s="168">
        <f t="shared" si="96"/>
        <v>0.91362253002059224</v>
      </c>
      <c r="AC95" s="168">
        <f t="shared" si="96"/>
        <v>0.31125533581475412</v>
      </c>
      <c r="AD95" s="168">
        <f t="shared" si="96"/>
        <v>0.73543970111121437</v>
      </c>
      <c r="AE95" s="168">
        <f t="shared" si="96"/>
        <v>0.99324869934975024</v>
      </c>
      <c r="AF95" s="168">
        <f t="shared" si="96"/>
        <v>0.90656502027936703</v>
      </c>
      <c r="AG95" s="168">
        <f t="shared" si="96"/>
        <v>0.35600903420525931</v>
      </c>
      <c r="AH95" s="168">
        <f t="shared" si="96"/>
        <v>0.31504259643284632</v>
      </c>
      <c r="AI95" s="168">
        <f t="shared" si="96"/>
        <v>0.86707111318319163</v>
      </c>
      <c r="AJ95" s="168">
        <f t="shared" si="96"/>
        <v>0.39002406219742108</v>
      </c>
      <c r="AK95" s="168">
        <f t="shared" si="96"/>
        <v>0.86559020108358109</v>
      </c>
      <c r="AL95" s="168">
        <f t="shared" si="96"/>
        <v>0.91406343711734173</v>
      </c>
      <c r="AM95" s="168">
        <f t="shared" si="96"/>
        <v>0.51378637046252174</v>
      </c>
      <c r="AN95" s="168">
        <f t="shared" si="96"/>
        <v>0.73582489212446878</v>
      </c>
      <c r="AO95" s="168">
        <f t="shared" si="96"/>
        <v>0.30072876481596938</v>
      </c>
      <c r="AP95" s="168">
        <f t="shared" si="96"/>
        <v>0.14179801710105028</v>
      </c>
      <c r="AQ95" s="168">
        <f t="shared" si="96"/>
        <v>0.39760895888654008</v>
      </c>
      <c r="AR95" s="168">
        <f t="shared" si="96"/>
        <v>0.39211435781329324</v>
      </c>
      <c r="AS95" s="168">
        <f t="shared" si="96"/>
        <v>0.10821303886855618</v>
      </c>
      <c r="AT95" s="168">
        <f t="shared" si="96"/>
        <v>0.25242770303354173</v>
      </c>
      <c r="AU95" s="168">
        <f t="shared" si="96"/>
        <v>0.16746446690209005</v>
      </c>
      <c r="AV95" s="168">
        <f t="shared" si="96"/>
        <v>0.74060435205256636</v>
      </c>
      <c r="AW95" s="168">
        <f t="shared" si="96"/>
        <v>0.76958393069558895</v>
      </c>
      <c r="AX95" s="168">
        <f t="shared" si="96"/>
        <v>1.5171438366243351E-2</v>
      </c>
      <c r="AY95" s="168">
        <f t="shared" si="96"/>
        <v>0.45203652207223438</v>
      </c>
      <c r="AZ95" s="168">
        <f t="shared" si="96"/>
        <v>0.34274067462571484</v>
      </c>
      <c r="BA95" s="168">
        <f t="shared" si="96"/>
        <v>0.22001697900776504</v>
      </c>
      <c r="BB95" s="168">
        <f t="shared" si="96"/>
        <v>0.32230837402854423</v>
      </c>
      <c r="BC95" s="168">
        <f t="shared" si="96"/>
        <v>0.25153742874894075</v>
      </c>
      <c r="BD95" s="168">
        <f t="shared" si="96"/>
        <v>0.12835816780729895</v>
      </c>
      <c r="BE95" s="168">
        <f t="shared" si="96"/>
        <v>0.10166050889406561</v>
      </c>
      <c r="BF95" s="168">
        <f t="shared" si="96"/>
        <v>0.13264800647663871</v>
      </c>
      <c r="BG95" s="168">
        <f t="shared" si="96"/>
        <v>7.2289252796594317E-2</v>
      </c>
      <c r="BH95" s="168">
        <f t="shared" si="96"/>
        <v>-1.5471843825797372E-2</v>
      </c>
      <c r="BI95" s="168">
        <f t="shared" si="96"/>
        <v>-4.7064124250241375E-2</v>
      </c>
      <c r="BJ95" s="168">
        <f t="shared" si="96"/>
        <v>-9.49334437855648E-2</v>
      </c>
      <c r="BK95" s="168">
        <f t="shared" si="96"/>
        <v>-0.10217860671757033</v>
      </c>
      <c r="BL95" s="168">
        <f t="shared" si="96"/>
        <v>-0.14807938345038113</v>
      </c>
      <c r="BM95" s="168">
        <f t="shared" si="96"/>
        <v>-6.1919752966566932E-2</v>
      </c>
      <c r="BN95" s="168">
        <f t="shared" si="96"/>
        <v>-4.139457902784234E-2</v>
      </c>
      <c r="BO95" s="168">
        <f t="shared" si="96"/>
        <v>-9.7891081567369365E-2</v>
      </c>
      <c r="BP95" s="168">
        <f t="shared" si="96"/>
        <v>-5.7749768311450976E-2</v>
      </c>
      <c r="BQ95" s="168">
        <f t="shared" si="96"/>
        <v>-2.7364920004348252E-2</v>
      </c>
      <c r="BR95" s="168">
        <f t="shared" si="96"/>
        <v>-0.34638330045810128</v>
      </c>
      <c r="BS95" s="168">
        <f t="shared" ref="BS95:DA95" si="97">(1/9)*(BS88+BS89-2*BS90)</f>
        <v>-0.17589058018841364</v>
      </c>
      <c r="BT95" s="168">
        <f t="shared" si="97"/>
        <v>-0.3646954148183601</v>
      </c>
      <c r="BU95" s="168">
        <f t="shared" si="97"/>
        <v>-0.40835082177492188</v>
      </c>
      <c r="BV95" s="168">
        <f t="shared" si="97"/>
        <v>-0.28943385775956859</v>
      </c>
      <c r="BW95" s="168">
        <f t="shared" si="97"/>
        <v>-0.14948634146516462</v>
      </c>
      <c r="BX95" s="168">
        <f t="shared" si="97"/>
        <v>-0.45044104284035191</v>
      </c>
      <c r="BY95" s="168">
        <f t="shared" si="97"/>
        <v>-0.36999649027370846</v>
      </c>
      <c r="BZ95" s="168">
        <f t="shared" si="97"/>
        <v>-0.11829663096649412</v>
      </c>
      <c r="CA95" s="168">
        <f t="shared" si="97"/>
        <v>-0.60072423407002751</v>
      </c>
      <c r="CB95" s="168">
        <f t="shared" si="97"/>
        <v>-3.5134314951102946E-2</v>
      </c>
      <c r="CC95" s="168">
        <f t="shared" si="97"/>
        <v>-0.38789758529224527</v>
      </c>
      <c r="CD95" s="168">
        <f t="shared" si="97"/>
        <v>-0.7011048303686126</v>
      </c>
      <c r="CE95" s="168">
        <f t="shared" si="97"/>
        <v>-0.4234691051055201</v>
      </c>
      <c r="CF95" s="168">
        <f t="shared" si="97"/>
        <v>-0.66870291603392151</v>
      </c>
      <c r="CG95" s="168">
        <f t="shared" si="97"/>
        <v>-0.34934001136803594</v>
      </c>
      <c r="CH95" s="168">
        <f t="shared" si="97"/>
        <v>-0.42297372572432618</v>
      </c>
      <c r="CI95" s="168">
        <f t="shared" si="97"/>
        <v>-0.52430547244490655</v>
      </c>
      <c r="CJ95" s="168">
        <f t="shared" si="97"/>
        <v>-0.1402530434846759</v>
      </c>
      <c r="CK95" s="168">
        <f t="shared" si="97"/>
        <v>-0.26658596137588197</v>
      </c>
      <c r="CL95" s="168">
        <f t="shared" si="97"/>
        <v>-7.3377586515158702E-2</v>
      </c>
      <c r="CM95" s="168">
        <f t="shared" si="97"/>
        <v>-0.17540615643128613</v>
      </c>
      <c r="CN95" s="168">
        <f t="shared" si="97"/>
        <v>-0.40349287444146337</v>
      </c>
      <c r="CO95" s="168">
        <f t="shared" si="97"/>
        <v>-0.37592638291187203</v>
      </c>
      <c r="CP95" s="168">
        <f t="shared" si="97"/>
        <v>-0.32355797327218738</v>
      </c>
      <c r="CQ95" s="168">
        <f t="shared" si="97"/>
        <v>-0.25192293015369771</v>
      </c>
      <c r="CR95" s="168">
        <f t="shared" si="97"/>
        <v>-0.27789241430746275</v>
      </c>
      <c r="CS95" s="168">
        <f t="shared" si="97"/>
        <v>-2.5231463626601187E-2</v>
      </c>
      <c r="CT95" s="168">
        <f t="shared" si="97"/>
        <v>-0.14018959468371939</v>
      </c>
      <c r="CU95" s="168">
        <f t="shared" si="97"/>
        <v>-0.10626762624097491</v>
      </c>
      <c r="CV95" s="168">
        <f t="shared" si="97"/>
        <v>-0.12487781990056923</v>
      </c>
      <c r="CW95" s="168">
        <f t="shared" si="97"/>
        <v>-9.6529763131105673E-2</v>
      </c>
      <c r="CX95" s="168">
        <f t="shared" si="97"/>
        <v>-7.6184157168336791E-2</v>
      </c>
      <c r="CY95" s="168">
        <f t="shared" si="97"/>
        <v>-5.1458763158782811E-2</v>
      </c>
      <c r="CZ95" s="168">
        <f t="shared" si="97"/>
        <v>1.9938980367548115E-2</v>
      </c>
      <c r="DA95" s="168">
        <f t="shared" si="97"/>
        <v>2.3614704369073536E-2</v>
      </c>
      <c r="DC95">
        <v>91</v>
      </c>
      <c r="DD95" s="114">
        <v>80.925789896692919</v>
      </c>
      <c r="DE95" s="114">
        <v>4.0198976289620241</v>
      </c>
      <c r="DF95" s="114">
        <v>-1.6226027161113561</v>
      </c>
      <c r="DG95" s="114">
        <v>80.217741238100174</v>
      </c>
      <c r="DH95" s="114">
        <v>2.3981695648773202</v>
      </c>
      <c r="DI95" s="114">
        <v>0.34173182795898432</v>
      </c>
      <c r="DJ95" s="114">
        <v>2.6438504151715803</v>
      </c>
      <c r="DK95" s="114">
        <f t="shared" si="67"/>
        <v>6.9899450178029374</v>
      </c>
      <c r="DL95" s="114">
        <f t="shared" si="68"/>
        <v>5.8995425392506373</v>
      </c>
      <c r="DM95" s="114">
        <f t="shared" si="69"/>
        <v>338.01888855695438</v>
      </c>
      <c r="DN95" s="115">
        <f t="shared" si="70"/>
        <v>16</v>
      </c>
      <c r="DO95">
        <v>1</v>
      </c>
    </row>
    <row r="96" spans="1:119">
      <c r="A96">
        <v>815</v>
      </c>
      <c r="B96" s="120">
        <f t="shared" si="87"/>
        <v>0</v>
      </c>
      <c r="C96" s="112">
        <f>Reference!N96</f>
        <v>11.019490726618717</v>
      </c>
      <c r="D96" s="112"/>
      <c r="E96" s="172" t="s">
        <v>320</v>
      </c>
      <c r="F96" s="168">
        <f>IF(F94=0,IF(F95=0,0,IF(F95&gt;=0,(360/(2*PI()))*ATAN2(F94,F95),360+(360/(2*PI()))*ATAN2(F94,F95))),IF(F95&gt;=0,(360/(2*PI()))*ATAN2(F94,F95),360+(360/(2*PI()))*ATAN2(F94,F95)))</f>
        <v>6.3401917467325672</v>
      </c>
      <c r="G96" s="168">
        <f t="shared" ref="G96:BR96" si="98">IF(G94=0,IF(G95=0,0,IF(G95&gt;=0,(360/(2*PI()))*ATAN2(G94,G95),360+(360/(2*PI()))*ATAN2(G94,G95))),IF(G95&gt;=0,(360/(2*PI()))*ATAN2(G94,G95),360+(360/(2*PI()))*ATAN2(G94,G95)))</f>
        <v>5.989514155454807</v>
      </c>
      <c r="H96" s="168">
        <f t="shared" si="98"/>
        <v>8.9538242479024763</v>
      </c>
      <c r="I96" s="168">
        <f t="shared" si="98"/>
        <v>9.0621568983577934</v>
      </c>
      <c r="J96" s="168">
        <f t="shared" si="98"/>
        <v>18.369734214474637</v>
      </c>
      <c r="K96" s="168">
        <f t="shared" si="98"/>
        <v>16.364068533689718</v>
      </c>
      <c r="L96" s="168">
        <f t="shared" si="98"/>
        <v>21.360808675026799</v>
      </c>
      <c r="M96" s="168">
        <f t="shared" si="98"/>
        <v>18.818393378944233</v>
      </c>
      <c r="N96" s="168">
        <f t="shared" si="98"/>
        <v>18.536437109600072</v>
      </c>
      <c r="O96" s="168">
        <f t="shared" si="98"/>
        <v>10.1388647418218</v>
      </c>
      <c r="P96" s="168">
        <f t="shared" si="98"/>
        <v>31.759856907724625</v>
      </c>
      <c r="Q96" s="168">
        <f t="shared" si="98"/>
        <v>34.618607425790479</v>
      </c>
      <c r="R96" s="168">
        <f t="shared" si="98"/>
        <v>34.872180988996533</v>
      </c>
      <c r="S96" s="168">
        <f t="shared" si="98"/>
        <v>37.267305611301403</v>
      </c>
      <c r="T96" s="168">
        <f t="shared" si="98"/>
        <v>42.487932525003416</v>
      </c>
      <c r="U96" s="168">
        <f t="shared" si="98"/>
        <v>38.536742699186171</v>
      </c>
      <c r="V96" s="168">
        <f t="shared" si="98"/>
        <v>42.393745943897819</v>
      </c>
      <c r="W96" s="168">
        <f t="shared" si="98"/>
        <v>48.947692063231841</v>
      </c>
      <c r="X96" s="168">
        <f t="shared" si="98"/>
        <v>47.678276860508127</v>
      </c>
      <c r="Y96" s="168">
        <f t="shared" si="98"/>
        <v>59.785604020035514</v>
      </c>
      <c r="Z96" s="168">
        <f t="shared" si="98"/>
        <v>53.720366683390381</v>
      </c>
      <c r="AA96" s="168">
        <f t="shared" si="98"/>
        <v>64.080689720964429</v>
      </c>
      <c r="AB96" s="168">
        <f t="shared" si="98"/>
        <v>62.310347608580287</v>
      </c>
      <c r="AC96" s="168">
        <f t="shared" si="98"/>
        <v>72.993896849627944</v>
      </c>
      <c r="AD96" s="168">
        <f t="shared" si="98"/>
        <v>75.759343687865709</v>
      </c>
      <c r="AE96" s="168">
        <f t="shared" si="98"/>
        <v>76.566750641157952</v>
      </c>
      <c r="AF96" s="168">
        <f t="shared" si="98"/>
        <v>77.128832343846327</v>
      </c>
      <c r="AG96" s="168">
        <f t="shared" si="98"/>
        <v>84.712268926738503</v>
      </c>
      <c r="AH96" s="168">
        <f t="shared" si="98"/>
        <v>89.388789940344992</v>
      </c>
      <c r="AI96" s="168">
        <f t="shared" si="98"/>
        <v>86.179603378599296</v>
      </c>
      <c r="AJ96" s="168">
        <f t="shared" si="98"/>
        <v>82.976537941221622</v>
      </c>
      <c r="AK96" s="168">
        <f t="shared" si="98"/>
        <v>89.304411115879205</v>
      </c>
      <c r="AL96" s="168">
        <f t="shared" si="98"/>
        <v>91.25916703866092</v>
      </c>
      <c r="AM96" s="168">
        <f t="shared" si="98"/>
        <v>89.473014571857306</v>
      </c>
      <c r="AN96" s="168">
        <f t="shared" si="98"/>
        <v>96.937636804166971</v>
      </c>
      <c r="AO96" s="168">
        <f t="shared" si="98"/>
        <v>100.51144789698776</v>
      </c>
      <c r="AP96" s="168">
        <f t="shared" si="98"/>
        <v>89.551598532337664</v>
      </c>
      <c r="AQ96" s="168">
        <f t="shared" si="98"/>
        <v>105.96432570558213</v>
      </c>
      <c r="AR96" s="168">
        <f t="shared" si="98"/>
        <v>99.48166275105855</v>
      </c>
      <c r="AS96" s="168">
        <f t="shared" si="98"/>
        <v>105.69545841873135</v>
      </c>
      <c r="AT96" s="168">
        <f t="shared" si="98"/>
        <v>107.41361062081428</v>
      </c>
      <c r="AU96" s="168">
        <f t="shared" si="98"/>
        <v>110.91163525227938</v>
      </c>
      <c r="AV96" s="168">
        <f t="shared" si="98"/>
        <v>121.63798127610954</v>
      </c>
      <c r="AW96" s="168">
        <f t="shared" si="98"/>
        <v>122.20346369945693</v>
      </c>
      <c r="AX96" s="168">
        <f t="shared" si="98"/>
        <v>119.95748160372175</v>
      </c>
      <c r="AY96" s="168">
        <f t="shared" si="98"/>
        <v>133.43721333196373</v>
      </c>
      <c r="AZ96" s="168">
        <f t="shared" si="98"/>
        <v>133.54936220564815</v>
      </c>
      <c r="BA96" s="168">
        <f t="shared" si="98"/>
        <v>129.73578139526052</v>
      </c>
      <c r="BB96" s="168">
        <f t="shared" si="98"/>
        <v>145.93694521779346</v>
      </c>
      <c r="BC96" s="168">
        <f t="shared" si="98"/>
        <v>144.12782699795002</v>
      </c>
      <c r="BD96" s="168">
        <f t="shared" si="98"/>
        <v>159.58419646803796</v>
      </c>
      <c r="BE96" s="168">
        <f t="shared" si="98"/>
        <v>160.7646870333088</v>
      </c>
      <c r="BF96" s="168">
        <f t="shared" si="98"/>
        <v>161.49579970226546</v>
      </c>
      <c r="BG96" s="168">
        <f t="shared" si="98"/>
        <v>173.96626404604976</v>
      </c>
      <c r="BH96" s="168">
        <f t="shared" si="98"/>
        <v>182.88519836959259</v>
      </c>
      <c r="BI96" s="168">
        <f t="shared" si="98"/>
        <v>187.75634465739645</v>
      </c>
      <c r="BJ96" s="168">
        <f t="shared" si="98"/>
        <v>187.58476112829209</v>
      </c>
      <c r="BK96" s="168">
        <f t="shared" si="98"/>
        <v>187.84940929261094</v>
      </c>
      <c r="BL96" s="168">
        <f t="shared" si="98"/>
        <v>191.65156980902194</v>
      </c>
      <c r="BM96" s="168">
        <f t="shared" si="98"/>
        <v>191.84571048670958</v>
      </c>
      <c r="BN96" s="168">
        <f t="shared" si="98"/>
        <v>203.2937347504064</v>
      </c>
      <c r="BO96" s="168">
        <f t="shared" si="98"/>
        <v>201.43449954887194</v>
      </c>
      <c r="BP96" s="168">
        <f t="shared" si="98"/>
        <v>216.36559373324792</v>
      </c>
      <c r="BQ96" s="168">
        <f t="shared" si="98"/>
        <v>236.68177926548103</v>
      </c>
      <c r="BR96" s="168">
        <f t="shared" si="98"/>
        <v>207.56530014531253</v>
      </c>
      <c r="BS96" s="168">
        <f t="shared" ref="BS96:DA96" si="99">IF(BS94=0,IF(BS95=0,0,IF(BS95&gt;=0,(360/(2*PI()))*ATAN2(BS94,BS95),360+(360/(2*PI()))*ATAN2(BS94,BS95))),IF(BS95&gt;=0,(360/(2*PI()))*ATAN2(BS94,BS95),360+(360/(2*PI()))*ATAN2(BS94,BS95)))</f>
        <v>209.97322994034954</v>
      </c>
      <c r="BT96" s="168">
        <f t="shared" si="99"/>
        <v>214.59691740524056</v>
      </c>
      <c r="BU96" s="168">
        <f t="shared" si="99"/>
        <v>216.37920889266735</v>
      </c>
      <c r="BV96" s="168">
        <f t="shared" si="99"/>
        <v>222.23941132757506</v>
      </c>
      <c r="BW96" s="168">
        <f t="shared" si="99"/>
        <v>237.0412989558377</v>
      </c>
      <c r="BX96" s="168">
        <f t="shared" si="99"/>
        <v>230.97000507706753</v>
      </c>
      <c r="BY96" s="168">
        <f t="shared" si="99"/>
        <v>236.02044987910836</v>
      </c>
      <c r="BZ96" s="168">
        <f t="shared" si="99"/>
        <v>234.23110034635135</v>
      </c>
      <c r="CA96" s="168">
        <f t="shared" si="99"/>
        <v>232.54703449223666</v>
      </c>
      <c r="CB96" s="168">
        <f t="shared" si="99"/>
        <v>257.43299418156374</v>
      </c>
      <c r="CC96" s="168">
        <f t="shared" si="99"/>
        <v>243.60560479318349</v>
      </c>
      <c r="CD96" s="168">
        <f t="shared" si="99"/>
        <v>248.00188696525657</v>
      </c>
      <c r="CE96" s="168">
        <f t="shared" si="99"/>
        <v>252.77636003959512</v>
      </c>
      <c r="CF96" s="168">
        <f t="shared" si="99"/>
        <v>250.89097381004473</v>
      </c>
      <c r="CG96" s="168">
        <f t="shared" si="99"/>
        <v>262.56304960340879</v>
      </c>
      <c r="CH96" s="168">
        <f t="shared" si="99"/>
        <v>275.04730965212684</v>
      </c>
      <c r="CI96" s="168">
        <f t="shared" si="99"/>
        <v>282.81708419713254</v>
      </c>
      <c r="CJ96" s="168">
        <f t="shared" si="99"/>
        <v>279.33313210872939</v>
      </c>
      <c r="CK96" s="168">
        <f t="shared" si="99"/>
        <v>284.01282027879574</v>
      </c>
      <c r="CL96" s="168">
        <f t="shared" si="99"/>
        <v>307.64299840714568</v>
      </c>
      <c r="CM96" s="168">
        <f t="shared" si="99"/>
        <v>302.01147686136994</v>
      </c>
      <c r="CN96" s="168">
        <f t="shared" si="99"/>
        <v>300.03080362992483</v>
      </c>
      <c r="CO96" s="168">
        <f t="shared" si="99"/>
        <v>307.38626195325412</v>
      </c>
      <c r="CP96" s="168">
        <f t="shared" si="99"/>
        <v>321.44750699406217</v>
      </c>
      <c r="CQ96" s="168">
        <f t="shared" si="99"/>
        <v>324.65004560457737</v>
      </c>
      <c r="CR96" s="168">
        <f t="shared" si="99"/>
        <v>327.673409782931</v>
      </c>
      <c r="CS96" s="168">
        <f t="shared" si="99"/>
        <v>338.01888855695438</v>
      </c>
      <c r="CT96" s="168">
        <f t="shared" si="99"/>
        <v>337.91909346879436</v>
      </c>
      <c r="CU96" s="168">
        <f t="shared" si="99"/>
        <v>339.58720209787003</v>
      </c>
      <c r="CV96" s="168">
        <f t="shared" si="99"/>
        <v>346.54044956067617</v>
      </c>
      <c r="CW96" s="168">
        <f t="shared" si="99"/>
        <v>347.16870775293177</v>
      </c>
      <c r="CX96" s="168">
        <f t="shared" si="99"/>
        <v>349.32062545174199</v>
      </c>
      <c r="CY96" s="168">
        <f t="shared" si="99"/>
        <v>354.53366659833245</v>
      </c>
      <c r="CZ96" s="168">
        <f t="shared" si="99"/>
        <v>1.3529093501021456</v>
      </c>
      <c r="DA96" s="168">
        <f t="shared" si="99"/>
        <v>1.4818248584549221</v>
      </c>
      <c r="DC96">
        <v>92</v>
      </c>
      <c r="DD96" s="114">
        <v>57.539133170356337</v>
      </c>
      <c r="DE96" s="114">
        <v>16.90894110576669</v>
      </c>
      <c r="DF96" s="114">
        <v>-6.8594459922360791</v>
      </c>
      <c r="DG96" s="114">
        <v>54.331393241897537</v>
      </c>
      <c r="DH96" s="114">
        <v>11.554061588416904</v>
      </c>
      <c r="DI96" s="114">
        <v>-11.283627787199958</v>
      </c>
      <c r="DJ96" s="114">
        <v>7.6509943568696324</v>
      </c>
      <c r="DK96" s="114">
        <f t="shared" si="67"/>
        <v>58.537714648850958</v>
      </c>
      <c r="DL96" s="114">
        <f t="shared" si="68"/>
        <v>5.897800786384928</v>
      </c>
      <c r="DM96" s="114">
        <f t="shared" si="69"/>
        <v>337.91909346879436</v>
      </c>
      <c r="DN96" s="115">
        <f t="shared" si="70"/>
        <v>16</v>
      </c>
      <c r="DO96">
        <v>1</v>
      </c>
    </row>
    <row r="97" spans="1:119">
      <c r="A97">
        <v>820</v>
      </c>
      <c r="B97" s="120">
        <f t="shared" si="87"/>
        <v>0</v>
      </c>
      <c r="C97" s="112">
        <f>Reference!N97</f>
        <v>11.087477932888135</v>
      </c>
      <c r="D97" s="112"/>
      <c r="E97" s="172" t="s">
        <v>321</v>
      </c>
      <c r="F97" s="168">
        <f>IF(F96&lt;20.14,385.9+(14.1*(F96)/0.856)/((F96)/0.856+(20.14-F96)/0.8),IF(F96&lt;90,(100*(F96-20.14)/0.8)/((F96-20.14)/0.8+(90-F96)/0.7),IF(F96&lt;164.25,100+(100*(F96-90)/0.7)/((F96-90)/0.7+(164.25-F96)/1),IF(F96&lt;237.53,200+(100*(F96-164.25)/1)/((F96-164.25)/1+(237.53-F96)/1.2),300+(85.9*(F96-237.53)/1.2)/((F96-237.53)/1.2+(360-F96)/0.856)))))</f>
        <v>390.13560885437408</v>
      </c>
      <c r="G97" s="168">
        <f t="shared" ref="G97:BR97" si="100">IF(G96&lt;20.14,385.9+(14.1*(G96)/0.856)/((G96)/0.856+(20.14-G96)/0.8),IF(G96&lt;90,(100*(G96-20.14)/0.8)/((G96-20.14)/0.8+(90-G96)/0.7),IF(G96&lt;164.25,100+(100*(G96-90)/0.7)/((G96-90)/0.7+(164.25-G96)/1),IF(G96&lt;237.53,200+(100*(G96-164.25)/1)/((G96-164.25)/1+(237.53-G96)/1.2),300+(85.9*(G96-237.53)/1.2)/((G96-237.53)/1.2+(360-G96)/0.856)))))</f>
        <v>389.89668789986422</v>
      </c>
      <c r="H97" s="168">
        <f t="shared" si="100"/>
        <v>391.93396869389022</v>
      </c>
      <c r="I97" s="168">
        <f t="shared" si="100"/>
        <v>392.00918810121101</v>
      </c>
      <c r="J97" s="168">
        <f t="shared" si="100"/>
        <v>398.68199234181441</v>
      </c>
      <c r="K97" s="168">
        <f t="shared" si="100"/>
        <v>397.20806714332429</v>
      </c>
      <c r="L97" s="168">
        <f t="shared" si="100"/>
        <v>1.5324163679403338</v>
      </c>
      <c r="M97" s="168">
        <f t="shared" si="100"/>
        <v>399.01450306145296</v>
      </c>
      <c r="N97" s="168">
        <f t="shared" si="100"/>
        <v>398.80541895140385</v>
      </c>
      <c r="O97" s="168">
        <f t="shared" si="100"/>
        <v>392.7597623669671</v>
      </c>
      <c r="P97" s="168">
        <f t="shared" si="100"/>
        <v>14.862949436527398</v>
      </c>
      <c r="Q97" s="168">
        <f t="shared" si="100"/>
        <v>18.616824527449733</v>
      </c>
      <c r="R97" s="168">
        <f t="shared" si="100"/>
        <v>18.951700865108197</v>
      </c>
      <c r="S97" s="168">
        <f t="shared" si="100"/>
        <v>22.130234057145248</v>
      </c>
      <c r="T97" s="168">
        <f t="shared" si="100"/>
        <v>29.15678990283542</v>
      </c>
      <c r="U97" s="168">
        <f t="shared" si="100"/>
        <v>23.826306764324126</v>
      </c>
      <c r="V97" s="168">
        <f t="shared" si="100"/>
        <v>29.028811100807403</v>
      </c>
      <c r="W97" s="168">
        <f t="shared" si="100"/>
        <v>38.042705008969826</v>
      </c>
      <c r="X97" s="168">
        <f t="shared" si="100"/>
        <v>36.279465667511673</v>
      </c>
      <c r="Y97" s="168">
        <f t="shared" si="100"/>
        <v>53.447774317123077</v>
      </c>
      <c r="Z97" s="168">
        <f t="shared" si="100"/>
        <v>44.748283051257197</v>
      </c>
      <c r="AA97" s="168">
        <f t="shared" si="100"/>
        <v>59.732248423620398</v>
      </c>
      <c r="AB97" s="168">
        <f t="shared" si="100"/>
        <v>57.129266289851842</v>
      </c>
      <c r="AC97" s="168">
        <f t="shared" si="100"/>
        <v>73.114267355779504</v>
      </c>
      <c r="AD97" s="168">
        <f t="shared" si="100"/>
        <v>77.362575621962549</v>
      </c>
      <c r="AE97" s="168">
        <f t="shared" si="100"/>
        <v>78.611742483928822</v>
      </c>
      <c r="AF97" s="168">
        <f t="shared" si="100"/>
        <v>79.483731158270984</v>
      </c>
      <c r="AG97" s="168">
        <f t="shared" si="100"/>
        <v>91.442203727171247</v>
      </c>
      <c r="AH97" s="168">
        <f t="shared" si="100"/>
        <v>99.001354411896173</v>
      </c>
      <c r="AI97" s="168">
        <f t="shared" si="100"/>
        <v>93.798565787072803</v>
      </c>
      <c r="AJ97" s="168">
        <f t="shared" si="100"/>
        <v>88.672827933861768</v>
      </c>
      <c r="AK97" s="168">
        <f t="shared" si="100"/>
        <v>98.863685126780155</v>
      </c>
      <c r="AL97" s="168">
        <f t="shared" si="100"/>
        <v>102.40515930104303</v>
      </c>
      <c r="AM97" s="168">
        <f t="shared" si="100"/>
        <v>99.138819449280348</v>
      </c>
      <c r="AN97" s="168">
        <f t="shared" si="100"/>
        <v>112.83409695806338</v>
      </c>
      <c r="AO97" s="168">
        <f t="shared" si="100"/>
        <v>119.06719829301052</v>
      </c>
      <c r="AP97" s="168">
        <f t="shared" si="100"/>
        <v>99.267120874290868</v>
      </c>
      <c r="AQ97" s="168">
        <f t="shared" si="100"/>
        <v>128.12388481695029</v>
      </c>
      <c r="AR97" s="168">
        <f t="shared" si="100"/>
        <v>117.29615000909054</v>
      </c>
      <c r="AS97" s="168">
        <f t="shared" si="100"/>
        <v>127.68957516468036</v>
      </c>
      <c r="AT97" s="168">
        <f t="shared" si="100"/>
        <v>130.4438631719224</v>
      </c>
      <c r="AU97" s="168">
        <f t="shared" si="100"/>
        <v>135.90073329901716</v>
      </c>
      <c r="AV97" s="168">
        <f t="shared" si="100"/>
        <v>151.47199798162524</v>
      </c>
      <c r="AW97" s="168">
        <f t="shared" si="100"/>
        <v>152.24778257095576</v>
      </c>
      <c r="AX97" s="168">
        <f t="shared" si="100"/>
        <v>149.14104107994461</v>
      </c>
      <c r="AY97" s="168">
        <f t="shared" si="100"/>
        <v>166.82014544380482</v>
      </c>
      <c r="AZ97" s="168">
        <f t="shared" si="100"/>
        <v>166.95801095014104</v>
      </c>
      <c r="BA97" s="168">
        <f t="shared" si="100"/>
        <v>162.18847276244321</v>
      </c>
      <c r="BB97" s="168">
        <f t="shared" si="100"/>
        <v>181.35563039252708</v>
      </c>
      <c r="BC97" s="168">
        <f t="shared" si="100"/>
        <v>179.35078471604595</v>
      </c>
      <c r="BD97" s="168">
        <f t="shared" si="100"/>
        <v>195.51674555467957</v>
      </c>
      <c r="BE97" s="168">
        <f t="shared" si="100"/>
        <v>196.66725104904469</v>
      </c>
      <c r="BF97" s="168">
        <f t="shared" si="100"/>
        <v>197.37422772149779</v>
      </c>
      <c r="BG97" s="168">
        <f t="shared" si="100"/>
        <v>215.49988390535563</v>
      </c>
      <c r="BH97" s="168">
        <f t="shared" si="100"/>
        <v>229.03921269821902</v>
      </c>
      <c r="BI97" s="168">
        <f t="shared" si="100"/>
        <v>236.1722936486982</v>
      </c>
      <c r="BJ97" s="168">
        <f t="shared" si="100"/>
        <v>235.92406444947946</v>
      </c>
      <c r="BK97" s="168">
        <f t="shared" si="100"/>
        <v>236.30683851867784</v>
      </c>
      <c r="BL97" s="168">
        <f t="shared" si="100"/>
        <v>241.74930509643821</v>
      </c>
      <c r="BM97" s="168">
        <f t="shared" si="100"/>
        <v>242.02438212226238</v>
      </c>
      <c r="BN97" s="168">
        <f t="shared" si="100"/>
        <v>257.77926464855886</v>
      </c>
      <c r="BO97" s="168">
        <f t="shared" si="100"/>
        <v>255.28135930458711</v>
      </c>
      <c r="BP97" s="168">
        <f t="shared" si="100"/>
        <v>274.71491315537241</v>
      </c>
      <c r="BQ97" s="168">
        <f t="shared" si="100"/>
        <v>299.03354682295486</v>
      </c>
      <c r="BR97" s="168">
        <f t="shared" si="100"/>
        <v>263.43229085652894</v>
      </c>
      <c r="BS97" s="168">
        <f t="shared" ref="BS97:DA97" si="101">IF(BS96&lt;20.14,385.9+(14.1*(BS96)/0.856)/((BS96)/0.856+(20.14-BS96)/0.8),IF(BS96&lt;90,(100*(BS96-20.14)/0.8)/((BS96-20.14)/0.8+(90-BS96)/0.7),IF(BS96&lt;164.25,100+(100*(BS96-90)/0.7)/((BS96-90)/0.7+(164.25-BS96)/1),IF(BS96&lt;237.53,200+(100*(BS96-164.25)/1)/((BS96-164.25)/1+(237.53-BS96)/1.2),300+(85.9*(BS96-237.53)/1.2)/((BS96-237.53)/1.2+(360-BS96)/0.856)))))</f>
        <v>266.5673176641377</v>
      </c>
      <c r="BT97" s="168">
        <f t="shared" si="101"/>
        <v>272.48560020845991</v>
      </c>
      <c r="BU97" s="168">
        <f t="shared" si="101"/>
        <v>274.73200118661634</v>
      </c>
      <c r="BV97" s="168">
        <f t="shared" si="101"/>
        <v>281.98519064767316</v>
      </c>
      <c r="BW97" s="168">
        <f t="shared" si="101"/>
        <v>299.44363533006668</v>
      </c>
      <c r="BX97" s="168">
        <f t="shared" si="101"/>
        <v>292.42704695461339</v>
      </c>
      <c r="BY97" s="168">
        <f t="shared" si="101"/>
        <v>298.27743961133376</v>
      </c>
      <c r="BZ97" s="168">
        <f t="shared" si="101"/>
        <v>296.2201620887908</v>
      </c>
      <c r="CA97" s="168">
        <f t="shared" si="101"/>
        <v>294.26846158085266</v>
      </c>
      <c r="CB97" s="168">
        <f t="shared" si="101"/>
        <v>310.44463740185779</v>
      </c>
      <c r="CC97" s="168">
        <f t="shared" si="101"/>
        <v>303.08365666375335</v>
      </c>
      <c r="CD97" s="168">
        <f t="shared" si="101"/>
        <v>305.37104536074639</v>
      </c>
      <c r="CE97" s="168">
        <f t="shared" si="101"/>
        <v>307.91050570248217</v>
      </c>
      <c r="CF97" s="168">
        <f t="shared" si="101"/>
        <v>306.90070069257314</v>
      </c>
      <c r="CG97" s="168">
        <f t="shared" si="101"/>
        <v>313.30433789440752</v>
      </c>
      <c r="CH97" s="168">
        <f t="shared" si="101"/>
        <v>320.57812178130803</v>
      </c>
      <c r="CI97" s="168">
        <f t="shared" si="101"/>
        <v>325.34514028285264</v>
      </c>
      <c r="CJ97" s="168">
        <f t="shared" si="101"/>
        <v>323.18384916324811</v>
      </c>
      <c r="CK97" s="168">
        <f t="shared" si="101"/>
        <v>326.09603983586049</v>
      </c>
      <c r="CL97" s="168">
        <f t="shared" si="101"/>
        <v>341.96696180805259</v>
      </c>
      <c r="CM97" s="168">
        <f t="shared" si="101"/>
        <v>337.99694389315647</v>
      </c>
      <c r="CN97" s="168">
        <f t="shared" si="101"/>
        <v>336.62978398174596</v>
      </c>
      <c r="CO97" s="168">
        <f t="shared" si="101"/>
        <v>341.78324984564341</v>
      </c>
      <c r="CP97" s="168">
        <f t="shared" si="101"/>
        <v>352.24959462759557</v>
      </c>
      <c r="CQ97" s="168">
        <f t="shared" si="101"/>
        <v>354.75437404617958</v>
      </c>
      <c r="CR97" s="168">
        <f t="shared" si="101"/>
        <v>357.16269252638966</v>
      </c>
      <c r="CS97" s="168">
        <f t="shared" si="101"/>
        <v>365.74077236636589</v>
      </c>
      <c r="CT97" s="168">
        <f t="shared" si="101"/>
        <v>365.65543208071563</v>
      </c>
      <c r="CU97" s="168">
        <f t="shared" si="101"/>
        <v>367.08880398415437</v>
      </c>
      <c r="CV97" s="168">
        <f t="shared" si="101"/>
        <v>373.22546479529007</v>
      </c>
      <c r="CW97" s="168">
        <f t="shared" si="101"/>
        <v>373.79317735759622</v>
      </c>
      <c r="CX97" s="168">
        <f t="shared" si="101"/>
        <v>375.75485239445669</v>
      </c>
      <c r="CY97" s="168">
        <f t="shared" si="101"/>
        <v>380.61985169096636</v>
      </c>
      <c r="CZ97" s="168">
        <f t="shared" si="101"/>
        <v>386.78911378113884</v>
      </c>
      <c r="DA97" s="168">
        <f t="shared" si="101"/>
        <v>386.87424508558024</v>
      </c>
      <c r="DC97">
        <v>93</v>
      </c>
      <c r="DD97" s="114">
        <v>68.324662397120932</v>
      </c>
      <c r="DE97" s="114">
        <v>14.23891615587713</v>
      </c>
      <c r="DF97" s="114">
        <v>-5.2990261181616871</v>
      </c>
      <c r="DG97" s="114">
        <v>66.665854417745635</v>
      </c>
      <c r="DH97" s="114">
        <v>10.200066319856068</v>
      </c>
      <c r="DI97" s="114">
        <v>-7.8273498878697012</v>
      </c>
      <c r="DJ97" s="114">
        <v>5.0454309027908657</v>
      </c>
      <c r="DK97" s="114">
        <f t="shared" si="67"/>
        <v>25.45637299483705</v>
      </c>
      <c r="DL97" s="114">
        <f t="shared" si="68"/>
        <v>5.9269147742432278</v>
      </c>
      <c r="DM97" s="114">
        <f t="shared" si="69"/>
        <v>339.58720209787003</v>
      </c>
      <c r="DN97" s="115">
        <f t="shared" si="70"/>
        <v>16</v>
      </c>
      <c r="DO97">
        <v>4</v>
      </c>
    </row>
    <row r="98" spans="1:119">
      <c r="A98">
        <v>825</v>
      </c>
      <c r="B98" s="120">
        <f t="shared" si="87"/>
        <v>0</v>
      </c>
      <c r="C98" s="112">
        <f>Reference!N98</f>
        <v>11.153029570425463</v>
      </c>
      <c r="D98" s="112"/>
      <c r="E98" s="172" t="s">
        <v>322</v>
      </c>
      <c r="F98" s="168">
        <f>IF(F97&gt;300,F97-300,IF(F97&lt;100,100-F97,0))</f>
        <v>90.135608854374084</v>
      </c>
      <c r="G98" s="168">
        <f t="shared" ref="G98:BR98" si="102">IF(G97&gt;300,G97-300,IF(G97&lt;100,100-G97,0))</f>
        <v>89.896687899864219</v>
      </c>
      <c r="H98" s="168">
        <f t="shared" si="102"/>
        <v>91.933968693890222</v>
      </c>
      <c r="I98" s="168">
        <f t="shared" si="102"/>
        <v>92.009188101211009</v>
      </c>
      <c r="J98" s="168">
        <f t="shared" si="102"/>
        <v>98.681992341814407</v>
      </c>
      <c r="K98" s="168">
        <f t="shared" si="102"/>
        <v>97.208067143324286</v>
      </c>
      <c r="L98" s="168">
        <f t="shared" si="102"/>
        <v>98.467583632059672</v>
      </c>
      <c r="M98" s="168">
        <f t="shared" si="102"/>
        <v>99.014503061452956</v>
      </c>
      <c r="N98" s="168">
        <f t="shared" si="102"/>
        <v>98.805418951403851</v>
      </c>
      <c r="O98" s="168">
        <f t="shared" si="102"/>
        <v>92.759762366967095</v>
      </c>
      <c r="P98" s="168">
        <f t="shared" si="102"/>
        <v>85.137050563472599</v>
      </c>
      <c r="Q98" s="168">
        <f t="shared" si="102"/>
        <v>81.383175472550263</v>
      </c>
      <c r="R98" s="168">
        <f t="shared" si="102"/>
        <v>81.048299134891806</v>
      </c>
      <c r="S98" s="168">
        <f t="shared" si="102"/>
        <v>77.869765942854755</v>
      </c>
      <c r="T98" s="168">
        <f t="shared" si="102"/>
        <v>70.843210097164587</v>
      </c>
      <c r="U98" s="168">
        <f t="shared" si="102"/>
        <v>76.17369323567587</v>
      </c>
      <c r="V98" s="168">
        <f t="shared" si="102"/>
        <v>70.971188899192597</v>
      </c>
      <c r="W98" s="168">
        <f t="shared" si="102"/>
        <v>61.957294991030174</v>
      </c>
      <c r="X98" s="168">
        <f t="shared" si="102"/>
        <v>63.720534332488327</v>
      </c>
      <c r="Y98" s="168">
        <f t="shared" si="102"/>
        <v>46.552225682876923</v>
      </c>
      <c r="Z98" s="168">
        <f t="shared" si="102"/>
        <v>55.251716948742803</v>
      </c>
      <c r="AA98" s="168">
        <f t="shared" si="102"/>
        <v>40.267751576379602</v>
      </c>
      <c r="AB98" s="168">
        <f t="shared" si="102"/>
        <v>42.870733710148158</v>
      </c>
      <c r="AC98" s="168">
        <f t="shared" si="102"/>
        <v>26.885732644220496</v>
      </c>
      <c r="AD98" s="168">
        <f t="shared" si="102"/>
        <v>22.637424378037451</v>
      </c>
      <c r="AE98" s="168">
        <f t="shared" si="102"/>
        <v>21.388257516071178</v>
      </c>
      <c r="AF98" s="168">
        <f t="shared" si="102"/>
        <v>20.516268841729016</v>
      </c>
      <c r="AG98" s="168">
        <f t="shared" si="102"/>
        <v>8.5577962728287531</v>
      </c>
      <c r="AH98" s="168">
        <f t="shared" si="102"/>
        <v>0.99864558810382675</v>
      </c>
      <c r="AI98" s="168">
        <f t="shared" si="102"/>
        <v>6.2014342129271967</v>
      </c>
      <c r="AJ98" s="168">
        <f t="shared" si="102"/>
        <v>11.327172066138232</v>
      </c>
      <c r="AK98" s="168">
        <f t="shared" si="102"/>
        <v>1.1363148732198454</v>
      </c>
      <c r="AL98" s="168">
        <f t="shared" si="102"/>
        <v>0</v>
      </c>
      <c r="AM98" s="168">
        <f t="shared" si="102"/>
        <v>0.86118055071965216</v>
      </c>
      <c r="AN98" s="168">
        <f t="shared" si="102"/>
        <v>0</v>
      </c>
      <c r="AO98" s="168">
        <f t="shared" si="102"/>
        <v>0</v>
      </c>
      <c r="AP98" s="168">
        <f t="shared" si="102"/>
        <v>0.7328791257091325</v>
      </c>
      <c r="AQ98" s="168">
        <f t="shared" si="102"/>
        <v>0</v>
      </c>
      <c r="AR98" s="168">
        <f t="shared" si="102"/>
        <v>0</v>
      </c>
      <c r="AS98" s="168">
        <f t="shared" si="102"/>
        <v>0</v>
      </c>
      <c r="AT98" s="168">
        <f t="shared" si="102"/>
        <v>0</v>
      </c>
      <c r="AU98" s="168">
        <f t="shared" si="102"/>
        <v>0</v>
      </c>
      <c r="AV98" s="168">
        <f t="shared" si="102"/>
        <v>0</v>
      </c>
      <c r="AW98" s="168">
        <f t="shared" si="102"/>
        <v>0</v>
      </c>
      <c r="AX98" s="168">
        <f t="shared" si="102"/>
        <v>0</v>
      </c>
      <c r="AY98" s="168">
        <f t="shared" si="102"/>
        <v>0</v>
      </c>
      <c r="AZ98" s="168">
        <f t="shared" si="102"/>
        <v>0</v>
      </c>
      <c r="BA98" s="168">
        <f t="shared" si="102"/>
        <v>0</v>
      </c>
      <c r="BB98" s="168">
        <f t="shared" si="102"/>
        <v>0</v>
      </c>
      <c r="BC98" s="168">
        <f t="shared" si="102"/>
        <v>0</v>
      </c>
      <c r="BD98" s="168">
        <f t="shared" si="102"/>
        <v>0</v>
      </c>
      <c r="BE98" s="168">
        <f t="shared" si="102"/>
        <v>0</v>
      </c>
      <c r="BF98" s="168">
        <f t="shared" si="102"/>
        <v>0</v>
      </c>
      <c r="BG98" s="168">
        <f t="shared" si="102"/>
        <v>0</v>
      </c>
      <c r="BH98" s="168">
        <f t="shared" si="102"/>
        <v>0</v>
      </c>
      <c r="BI98" s="168">
        <f t="shared" si="102"/>
        <v>0</v>
      </c>
      <c r="BJ98" s="168">
        <f t="shared" si="102"/>
        <v>0</v>
      </c>
      <c r="BK98" s="168">
        <f t="shared" si="102"/>
        <v>0</v>
      </c>
      <c r="BL98" s="168">
        <f t="shared" si="102"/>
        <v>0</v>
      </c>
      <c r="BM98" s="168">
        <f t="shared" si="102"/>
        <v>0</v>
      </c>
      <c r="BN98" s="168">
        <f t="shared" si="102"/>
        <v>0</v>
      </c>
      <c r="BO98" s="168">
        <f t="shared" si="102"/>
        <v>0</v>
      </c>
      <c r="BP98" s="168">
        <f t="shared" si="102"/>
        <v>0</v>
      </c>
      <c r="BQ98" s="168">
        <f t="shared" si="102"/>
        <v>0</v>
      </c>
      <c r="BR98" s="168">
        <f t="shared" si="102"/>
        <v>0</v>
      </c>
      <c r="BS98" s="168">
        <f t="shared" ref="BS98:DA98" si="103">IF(BS97&gt;300,BS97-300,IF(BS97&lt;100,100-BS97,0))</f>
        <v>0</v>
      </c>
      <c r="BT98" s="168">
        <f t="shared" si="103"/>
        <v>0</v>
      </c>
      <c r="BU98" s="168">
        <f t="shared" si="103"/>
        <v>0</v>
      </c>
      <c r="BV98" s="168">
        <f t="shared" si="103"/>
        <v>0</v>
      </c>
      <c r="BW98" s="168">
        <f t="shared" si="103"/>
        <v>0</v>
      </c>
      <c r="BX98" s="168">
        <f t="shared" si="103"/>
        <v>0</v>
      </c>
      <c r="BY98" s="168">
        <f t="shared" si="103"/>
        <v>0</v>
      </c>
      <c r="BZ98" s="168">
        <f t="shared" si="103"/>
        <v>0</v>
      </c>
      <c r="CA98" s="168">
        <f t="shared" si="103"/>
        <v>0</v>
      </c>
      <c r="CB98" s="168">
        <f t="shared" si="103"/>
        <v>10.44463740185779</v>
      </c>
      <c r="CC98" s="168">
        <f t="shared" si="103"/>
        <v>3.0836566637533451</v>
      </c>
      <c r="CD98" s="168">
        <f t="shared" si="103"/>
        <v>5.3710453607463933</v>
      </c>
      <c r="CE98" s="168">
        <f t="shared" si="103"/>
        <v>7.910505702482169</v>
      </c>
      <c r="CF98" s="168">
        <f t="shared" si="103"/>
        <v>6.9007006925731389</v>
      </c>
      <c r="CG98" s="168">
        <f t="shared" si="103"/>
        <v>13.304337894407524</v>
      </c>
      <c r="CH98" s="168">
        <f t="shared" si="103"/>
        <v>20.578121781308027</v>
      </c>
      <c r="CI98" s="168">
        <f t="shared" si="103"/>
        <v>25.34514028285264</v>
      </c>
      <c r="CJ98" s="168">
        <f t="shared" si="103"/>
        <v>23.183849163248112</v>
      </c>
      <c r="CK98" s="168">
        <f t="shared" si="103"/>
        <v>26.096039835860495</v>
      </c>
      <c r="CL98" s="168">
        <f t="shared" si="103"/>
        <v>41.966961808052588</v>
      </c>
      <c r="CM98" s="168">
        <f t="shared" si="103"/>
        <v>37.99694389315647</v>
      </c>
      <c r="CN98" s="168">
        <f t="shared" si="103"/>
        <v>36.629783981745959</v>
      </c>
      <c r="CO98" s="168">
        <f t="shared" si="103"/>
        <v>41.783249845643411</v>
      </c>
      <c r="CP98" s="168">
        <f t="shared" si="103"/>
        <v>52.24959462759557</v>
      </c>
      <c r="CQ98" s="168">
        <f t="shared" si="103"/>
        <v>54.754374046179578</v>
      </c>
      <c r="CR98" s="168">
        <f t="shared" si="103"/>
        <v>57.162692526389662</v>
      </c>
      <c r="CS98" s="168">
        <f t="shared" si="103"/>
        <v>65.740772366365889</v>
      </c>
      <c r="CT98" s="168">
        <f t="shared" si="103"/>
        <v>65.655432080715627</v>
      </c>
      <c r="CU98" s="168">
        <f t="shared" si="103"/>
        <v>67.088803984154367</v>
      </c>
      <c r="CV98" s="168">
        <f t="shared" si="103"/>
        <v>73.225464795290065</v>
      </c>
      <c r="CW98" s="168">
        <f t="shared" si="103"/>
        <v>73.793177357596221</v>
      </c>
      <c r="CX98" s="168">
        <f t="shared" si="103"/>
        <v>75.754852394456691</v>
      </c>
      <c r="CY98" s="168">
        <f t="shared" si="103"/>
        <v>80.619851690966357</v>
      </c>
      <c r="CZ98" s="168">
        <f t="shared" si="103"/>
        <v>86.789113781138838</v>
      </c>
      <c r="DA98" s="168">
        <f t="shared" si="103"/>
        <v>86.874245085580242</v>
      </c>
      <c r="DC98">
        <v>94</v>
      </c>
      <c r="DD98" s="114">
        <v>40.933290974248777</v>
      </c>
      <c r="DE98" s="114">
        <v>23.663587200388545</v>
      </c>
      <c r="DF98" s="114">
        <v>-5.6634587737317785</v>
      </c>
      <c r="DG98" s="114">
        <v>37.622876327670895</v>
      </c>
      <c r="DH98" s="114">
        <v>16.045353983649282</v>
      </c>
      <c r="DI98" s="114">
        <v>-11.990522882626061</v>
      </c>
      <c r="DJ98" s="114">
        <v>10.441650382720399</v>
      </c>
      <c r="DK98" s="114">
        <f t="shared" si="67"/>
        <v>109.02806271496505</v>
      </c>
      <c r="DL98" s="114">
        <f t="shared" si="68"/>
        <v>6.048271836175136</v>
      </c>
      <c r="DM98" s="114">
        <f t="shared" si="69"/>
        <v>346.54044956067617</v>
      </c>
      <c r="DN98" s="115">
        <f t="shared" si="70"/>
        <v>16</v>
      </c>
      <c r="DO98">
        <v>3</v>
      </c>
    </row>
    <row r="99" spans="1:119">
      <c r="A99">
        <v>830</v>
      </c>
      <c r="B99" s="120">
        <f t="shared" si="87"/>
        <v>0</v>
      </c>
      <c r="C99" s="112">
        <f>Reference!N99</f>
        <v>11.216162644674728</v>
      </c>
      <c r="D99" s="112"/>
      <c r="E99" s="172" t="s">
        <v>323</v>
      </c>
      <c r="F99" s="168">
        <f>IF(F97&lt;=100,F97,IF(F97&lt;200,200-F97,0))</f>
        <v>0</v>
      </c>
      <c r="G99" s="168">
        <f t="shared" ref="G99:BR99" si="104">IF(G97&lt;=100,G97,IF(G97&lt;200,200-G97,0))</f>
        <v>0</v>
      </c>
      <c r="H99" s="168">
        <f t="shared" si="104"/>
        <v>0</v>
      </c>
      <c r="I99" s="168">
        <f t="shared" si="104"/>
        <v>0</v>
      </c>
      <c r="J99" s="168">
        <f t="shared" si="104"/>
        <v>0</v>
      </c>
      <c r="K99" s="168">
        <f t="shared" si="104"/>
        <v>0</v>
      </c>
      <c r="L99" s="168">
        <f t="shared" si="104"/>
        <v>1.5324163679403338</v>
      </c>
      <c r="M99" s="168">
        <f t="shared" si="104"/>
        <v>0</v>
      </c>
      <c r="N99" s="168">
        <f t="shared" si="104"/>
        <v>0</v>
      </c>
      <c r="O99" s="168">
        <f t="shared" si="104"/>
        <v>0</v>
      </c>
      <c r="P99" s="168">
        <f t="shared" si="104"/>
        <v>14.862949436527398</v>
      </c>
      <c r="Q99" s="168">
        <f t="shared" si="104"/>
        <v>18.616824527449733</v>
      </c>
      <c r="R99" s="168">
        <f t="shared" si="104"/>
        <v>18.951700865108197</v>
      </c>
      <c r="S99" s="168">
        <f t="shared" si="104"/>
        <v>22.130234057145248</v>
      </c>
      <c r="T99" s="168">
        <f t="shared" si="104"/>
        <v>29.15678990283542</v>
      </c>
      <c r="U99" s="168">
        <f t="shared" si="104"/>
        <v>23.826306764324126</v>
      </c>
      <c r="V99" s="168">
        <f t="shared" si="104"/>
        <v>29.028811100807403</v>
      </c>
      <c r="W99" s="168">
        <f t="shared" si="104"/>
        <v>38.042705008969826</v>
      </c>
      <c r="X99" s="168">
        <f t="shared" si="104"/>
        <v>36.279465667511673</v>
      </c>
      <c r="Y99" s="168">
        <f t="shared" si="104"/>
        <v>53.447774317123077</v>
      </c>
      <c r="Z99" s="168">
        <f t="shared" si="104"/>
        <v>44.748283051257197</v>
      </c>
      <c r="AA99" s="168">
        <f t="shared" si="104"/>
        <v>59.732248423620398</v>
      </c>
      <c r="AB99" s="168">
        <f t="shared" si="104"/>
        <v>57.129266289851842</v>
      </c>
      <c r="AC99" s="168">
        <f t="shared" si="104"/>
        <v>73.114267355779504</v>
      </c>
      <c r="AD99" s="168">
        <f t="shared" si="104"/>
        <v>77.362575621962549</v>
      </c>
      <c r="AE99" s="168">
        <f t="shared" si="104"/>
        <v>78.611742483928822</v>
      </c>
      <c r="AF99" s="168">
        <f t="shared" si="104"/>
        <v>79.483731158270984</v>
      </c>
      <c r="AG99" s="168">
        <f t="shared" si="104"/>
        <v>91.442203727171247</v>
      </c>
      <c r="AH99" s="168">
        <f t="shared" si="104"/>
        <v>99.001354411896173</v>
      </c>
      <c r="AI99" s="168">
        <f t="shared" si="104"/>
        <v>93.798565787072803</v>
      </c>
      <c r="AJ99" s="168">
        <f t="shared" si="104"/>
        <v>88.672827933861768</v>
      </c>
      <c r="AK99" s="168">
        <f t="shared" si="104"/>
        <v>98.863685126780155</v>
      </c>
      <c r="AL99" s="168">
        <f t="shared" si="104"/>
        <v>97.594840698956972</v>
      </c>
      <c r="AM99" s="168">
        <f t="shared" si="104"/>
        <v>99.138819449280348</v>
      </c>
      <c r="AN99" s="168">
        <f t="shared" si="104"/>
        <v>87.165903041936616</v>
      </c>
      <c r="AO99" s="168">
        <f t="shared" si="104"/>
        <v>80.93280170698948</v>
      </c>
      <c r="AP99" s="168">
        <f t="shared" si="104"/>
        <v>99.267120874290868</v>
      </c>
      <c r="AQ99" s="168">
        <f t="shared" si="104"/>
        <v>71.876115183049706</v>
      </c>
      <c r="AR99" s="168">
        <f t="shared" si="104"/>
        <v>82.703849990909461</v>
      </c>
      <c r="AS99" s="168">
        <f t="shared" si="104"/>
        <v>72.310424835319637</v>
      </c>
      <c r="AT99" s="168">
        <f t="shared" si="104"/>
        <v>69.556136828077598</v>
      </c>
      <c r="AU99" s="168">
        <f t="shared" si="104"/>
        <v>64.099266700982838</v>
      </c>
      <c r="AV99" s="168">
        <f t="shared" si="104"/>
        <v>48.528002018374764</v>
      </c>
      <c r="AW99" s="168">
        <f t="shared" si="104"/>
        <v>47.752217429044236</v>
      </c>
      <c r="AX99" s="168">
        <f t="shared" si="104"/>
        <v>50.858958920055386</v>
      </c>
      <c r="AY99" s="168">
        <f t="shared" si="104"/>
        <v>33.179854556195181</v>
      </c>
      <c r="AZ99" s="168">
        <f t="shared" si="104"/>
        <v>33.041989049858955</v>
      </c>
      <c r="BA99" s="168">
        <f t="shared" si="104"/>
        <v>37.811527237556788</v>
      </c>
      <c r="BB99" s="168">
        <f t="shared" si="104"/>
        <v>18.644369607472925</v>
      </c>
      <c r="BC99" s="168">
        <f t="shared" si="104"/>
        <v>20.649215283954049</v>
      </c>
      <c r="BD99" s="168">
        <f t="shared" si="104"/>
        <v>4.4832544453204264</v>
      </c>
      <c r="BE99" s="168">
        <f t="shared" si="104"/>
        <v>3.3327489509553061</v>
      </c>
      <c r="BF99" s="168">
        <f t="shared" si="104"/>
        <v>2.6257722785022111</v>
      </c>
      <c r="BG99" s="168">
        <f t="shared" si="104"/>
        <v>0</v>
      </c>
      <c r="BH99" s="168">
        <f t="shared" si="104"/>
        <v>0</v>
      </c>
      <c r="BI99" s="168">
        <f t="shared" si="104"/>
        <v>0</v>
      </c>
      <c r="BJ99" s="168">
        <f t="shared" si="104"/>
        <v>0</v>
      </c>
      <c r="BK99" s="168">
        <f t="shared" si="104"/>
        <v>0</v>
      </c>
      <c r="BL99" s="168">
        <f t="shared" si="104"/>
        <v>0</v>
      </c>
      <c r="BM99" s="168">
        <f t="shared" si="104"/>
        <v>0</v>
      </c>
      <c r="BN99" s="168">
        <f t="shared" si="104"/>
        <v>0</v>
      </c>
      <c r="BO99" s="168">
        <f t="shared" si="104"/>
        <v>0</v>
      </c>
      <c r="BP99" s="168">
        <f t="shared" si="104"/>
        <v>0</v>
      </c>
      <c r="BQ99" s="168">
        <f t="shared" si="104"/>
        <v>0</v>
      </c>
      <c r="BR99" s="168">
        <f t="shared" si="104"/>
        <v>0</v>
      </c>
      <c r="BS99" s="168">
        <f t="shared" ref="BS99:DA99" si="105">IF(BS97&lt;=100,BS97,IF(BS97&lt;200,200-BS97,0))</f>
        <v>0</v>
      </c>
      <c r="BT99" s="168">
        <f t="shared" si="105"/>
        <v>0</v>
      </c>
      <c r="BU99" s="168">
        <f t="shared" si="105"/>
        <v>0</v>
      </c>
      <c r="BV99" s="168">
        <f t="shared" si="105"/>
        <v>0</v>
      </c>
      <c r="BW99" s="168">
        <f t="shared" si="105"/>
        <v>0</v>
      </c>
      <c r="BX99" s="168">
        <f t="shared" si="105"/>
        <v>0</v>
      </c>
      <c r="BY99" s="168">
        <f t="shared" si="105"/>
        <v>0</v>
      </c>
      <c r="BZ99" s="168">
        <f t="shared" si="105"/>
        <v>0</v>
      </c>
      <c r="CA99" s="168">
        <f t="shared" si="105"/>
        <v>0</v>
      </c>
      <c r="CB99" s="168">
        <f t="shared" si="105"/>
        <v>0</v>
      </c>
      <c r="CC99" s="168">
        <f t="shared" si="105"/>
        <v>0</v>
      </c>
      <c r="CD99" s="168">
        <f t="shared" si="105"/>
        <v>0</v>
      </c>
      <c r="CE99" s="168">
        <f t="shared" si="105"/>
        <v>0</v>
      </c>
      <c r="CF99" s="168">
        <f t="shared" si="105"/>
        <v>0</v>
      </c>
      <c r="CG99" s="168">
        <f t="shared" si="105"/>
        <v>0</v>
      </c>
      <c r="CH99" s="168">
        <f t="shared" si="105"/>
        <v>0</v>
      </c>
      <c r="CI99" s="168">
        <f t="shared" si="105"/>
        <v>0</v>
      </c>
      <c r="CJ99" s="168">
        <f t="shared" si="105"/>
        <v>0</v>
      </c>
      <c r="CK99" s="168">
        <f t="shared" si="105"/>
        <v>0</v>
      </c>
      <c r="CL99" s="168">
        <f t="shared" si="105"/>
        <v>0</v>
      </c>
      <c r="CM99" s="168">
        <f t="shared" si="105"/>
        <v>0</v>
      </c>
      <c r="CN99" s="168">
        <f t="shared" si="105"/>
        <v>0</v>
      </c>
      <c r="CO99" s="168">
        <f t="shared" si="105"/>
        <v>0</v>
      </c>
      <c r="CP99" s="168">
        <f t="shared" si="105"/>
        <v>0</v>
      </c>
      <c r="CQ99" s="168">
        <f t="shared" si="105"/>
        <v>0</v>
      </c>
      <c r="CR99" s="168">
        <f t="shared" si="105"/>
        <v>0</v>
      </c>
      <c r="CS99" s="168">
        <f t="shared" si="105"/>
        <v>0</v>
      </c>
      <c r="CT99" s="168">
        <f t="shared" si="105"/>
        <v>0</v>
      </c>
      <c r="CU99" s="168">
        <f t="shared" si="105"/>
        <v>0</v>
      </c>
      <c r="CV99" s="168">
        <f t="shared" si="105"/>
        <v>0</v>
      </c>
      <c r="CW99" s="168">
        <f t="shared" si="105"/>
        <v>0</v>
      </c>
      <c r="CX99" s="168">
        <f t="shared" si="105"/>
        <v>0</v>
      </c>
      <c r="CY99" s="168">
        <f t="shared" si="105"/>
        <v>0</v>
      </c>
      <c r="CZ99" s="168">
        <f t="shared" si="105"/>
        <v>0</v>
      </c>
      <c r="DA99" s="168">
        <f t="shared" si="105"/>
        <v>0</v>
      </c>
      <c r="DC99">
        <v>95</v>
      </c>
      <c r="DD99" s="114">
        <v>71.399075956736681</v>
      </c>
      <c r="DE99" s="114">
        <v>18.699954719720445</v>
      </c>
      <c r="DF99" s="114">
        <v>-4.2592670096428726</v>
      </c>
      <c r="DG99" s="114">
        <v>68.970739047397515</v>
      </c>
      <c r="DH99" s="114">
        <v>14.244639981476189</v>
      </c>
      <c r="DI99" s="114">
        <v>-7.6399196099489446</v>
      </c>
      <c r="DJ99" s="114">
        <v>6.0971683235770673</v>
      </c>
      <c r="DK99" s="114">
        <f t="shared" si="67"/>
        <v>37.175461566031586</v>
      </c>
      <c r="DL99" s="114">
        <f t="shared" si="68"/>
        <v>6.0592370101826241</v>
      </c>
      <c r="DM99" s="114">
        <f t="shared" si="69"/>
        <v>347.16870775293177</v>
      </c>
      <c r="DN99" s="115">
        <f t="shared" si="70"/>
        <v>16</v>
      </c>
      <c r="DO99">
        <v>1</v>
      </c>
    </row>
    <row r="100" spans="1:119">
      <c r="E100" s="172" t="s">
        <v>324</v>
      </c>
      <c r="F100" s="168">
        <f>IF(F97&gt;100,IF(F97&lt;=200,F97-100,IF(F97&lt;300,300-F97,0)),0)</f>
        <v>0</v>
      </c>
      <c r="G100" s="168">
        <f t="shared" ref="G100:BR100" si="106">IF(G97&gt;100,IF(G97&lt;=200,G97-100,IF(G97&lt;300,300-G97,0)),0)</f>
        <v>0</v>
      </c>
      <c r="H100" s="168">
        <f t="shared" si="106"/>
        <v>0</v>
      </c>
      <c r="I100" s="168">
        <f t="shared" si="106"/>
        <v>0</v>
      </c>
      <c r="J100" s="168">
        <f t="shared" si="106"/>
        <v>0</v>
      </c>
      <c r="K100" s="168">
        <f t="shared" si="106"/>
        <v>0</v>
      </c>
      <c r="L100" s="168">
        <f t="shared" si="106"/>
        <v>0</v>
      </c>
      <c r="M100" s="168">
        <f t="shared" si="106"/>
        <v>0</v>
      </c>
      <c r="N100" s="168">
        <f t="shared" si="106"/>
        <v>0</v>
      </c>
      <c r="O100" s="168">
        <f t="shared" si="106"/>
        <v>0</v>
      </c>
      <c r="P100" s="168">
        <f t="shared" si="106"/>
        <v>0</v>
      </c>
      <c r="Q100" s="168">
        <f t="shared" si="106"/>
        <v>0</v>
      </c>
      <c r="R100" s="168">
        <f t="shared" si="106"/>
        <v>0</v>
      </c>
      <c r="S100" s="168">
        <f t="shared" si="106"/>
        <v>0</v>
      </c>
      <c r="T100" s="168">
        <f t="shared" si="106"/>
        <v>0</v>
      </c>
      <c r="U100" s="168">
        <f t="shared" si="106"/>
        <v>0</v>
      </c>
      <c r="V100" s="168">
        <f t="shared" si="106"/>
        <v>0</v>
      </c>
      <c r="W100" s="168">
        <f t="shared" si="106"/>
        <v>0</v>
      </c>
      <c r="X100" s="168">
        <f t="shared" si="106"/>
        <v>0</v>
      </c>
      <c r="Y100" s="168">
        <f t="shared" si="106"/>
        <v>0</v>
      </c>
      <c r="Z100" s="168">
        <f t="shared" si="106"/>
        <v>0</v>
      </c>
      <c r="AA100" s="168">
        <f t="shared" si="106"/>
        <v>0</v>
      </c>
      <c r="AB100" s="168">
        <f t="shared" si="106"/>
        <v>0</v>
      </c>
      <c r="AC100" s="168">
        <f t="shared" si="106"/>
        <v>0</v>
      </c>
      <c r="AD100" s="168">
        <f t="shared" si="106"/>
        <v>0</v>
      </c>
      <c r="AE100" s="168">
        <f t="shared" si="106"/>
        <v>0</v>
      </c>
      <c r="AF100" s="168">
        <f t="shared" si="106"/>
        <v>0</v>
      </c>
      <c r="AG100" s="168">
        <f t="shared" si="106"/>
        <v>0</v>
      </c>
      <c r="AH100" s="168">
        <f t="shared" si="106"/>
        <v>0</v>
      </c>
      <c r="AI100" s="168">
        <f t="shared" si="106"/>
        <v>0</v>
      </c>
      <c r="AJ100" s="168">
        <f t="shared" si="106"/>
        <v>0</v>
      </c>
      <c r="AK100" s="168">
        <f t="shared" si="106"/>
        <v>0</v>
      </c>
      <c r="AL100" s="168">
        <f t="shared" si="106"/>
        <v>2.4051593010430281</v>
      </c>
      <c r="AM100" s="168">
        <f t="shared" si="106"/>
        <v>0</v>
      </c>
      <c r="AN100" s="168">
        <f t="shared" si="106"/>
        <v>12.834096958063384</v>
      </c>
      <c r="AO100" s="168">
        <f t="shared" si="106"/>
        <v>19.06719829301052</v>
      </c>
      <c r="AP100" s="168">
        <f t="shared" si="106"/>
        <v>0</v>
      </c>
      <c r="AQ100" s="168">
        <f t="shared" si="106"/>
        <v>28.123884816950294</v>
      </c>
      <c r="AR100" s="168">
        <f t="shared" si="106"/>
        <v>17.296150009090539</v>
      </c>
      <c r="AS100" s="168">
        <f t="shared" si="106"/>
        <v>27.689575164680363</v>
      </c>
      <c r="AT100" s="168">
        <f t="shared" si="106"/>
        <v>30.443863171922402</v>
      </c>
      <c r="AU100" s="168">
        <f t="shared" si="106"/>
        <v>35.900733299017162</v>
      </c>
      <c r="AV100" s="168">
        <f t="shared" si="106"/>
        <v>51.471997981625236</v>
      </c>
      <c r="AW100" s="168">
        <f t="shared" si="106"/>
        <v>52.247782570955764</v>
      </c>
      <c r="AX100" s="168">
        <f t="shared" si="106"/>
        <v>49.141041079944614</v>
      </c>
      <c r="AY100" s="168">
        <f t="shared" si="106"/>
        <v>66.820145443804819</v>
      </c>
      <c r="AZ100" s="168">
        <f t="shared" si="106"/>
        <v>66.958010950141045</v>
      </c>
      <c r="BA100" s="168">
        <f t="shared" si="106"/>
        <v>62.188472762443212</v>
      </c>
      <c r="BB100" s="168">
        <f t="shared" si="106"/>
        <v>81.355630392527075</v>
      </c>
      <c r="BC100" s="168">
        <f t="shared" si="106"/>
        <v>79.350784716045951</v>
      </c>
      <c r="BD100" s="168">
        <f t="shared" si="106"/>
        <v>95.516745554679574</v>
      </c>
      <c r="BE100" s="168">
        <f t="shared" si="106"/>
        <v>96.667251049044694</v>
      </c>
      <c r="BF100" s="168">
        <f t="shared" si="106"/>
        <v>97.374227721497789</v>
      </c>
      <c r="BG100" s="168">
        <f t="shared" si="106"/>
        <v>84.500116094644369</v>
      </c>
      <c r="BH100" s="168">
        <f t="shared" si="106"/>
        <v>70.960787301780982</v>
      </c>
      <c r="BI100" s="168">
        <f t="shared" si="106"/>
        <v>63.827706351301799</v>
      </c>
      <c r="BJ100" s="168">
        <f t="shared" si="106"/>
        <v>64.075935550520541</v>
      </c>
      <c r="BK100" s="168">
        <f t="shared" si="106"/>
        <v>63.693161481322164</v>
      </c>
      <c r="BL100" s="168">
        <f t="shared" si="106"/>
        <v>58.250694903561794</v>
      </c>
      <c r="BM100" s="168">
        <f t="shared" si="106"/>
        <v>57.975617877737619</v>
      </c>
      <c r="BN100" s="168">
        <f t="shared" si="106"/>
        <v>42.220735351441135</v>
      </c>
      <c r="BO100" s="168">
        <f t="shared" si="106"/>
        <v>44.718640695412887</v>
      </c>
      <c r="BP100" s="168">
        <f t="shared" si="106"/>
        <v>25.285086844627585</v>
      </c>
      <c r="BQ100" s="168">
        <f t="shared" si="106"/>
        <v>0.966453177045139</v>
      </c>
      <c r="BR100" s="168">
        <f t="shared" si="106"/>
        <v>36.567709143471063</v>
      </c>
      <c r="BS100" s="168">
        <f t="shared" ref="BS100:DA100" si="107">IF(BS97&gt;100,IF(BS97&lt;=200,BS97-100,IF(BS97&lt;300,300-BS97,0)),0)</f>
        <v>33.432682335862296</v>
      </c>
      <c r="BT100" s="168">
        <f t="shared" si="107"/>
        <v>27.514399791540086</v>
      </c>
      <c r="BU100" s="168">
        <f t="shared" si="107"/>
        <v>25.267998813383656</v>
      </c>
      <c r="BV100" s="168">
        <f t="shared" si="107"/>
        <v>18.014809352326836</v>
      </c>
      <c r="BW100" s="168">
        <f t="shared" si="107"/>
        <v>0.55636466993331624</v>
      </c>
      <c r="BX100" s="168">
        <f t="shared" si="107"/>
        <v>7.5729530453866118</v>
      </c>
      <c r="BY100" s="168">
        <f t="shared" si="107"/>
        <v>1.7225603886662384</v>
      </c>
      <c r="BZ100" s="168">
        <f t="shared" si="107"/>
        <v>3.7798379112091993</v>
      </c>
      <c r="CA100" s="168">
        <f t="shared" si="107"/>
        <v>5.7315384191473413</v>
      </c>
      <c r="CB100" s="168">
        <f t="shared" si="107"/>
        <v>0</v>
      </c>
      <c r="CC100" s="168">
        <f t="shared" si="107"/>
        <v>0</v>
      </c>
      <c r="CD100" s="168">
        <f t="shared" si="107"/>
        <v>0</v>
      </c>
      <c r="CE100" s="168">
        <f t="shared" si="107"/>
        <v>0</v>
      </c>
      <c r="CF100" s="168">
        <f t="shared" si="107"/>
        <v>0</v>
      </c>
      <c r="CG100" s="168">
        <f t="shared" si="107"/>
        <v>0</v>
      </c>
      <c r="CH100" s="168">
        <f t="shared" si="107"/>
        <v>0</v>
      </c>
      <c r="CI100" s="168">
        <f t="shared" si="107"/>
        <v>0</v>
      </c>
      <c r="CJ100" s="168">
        <f t="shared" si="107"/>
        <v>0</v>
      </c>
      <c r="CK100" s="168">
        <f t="shared" si="107"/>
        <v>0</v>
      </c>
      <c r="CL100" s="168">
        <f t="shared" si="107"/>
        <v>0</v>
      </c>
      <c r="CM100" s="168">
        <f t="shared" si="107"/>
        <v>0</v>
      </c>
      <c r="CN100" s="168">
        <f t="shared" si="107"/>
        <v>0</v>
      </c>
      <c r="CO100" s="168">
        <f t="shared" si="107"/>
        <v>0</v>
      </c>
      <c r="CP100" s="168">
        <f t="shared" si="107"/>
        <v>0</v>
      </c>
      <c r="CQ100" s="168">
        <f t="shared" si="107"/>
        <v>0</v>
      </c>
      <c r="CR100" s="168">
        <f t="shared" si="107"/>
        <v>0</v>
      </c>
      <c r="CS100" s="168">
        <f t="shared" si="107"/>
        <v>0</v>
      </c>
      <c r="CT100" s="168">
        <f t="shared" si="107"/>
        <v>0</v>
      </c>
      <c r="CU100" s="168">
        <f t="shared" si="107"/>
        <v>0</v>
      </c>
      <c r="CV100" s="168">
        <f t="shared" si="107"/>
        <v>0</v>
      </c>
      <c r="CW100" s="168">
        <f t="shared" si="107"/>
        <v>0</v>
      </c>
      <c r="CX100" s="168">
        <f t="shared" si="107"/>
        <v>0</v>
      </c>
      <c r="CY100" s="168">
        <f t="shared" si="107"/>
        <v>0</v>
      </c>
      <c r="CZ100" s="168">
        <f t="shared" si="107"/>
        <v>0</v>
      </c>
      <c r="DA100" s="168">
        <f t="shared" si="107"/>
        <v>0</v>
      </c>
      <c r="DC100">
        <v>96</v>
      </c>
      <c r="DD100" s="114">
        <v>79.285113467374103</v>
      </c>
      <c r="DE100" s="114">
        <v>17.632544889980416</v>
      </c>
      <c r="DF100" s="114">
        <v>-3.3251303718062126</v>
      </c>
      <c r="DG100" s="114">
        <v>77.996649350239437</v>
      </c>
      <c r="DH100" s="114">
        <v>13.60038453058363</v>
      </c>
      <c r="DI100" s="114">
        <v>-6.4203024590165869</v>
      </c>
      <c r="DJ100" s="114">
        <v>5.243905719450022</v>
      </c>
      <c r="DK100" s="114">
        <f t="shared" si="67"/>
        <v>27.498547194480654</v>
      </c>
      <c r="DL100" s="114">
        <f t="shared" si="68"/>
        <v>6.0967950592588016</v>
      </c>
      <c r="DM100" s="114">
        <f t="shared" si="69"/>
        <v>349.32062545174199</v>
      </c>
      <c r="DN100" s="115">
        <f t="shared" si="70"/>
        <v>16</v>
      </c>
      <c r="DO100">
        <v>1</v>
      </c>
    </row>
    <row r="101" spans="1:119">
      <c r="E101" s="172" t="s">
        <v>325</v>
      </c>
      <c r="F101" s="168">
        <f>IF(F97&gt;300,400-F97,IF(F97&gt;200,F97-200,0))</f>
        <v>9.8643911456259161</v>
      </c>
      <c r="G101" s="168">
        <f t="shared" ref="G101:BR101" si="108">IF(G97&gt;300,400-G97,IF(G97&gt;200,G97-200,0))</f>
        <v>10.103312100135781</v>
      </c>
      <c r="H101" s="168">
        <f t="shared" si="108"/>
        <v>8.0660313061097781</v>
      </c>
      <c r="I101" s="168">
        <f t="shared" si="108"/>
        <v>7.9908118987889907</v>
      </c>
      <c r="J101" s="168">
        <f t="shared" si="108"/>
        <v>1.3180076581855928</v>
      </c>
      <c r="K101" s="168">
        <f t="shared" si="108"/>
        <v>2.7919328566757144</v>
      </c>
      <c r="L101" s="168">
        <f t="shared" si="108"/>
        <v>0</v>
      </c>
      <c r="M101" s="168">
        <f t="shared" si="108"/>
        <v>0.98549693854704401</v>
      </c>
      <c r="N101" s="168">
        <f t="shared" si="108"/>
        <v>1.1945810485961488</v>
      </c>
      <c r="O101" s="168">
        <f t="shared" si="108"/>
        <v>7.2402376330329048</v>
      </c>
      <c r="P101" s="168">
        <f t="shared" si="108"/>
        <v>0</v>
      </c>
      <c r="Q101" s="168">
        <f t="shared" si="108"/>
        <v>0</v>
      </c>
      <c r="R101" s="168">
        <f t="shared" si="108"/>
        <v>0</v>
      </c>
      <c r="S101" s="168">
        <f t="shared" si="108"/>
        <v>0</v>
      </c>
      <c r="T101" s="168">
        <f t="shared" si="108"/>
        <v>0</v>
      </c>
      <c r="U101" s="168">
        <f t="shared" si="108"/>
        <v>0</v>
      </c>
      <c r="V101" s="168">
        <f t="shared" si="108"/>
        <v>0</v>
      </c>
      <c r="W101" s="168">
        <f t="shared" si="108"/>
        <v>0</v>
      </c>
      <c r="X101" s="168">
        <f t="shared" si="108"/>
        <v>0</v>
      </c>
      <c r="Y101" s="168">
        <f t="shared" si="108"/>
        <v>0</v>
      </c>
      <c r="Z101" s="168">
        <f t="shared" si="108"/>
        <v>0</v>
      </c>
      <c r="AA101" s="168">
        <f t="shared" si="108"/>
        <v>0</v>
      </c>
      <c r="AB101" s="168">
        <f t="shared" si="108"/>
        <v>0</v>
      </c>
      <c r="AC101" s="168">
        <f t="shared" si="108"/>
        <v>0</v>
      </c>
      <c r="AD101" s="168">
        <f t="shared" si="108"/>
        <v>0</v>
      </c>
      <c r="AE101" s="168">
        <f t="shared" si="108"/>
        <v>0</v>
      </c>
      <c r="AF101" s="168">
        <f t="shared" si="108"/>
        <v>0</v>
      </c>
      <c r="AG101" s="168">
        <f t="shared" si="108"/>
        <v>0</v>
      </c>
      <c r="AH101" s="168">
        <f t="shared" si="108"/>
        <v>0</v>
      </c>
      <c r="AI101" s="168">
        <f t="shared" si="108"/>
        <v>0</v>
      </c>
      <c r="AJ101" s="168">
        <f t="shared" si="108"/>
        <v>0</v>
      </c>
      <c r="AK101" s="168">
        <f t="shared" si="108"/>
        <v>0</v>
      </c>
      <c r="AL101" s="168">
        <f t="shared" si="108"/>
        <v>0</v>
      </c>
      <c r="AM101" s="168">
        <f t="shared" si="108"/>
        <v>0</v>
      </c>
      <c r="AN101" s="168">
        <f t="shared" si="108"/>
        <v>0</v>
      </c>
      <c r="AO101" s="168">
        <f t="shared" si="108"/>
        <v>0</v>
      </c>
      <c r="AP101" s="168">
        <f t="shared" si="108"/>
        <v>0</v>
      </c>
      <c r="AQ101" s="168">
        <f t="shared" si="108"/>
        <v>0</v>
      </c>
      <c r="AR101" s="168">
        <f t="shared" si="108"/>
        <v>0</v>
      </c>
      <c r="AS101" s="168">
        <f t="shared" si="108"/>
        <v>0</v>
      </c>
      <c r="AT101" s="168">
        <f t="shared" si="108"/>
        <v>0</v>
      </c>
      <c r="AU101" s="168">
        <f t="shared" si="108"/>
        <v>0</v>
      </c>
      <c r="AV101" s="168">
        <f t="shared" si="108"/>
        <v>0</v>
      </c>
      <c r="AW101" s="168">
        <f t="shared" si="108"/>
        <v>0</v>
      </c>
      <c r="AX101" s="168">
        <f t="shared" si="108"/>
        <v>0</v>
      </c>
      <c r="AY101" s="168">
        <f t="shared" si="108"/>
        <v>0</v>
      </c>
      <c r="AZ101" s="168">
        <f t="shared" si="108"/>
        <v>0</v>
      </c>
      <c r="BA101" s="168">
        <f t="shared" si="108"/>
        <v>0</v>
      </c>
      <c r="BB101" s="168">
        <f t="shared" si="108"/>
        <v>0</v>
      </c>
      <c r="BC101" s="168">
        <f t="shared" si="108"/>
        <v>0</v>
      </c>
      <c r="BD101" s="168">
        <f t="shared" si="108"/>
        <v>0</v>
      </c>
      <c r="BE101" s="168">
        <f t="shared" si="108"/>
        <v>0</v>
      </c>
      <c r="BF101" s="168">
        <f t="shared" si="108"/>
        <v>0</v>
      </c>
      <c r="BG101" s="168">
        <f t="shared" si="108"/>
        <v>15.499883905355631</v>
      </c>
      <c r="BH101" s="168">
        <f t="shared" si="108"/>
        <v>29.039212698219018</v>
      </c>
      <c r="BI101" s="168">
        <f t="shared" si="108"/>
        <v>36.172293648698201</v>
      </c>
      <c r="BJ101" s="168">
        <f t="shared" si="108"/>
        <v>35.924064449479459</v>
      </c>
      <c r="BK101" s="168">
        <f t="shared" si="108"/>
        <v>36.306838518677836</v>
      </c>
      <c r="BL101" s="168">
        <f t="shared" si="108"/>
        <v>41.749305096438206</v>
      </c>
      <c r="BM101" s="168">
        <f t="shared" si="108"/>
        <v>42.024382122262381</v>
      </c>
      <c r="BN101" s="168">
        <f t="shared" si="108"/>
        <v>57.779264648558865</v>
      </c>
      <c r="BO101" s="168">
        <f t="shared" si="108"/>
        <v>55.281359304587113</v>
      </c>
      <c r="BP101" s="168">
        <f t="shared" si="108"/>
        <v>74.714913155372415</v>
      </c>
      <c r="BQ101" s="168">
        <f t="shared" si="108"/>
        <v>99.033546822954861</v>
      </c>
      <c r="BR101" s="168">
        <f t="shared" si="108"/>
        <v>63.432290856528937</v>
      </c>
      <c r="BS101" s="168">
        <f t="shared" ref="BS101:DA101" si="109">IF(BS97&gt;300,400-BS97,IF(BS97&gt;200,BS97-200,0))</f>
        <v>66.567317664137704</v>
      </c>
      <c r="BT101" s="168">
        <f t="shared" si="109"/>
        <v>72.485600208459914</v>
      </c>
      <c r="BU101" s="168">
        <f t="shared" si="109"/>
        <v>74.732001186616344</v>
      </c>
      <c r="BV101" s="168">
        <f t="shared" si="109"/>
        <v>81.985190647673164</v>
      </c>
      <c r="BW101" s="168">
        <f t="shared" si="109"/>
        <v>99.443635330066684</v>
      </c>
      <c r="BX101" s="168">
        <f t="shared" si="109"/>
        <v>92.427046954613388</v>
      </c>
      <c r="BY101" s="168">
        <f t="shared" si="109"/>
        <v>98.277439611333762</v>
      </c>
      <c r="BZ101" s="168">
        <f t="shared" si="109"/>
        <v>96.220162088790801</v>
      </c>
      <c r="CA101" s="168">
        <f t="shared" si="109"/>
        <v>94.268461580852659</v>
      </c>
      <c r="CB101" s="168">
        <f t="shared" si="109"/>
        <v>89.55536259814221</v>
      </c>
      <c r="CC101" s="168">
        <f t="shared" si="109"/>
        <v>96.916343336246655</v>
      </c>
      <c r="CD101" s="168">
        <f t="shared" si="109"/>
        <v>94.628954639253607</v>
      </c>
      <c r="CE101" s="168">
        <f t="shared" si="109"/>
        <v>92.089494297517831</v>
      </c>
      <c r="CF101" s="168">
        <f t="shared" si="109"/>
        <v>93.099299307426861</v>
      </c>
      <c r="CG101" s="168">
        <f t="shared" si="109"/>
        <v>86.695662105592476</v>
      </c>
      <c r="CH101" s="168">
        <f t="shared" si="109"/>
        <v>79.421878218691973</v>
      </c>
      <c r="CI101" s="168">
        <f t="shared" si="109"/>
        <v>74.65485971714736</v>
      </c>
      <c r="CJ101" s="168">
        <f t="shared" si="109"/>
        <v>76.816150836751888</v>
      </c>
      <c r="CK101" s="168">
        <f t="shared" si="109"/>
        <v>73.903960164139505</v>
      </c>
      <c r="CL101" s="168">
        <f t="shared" si="109"/>
        <v>58.033038191947412</v>
      </c>
      <c r="CM101" s="168">
        <f t="shared" si="109"/>
        <v>62.00305610684353</v>
      </c>
      <c r="CN101" s="168">
        <f t="shared" si="109"/>
        <v>63.370216018254041</v>
      </c>
      <c r="CO101" s="168">
        <f t="shared" si="109"/>
        <v>58.216750154356589</v>
      </c>
      <c r="CP101" s="168">
        <f t="shared" si="109"/>
        <v>47.75040537240443</v>
      </c>
      <c r="CQ101" s="168">
        <f t="shared" si="109"/>
        <v>45.245625953820422</v>
      </c>
      <c r="CR101" s="168">
        <f t="shared" si="109"/>
        <v>42.837307473610338</v>
      </c>
      <c r="CS101" s="168">
        <f t="shared" si="109"/>
        <v>34.259227633634111</v>
      </c>
      <c r="CT101" s="168">
        <f t="shared" si="109"/>
        <v>34.344567919284373</v>
      </c>
      <c r="CU101" s="168">
        <f t="shared" si="109"/>
        <v>32.911196015845633</v>
      </c>
      <c r="CV101" s="168">
        <f t="shared" si="109"/>
        <v>26.774535204709935</v>
      </c>
      <c r="CW101" s="168">
        <f t="shared" si="109"/>
        <v>26.206822642403779</v>
      </c>
      <c r="CX101" s="168">
        <f t="shared" si="109"/>
        <v>24.245147605543309</v>
      </c>
      <c r="CY101" s="168">
        <f t="shared" si="109"/>
        <v>19.380148309033643</v>
      </c>
      <c r="CZ101" s="168">
        <f t="shared" si="109"/>
        <v>13.210886218861162</v>
      </c>
      <c r="DA101" s="168">
        <f t="shared" si="109"/>
        <v>13.125754914419758</v>
      </c>
      <c r="DC101">
        <v>97</v>
      </c>
      <c r="DD101" s="114">
        <v>53.328220185508066</v>
      </c>
      <c r="DE101" s="114">
        <v>23.077631872346753</v>
      </c>
      <c r="DF101" s="114">
        <v>-2.2084380006741835</v>
      </c>
      <c r="DG101" s="114">
        <v>54.735831905502636</v>
      </c>
      <c r="DH101" s="114">
        <v>18.690709470863677</v>
      </c>
      <c r="DI101" s="114">
        <v>-3.4298883529847175</v>
      </c>
      <c r="DJ101" s="114">
        <v>4.7663822626872507</v>
      </c>
      <c r="DK101" s="114">
        <f t="shared" si="67"/>
        <v>22.718399874059635</v>
      </c>
      <c r="DL101" s="114">
        <f t="shared" si="68"/>
        <v>6.1877797913087456</v>
      </c>
      <c r="DM101" s="114">
        <f t="shared" si="69"/>
        <v>354.53366659833245</v>
      </c>
      <c r="DN101" s="115">
        <f t="shared" si="70"/>
        <v>16</v>
      </c>
      <c r="DO101">
        <v>6</v>
      </c>
    </row>
    <row r="102" spans="1:119">
      <c r="E102" s="172" t="s">
        <v>326</v>
      </c>
      <c r="F102" s="168">
        <f t="shared" ref="F102:BQ102" si="110">((12500/13)*$F$48*F62)*(COS((F96*PI()/180)+2)+3.8)</f>
        <v>3160.5598839618074</v>
      </c>
      <c r="G102" s="168">
        <f t="shared" si="110"/>
        <v>3165.6187484166157</v>
      </c>
      <c r="H102" s="168">
        <f t="shared" si="110"/>
        <v>3123.4518293616702</v>
      </c>
      <c r="I102" s="168">
        <f t="shared" si="110"/>
        <v>3121.9370773242699</v>
      </c>
      <c r="J102" s="168">
        <f t="shared" si="110"/>
        <v>2999.4652943104948</v>
      </c>
      <c r="K102" s="168">
        <f t="shared" si="110"/>
        <v>3024.5015375202852</v>
      </c>
      <c r="L102" s="168">
        <f t="shared" si="110"/>
        <v>2963.6294770720156</v>
      </c>
      <c r="M102" s="168">
        <f t="shared" si="110"/>
        <v>2993.9736472507047</v>
      </c>
      <c r="N102" s="168">
        <f t="shared" si="110"/>
        <v>2997.4201183553801</v>
      </c>
      <c r="O102" s="168">
        <f t="shared" si="110"/>
        <v>3106.9865611530622</v>
      </c>
      <c r="P102" s="168">
        <f t="shared" si="110"/>
        <v>2854.2792849225179</v>
      </c>
      <c r="Q102" s="168">
        <f t="shared" si="110"/>
        <v>2828.695502580119</v>
      </c>
      <c r="R102" s="168">
        <f t="shared" si="110"/>
        <v>2826.5246025693955</v>
      </c>
      <c r="S102" s="168">
        <f t="shared" si="110"/>
        <v>2806.8256468431141</v>
      </c>
      <c r="T102" s="168">
        <f t="shared" si="110"/>
        <v>2769.0664918996722</v>
      </c>
      <c r="U102" s="168">
        <f t="shared" si="110"/>
        <v>2796.9837829119665</v>
      </c>
      <c r="V102" s="168">
        <f t="shared" si="110"/>
        <v>2769.6834618875578</v>
      </c>
      <c r="W102" s="168">
        <f t="shared" si="110"/>
        <v>2732.5476875460818</v>
      </c>
      <c r="X102" s="168">
        <f t="shared" si="110"/>
        <v>2738.8118899402002</v>
      </c>
      <c r="Y102" s="168">
        <f t="shared" si="110"/>
        <v>2697.754085743511</v>
      </c>
      <c r="Z102" s="168">
        <f t="shared" si="110"/>
        <v>2713.0697289965046</v>
      </c>
      <c r="AA102" s="168">
        <f t="shared" si="110"/>
        <v>2693.3844143861679</v>
      </c>
      <c r="AB102" s="168">
        <f t="shared" si="110"/>
        <v>2694.5319112705079</v>
      </c>
      <c r="AC102" s="168">
        <f t="shared" si="110"/>
        <v>2701.5430696441817</v>
      </c>
      <c r="AD102" s="168">
        <f t="shared" si="110"/>
        <v>2708.7791942164581</v>
      </c>
      <c r="AE102" s="168">
        <f t="shared" si="110"/>
        <v>2711.3083966458298</v>
      </c>
      <c r="AF102" s="168">
        <f t="shared" si="110"/>
        <v>2713.1797824767227</v>
      </c>
      <c r="AG102" s="168">
        <f t="shared" si="110"/>
        <v>2747.2013813103113</v>
      </c>
      <c r="AH102" s="168">
        <f t="shared" si="110"/>
        <v>2776.1466811961445</v>
      </c>
      <c r="AI102" s="168">
        <f t="shared" si="110"/>
        <v>2755.6410428285012</v>
      </c>
      <c r="AJ102" s="168">
        <f t="shared" si="110"/>
        <v>2737.9870272923044</v>
      </c>
      <c r="AK102" s="168">
        <f t="shared" si="110"/>
        <v>2775.5719451674804</v>
      </c>
      <c r="AL102" s="168">
        <f t="shared" si="110"/>
        <v>2789.3735971961041</v>
      </c>
      <c r="AM102" s="168">
        <f t="shared" si="110"/>
        <v>2776.7222677107775</v>
      </c>
      <c r="AN102" s="168">
        <f t="shared" si="110"/>
        <v>2835.11758101949</v>
      </c>
      <c r="AO102" s="168">
        <f t="shared" si="110"/>
        <v>2868.0643900390842</v>
      </c>
      <c r="AP102" s="168">
        <f t="shared" si="110"/>
        <v>2777.2610175939753</v>
      </c>
      <c r="AQ102" s="168">
        <f t="shared" si="110"/>
        <v>2924.1847047562424</v>
      </c>
      <c r="AR102" s="168">
        <f t="shared" si="110"/>
        <v>2858.2510909533248</v>
      </c>
      <c r="AS102" s="168">
        <f t="shared" si="110"/>
        <v>2921.2581278803755</v>
      </c>
      <c r="AT102" s="168">
        <f t="shared" si="110"/>
        <v>2940.2354497129868</v>
      </c>
      <c r="AU102" s="168">
        <f t="shared" si="110"/>
        <v>2980.8390872947643</v>
      </c>
      <c r="AV102" s="168">
        <f t="shared" si="110"/>
        <v>3120.3068508385686</v>
      </c>
      <c r="AW102" s="168">
        <f t="shared" si="110"/>
        <v>3128.2238678032463</v>
      </c>
      <c r="AX102" s="168">
        <f t="shared" si="110"/>
        <v>3097.0893922340042</v>
      </c>
      <c r="AY102" s="168">
        <f t="shared" si="110"/>
        <v>3295.0966699017022</v>
      </c>
      <c r="AZ102" s="168">
        <f t="shared" si="110"/>
        <v>3296.8432802537991</v>
      </c>
      <c r="BA102" s="168">
        <f t="shared" si="110"/>
        <v>3238.2638988017716</v>
      </c>
      <c r="BB102" s="168">
        <f t="shared" si="110"/>
        <v>3496.6810345275435</v>
      </c>
      <c r="BC102" s="168">
        <f t="shared" si="110"/>
        <v>3466.8090457320263</v>
      </c>
      <c r="BD102" s="168">
        <f t="shared" si="110"/>
        <v>3724.9937829593605</v>
      </c>
      <c r="BE102" s="168">
        <f t="shared" si="110"/>
        <v>3744.7419425838943</v>
      </c>
      <c r="BF102" s="168">
        <f t="shared" si="110"/>
        <v>3756.9539822735337</v>
      </c>
      <c r="BG102" s="168">
        <f t="shared" si="110"/>
        <v>3961.070688476193</v>
      </c>
      <c r="BH102" s="168">
        <f t="shared" si="110"/>
        <v>4098.7348385317264</v>
      </c>
      <c r="BI102" s="168">
        <f t="shared" si="110"/>
        <v>4169.5930232545716</v>
      </c>
      <c r="BJ102" s="168">
        <f t="shared" si="110"/>
        <v>4167.1573212815529</v>
      </c>
      <c r="BK102" s="168">
        <f t="shared" si="110"/>
        <v>4170.9121866219994</v>
      </c>
      <c r="BL102" s="168">
        <f t="shared" si="110"/>
        <v>4223.6037311913624</v>
      </c>
      <c r="BM102" s="168">
        <f t="shared" si="110"/>
        <v>4226.228945565802</v>
      </c>
      <c r="BN102" s="168">
        <f t="shared" si="110"/>
        <v>4368.4466017560526</v>
      </c>
      <c r="BO102" s="168">
        <f t="shared" si="110"/>
        <v>4347.1439019187474</v>
      </c>
      <c r="BP102" s="168">
        <f t="shared" si="110"/>
        <v>4495.8441394840265</v>
      </c>
      <c r="BQ102" s="168">
        <f t="shared" si="110"/>
        <v>4605.6529763846029</v>
      </c>
      <c r="BR102" s="168">
        <f t="shared" ref="BR102:DA102" si="111">((12500/13)*$F$48*BR62)*(COS((BR96*PI()/180)+2)+3.8)</f>
        <v>4414.5082577566127</v>
      </c>
      <c r="BS102" s="168">
        <f t="shared" si="111"/>
        <v>4438.6293818177637</v>
      </c>
      <c r="BT102" s="168">
        <f t="shared" si="111"/>
        <v>4481.0319318054499</v>
      </c>
      <c r="BU102" s="168">
        <f t="shared" si="111"/>
        <v>4495.9550729166876</v>
      </c>
      <c r="BV102" s="168">
        <f t="shared" si="111"/>
        <v>4539.2142765116914</v>
      </c>
      <c r="BW102" s="168">
        <f t="shared" si="111"/>
        <v>4606.5499346326405</v>
      </c>
      <c r="BX102" s="168">
        <f t="shared" si="111"/>
        <v>4586.4093596835382</v>
      </c>
      <c r="BY102" s="168">
        <f t="shared" si="111"/>
        <v>4603.9053099927496</v>
      </c>
      <c r="BZ102" s="168">
        <f t="shared" si="111"/>
        <v>4598.5436058243868</v>
      </c>
      <c r="CA102" s="168">
        <f t="shared" si="111"/>
        <v>4592.6566784304059</v>
      </c>
      <c r="CB102" s="168">
        <f t="shared" si="111"/>
        <v>4595.6836203563107</v>
      </c>
      <c r="CC102" s="168">
        <f t="shared" si="111"/>
        <v>4616.3116112413327</v>
      </c>
      <c r="CD102" s="168">
        <f t="shared" si="111"/>
        <v>4615.8025603771393</v>
      </c>
      <c r="CE102" s="168">
        <f t="shared" si="111"/>
        <v>4608.8459938952665</v>
      </c>
      <c r="CF102" s="168">
        <f t="shared" si="111"/>
        <v>4612.387694979001</v>
      </c>
      <c r="CG102" s="168">
        <f t="shared" si="111"/>
        <v>4573.9981040410485</v>
      </c>
      <c r="CH102" s="168">
        <f t="shared" si="111"/>
        <v>4490.9414344488696</v>
      </c>
      <c r="CI102" s="168">
        <f t="shared" si="111"/>
        <v>4418.9612330230757</v>
      </c>
      <c r="CJ102" s="168">
        <f t="shared" si="111"/>
        <v>4453.0570425136084</v>
      </c>
      <c r="CK102" s="168">
        <f t="shared" si="111"/>
        <v>4406.6015130585347</v>
      </c>
      <c r="CL102" s="168">
        <f t="shared" si="111"/>
        <v>4103.0287185235984</v>
      </c>
      <c r="CM102" s="168">
        <f t="shared" si="111"/>
        <v>4184.3837080780495</v>
      </c>
      <c r="CN102" s="168">
        <f t="shared" si="111"/>
        <v>4211.8213528355127</v>
      </c>
      <c r="CO102" s="168">
        <f t="shared" si="111"/>
        <v>4106.8378429084796</v>
      </c>
      <c r="CP102" s="168">
        <f t="shared" si="111"/>
        <v>3887.0084842007946</v>
      </c>
      <c r="CQ102" s="168">
        <f t="shared" si="111"/>
        <v>3834.4999563453475</v>
      </c>
      <c r="CR102" s="168">
        <f t="shared" si="111"/>
        <v>3784.4117220436747</v>
      </c>
      <c r="CS102" s="168">
        <f t="shared" si="111"/>
        <v>3611.1502182758345</v>
      </c>
      <c r="CT102" s="168">
        <f t="shared" si="111"/>
        <v>3612.823816923948</v>
      </c>
      <c r="CU102" s="168">
        <f t="shared" si="111"/>
        <v>3584.8697747004426</v>
      </c>
      <c r="CV102" s="168">
        <f t="shared" si="111"/>
        <v>3469.2561369131067</v>
      </c>
      <c r="CW102" s="168">
        <f t="shared" si="111"/>
        <v>3458.9193017569128</v>
      </c>
      <c r="CX102" s="168">
        <f t="shared" si="111"/>
        <v>3423.6996685205399</v>
      </c>
      <c r="CY102" s="168">
        <f t="shared" si="111"/>
        <v>3339.8285721388893</v>
      </c>
      <c r="CZ102" s="168">
        <f t="shared" si="111"/>
        <v>3234.1561483071268</v>
      </c>
      <c r="DA102" s="168">
        <f t="shared" si="111"/>
        <v>3232.2111989812806</v>
      </c>
      <c r="DC102">
        <v>98</v>
      </c>
      <c r="DD102" s="114">
        <v>65.978318833102449</v>
      </c>
      <c r="DE102" s="114">
        <v>29.99441170992635</v>
      </c>
      <c r="DF102" s="114">
        <v>0.70838138455932032</v>
      </c>
      <c r="DG102" s="114">
        <v>65.385138227170486</v>
      </c>
      <c r="DH102" s="114">
        <v>24.704297311697243</v>
      </c>
      <c r="DI102" s="114">
        <v>-2.9052035489654933</v>
      </c>
      <c r="DJ102" s="114">
        <v>6.4339078054788947</v>
      </c>
      <c r="DK102" s="114">
        <f t="shared" si="67"/>
        <v>41.395169649402249</v>
      </c>
      <c r="DL102" s="114">
        <f t="shared" si="68"/>
        <v>2.3612722640299122E-2</v>
      </c>
      <c r="DM102" s="114">
        <f t="shared" si="69"/>
        <v>1.3529093501021456</v>
      </c>
      <c r="DN102" s="115">
        <f t="shared" si="70"/>
        <v>1</v>
      </c>
      <c r="DO102">
        <v>3</v>
      </c>
    </row>
    <row r="103" spans="1:119">
      <c r="E103" s="172" t="s">
        <v>54</v>
      </c>
      <c r="F103" s="168">
        <f t="shared" ref="F103:BQ103" si="112">(2*F88+F89+(1/20)*F90-0.305)*F61</f>
        <v>39.501102128317278</v>
      </c>
      <c r="G103" s="168">
        <f t="shared" si="112"/>
        <v>32.958944410006403</v>
      </c>
      <c r="H103" s="168">
        <f t="shared" si="112"/>
        <v>23.628419881776534</v>
      </c>
      <c r="I103" s="168">
        <f t="shared" si="112"/>
        <v>12.536610400929694</v>
      </c>
      <c r="J103" s="168">
        <f t="shared" si="112"/>
        <v>26.208461489035777</v>
      </c>
      <c r="K103" s="168">
        <f t="shared" si="112"/>
        <v>19.297213400581647</v>
      </c>
      <c r="L103" s="168">
        <f t="shared" si="112"/>
        <v>19.271138523797337</v>
      </c>
      <c r="M103" s="168">
        <f t="shared" si="112"/>
        <v>16.625553233450113</v>
      </c>
      <c r="N103" s="168">
        <f t="shared" si="112"/>
        <v>16.311049699154363</v>
      </c>
      <c r="O103" s="168">
        <f t="shared" si="112"/>
        <v>11.517633584988747</v>
      </c>
      <c r="P103" s="168">
        <f t="shared" si="112"/>
        <v>28.574245016405349</v>
      </c>
      <c r="Q103" s="168">
        <f t="shared" si="112"/>
        <v>21.902009695210058</v>
      </c>
      <c r="R103" s="168">
        <f t="shared" si="112"/>
        <v>24.249592092186454</v>
      </c>
      <c r="S103" s="168">
        <f t="shared" si="112"/>
        <v>16.623149207967234</v>
      </c>
      <c r="T103" s="168">
        <f t="shared" si="112"/>
        <v>27.876738142891554</v>
      </c>
      <c r="U103" s="168">
        <f t="shared" si="112"/>
        <v>26.9178483779123</v>
      </c>
      <c r="V103" s="168">
        <f t="shared" si="112"/>
        <v>18.180275906444905</v>
      </c>
      <c r="W103" s="168">
        <f t="shared" si="112"/>
        <v>18.77457847222826</v>
      </c>
      <c r="X103" s="168">
        <f t="shared" si="112"/>
        <v>21.157842219512307</v>
      </c>
      <c r="Y103" s="168">
        <f t="shared" si="112"/>
        <v>26.828878198694969</v>
      </c>
      <c r="Z103" s="168">
        <f t="shared" si="112"/>
        <v>25.205183624598757</v>
      </c>
      <c r="AA103" s="168">
        <f t="shared" si="112"/>
        <v>32.967332103377977</v>
      </c>
      <c r="AB103" s="168">
        <f t="shared" si="112"/>
        <v>29.735891728394211</v>
      </c>
      <c r="AC103" s="168">
        <f t="shared" si="112"/>
        <v>35.387773853995817</v>
      </c>
      <c r="AD103" s="168">
        <f t="shared" si="112"/>
        <v>34.859291029440001</v>
      </c>
      <c r="AE103" s="168">
        <f t="shared" si="112"/>
        <v>26.782573345229903</v>
      </c>
      <c r="AF103" s="168">
        <f t="shared" si="112"/>
        <v>34.473295644024141</v>
      </c>
      <c r="AG103" s="168">
        <f t="shared" si="112"/>
        <v>27.531519364470899</v>
      </c>
      <c r="AH103" s="168">
        <f t="shared" si="112"/>
        <v>15.915082765418131</v>
      </c>
      <c r="AI103" s="168">
        <f t="shared" si="112"/>
        <v>33.166311837525143</v>
      </c>
      <c r="AJ103" s="168">
        <f t="shared" si="112"/>
        <v>24.056788369918237</v>
      </c>
      <c r="AK103" s="168">
        <f t="shared" si="112"/>
        <v>33.924336907338137</v>
      </c>
      <c r="AL103" s="168">
        <f t="shared" si="112"/>
        <v>28.262412316565204</v>
      </c>
      <c r="AM103" s="168">
        <f t="shared" si="112"/>
        <v>34.521976939331203</v>
      </c>
      <c r="AN103" s="168">
        <f t="shared" si="112"/>
        <v>23.110568639651575</v>
      </c>
      <c r="AO103" s="168">
        <f t="shared" si="112"/>
        <v>16.074914988007105</v>
      </c>
      <c r="AP103" s="168">
        <f t="shared" si="112"/>
        <v>30.585882532582662</v>
      </c>
      <c r="AQ103" s="168">
        <f t="shared" si="112"/>
        <v>18.009222436823336</v>
      </c>
      <c r="AR103" s="168">
        <f t="shared" si="112"/>
        <v>33.022748807342687</v>
      </c>
      <c r="AS103" s="168">
        <f t="shared" si="112"/>
        <v>13.677288714169508</v>
      </c>
      <c r="AT103" s="168">
        <f t="shared" si="112"/>
        <v>18.823202990672755</v>
      </c>
      <c r="AU103" s="168">
        <f t="shared" si="112"/>
        <v>33.893955508957291</v>
      </c>
      <c r="AV103" s="168">
        <f t="shared" si="112"/>
        <v>25.542843659475878</v>
      </c>
      <c r="AW103" s="168">
        <f t="shared" si="112"/>
        <v>27.030393674835825</v>
      </c>
      <c r="AX103" s="168">
        <f t="shared" si="112"/>
        <v>11.440937272332807</v>
      </c>
      <c r="AY103" s="168">
        <f t="shared" si="112"/>
        <v>21.681534758208606</v>
      </c>
      <c r="AZ103" s="168">
        <f t="shared" si="112"/>
        <v>24.80900292745384</v>
      </c>
      <c r="BA103" s="168">
        <f t="shared" si="112"/>
        <v>26.249725506723529</v>
      </c>
      <c r="BB103" s="168">
        <f t="shared" si="112"/>
        <v>29.142609323350701</v>
      </c>
      <c r="BC103" s="168">
        <f t="shared" si="112"/>
        <v>17.382508215952249</v>
      </c>
      <c r="BD103" s="168">
        <f t="shared" si="112"/>
        <v>20.377979996327845</v>
      </c>
      <c r="BE103" s="168">
        <f t="shared" si="112"/>
        <v>21.822717009815687</v>
      </c>
      <c r="BF103" s="168">
        <f t="shared" si="112"/>
        <v>15.622287217910793</v>
      </c>
      <c r="BG103" s="168">
        <f t="shared" si="112"/>
        <v>18.472374244465129</v>
      </c>
      <c r="BH103" s="168">
        <f t="shared" si="112"/>
        <v>33.306603498987386</v>
      </c>
      <c r="BI103" s="168">
        <f t="shared" si="112"/>
        <v>31.787015546465788</v>
      </c>
      <c r="BJ103" s="168">
        <f t="shared" si="112"/>
        <v>26.474013590369157</v>
      </c>
      <c r="BK103" s="168">
        <f t="shared" si="112"/>
        <v>21.320117925445828</v>
      </c>
      <c r="BL103" s="168">
        <f t="shared" si="112"/>
        <v>19.977089388435452</v>
      </c>
      <c r="BM103" s="168">
        <f t="shared" si="112"/>
        <v>33.233659551337567</v>
      </c>
      <c r="BN103" s="168">
        <f t="shared" si="112"/>
        <v>33.952152013469856</v>
      </c>
      <c r="BO103" s="168">
        <f t="shared" si="112"/>
        <v>28.958247510194454</v>
      </c>
      <c r="BP103" s="168">
        <f t="shared" si="112"/>
        <v>25.122982124233783</v>
      </c>
      <c r="BQ103" s="168">
        <f t="shared" si="112"/>
        <v>13.460100402600958</v>
      </c>
      <c r="BR103" s="168">
        <f t="shared" ref="BR103:DA103" si="113">(2*BR88+BR89+(1/20)*BR90-0.305)*BR61</f>
        <v>21.687828998003727</v>
      </c>
      <c r="BS103" s="168">
        <f t="shared" si="113"/>
        <v>15.237548186864251</v>
      </c>
      <c r="BT103" s="168">
        <f t="shared" si="113"/>
        <v>16.746676428690311</v>
      </c>
      <c r="BU103" s="168">
        <f t="shared" si="113"/>
        <v>17.873698040671517</v>
      </c>
      <c r="BV103" s="168">
        <f t="shared" si="113"/>
        <v>23.829529886745338</v>
      </c>
      <c r="BW103" s="168">
        <f t="shared" si="113"/>
        <v>20.000087954094688</v>
      </c>
      <c r="BX103" s="168">
        <f t="shared" si="113"/>
        <v>27.157507709251654</v>
      </c>
      <c r="BY103" s="168">
        <f t="shared" si="113"/>
        <v>13.601178595671067</v>
      </c>
      <c r="BZ103" s="168">
        <f t="shared" si="113"/>
        <v>28.956505000510656</v>
      </c>
      <c r="CA103" s="168">
        <f t="shared" si="113"/>
        <v>21.477003954123322</v>
      </c>
      <c r="CB103" s="168">
        <f t="shared" si="113"/>
        <v>11.325701098758218</v>
      </c>
      <c r="CC103" s="168">
        <f t="shared" si="113"/>
        <v>12.957343044878421</v>
      </c>
      <c r="CD103" s="168">
        <f t="shared" si="113"/>
        <v>18.14522396478111</v>
      </c>
      <c r="CE103" s="168">
        <f t="shared" si="113"/>
        <v>16.986289271874192</v>
      </c>
      <c r="CF103" s="168">
        <f t="shared" si="113"/>
        <v>16.828315535070125</v>
      </c>
      <c r="CG103" s="168">
        <f t="shared" si="113"/>
        <v>27.866831138364233</v>
      </c>
      <c r="CH103" s="168">
        <f t="shared" si="113"/>
        <v>24.802952462204811</v>
      </c>
      <c r="CI103" s="168">
        <f t="shared" si="113"/>
        <v>17.020968990773216</v>
      </c>
      <c r="CJ103" s="168">
        <f t="shared" si="113"/>
        <v>33.576590929963814</v>
      </c>
      <c r="CK103" s="168">
        <f t="shared" si="113"/>
        <v>27.572582856505392</v>
      </c>
      <c r="CL103" s="168">
        <f t="shared" si="113"/>
        <v>11.313450326563881</v>
      </c>
      <c r="CM103" s="168">
        <f t="shared" si="113"/>
        <v>15.914681904706146</v>
      </c>
      <c r="CN103" s="168">
        <f t="shared" si="113"/>
        <v>24.874793109621294</v>
      </c>
      <c r="CO103" s="168">
        <f t="shared" si="113"/>
        <v>15.457397538392501</v>
      </c>
      <c r="CP103" s="168">
        <f t="shared" si="113"/>
        <v>23.626694279012405</v>
      </c>
      <c r="CQ103" s="168">
        <f t="shared" si="113"/>
        <v>14.996239124784468</v>
      </c>
      <c r="CR103" s="168">
        <f t="shared" si="113"/>
        <v>16.936705100451519</v>
      </c>
      <c r="CS103" s="168">
        <f t="shared" si="113"/>
        <v>30.659084726854076</v>
      </c>
      <c r="CT103" s="168">
        <f t="shared" si="113"/>
        <v>21.434426942415474</v>
      </c>
      <c r="CU103" s="168">
        <f t="shared" si="113"/>
        <v>25.515577853611159</v>
      </c>
      <c r="CV103" s="168">
        <f t="shared" si="113"/>
        <v>15.555108564459243</v>
      </c>
      <c r="CW103" s="168">
        <f t="shared" si="113"/>
        <v>26.729097839531779</v>
      </c>
      <c r="CX103" s="168">
        <f t="shared" si="113"/>
        <v>29.962463674599331</v>
      </c>
      <c r="CY103" s="168">
        <f t="shared" si="113"/>
        <v>19.904581064986182</v>
      </c>
      <c r="CZ103" s="168">
        <f t="shared" si="113"/>
        <v>24.605458772026157</v>
      </c>
      <c r="DA103" s="168">
        <f t="shared" si="113"/>
        <v>20.323022291453793</v>
      </c>
      <c r="DC103">
        <v>99</v>
      </c>
      <c r="DD103" s="114">
        <v>54.488521972576599</v>
      </c>
      <c r="DE103" s="114">
        <v>32.644451794933616</v>
      </c>
      <c r="DF103" s="114">
        <v>0.84446269497032189</v>
      </c>
      <c r="DG103" s="114">
        <v>50.755286526726806</v>
      </c>
      <c r="DH103" s="114">
        <v>26.200774751826444</v>
      </c>
      <c r="DI103" s="114">
        <v>-5.1464432511753682</v>
      </c>
      <c r="DJ103" s="114">
        <v>9.5576657602983524</v>
      </c>
      <c r="DK103" s="114">
        <f t="shared" si="67"/>
        <v>91.348974785579486</v>
      </c>
      <c r="DL103" s="114">
        <f t="shared" si="68"/>
        <v>2.5862722717937322E-2</v>
      </c>
      <c r="DM103" s="114">
        <f t="shared" si="69"/>
        <v>1.4818248584549218</v>
      </c>
      <c r="DN103" s="115">
        <f t="shared" si="70"/>
        <v>1</v>
      </c>
      <c r="DO103">
        <v>5</v>
      </c>
    </row>
    <row r="104" spans="1:119">
      <c r="E104" s="172" t="s">
        <v>327</v>
      </c>
      <c r="F104" s="168">
        <f t="shared" ref="F104:BQ104" si="114">(2*F91+F92+(1/20)*F93-0.305)*F61</f>
        <v>39.501102128317278</v>
      </c>
      <c r="G104" s="168">
        <f t="shared" si="114"/>
        <v>39.501102128317278</v>
      </c>
      <c r="H104" s="168">
        <f t="shared" si="114"/>
        <v>39.501102128317278</v>
      </c>
      <c r="I104" s="168">
        <f t="shared" si="114"/>
        <v>39.501102128317278</v>
      </c>
      <c r="J104" s="168">
        <f t="shared" si="114"/>
        <v>39.501102128317278</v>
      </c>
      <c r="K104" s="168">
        <f t="shared" si="114"/>
        <v>39.501102128317278</v>
      </c>
      <c r="L104" s="168">
        <f t="shared" si="114"/>
        <v>39.501102128317278</v>
      </c>
      <c r="M104" s="168">
        <f t="shared" si="114"/>
        <v>39.501102128317278</v>
      </c>
      <c r="N104" s="168">
        <f t="shared" si="114"/>
        <v>39.501102128317278</v>
      </c>
      <c r="O104" s="168">
        <f t="shared" si="114"/>
        <v>39.501102128317278</v>
      </c>
      <c r="P104" s="168">
        <f t="shared" si="114"/>
        <v>39.501102128317278</v>
      </c>
      <c r="Q104" s="168">
        <f t="shared" si="114"/>
        <v>39.501102128317278</v>
      </c>
      <c r="R104" s="168">
        <f t="shared" si="114"/>
        <v>39.501102128317278</v>
      </c>
      <c r="S104" s="168">
        <f t="shared" si="114"/>
        <v>39.501102128317278</v>
      </c>
      <c r="T104" s="168">
        <f t="shared" si="114"/>
        <v>39.501102128317278</v>
      </c>
      <c r="U104" s="168">
        <f t="shared" si="114"/>
        <v>39.501102128317278</v>
      </c>
      <c r="V104" s="168">
        <f t="shared" si="114"/>
        <v>39.501102128317278</v>
      </c>
      <c r="W104" s="168">
        <f t="shared" si="114"/>
        <v>39.501102128317278</v>
      </c>
      <c r="X104" s="168">
        <f t="shared" si="114"/>
        <v>39.501102128317278</v>
      </c>
      <c r="Y104" s="168">
        <f t="shared" si="114"/>
        <v>39.501102128317278</v>
      </c>
      <c r="Z104" s="168">
        <f t="shared" si="114"/>
        <v>39.501102128317278</v>
      </c>
      <c r="AA104" s="168">
        <f t="shared" si="114"/>
        <v>39.501102128317278</v>
      </c>
      <c r="AB104" s="168">
        <f t="shared" si="114"/>
        <v>39.501102128317278</v>
      </c>
      <c r="AC104" s="168">
        <f t="shared" si="114"/>
        <v>39.501102128317278</v>
      </c>
      <c r="AD104" s="168">
        <f t="shared" si="114"/>
        <v>39.501102128317278</v>
      </c>
      <c r="AE104" s="168">
        <f t="shared" si="114"/>
        <v>39.501102128317278</v>
      </c>
      <c r="AF104" s="168">
        <f t="shared" si="114"/>
        <v>39.501102128317278</v>
      </c>
      <c r="AG104" s="168">
        <f t="shared" si="114"/>
        <v>39.501102128317278</v>
      </c>
      <c r="AH104" s="168">
        <f t="shared" si="114"/>
        <v>39.501102128317278</v>
      </c>
      <c r="AI104" s="168">
        <f t="shared" si="114"/>
        <v>39.501102128317278</v>
      </c>
      <c r="AJ104" s="168">
        <f t="shared" si="114"/>
        <v>39.501102128317278</v>
      </c>
      <c r="AK104" s="168">
        <f t="shared" si="114"/>
        <v>39.501102128317278</v>
      </c>
      <c r="AL104" s="168">
        <f t="shared" si="114"/>
        <v>39.501102128317278</v>
      </c>
      <c r="AM104" s="168">
        <f t="shared" si="114"/>
        <v>39.501102128317278</v>
      </c>
      <c r="AN104" s="168">
        <f t="shared" si="114"/>
        <v>39.501102128317278</v>
      </c>
      <c r="AO104" s="168">
        <f t="shared" si="114"/>
        <v>39.501102128317278</v>
      </c>
      <c r="AP104" s="168">
        <f t="shared" si="114"/>
        <v>39.501102128317278</v>
      </c>
      <c r="AQ104" s="168">
        <f t="shared" si="114"/>
        <v>39.501102128317278</v>
      </c>
      <c r="AR104" s="168">
        <f t="shared" si="114"/>
        <v>39.501102128317278</v>
      </c>
      <c r="AS104" s="168">
        <f t="shared" si="114"/>
        <v>39.501102128317278</v>
      </c>
      <c r="AT104" s="168">
        <f t="shared" si="114"/>
        <v>39.501102128317278</v>
      </c>
      <c r="AU104" s="168">
        <f t="shared" si="114"/>
        <v>39.501102128317278</v>
      </c>
      <c r="AV104" s="168">
        <f t="shared" si="114"/>
        <v>39.501102128317278</v>
      </c>
      <c r="AW104" s="168">
        <f t="shared" si="114"/>
        <v>39.501102128317278</v>
      </c>
      <c r="AX104" s="168">
        <f t="shared" si="114"/>
        <v>39.501102128317278</v>
      </c>
      <c r="AY104" s="168">
        <f t="shared" si="114"/>
        <v>39.501102128317278</v>
      </c>
      <c r="AZ104" s="168">
        <f t="shared" si="114"/>
        <v>39.501102128317278</v>
      </c>
      <c r="BA104" s="168">
        <f t="shared" si="114"/>
        <v>39.501102128317278</v>
      </c>
      <c r="BB104" s="168">
        <f t="shared" si="114"/>
        <v>39.501102128317278</v>
      </c>
      <c r="BC104" s="168">
        <f t="shared" si="114"/>
        <v>39.501102128317278</v>
      </c>
      <c r="BD104" s="168">
        <f t="shared" si="114"/>
        <v>39.501102128317278</v>
      </c>
      <c r="BE104" s="168">
        <f t="shared" si="114"/>
        <v>39.501102128317278</v>
      </c>
      <c r="BF104" s="168">
        <f t="shared" si="114"/>
        <v>39.501102128317278</v>
      </c>
      <c r="BG104" s="168">
        <f t="shared" si="114"/>
        <v>39.501102128317278</v>
      </c>
      <c r="BH104" s="168">
        <f t="shared" si="114"/>
        <v>39.501102128317278</v>
      </c>
      <c r="BI104" s="168">
        <f t="shared" si="114"/>
        <v>39.501102128317278</v>
      </c>
      <c r="BJ104" s="168">
        <f t="shared" si="114"/>
        <v>39.501102128317278</v>
      </c>
      <c r="BK104" s="168">
        <f t="shared" si="114"/>
        <v>39.501102128317278</v>
      </c>
      <c r="BL104" s="168">
        <f t="shared" si="114"/>
        <v>39.501102128317278</v>
      </c>
      <c r="BM104" s="168">
        <f t="shared" si="114"/>
        <v>39.501102128317278</v>
      </c>
      <c r="BN104" s="168">
        <f t="shared" si="114"/>
        <v>39.501102128317278</v>
      </c>
      <c r="BO104" s="168">
        <f t="shared" si="114"/>
        <v>39.501102128317278</v>
      </c>
      <c r="BP104" s="168">
        <f t="shared" si="114"/>
        <v>39.501102128317278</v>
      </c>
      <c r="BQ104" s="168">
        <f t="shared" si="114"/>
        <v>39.501102128317278</v>
      </c>
      <c r="BR104" s="168">
        <f t="shared" ref="BR104:DA104" si="115">(2*BR91+BR92+(1/20)*BR93-0.305)*BR61</f>
        <v>39.501102128317278</v>
      </c>
      <c r="BS104" s="168">
        <f t="shared" si="115"/>
        <v>39.501102128317278</v>
      </c>
      <c r="BT104" s="168">
        <f t="shared" si="115"/>
        <v>39.501102128317278</v>
      </c>
      <c r="BU104" s="168">
        <f t="shared" si="115"/>
        <v>39.501102128317278</v>
      </c>
      <c r="BV104" s="168">
        <f t="shared" si="115"/>
        <v>39.501102128317278</v>
      </c>
      <c r="BW104" s="168">
        <f t="shared" si="115"/>
        <v>39.501102128317278</v>
      </c>
      <c r="BX104" s="168">
        <f t="shared" si="115"/>
        <v>39.501102128317278</v>
      </c>
      <c r="BY104" s="168">
        <f t="shared" si="115"/>
        <v>39.501102128317278</v>
      </c>
      <c r="BZ104" s="168">
        <f t="shared" si="115"/>
        <v>39.501102128317278</v>
      </c>
      <c r="CA104" s="168">
        <f t="shared" si="115"/>
        <v>39.501102128317278</v>
      </c>
      <c r="CB104" s="168">
        <f t="shared" si="115"/>
        <v>39.501102128317278</v>
      </c>
      <c r="CC104" s="168">
        <f t="shared" si="115"/>
        <v>39.501102128317278</v>
      </c>
      <c r="CD104" s="168">
        <f t="shared" si="115"/>
        <v>39.501102128317278</v>
      </c>
      <c r="CE104" s="168">
        <f t="shared" si="115"/>
        <v>39.501102128317278</v>
      </c>
      <c r="CF104" s="168">
        <f t="shared" si="115"/>
        <v>39.501102128317278</v>
      </c>
      <c r="CG104" s="168">
        <f t="shared" si="115"/>
        <v>39.501102128317278</v>
      </c>
      <c r="CH104" s="168">
        <f t="shared" si="115"/>
        <v>39.501102128317278</v>
      </c>
      <c r="CI104" s="168">
        <f t="shared" si="115"/>
        <v>39.501102128317278</v>
      </c>
      <c r="CJ104" s="168">
        <f t="shared" si="115"/>
        <v>39.501102128317278</v>
      </c>
      <c r="CK104" s="168">
        <f t="shared" si="115"/>
        <v>39.501102128317278</v>
      </c>
      <c r="CL104" s="168">
        <f t="shared" si="115"/>
        <v>39.501102128317278</v>
      </c>
      <c r="CM104" s="168">
        <f t="shared" si="115"/>
        <v>39.501102128317278</v>
      </c>
      <c r="CN104" s="168">
        <f t="shared" si="115"/>
        <v>39.501102128317278</v>
      </c>
      <c r="CO104" s="168">
        <f t="shared" si="115"/>
        <v>39.501102128317278</v>
      </c>
      <c r="CP104" s="168">
        <f t="shared" si="115"/>
        <v>39.501102128317278</v>
      </c>
      <c r="CQ104" s="168">
        <f t="shared" si="115"/>
        <v>39.501102128317278</v>
      </c>
      <c r="CR104" s="168">
        <f t="shared" si="115"/>
        <v>39.501102128317278</v>
      </c>
      <c r="CS104" s="168">
        <f t="shared" si="115"/>
        <v>39.501102128317278</v>
      </c>
      <c r="CT104" s="168">
        <f t="shared" si="115"/>
        <v>39.501102128317278</v>
      </c>
      <c r="CU104" s="168">
        <f t="shared" si="115"/>
        <v>39.501102128317278</v>
      </c>
      <c r="CV104" s="168">
        <f t="shared" si="115"/>
        <v>39.501102128317278</v>
      </c>
      <c r="CW104" s="168">
        <f t="shared" si="115"/>
        <v>39.501102128317278</v>
      </c>
      <c r="CX104" s="168">
        <f t="shared" si="115"/>
        <v>39.501102128317278</v>
      </c>
      <c r="CY104" s="168">
        <f t="shared" si="115"/>
        <v>39.501102128317278</v>
      </c>
      <c r="CZ104" s="168">
        <f t="shared" si="115"/>
        <v>39.501102128317278</v>
      </c>
      <c r="DA104" s="168">
        <f t="shared" si="115"/>
        <v>39.501102128317278</v>
      </c>
    </row>
    <row r="105" spans="1:119">
      <c r="E105" s="172" t="s">
        <v>229</v>
      </c>
      <c r="F105" s="168">
        <f t="shared" ref="F105:BQ105" si="116">100*(F103/F104)^($F$47*F63)</f>
        <v>100</v>
      </c>
      <c r="G105" s="168">
        <f t="shared" si="116"/>
        <v>78.601662756701174</v>
      </c>
      <c r="H105" s="168">
        <f t="shared" si="116"/>
        <v>50.492578986017598</v>
      </c>
      <c r="I105" s="168">
        <f t="shared" si="116"/>
        <v>21.737033698933196</v>
      </c>
      <c r="J105" s="168">
        <f t="shared" si="116"/>
        <v>57.953095926973376</v>
      </c>
      <c r="K105" s="168">
        <f t="shared" si="116"/>
        <v>38.573302580985761</v>
      </c>
      <c r="L105" s="168">
        <f t="shared" si="116"/>
        <v>38.504008421833547</v>
      </c>
      <c r="M105" s="168">
        <f t="shared" si="116"/>
        <v>31.639210282127493</v>
      </c>
      <c r="N105" s="168">
        <f t="shared" si="116"/>
        <v>30.845811640111947</v>
      </c>
      <c r="O105" s="168">
        <f t="shared" si="116"/>
        <v>19.419678498423263</v>
      </c>
      <c r="P105" s="168">
        <f t="shared" si="116"/>
        <v>65.011096498602257</v>
      </c>
      <c r="Q105" s="168">
        <f t="shared" si="116"/>
        <v>45.646810874788692</v>
      </c>
      <c r="R105" s="168">
        <f t="shared" si="116"/>
        <v>52.265345138088151</v>
      </c>
      <c r="S105" s="168">
        <f t="shared" si="116"/>
        <v>31.6331267307201</v>
      </c>
      <c r="T105" s="168">
        <f t="shared" si="116"/>
        <v>62.90935677764201</v>
      </c>
      <c r="U105" s="168">
        <f t="shared" si="116"/>
        <v>60.048267740979455</v>
      </c>
      <c r="V105" s="168">
        <f t="shared" si="116"/>
        <v>35.633082718511865</v>
      </c>
      <c r="W105" s="168">
        <f t="shared" si="116"/>
        <v>37.190329017536548</v>
      </c>
      <c r="X105" s="168">
        <f t="shared" si="116"/>
        <v>43.596039218964137</v>
      </c>
      <c r="Y105" s="168">
        <f t="shared" si="116"/>
        <v>59.784484853132156</v>
      </c>
      <c r="Z105" s="168">
        <f t="shared" si="116"/>
        <v>55.021788760320412</v>
      </c>
      <c r="AA105" s="168">
        <f t="shared" si="116"/>
        <v>78.628263768086299</v>
      </c>
      <c r="AB105" s="168">
        <f t="shared" si="116"/>
        <v>68.548962738797215</v>
      </c>
      <c r="AC105" s="168">
        <f t="shared" si="116"/>
        <v>86.396309472352414</v>
      </c>
      <c r="AD105" s="168">
        <f t="shared" si="116"/>
        <v>84.684807445318327</v>
      </c>
      <c r="AE105" s="168">
        <f t="shared" si="116"/>
        <v>59.647312125843087</v>
      </c>
      <c r="AF105" s="168">
        <f t="shared" si="116"/>
        <v>83.440142746582296</v>
      </c>
      <c r="AG105" s="168">
        <f t="shared" si="116"/>
        <v>61.875509329463327</v>
      </c>
      <c r="AH105" s="168">
        <f t="shared" si="116"/>
        <v>29.854065106131735</v>
      </c>
      <c r="AI105" s="168">
        <f t="shared" si="116"/>
        <v>79.259968442050166</v>
      </c>
      <c r="AJ105" s="168">
        <f t="shared" si="116"/>
        <v>51.71347995936295</v>
      </c>
      <c r="AK105" s="168">
        <f t="shared" si="116"/>
        <v>81.677903177169341</v>
      </c>
      <c r="AL105" s="168">
        <f t="shared" si="116"/>
        <v>64.069360408983044</v>
      </c>
      <c r="AM105" s="168">
        <f t="shared" si="116"/>
        <v>83.596866340350502</v>
      </c>
      <c r="AN105" s="168">
        <f t="shared" si="116"/>
        <v>49.026366991013361</v>
      </c>
      <c r="AO105" s="168">
        <f t="shared" si="116"/>
        <v>30.253416149779138</v>
      </c>
      <c r="AP105" s="168">
        <f t="shared" si="116"/>
        <v>71.16679839367265</v>
      </c>
      <c r="AQ105" s="168">
        <f t="shared" si="116"/>
        <v>35.187951507989631</v>
      </c>
      <c r="AR105" s="168">
        <f t="shared" si="116"/>
        <v>78.804070227539739</v>
      </c>
      <c r="AS105" s="168">
        <f t="shared" si="116"/>
        <v>24.405758318257238</v>
      </c>
      <c r="AT105" s="168">
        <f t="shared" si="116"/>
        <v>37.318467447327642</v>
      </c>
      <c r="AU105" s="168">
        <f t="shared" si="116"/>
        <v>81.580647320346245</v>
      </c>
      <c r="AV105" s="168">
        <f t="shared" si="116"/>
        <v>56.004122042122937</v>
      </c>
      <c r="AW105" s="168">
        <f t="shared" si="116"/>
        <v>60.382359265855634</v>
      </c>
      <c r="AX105" s="168">
        <f t="shared" si="116"/>
        <v>19.247905706448904</v>
      </c>
      <c r="AY105" s="168">
        <f t="shared" si="116"/>
        <v>45.036794414636759</v>
      </c>
      <c r="AZ105" s="168">
        <f t="shared" si="116"/>
        <v>53.874728968096754</v>
      </c>
      <c r="BA105" s="168">
        <f t="shared" si="116"/>
        <v>58.074462268097449</v>
      </c>
      <c r="BB105" s="168">
        <f t="shared" si="116"/>
        <v>66.736275889145375</v>
      </c>
      <c r="BC105" s="168">
        <f t="shared" si="116"/>
        <v>33.569019716382776</v>
      </c>
      <c r="BD105" s="168">
        <f t="shared" si="116"/>
        <v>41.472292507227188</v>
      </c>
      <c r="BE105" s="168">
        <f t="shared" si="116"/>
        <v>45.427187277432175</v>
      </c>
      <c r="BF105" s="168">
        <f t="shared" si="116"/>
        <v>29.125928159461417</v>
      </c>
      <c r="BG105" s="168">
        <f t="shared" si="116"/>
        <v>36.396401390761703</v>
      </c>
      <c r="BH105" s="168">
        <f t="shared" si="116"/>
        <v>79.706107279853484</v>
      </c>
      <c r="BI105" s="168">
        <f t="shared" si="116"/>
        <v>74.907090021371403</v>
      </c>
      <c r="BJ105" s="168">
        <f t="shared" si="116"/>
        <v>58.735240680529444</v>
      </c>
      <c r="BK105" s="168">
        <f t="shared" si="116"/>
        <v>44.041240144938222</v>
      </c>
      <c r="BL105" s="168">
        <f t="shared" si="116"/>
        <v>40.390897371173331</v>
      </c>
      <c r="BM105" s="168">
        <f t="shared" si="116"/>
        <v>79.474062116771975</v>
      </c>
      <c r="BN105" s="168">
        <f t="shared" si="116"/>
        <v>81.766969100597635</v>
      </c>
      <c r="BO105" s="168">
        <f t="shared" si="116"/>
        <v>66.175448072396122</v>
      </c>
      <c r="BP105" s="168">
        <f t="shared" si="116"/>
        <v>54.783298992864161</v>
      </c>
      <c r="BQ105" s="168">
        <f t="shared" si="116"/>
        <v>23.891756109397544</v>
      </c>
      <c r="BR105" s="168">
        <f t="shared" ref="BR105:CW105" si="117">100*(BR103/BR104)^($F$47*BR63)</f>
        <v>45.054181246840336</v>
      </c>
      <c r="BS105" s="168">
        <f t="shared" si="117"/>
        <v>28.175972525920219</v>
      </c>
      <c r="BT105" s="168">
        <f t="shared" si="117"/>
        <v>31.946095759956588</v>
      </c>
      <c r="BU105" s="168">
        <f t="shared" si="117"/>
        <v>34.836265319120493</v>
      </c>
      <c r="BV105" s="168">
        <f t="shared" si="117"/>
        <v>51.064865368569158</v>
      </c>
      <c r="BW105" s="168">
        <f t="shared" si="117"/>
        <v>40.452743624376112</v>
      </c>
      <c r="BX105" s="168">
        <f t="shared" si="117"/>
        <v>60.76025015790357</v>
      </c>
      <c r="BY105" s="168">
        <f t="shared" si="117"/>
        <v>24.225325945109709</v>
      </c>
      <c r="BZ105" s="168">
        <f t="shared" si="117"/>
        <v>66.170152968968111</v>
      </c>
      <c r="CA105" s="168">
        <f t="shared" si="117"/>
        <v>44.472718403008024</v>
      </c>
      <c r="CB105" s="168">
        <f t="shared" si="117"/>
        <v>18.990530837362112</v>
      </c>
      <c r="CC105" s="168">
        <f t="shared" si="117"/>
        <v>22.712437097702143</v>
      </c>
      <c r="CD105" s="168">
        <f t="shared" si="117"/>
        <v>35.541754328787569</v>
      </c>
      <c r="CE105" s="168">
        <f t="shared" si="117"/>
        <v>32.555349697113392</v>
      </c>
      <c r="CF105" s="168">
        <f t="shared" si="117"/>
        <v>32.153355486259208</v>
      </c>
      <c r="CG105" s="168">
        <f t="shared" si="117"/>
        <v>62.879628541643243</v>
      </c>
      <c r="CH105" s="168">
        <f t="shared" si="117"/>
        <v>53.857257635368285</v>
      </c>
      <c r="CI105" s="168">
        <f t="shared" si="117"/>
        <v>32.643764395448258</v>
      </c>
      <c r="CJ105" s="168">
        <f t="shared" si="117"/>
        <v>80.56643276471921</v>
      </c>
      <c r="CK105" s="168">
        <f t="shared" si="117"/>
        <v>61.998261784488193</v>
      </c>
      <c r="CL105" s="168">
        <f t="shared" si="117"/>
        <v>18.963219879668333</v>
      </c>
      <c r="CM105" s="168">
        <f t="shared" si="117"/>
        <v>29.853065186246084</v>
      </c>
      <c r="CN105" s="168">
        <f t="shared" si="117"/>
        <v>54.064795462834482</v>
      </c>
      <c r="CO105" s="168">
        <f t="shared" si="117"/>
        <v>28.717844420518762</v>
      </c>
      <c r="CP105" s="168">
        <f t="shared" si="117"/>
        <v>50.487675472090679</v>
      </c>
      <c r="CQ105" s="168">
        <f t="shared" si="117"/>
        <v>27.584170006918825</v>
      </c>
      <c r="CR105" s="168">
        <f t="shared" si="117"/>
        <v>32.42904001894113</v>
      </c>
      <c r="CS105" s="168">
        <f t="shared" si="117"/>
        <v>71.393383163559434</v>
      </c>
      <c r="CT105" s="168">
        <f t="shared" si="117"/>
        <v>44.355517205729264</v>
      </c>
      <c r="CU105" s="168">
        <f t="shared" si="117"/>
        <v>55.924639534171526</v>
      </c>
      <c r="CV105" s="168">
        <f t="shared" si="117"/>
        <v>28.959496076335654</v>
      </c>
      <c r="CW105" s="168">
        <f t="shared" si="117"/>
        <v>59.488994470842016</v>
      </c>
      <c r="CX105" s="168">
        <f>100*(CX103/CX104)^($F$47*CX63)</f>
        <v>69.24438623955777</v>
      </c>
      <c r="CY105" s="168">
        <f>100*(CY103/CY104)^($F$47*CY63)</f>
        <v>40.196066447110475</v>
      </c>
      <c r="CZ105" s="168">
        <f>100*(CZ103/CZ104)^($F$47*CZ63)</f>
        <v>53.287747535756871</v>
      </c>
      <c r="DA105" s="168">
        <f>100*(DA103/DA104)^($F$47*DA63)</f>
        <v>41.323626679207273</v>
      </c>
    </row>
    <row r="106" spans="1:119">
      <c r="E106" s="172" t="s">
        <v>328</v>
      </c>
      <c r="F106" s="168">
        <f t="shared" ref="F106:BQ106" si="118">(4/$F$47)*((F105/100)^0.5)*(F104+4)*(F59^0.25)</f>
        <v>238.02650952152914</v>
      </c>
      <c r="G106" s="168">
        <f t="shared" si="118"/>
        <v>211.0285402035588</v>
      </c>
      <c r="H106" s="168">
        <f t="shared" si="118"/>
        <v>169.13718756690065</v>
      </c>
      <c r="I106" s="168">
        <f t="shared" si="118"/>
        <v>110.97508015671258</v>
      </c>
      <c r="J106" s="168">
        <f t="shared" si="118"/>
        <v>181.20227618394063</v>
      </c>
      <c r="K106" s="168">
        <f t="shared" si="118"/>
        <v>147.83209790053897</v>
      </c>
      <c r="L106" s="168">
        <f t="shared" si="118"/>
        <v>147.69925335549792</v>
      </c>
      <c r="M106" s="168">
        <f t="shared" si="118"/>
        <v>133.8869183247817</v>
      </c>
      <c r="N106" s="168">
        <f t="shared" si="118"/>
        <v>132.19755690210141</v>
      </c>
      <c r="O106" s="168">
        <f t="shared" si="118"/>
        <v>104.89296117239391</v>
      </c>
      <c r="P106" s="168">
        <f t="shared" si="118"/>
        <v>191.91948677430645</v>
      </c>
      <c r="Q106" s="168">
        <f t="shared" si="118"/>
        <v>160.81647872730824</v>
      </c>
      <c r="R106" s="168">
        <f t="shared" si="118"/>
        <v>172.08072985301564</v>
      </c>
      <c r="S106" s="168">
        <f t="shared" si="118"/>
        <v>133.8740458937053</v>
      </c>
      <c r="T106" s="168">
        <f t="shared" si="118"/>
        <v>188.79172315728761</v>
      </c>
      <c r="U106" s="168">
        <f t="shared" si="118"/>
        <v>184.44868774600056</v>
      </c>
      <c r="V106" s="168">
        <f t="shared" si="118"/>
        <v>142.08624140824043</v>
      </c>
      <c r="W106" s="168">
        <f t="shared" si="118"/>
        <v>145.15778692068287</v>
      </c>
      <c r="X106" s="168">
        <f t="shared" si="118"/>
        <v>157.16246988970016</v>
      </c>
      <c r="Y106" s="168">
        <f t="shared" si="118"/>
        <v>184.04311436412632</v>
      </c>
      <c r="Z106" s="168">
        <f t="shared" si="118"/>
        <v>176.56014656264358</v>
      </c>
      <c r="AA106" s="168">
        <f t="shared" si="118"/>
        <v>211.06424617679369</v>
      </c>
      <c r="AB106" s="168">
        <f t="shared" si="118"/>
        <v>197.07238469269137</v>
      </c>
      <c r="AC106" s="168">
        <f t="shared" si="118"/>
        <v>221.24472443618899</v>
      </c>
      <c r="AD106" s="168">
        <f t="shared" si="118"/>
        <v>219.04234500248833</v>
      </c>
      <c r="AE106" s="168">
        <f t="shared" si="118"/>
        <v>183.83185391833609</v>
      </c>
      <c r="AF106" s="168">
        <f t="shared" si="118"/>
        <v>217.4266864142343</v>
      </c>
      <c r="AG106" s="168">
        <f t="shared" si="118"/>
        <v>187.23400257568747</v>
      </c>
      <c r="AH106" s="168">
        <f t="shared" si="118"/>
        <v>130.05500372285115</v>
      </c>
      <c r="AI106" s="168">
        <f t="shared" si="118"/>
        <v>211.91040211843205</v>
      </c>
      <c r="AJ106" s="168">
        <f t="shared" si="118"/>
        <v>171.16982629466457</v>
      </c>
      <c r="AK106" s="168">
        <f t="shared" si="118"/>
        <v>215.11842924822346</v>
      </c>
      <c r="AL106" s="168">
        <f t="shared" si="118"/>
        <v>190.52436477579195</v>
      </c>
      <c r="AM106" s="168">
        <f t="shared" si="118"/>
        <v>217.63078425362173</v>
      </c>
      <c r="AN106" s="168">
        <f t="shared" si="118"/>
        <v>166.66337951347751</v>
      </c>
      <c r="AO106" s="168">
        <f t="shared" si="118"/>
        <v>130.92197215731647</v>
      </c>
      <c r="AP106" s="168">
        <f t="shared" si="118"/>
        <v>200.80015435164648</v>
      </c>
      <c r="AQ106" s="168">
        <f t="shared" si="118"/>
        <v>141.19597622623328</v>
      </c>
      <c r="AR106" s="168">
        <f t="shared" si="118"/>
        <v>211.30007574655818</v>
      </c>
      <c r="AS106" s="168">
        <f t="shared" si="118"/>
        <v>117.59029535548406</v>
      </c>
      <c r="AT106" s="168">
        <f t="shared" si="118"/>
        <v>145.40764081014041</v>
      </c>
      <c r="AU106" s="168">
        <f t="shared" si="118"/>
        <v>214.99031773951805</v>
      </c>
      <c r="AV106" s="168">
        <f t="shared" si="118"/>
        <v>178.12928501880805</v>
      </c>
      <c r="AW106" s="168">
        <f t="shared" si="118"/>
        <v>184.96108610831399</v>
      </c>
      <c r="AX106" s="168">
        <f t="shared" si="118"/>
        <v>104.42802615588926</v>
      </c>
      <c r="AY106" s="168">
        <f t="shared" si="118"/>
        <v>159.73830200409566</v>
      </c>
      <c r="AZ106" s="168">
        <f t="shared" si="118"/>
        <v>174.71004566236087</v>
      </c>
      <c r="BA106" s="168">
        <f t="shared" si="118"/>
        <v>181.39191536562819</v>
      </c>
      <c r="BB106" s="168">
        <f t="shared" si="118"/>
        <v>194.44926773360177</v>
      </c>
      <c r="BC106" s="168">
        <f t="shared" si="118"/>
        <v>137.90965042967056</v>
      </c>
      <c r="BD106" s="168">
        <f t="shared" si="118"/>
        <v>153.28665582445922</v>
      </c>
      <c r="BE106" s="168">
        <f t="shared" si="118"/>
        <v>160.42913864054213</v>
      </c>
      <c r="BF106" s="168">
        <f t="shared" si="118"/>
        <v>128.45920058900592</v>
      </c>
      <c r="BG106" s="168">
        <f t="shared" si="118"/>
        <v>143.60003673818142</v>
      </c>
      <c r="BH106" s="168">
        <f t="shared" si="118"/>
        <v>212.50596628939454</v>
      </c>
      <c r="BI106" s="168">
        <f t="shared" si="118"/>
        <v>206.0092832214826</v>
      </c>
      <c r="BJ106" s="168">
        <f t="shared" si="118"/>
        <v>182.42094635520866</v>
      </c>
      <c r="BK106" s="168">
        <f t="shared" si="118"/>
        <v>157.96289986984527</v>
      </c>
      <c r="BL106" s="168">
        <f t="shared" si="118"/>
        <v>151.27497125825653</v>
      </c>
      <c r="BM106" s="168">
        <f t="shared" si="118"/>
        <v>212.19641081811196</v>
      </c>
      <c r="BN106" s="168">
        <f t="shared" si="118"/>
        <v>215.23568557125424</v>
      </c>
      <c r="BO106" s="168">
        <f t="shared" si="118"/>
        <v>193.63050286934219</v>
      </c>
      <c r="BP106" s="168">
        <f t="shared" si="118"/>
        <v>176.17708453360234</v>
      </c>
      <c r="BQ106" s="168">
        <f t="shared" si="118"/>
        <v>116.34543947854957</v>
      </c>
      <c r="BR106" s="168">
        <f t="shared" ref="BR106:CW106" si="119">(4/$F$47)*((BR105/100)^0.5)*(BR104+4)*(BR59^0.25)</f>
        <v>159.76913318432403</v>
      </c>
      <c r="BS106" s="168">
        <f t="shared" si="119"/>
        <v>126.34695670956845</v>
      </c>
      <c r="BT106" s="168">
        <f t="shared" si="119"/>
        <v>134.53467149834617</v>
      </c>
      <c r="BU106" s="168">
        <f t="shared" si="119"/>
        <v>140.48861234117643</v>
      </c>
      <c r="BV106" s="168">
        <f t="shared" si="119"/>
        <v>170.09299319706537</v>
      </c>
      <c r="BW106" s="168">
        <f t="shared" si="119"/>
        <v>151.39074253525069</v>
      </c>
      <c r="BX106" s="168">
        <f t="shared" si="119"/>
        <v>185.53895434166512</v>
      </c>
      <c r="BY106" s="168">
        <f t="shared" si="119"/>
        <v>117.15481500629457</v>
      </c>
      <c r="BZ106" s="168">
        <f t="shared" si="119"/>
        <v>193.62275593237231</v>
      </c>
      <c r="CA106" s="168">
        <f t="shared" si="119"/>
        <v>158.73480629353847</v>
      </c>
      <c r="CB106" s="168">
        <f t="shared" si="119"/>
        <v>103.72749272603673</v>
      </c>
      <c r="CC106" s="168">
        <f t="shared" si="119"/>
        <v>113.43764368777489</v>
      </c>
      <c r="CD106" s="168">
        <f t="shared" si="119"/>
        <v>141.90403947563021</v>
      </c>
      <c r="CE106" s="168">
        <f t="shared" si="119"/>
        <v>135.81148890472082</v>
      </c>
      <c r="CF106" s="168">
        <f t="shared" si="119"/>
        <v>134.97038263680923</v>
      </c>
      <c r="CG106" s="168">
        <f t="shared" si="119"/>
        <v>188.74711049238033</v>
      </c>
      <c r="CH106" s="168">
        <f t="shared" si="119"/>
        <v>174.68171452354414</v>
      </c>
      <c r="CI106" s="168">
        <f t="shared" si="119"/>
        <v>135.99578411664262</v>
      </c>
      <c r="CJ106" s="168">
        <f t="shared" si="119"/>
        <v>213.64975320072651</v>
      </c>
      <c r="CK106" s="168">
        <f t="shared" si="119"/>
        <v>187.41963374085864</v>
      </c>
      <c r="CL106" s="168">
        <f t="shared" si="119"/>
        <v>103.65287879224583</v>
      </c>
      <c r="CM106" s="168">
        <f t="shared" si="119"/>
        <v>130.05282569997686</v>
      </c>
      <c r="CN106" s="168">
        <f t="shared" si="119"/>
        <v>175.01795709458244</v>
      </c>
      <c r="CO106" s="168">
        <f t="shared" si="119"/>
        <v>127.55610438483042</v>
      </c>
      <c r="CP106" s="168">
        <f t="shared" si="119"/>
        <v>169.12897461058</v>
      </c>
      <c r="CQ106" s="168">
        <f t="shared" si="119"/>
        <v>125.01303200049101</v>
      </c>
      <c r="CR106" s="168">
        <f t="shared" si="119"/>
        <v>135.5477691631186</v>
      </c>
      <c r="CS106" s="168">
        <f t="shared" si="119"/>
        <v>201.11955961060653</v>
      </c>
      <c r="CT106" s="168">
        <f t="shared" si="119"/>
        <v>158.52550738908263</v>
      </c>
      <c r="CU106" s="168">
        <f t="shared" si="119"/>
        <v>178.00283727913805</v>
      </c>
      <c r="CV106" s="168">
        <f t="shared" si="119"/>
        <v>128.09165243818586</v>
      </c>
      <c r="CW106" s="168">
        <f t="shared" si="119"/>
        <v>183.58772585354586</v>
      </c>
      <c r="CX106" s="168">
        <f>(4/$F$47)*((CX105/100)^0.5)*(CX104+4)*(CX59^0.25)</f>
        <v>198.06950359245306</v>
      </c>
      <c r="CY106" s="168">
        <f>(4/$F$47)*((CY105/100)^0.5)*(CY104+4)*(CY59^0.25)</f>
        <v>150.90968263961068</v>
      </c>
      <c r="CZ106" s="168">
        <f>(4/$F$47)*((CZ105/100)^0.5)*(CZ104+4)*(CZ59^0.25)</f>
        <v>173.75567967765326</v>
      </c>
      <c r="DA106" s="168">
        <f>(4/$F$47)*((DA105/100)^0.5)*(DA104+4)*(DA59^0.25)</f>
        <v>153.01166563936363</v>
      </c>
    </row>
    <row r="107" spans="1:119">
      <c r="E107" s="172" t="s">
        <v>329</v>
      </c>
      <c r="F107" s="168">
        <f>(F102*(F94^2+F95^2)^0.5)/(F88+F89+(21/20)*F90)</f>
        <v>4.204794240704135E-3</v>
      </c>
      <c r="G107" s="168">
        <f t="shared" ref="G107:BR107" si="120">(G102*(G94^2+G95^2)^0.5)/(G88+G89+(21/20)*G90)</f>
        <v>39.939960041448941</v>
      </c>
      <c r="H107" s="168">
        <f t="shared" si="120"/>
        <v>125.56614871193311</v>
      </c>
      <c r="I107" s="168">
        <f t="shared" si="120"/>
        <v>73.156760083633543</v>
      </c>
      <c r="J107" s="168">
        <f t="shared" si="120"/>
        <v>65.164914142928268</v>
      </c>
      <c r="K107" s="168">
        <f t="shared" si="120"/>
        <v>174.35397520780077</v>
      </c>
      <c r="L107" s="168">
        <f t="shared" si="120"/>
        <v>71.408387684468551</v>
      </c>
      <c r="M107" s="168">
        <f t="shared" si="120"/>
        <v>182.24681920982769</v>
      </c>
      <c r="N107" s="168">
        <f t="shared" si="120"/>
        <v>165.99970736161546</v>
      </c>
      <c r="O107" s="168">
        <f t="shared" si="120"/>
        <v>12.559369925022352</v>
      </c>
      <c r="P107" s="168">
        <f t="shared" si="120"/>
        <v>125.34689482317884</v>
      </c>
      <c r="Q107" s="168">
        <f t="shared" si="120"/>
        <v>149.90844072447877</v>
      </c>
      <c r="R107" s="168">
        <f t="shared" si="120"/>
        <v>155.31603365489929</v>
      </c>
      <c r="S107" s="168">
        <f t="shared" si="120"/>
        <v>106.33905693266848</v>
      </c>
      <c r="T107" s="168">
        <f t="shared" si="120"/>
        <v>19.445978533186192</v>
      </c>
      <c r="U107" s="168">
        <f t="shared" si="120"/>
        <v>45.756613116540755</v>
      </c>
      <c r="V107" s="168">
        <f t="shared" si="120"/>
        <v>101.21607361520478</v>
      </c>
      <c r="W107" s="168">
        <f t="shared" si="120"/>
        <v>90.091950117289258</v>
      </c>
      <c r="X107" s="168">
        <f t="shared" si="120"/>
        <v>59.613642569140737</v>
      </c>
      <c r="Y107" s="168">
        <f t="shared" si="120"/>
        <v>88.845718290670007</v>
      </c>
      <c r="Z107" s="168">
        <f t="shared" si="120"/>
        <v>133.10358301643527</v>
      </c>
      <c r="AA107" s="168">
        <f t="shared" si="120"/>
        <v>94.876194703836418</v>
      </c>
      <c r="AB107" s="168">
        <f t="shared" si="120"/>
        <v>108.97317153182672</v>
      </c>
      <c r="AC107" s="168">
        <f t="shared" si="120"/>
        <v>25.729937202457052</v>
      </c>
      <c r="AD107" s="168">
        <f t="shared" si="120"/>
        <v>65.018414570980809</v>
      </c>
      <c r="AE107" s="168">
        <f t="shared" si="120"/>
        <v>124.14807255653594</v>
      </c>
      <c r="AF107" s="168">
        <f t="shared" si="120"/>
        <v>82.963432567912818</v>
      </c>
      <c r="AG107" s="168">
        <f t="shared" si="120"/>
        <v>37.573912200194506</v>
      </c>
      <c r="AH107" s="168">
        <f t="shared" si="120"/>
        <v>59.361743794191213</v>
      </c>
      <c r="AI107" s="168">
        <f t="shared" si="120"/>
        <v>81.55615821120135</v>
      </c>
      <c r="AJ107" s="168">
        <f t="shared" si="120"/>
        <v>47.820037085459134</v>
      </c>
      <c r="AK107" s="168">
        <f t="shared" si="120"/>
        <v>79.692389951413062</v>
      </c>
      <c r="AL107" s="168">
        <f t="shared" si="120"/>
        <v>105.05222860102391</v>
      </c>
      <c r="AM107" s="168">
        <f t="shared" si="120"/>
        <v>44.031764651422407</v>
      </c>
      <c r="AN107" s="168">
        <f t="shared" si="120"/>
        <v>105.09688416958329</v>
      </c>
      <c r="AO107" s="168">
        <f t="shared" si="120"/>
        <v>58.522630580766808</v>
      </c>
      <c r="AP107" s="168">
        <f t="shared" si="120"/>
        <v>13.033899369650788</v>
      </c>
      <c r="AQ107" s="168">
        <f t="shared" si="120"/>
        <v>73.309488777136124</v>
      </c>
      <c r="AR107" s="168">
        <f t="shared" si="120"/>
        <v>36.063602136669338</v>
      </c>
      <c r="AS107" s="168">
        <f t="shared" si="120"/>
        <v>24.350973725040173</v>
      </c>
      <c r="AT107" s="168">
        <f t="shared" si="120"/>
        <v>43.273693903407377</v>
      </c>
      <c r="AU107" s="168">
        <f t="shared" si="120"/>
        <v>15.983756942564325</v>
      </c>
      <c r="AV107" s="168">
        <f t="shared" si="120"/>
        <v>120.20518566781089</v>
      </c>
      <c r="AW107" s="168">
        <f t="shared" si="120"/>
        <v>118.8175773132028</v>
      </c>
      <c r="AX107" s="168">
        <f t="shared" si="120"/>
        <v>4.6450682021930056</v>
      </c>
      <c r="AY107" s="168">
        <f t="shared" si="120"/>
        <v>102.24759358970424</v>
      </c>
      <c r="AZ107" s="168">
        <f t="shared" si="120"/>
        <v>65.913263920681473</v>
      </c>
      <c r="BA107" s="168">
        <f t="shared" si="120"/>
        <v>36.189556852648977</v>
      </c>
      <c r="BB107" s="168">
        <f t="shared" si="120"/>
        <v>71.470852971020918</v>
      </c>
      <c r="BC107" s="168">
        <f t="shared" si="120"/>
        <v>89.285589624085546</v>
      </c>
      <c r="BD107" s="168">
        <f t="shared" si="120"/>
        <v>67.72447851122719</v>
      </c>
      <c r="BE107" s="168">
        <f t="shared" si="120"/>
        <v>53.047814760701151</v>
      </c>
      <c r="BF107" s="168">
        <f t="shared" si="120"/>
        <v>101.37602452329153</v>
      </c>
      <c r="BG107" s="168">
        <f t="shared" si="120"/>
        <v>145.21338287568935</v>
      </c>
      <c r="BH107" s="168">
        <f t="shared" si="120"/>
        <v>37.250883753640451</v>
      </c>
      <c r="BI107" s="168">
        <f t="shared" si="120"/>
        <v>44.782962156337106</v>
      </c>
      <c r="BJ107" s="168">
        <f t="shared" si="120"/>
        <v>108.75916533236595</v>
      </c>
      <c r="BK107" s="168">
        <f t="shared" si="120"/>
        <v>138.98357942015269</v>
      </c>
      <c r="BL107" s="168">
        <f t="shared" si="120"/>
        <v>145.28888926679954</v>
      </c>
      <c r="BM107" s="168">
        <f t="shared" si="120"/>
        <v>37.537727743585648</v>
      </c>
      <c r="BN107" s="168">
        <f t="shared" si="120"/>
        <v>13.259480693002969</v>
      </c>
      <c r="BO107" s="168">
        <f t="shared" si="120"/>
        <v>39.03300896745229</v>
      </c>
      <c r="BP107" s="168">
        <f t="shared" si="120"/>
        <v>17.018868709898822</v>
      </c>
      <c r="BQ107" s="168">
        <f t="shared" si="120"/>
        <v>10.852111586265465</v>
      </c>
      <c r="BR107" s="168">
        <f t="shared" si="120"/>
        <v>138.08292576362737</v>
      </c>
      <c r="BS107" s="168">
        <f t="shared" ref="BS107:DA107" si="121">(BS102*(BS94^2+BS95^2)^0.5)/(BS88+BS89+(21/20)*BS90)</f>
        <v>94.652908825393752</v>
      </c>
      <c r="BT107" s="168">
        <f t="shared" si="121"/>
        <v>151.38646982583293</v>
      </c>
      <c r="BU107" s="168">
        <f t="shared" si="121"/>
        <v>152.06137299813818</v>
      </c>
      <c r="BV107" s="168">
        <f t="shared" si="121"/>
        <v>76.227927360498256</v>
      </c>
      <c r="BW107" s="168">
        <f t="shared" si="121"/>
        <v>38.992973737071608</v>
      </c>
      <c r="BX107" s="168">
        <f t="shared" si="121"/>
        <v>89.411406420715409</v>
      </c>
      <c r="BY107" s="168">
        <f t="shared" si="121"/>
        <v>130.35427271104109</v>
      </c>
      <c r="BZ107" s="168">
        <f t="shared" si="121"/>
        <v>22.461501749604562</v>
      </c>
      <c r="CA107" s="168">
        <f t="shared" si="121"/>
        <v>140.04294904618502</v>
      </c>
      <c r="CB107" s="168">
        <f t="shared" si="121"/>
        <v>14.024224489572287</v>
      </c>
      <c r="CC107" s="168">
        <f t="shared" si="121"/>
        <v>131.759729532417</v>
      </c>
      <c r="CD107" s="168">
        <f t="shared" si="121"/>
        <v>159.57460705900374</v>
      </c>
      <c r="CE107" s="168">
        <f t="shared" si="121"/>
        <v>105.66763084177977</v>
      </c>
      <c r="CF107" s="168">
        <f t="shared" si="121"/>
        <v>160.17381848464268</v>
      </c>
      <c r="CG107" s="168">
        <f t="shared" si="121"/>
        <v>54.028713981722092</v>
      </c>
      <c r="CH107" s="168">
        <f t="shared" si="121"/>
        <v>70.448364168695946</v>
      </c>
      <c r="CI107" s="168">
        <f t="shared" si="121"/>
        <v>120.45654005298</v>
      </c>
      <c r="CJ107" s="168">
        <f t="shared" si="121"/>
        <v>18.335831796084868</v>
      </c>
      <c r="CK107" s="168">
        <f t="shared" si="121"/>
        <v>41.622648397441722</v>
      </c>
      <c r="CL107" s="168">
        <f t="shared" si="121"/>
        <v>31.864253523448934</v>
      </c>
      <c r="CM107" s="168">
        <f t="shared" si="121"/>
        <v>50.958645658076065</v>
      </c>
      <c r="CN107" s="168">
        <f t="shared" si="121"/>
        <v>72.82243619825698</v>
      </c>
      <c r="CO107" s="168">
        <f t="shared" si="121"/>
        <v>111.76238811536265</v>
      </c>
      <c r="CP107" s="168">
        <f t="shared" si="121"/>
        <v>79.921358157539984</v>
      </c>
      <c r="CQ107" s="168">
        <f t="shared" si="121"/>
        <v>102.37017045350456</v>
      </c>
      <c r="CR107" s="168">
        <f t="shared" si="121"/>
        <v>107.28338533456846</v>
      </c>
      <c r="CS107" s="168">
        <f t="shared" si="121"/>
        <v>7.8414890664202659</v>
      </c>
      <c r="CT107" s="168">
        <f t="shared" si="121"/>
        <v>60.619538129770589</v>
      </c>
      <c r="CU107" s="168">
        <f t="shared" si="121"/>
        <v>41.728251149275494</v>
      </c>
      <c r="CV107" s="168">
        <f t="shared" si="121"/>
        <v>114.95004189534724</v>
      </c>
      <c r="CW107" s="168">
        <f t="shared" si="121"/>
        <v>55.118914944191346</v>
      </c>
      <c r="CX107" s="168">
        <f t="shared" si="121"/>
        <v>46.265196159750936</v>
      </c>
      <c r="CY107" s="168">
        <f t="shared" si="121"/>
        <v>89.366763257331939</v>
      </c>
      <c r="CZ107" s="168">
        <f t="shared" si="121"/>
        <v>111.91005956288073</v>
      </c>
      <c r="DA107" s="168">
        <f t="shared" si="121"/>
        <v>147.03291182015204</v>
      </c>
    </row>
    <row r="108" spans="1:119">
      <c r="E108" s="172" t="s">
        <v>330</v>
      </c>
      <c r="F108" s="173">
        <f>100*(F110/F106)^0.5</f>
        <v>0.50791838306523907</v>
      </c>
      <c r="G108" s="173">
        <f t="shared" ref="G108:BR108" si="122">100*(G110/G106)^0.5</f>
        <v>31.314265274287635</v>
      </c>
      <c r="H108" s="173">
        <f t="shared" si="122"/>
        <v>52.43260713602902</v>
      </c>
      <c r="I108" s="173">
        <f t="shared" si="122"/>
        <v>41.117178297860377</v>
      </c>
      <c r="J108" s="173">
        <f t="shared" si="122"/>
        <v>39.031479794110084</v>
      </c>
      <c r="K108" s="173">
        <f t="shared" si="122"/>
        <v>60.778940994724849</v>
      </c>
      <c r="L108" s="173">
        <f t="shared" si="122"/>
        <v>40.672039148736971</v>
      </c>
      <c r="M108" s="173">
        <f t="shared" si="122"/>
        <v>62.002010933132503</v>
      </c>
      <c r="N108" s="173">
        <f t="shared" si="122"/>
        <v>59.450716033314976</v>
      </c>
      <c r="O108" s="173">
        <f t="shared" si="122"/>
        <v>18.605627774115771</v>
      </c>
      <c r="P108" s="173">
        <f t="shared" si="122"/>
        <v>52.391388143092357</v>
      </c>
      <c r="Q108" s="173">
        <f t="shared" si="122"/>
        <v>56.784595135975145</v>
      </c>
      <c r="R108" s="173">
        <f t="shared" si="122"/>
        <v>57.697384400151108</v>
      </c>
      <c r="S108" s="173">
        <f t="shared" si="122"/>
        <v>48.654224710719888</v>
      </c>
      <c r="T108" s="173">
        <f t="shared" si="122"/>
        <v>22.650730117016437</v>
      </c>
      <c r="U108" s="173">
        <f t="shared" si="122"/>
        <v>33.289941840119241</v>
      </c>
      <c r="V108" s="173">
        <f t="shared" si="122"/>
        <v>47.585108439942182</v>
      </c>
      <c r="W108" s="173">
        <f t="shared" si="122"/>
        <v>45.156210519358446</v>
      </c>
      <c r="X108" s="173">
        <f t="shared" si="122"/>
        <v>37.498538482458201</v>
      </c>
      <c r="Y108" s="173">
        <f t="shared" si="122"/>
        <v>44.874045182090882</v>
      </c>
      <c r="Z108" s="173">
        <f t="shared" si="122"/>
        <v>53.826256978745043</v>
      </c>
      <c r="AA108" s="173">
        <f t="shared" si="122"/>
        <v>46.219959495842339</v>
      </c>
      <c r="AB108" s="173">
        <f t="shared" si="122"/>
        <v>49.192920926339916</v>
      </c>
      <c r="AC108" s="173">
        <f t="shared" si="122"/>
        <v>25.692491493827202</v>
      </c>
      <c r="AD108" s="173">
        <f t="shared" si="122"/>
        <v>38.991968724629494</v>
      </c>
      <c r="AE108" s="173">
        <f t="shared" si="122"/>
        <v>52.165309234923726</v>
      </c>
      <c r="AF108" s="173">
        <f t="shared" si="122"/>
        <v>43.511876706128803</v>
      </c>
      <c r="AG108" s="173">
        <f t="shared" si="122"/>
        <v>30.465455927427183</v>
      </c>
      <c r="AH108" s="173">
        <f t="shared" si="122"/>
        <v>37.427152536327512</v>
      </c>
      <c r="AI108" s="173">
        <f t="shared" si="122"/>
        <v>43.178180396524809</v>
      </c>
      <c r="AJ108" s="173">
        <f t="shared" si="122"/>
        <v>33.957307973589081</v>
      </c>
      <c r="AK108" s="173">
        <f t="shared" si="122"/>
        <v>42.731326793286485</v>
      </c>
      <c r="AL108" s="173">
        <f t="shared" si="122"/>
        <v>48.388389311056827</v>
      </c>
      <c r="AM108" s="173">
        <f t="shared" si="122"/>
        <v>32.719264723441398</v>
      </c>
      <c r="AN108" s="173">
        <f t="shared" si="122"/>
        <v>48.397644243939283</v>
      </c>
      <c r="AO108" s="173">
        <f t="shared" si="122"/>
        <v>37.188145570370914</v>
      </c>
      <c r="AP108" s="173">
        <f t="shared" si="122"/>
        <v>18.918742155957787</v>
      </c>
      <c r="AQ108" s="173">
        <f t="shared" si="122"/>
        <v>41.155784124158217</v>
      </c>
      <c r="AR108" s="173">
        <f t="shared" si="122"/>
        <v>29.908173475899464</v>
      </c>
      <c r="AS108" s="173">
        <f t="shared" si="122"/>
        <v>25.063466871650885</v>
      </c>
      <c r="AT108" s="173">
        <f t="shared" si="122"/>
        <v>32.464564439979085</v>
      </c>
      <c r="AU108" s="173">
        <f t="shared" si="122"/>
        <v>20.737876541504406</v>
      </c>
      <c r="AV108" s="173">
        <f t="shared" si="122"/>
        <v>51.413152725107047</v>
      </c>
      <c r="AW108" s="173">
        <f t="shared" si="122"/>
        <v>51.145226517185208</v>
      </c>
      <c r="AX108" s="173">
        <f t="shared" si="122"/>
        <v>11.892009222821308</v>
      </c>
      <c r="AY108" s="173">
        <f t="shared" si="122"/>
        <v>47.802728665856677</v>
      </c>
      <c r="AZ108" s="173">
        <f t="shared" si="122"/>
        <v>39.23255231990845</v>
      </c>
      <c r="BA108" s="173">
        <f t="shared" si="122"/>
        <v>29.955133808547373</v>
      </c>
      <c r="BB108" s="173">
        <f t="shared" si="122"/>
        <v>40.688045543771132</v>
      </c>
      <c r="BC108" s="173">
        <f t="shared" si="122"/>
        <v>44.973885671414173</v>
      </c>
      <c r="BD108" s="173">
        <f t="shared" si="122"/>
        <v>39.714065332090335</v>
      </c>
      <c r="BE108" s="173">
        <f t="shared" si="122"/>
        <v>35.580264222405404</v>
      </c>
      <c r="BF108" s="173">
        <f t="shared" si="122"/>
        <v>47.618933001686841</v>
      </c>
      <c r="BG108" s="173">
        <f t="shared" si="122"/>
        <v>55.977278980641657</v>
      </c>
      <c r="BH108" s="173">
        <f t="shared" si="122"/>
        <v>30.347313829871069</v>
      </c>
      <c r="BI108" s="173">
        <f t="shared" si="122"/>
        <v>32.969287524217108</v>
      </c>
      <c r="BJ108" s="173">
        <f t="shared" si="122"/>
        <v>49.149424196569818</v>
      </c>
      <c r="BK108" s="173">
        <f t="shared" si="122"/>
        <v>54.883571657024014</v>
      </c>
      <c r="BL108" s="173">
        <f t="shared" si="122"/>
        <v>55.990374999144919</v>
      </c>
      <c r="BM108" s="173">
        <f t="shared" si="122"/>
        <v>30.452249939646407</v>
      </c>
      <c r="BN108" s="173">
        <f t="shared" si="122"/>
        <v>19.065391443579959</v>
      </c>
      <c r="BO108" s="173">
        <f t="shared" si="122"/>
        <v>30.992257284245255</v>
      </c>
      <c r="BP108" s="173">
        <f t="shared" si="122"/>
        <v>21.331804959290448</v>
      </c>
      <c r="BQ108" s="173">
        <f t="shared" si="122"/>
        <v>17.421687021508895</v>
      </c>
      <c r="BR108" s="173">
        <f t="shared" si="122"/>
        <v>54.723237866561632</v>
      </c>
      <c r="BS108" s="173">
        <f t="shared" ref="BS108:DA108" si="123">100*(BS110/BS106)^0.5</f>
        <v>46.170978523830883</v>
      </c>
      <c r="BT108" s="173">
        <f t="shared" si="123"/>
        <v>57.035857122130807</v>
      </c>
      <c r="BU108" s="173">
        <f t="shared" si="123"/>
        <v>57.150140574322513</v>
      </c>
      <c r="BV108" s="173">
        <f t="shared" si="123"/>
        <v>41.885156719046776</v>
      </c>
      <c r="BW108" s="173">
        <f t="shared" si="123"/>
        <v>30.977948637288161</v>
      </c>
      <c r="BX108" s="173">
        <f t="shared" si="123"/>
        <v>45.002393357744282</v>
      </c>
      <c r="BY108" s="173">
        <f t="shared" si="123"/>
        <v>53.323072597826616</v>
      </c>
      <c r="BZ108" s="173">
        <f t="shared" si="123"/>
        <v>24.168864661389495</v>
      </c>
      <c r="CA108" s="173">
        <f t="shared" si="123"/>
        <v>55.071430303783295</v>
      </c>
      <c r="CB108" s="173">
        <f t="shared" si="123"/>
        <v>19.552589358272858</v>
      </c>
      <c r="CC108" s="173">
        <f t="shared" si="123"/>
        <v>53.581023746320632</v>
      </c>
      <c r="CD108" s="173">
        <f t="shared" si="123"/>
        <v>58.403987219998008</v>
      </c>
      <c r="CE108" s="173">
        <f t="shared" si="123"/>
        <v>48.515742375059354</v>
      </c>
      <c r="CF108" s="173">
        <f t="shared" si="123"/>
        <v>58.502575089247379</v>
      </c>
      <c r="CG108" s="173">
        <f t="shared" si="123"/>
        <v>35.874832189892004</v>
      </c>
      <c r="CH108" s="173">
        <f t="shared" si="123"/>
        <v>40.42506300967262</v>
      </c>
      <c r="CI108" s="173">
        <f t="shared" si="123"/>
        <v>51.461503170057512</v>
      </c>
      <c r="CJ108" s="173">
        <f t="shared" si="123"/>
        <v>22.059419107185548</v>
      </c>
      <c r="CK108" s="173">
        <f t="shared" si="123"/>
        <v>31.901210608572899</v>
      </c>
      <c r="CL108" s="173">
        <f t="shared" si="123"/>
        <v>28.287559572347398</v>
      </c>
      <c r="CM108" s="173">
        <f t="shared" si="123"/>
        <v>34.942730550435705</v>
      </c>
      <c r="CN108" s="173">
        <f t="shared" si="123"/>
        <v>41.032514937405331</v>
      </c>
      <c r="CO108" s="173">
        <f t="shared" si="123"/>
        <v>49.755586225047125</v>
      </c>
      <c r="CP108" s="173">
        <f t="shared" si="123"/>
        <v>42.786531289611275</v>
      </c>
      <c r="CQ108" s="173">
        <f t="shared" si="123"/>
        <v>47.828508344513729</v>
      </c>
      <c r="CR108" s="173">
        <f t="shared" si="123"/>
        <v>48.848182078637315</v>
      </c>
      <c r="CS108" s="173">
        <f t="shared" si="123"/>
        <v>15.051789572791444</v>
      </c>
      <c r="CT108" s="173">
        <f t="shared" si="123"/>
        <v>37.781959225071908</v>
      </c>
      <c r="CU108" s="173">
        <f t="shared" si="123"/>
        <v>31.937607348062759</v>
      </c>
      <c r="CV108" s="173">
        <f t="shared" si="123"/>
        <v>50.389251223122585</v>
      </c>
      <c r="CW108" s="173">
        <f t="shared" si="123"/>
        <v>36.198793133568508</v>
      </c>
      <c r="CX108" s="173">
        <f t="shared" si="123"/>
        <v>33.455943199576957</v>
      </c>
      <c r="CY108" s="173">
        <f t="shared" si="123"/>
        <v>44.992280595358125</v>
      </c>
      <c r="CZ108" s="173">
        <f t="shared" si="123"/>
        <v>49.785159368856803</v>
      </c>
      <c r="DA108" s="173">
        <f t="shared" si="123"/>
        <v>56.291827184112051</v>
      </c>
    </row>
    <row r="109" spans="1:119">
      <c r="E109" s="172" t="s">
        <v>56</v>
      </c>
      <c r="F109" s="168">
        <f t="shared" ref="F109:BQ109" si="124">(F107^0.9)*((F105/100)^0.5)*((1.64-0.29^F60)^0.73)</f>
        <v>6.5057747686821689E-3</v>
      </c>
      <c r="G109" s="168">
        <f t="shared" si="124"/>
        <v>21.923580332927699</v>
      </c>
      <c r="H109" s="168">
        <f t="shared" si="124"/>
        <v>49.263792625477663</v>
      </c>
      <c r="I109" s="168">
        <f t="shared" si="124"/>
        <v>19.877323529586548</v>
      </c>
      <c r="J109" s="168">
        <f t="shared" si="124"/>
        <v>29.246878128300377</v>
      </c>
      <c r="K109" s="168">
        <f t="shared" si="124"/>
        <v>57.857655366951334</v>
      </c>
      <c r="L109" s="168">
        <f t="shared" si="124"/>
        <v>25.885468308288488</v>
      </c>
      <c r="M109" s="168">
        <f t="shared" si="124"/>
        <v>54.530003929620705</v>
      </c>
      <c r="N109" s="168">
        <f t="shared" si="124"/>
        <v>49.50207927391633</v>
      </c>
      <c r="O109" s="168">
        <f t="shared" si="124"/>
        <v>3.8469880301223598</v>
      </c>
      <c r="P109" s="168">
        <f t="shared" si="124"/>
        <v>55.811631403350304</v>
      </c>
      <c r="Q109" s="168">
        <f t="shared" si="124"/>
        <v>54.93858235466675</v>
      </c>
      <c r="R109" s="168">
        <f t="shared" si="124"/>
        <v>60.691842696130841</v>
      </c>
      <c r="S109" s="168">
        <f t="shared" si="124"/>
        <v>33.575565391583417</v>
      </c>
      <c r="T109" s="168">
        <f t="shared" si="124"/>
        <v>10.262027973353154</v>
      </c>
      <c r="U109" s="168">
        <f t="shared" si="124"/>
        <v>21.656460387710059</v>
      </c>
      <c r="V109" s="168">
        <f t="shared" si="124"/>
        <v>34.086309695374737</v>
      </c>
      <c r="W109" s="168">
        <f t="shared" si="124"/>
        <v>31.358923755848114</v>
      </c>
      <c r="X109" s="168">
        <f t="shared" si="124"/>
        <v>23.413339399341119</v>
      </c>
      <c r="Y109" s="168">
        <f t="shared" si="124"/>
        <v>39.264118185321585</v>
      </c>
      <c r="Z109" s="168">
        <f t="shared" si="124"/>
        <v>54.195955111084963</v>
      </c>
      <c r="AA109" s="168">
        <f t="shared" si="124"/>
        <v>47.770482172780305</v>
      </c>
      <c r="AB109" s="168">
        <f t="shared" si="124"/>
        <v>50.526221941561197</v>
      </c>
      <c r="AC109" s="168">
        <f t="shared" si="124"/>
        <v>15.472881495846634</v>
      </c>
      <c r="AD109" s="168">
        <f t="shared" si="124"/>
        <v>35.282897253006496</v>
      </c>
      <c r="AE109" s="168">
        <f t="shared" si="124"/>
        <v>52.99930471168841</v>
      </c>
      <c r="AF109" s="168">
        <f t="shared" si="124"/>
        <v>43.612834200704626</v>
      </c>
      <c r="AG109" s="168">
        <f t="shared" si="124"/>
        <v>18.411362040190646</v>
      </c>
      <c r="AH109" s="168">
        <f t="shared" si="124"/>
        <v>19.301296086855416</v>
      </c>
      <c r="AI109" s="168">
        <f t="shared" si="124"/>
        <v>41.856873085185491</v>
      </c>
      <c r="AJ109" s="168">
        <f t="shared" si="124"/>
        <v>20.911228595232743</v>
      </c>
      <c r="AK109" s="168">
        <f t="shared" si="124"/>
        <v>41.615604386067979</v>
      </c>
      <c r="AL109" s="168">
        <f t="shared" si="124"/>
        <v>47.262717322411021</v>
      </c>
      <c r="AM109" s="168">
        <f t="shared" si="124"/>
        <v>24.683868885313519</v>
      </c>
      <c r="AN109" s="168">
        <f t="shared" si="124"/>
        <v>41.359422155330201</v>
      </c>
      <c r="AO109" s="168">
        <f t="shared" si="124"/>
        <v>19.182597580186343</v>
      </c>
      <c r="AP109" s="168">
        <f t="shared" si="124"/>
        <v>7.6143772789339659</v>
      </c>
      <c r="AQ109" s="168">
        <f t="shared" si="124"/>
        <v>25.337858955315724</v>
      </c>
      <c r="AR109" s="168">
        <f t="shared" si="124"/>
        <v>20.024665377069194</v>
      </c>
      <c r="AS109" s="168">
        <f t="shared" si="124"/>
        <v>7.8259956475518031</v>
      </c>
      <c r="AT109" s="168">
        <f t="shared" si="124"/>
        <v>16.236492717264483</v>
      </c>
      <c r="AU109" s="168">
        <f t="shared" si="124"/>
        <v>9.7956509999076324</v>
      </c>
      <c r="AV109" s="168">
        <f t="shared" si="124"/>
        <v>49.884960183478256</v>
      </c>
      <c r="AW109" s="168">
        <f t="shared" si="124"/>
        <v>51.259741592626881</v>
      </c>
      <c r="AX109" s="168">
        <f t="shared" si="124"/>
        <v>1.5646362097516358</v>
      </c>
      <c r="AY109" s="168">
        <f t="shared" si="124"/>
        <v>38.672324001487425</v>
      </c>
      <c r="AZ109" s="168">
        <f t="shared" si="124"/>
        <v>28.49028772046227</v>
      </c>
      <c r="BA109" s="168">
        <f t="shared" si="124"/>
        <v>17.244328491130563</v>
      </c>
      <c r="BB109" s="168">
        <f t="shared" si="124"/>
        <v>34.105608516184802</v>
      </c>
      <c r="BC109" s="168">
        <f t="shared" si="124"/>
        <v>29.552982284849463</v>
      </c>
      <c r="BD109" s="168">
        <f t="shared" si="124"/>
        <v>25.614086636034923</v>
      </c>
      <c r="BE109" s="168">
        <f t="shared" si="124"/>
        <v>21.517282524541443</v>
      </c>
      <c r="BF109" s="168">
        <f t="shared" si="124"/>
        <v>30.861026513309394</v>
      </c>
      <c r="BG109" s="168">
        <f t="shared" si="124"/>
        <v>47.672063566583752</v>
      </c>
      <c r="BH109" s="168">
        <f t="shared" si="124"/>
        <v>20.734686444072288</v>
      </c>
      <c r="BI109" s="168">
        <f t="shared" si="124"/>
        <v>23.72420935614651</v>
      </c>
      <c r="BJ109" s="168">
        <f t="shared" si="124"/>
        <v>46.687154551138761</v>
      </c>
      <c r="BK109" s="168">
        <f t="shared" si="124"/>
        <v>50.411040675588382</v>
      </c>
      <c r="BL109" s="168">
        <f t="shared" si="124"/>
        <v>50.243474458573793</v>
      </c>
      <c r="BM109" s="168">
        <f t="shared" si="124"/>
        <v>20.847915487087299</v>
      </c>
      <c r="BN109" s="168">
        <f t="shared" si="124"/>
        <v>8.28879814837215</v>
      </c>
      <c r="BO109" s="168">
        <f t="shared" si="124"/>
        <v>19.704527421346391</v>
      </c>
      <c r="BP109" s="168">
        <f t="shared" si="124"/>
        <v>8.4935737069467692</v>
      </c>
      <c r="BQ109" s="168">
        <f t="shared" si="124"/>
        <v>3.7412403706271142</v>
      </c>
      <c r="BR109" s="168">
        <f t="shared" ref="BR109:DA109" si="125">(BR107^0.9)*((BR105/100)^0.5)*((1.64-0.29^BR60)^0.73)</f>
        <v>50.689999083804672</v>
      </c>
      <c r="BS109" s="168">
        <f t="shared" si="125"/>
        <v>28.535716134575996</v>
      </c>
      <c r="BT109" s="168">
        <f t="shared" si="125"/>
        <v>46.367747650190331</v>
      </c>
      <c r="BU109" s="168">
        <f t="shared" si="125"/>
        <v>48.614022936569143</v>
      </c>
      <c r="BV109" s="168">
        <f t="shared" si="125"/>
        <v>31.614953395207412</v>
      </c>
      <c r="BW109" s="168">
        <f t="shared" si="125"/>
        <v>15.391837249278232</v>
      </c>
      <c r="BX109" s="168">
        <f t="shared" si="125"/>
        <v>39.80999841500067</v>
      </c>
      <c r="BY109" s="168">
        <f t="shared" si="125"/>
        <v>35.292003072719687</v>
      </c>
      <c r="BZ109" s="168">
        <f t="shared" si="125"/>
        <v>11.982701194571806</v>
      </c>
      <c r="CA109" s="168">
        <f t="shared" si="125"/>
        <v>51.004760331048388</v>
      </c>
      <c r="CB109" s="168">
        <f t="shared" si="125"/>
        <v>4.201344284780193</v>
      </c>
      <c r="CC109" s="168">
        <f t="shared" si="125"/>
        <v>34.503650337430742</v>
      </c>
      <c r="CD109" s="168">
        <f t="shared" si="125"/>
        <v>51.282074544764633</v>
      </c>
      <c r="CE109" s="168">
        <f t="shared" si="125"/>
        <v>33.867856083626464</v>
      </c>
      <c r="CF109" s="168">
        <f t="shared" si="125"/>
        <v>48.941162086026594</v>
      </c>
      <c r="CG109" s="168">
        <f t="shared" si="125"/>
        <v>25.736287598174343</v>
      </c>
      <c r="CH109" s="168">
        <f t="shared" si="125"/>
        <v>30.243683859984262</v>
      </c>
      <c r="CI109" s="168">
        <f t="shared" si="125"/>
        <v>38.157174962451734</v>
      </c>
      <c r="CJ109" s="168">
        <f t="shared" si="125"/>
        <v>11.014793816633668</v>
      </c>
      <c r="CK109" s="168">
        <f t="shared" si="125"/>
        <v>20.207623706569471</v>
      </c>
      <c r="CL109" s="168">
        <f t="shared" si="125"/>
        <v>8.7873548487319901</v>
      </c>
      <c r="CM109" s="168">
        <f t="shared" si="125"/>
        <v>16.823614336656107</v>
      </c>
      <c r="CN109" s="168">
        <f t="shared" si="125"/>
        <v>31.21941174094513</v>
      </c>
      <c r="CO109" s="168">
        <f t="shared" si="125"/>
        <v>33.455750370926289</v>
      </c>
      <c r="CP109" s="168">
        <f t="shared" si="125"/>
        <v>32.803335652823755</v>
      </c>
      <c r="CQ109" s="168">
        <f t="shared" si="125"/>
        <v>30.298058108862342</v>
      </c>
      <c r="CR109" s="168">
        <f t="shared" si="125"/>
        <v>34.266915897419842</v>
      </c>
      <c r="CS109" s="168">
        <f t="shared" si="125"/>
        <v>4.8274348178292419</v>
      </c>
      <c r="CT109" s="168">
        <f t="shared" si="125"/>
        <v>23.974741577619355</v>
      </c>
      <c r="CU109" s="168">
        <f t="shared" si="125"/>
        <v>19.236121521864398</v>
      </c>
      <c r="CV109" s="168">
        <f t="shared" si="125"/>
        <v>34.457397325548193</v>
      </c>
      <c r="CW109" s="168">
        <f t="shared" si="125"/>
        <v>25.486937722095071</v>
      </c>
      <c r="CX109" s="168">
        <f t="shared" si="125"/>
        <v>23.488214383692302</v>
      </c>
      <c r="CY109" s="168">
        <f t="shared" si="125"/>
        <v>32.365249072001639</v>
      </c>
      <c r="CZ109" s="168">
        <f t="shared" si="125"/>
        <v>45.627286934365095</v>
      </c>
      <c r="DA109" s="168">
        <f t="shared" si="125"/>
        <v>51.368994743776021</v>
      </c>
    </row>
    <row r="110" spans="1:119">
      <c r="E110" s="172" t="s">
        <v>331</v>
      </c>
      <c r="F110" s="168">
        <f t="shared" ref="F110:BQ110" si="126">F109*F59^0.25</f>
        <v>6.1406336912731025E-3</v>
      </c>
      <c r="G110" s="168">
        <f t="shared" si="126"/>
        <v>20.693104328445454</v>
      </c>
      <c r="H110" s="168">
        <f t="shared" si="126"/>
        <v>46.498828427344577</v>
      </c>
      <c r="I110" s="168">
        <f t="shared" si="126"/>
        <v>18.761695093671293</v>
      </c>
      <c r="J110" s="168">
        <f t="shared" si="126"/>
        <v>27.605377005017179</v>
      </c>
      <c r="K110" s="168">
        <f t="shared" si="126"/>
        <v>54.610354719724889</v>
      </c>
      <c r="L110" s="168">
        <f t="shared" si="126"/>
        <v>24.432628619950904</v>
      </c>
      <c r="M110" s="168">
        <f t="shared" si="126"/>
        <v>51.469470004924815</v>
      </c>
      <c r="N110" s="168">
        <f t="shared" si="126"/>
        <v>46.72374107397151</v>
      </c>
      <c r="O110" s="168">
        <f t="shared" si="126"/>
        <v>3.631073184613006</v>
      </c>
      <c r="P110" s="168">
        <f t="shared" si="126"/>
        <v>52.679165256400509</v>
      </c>
      <c r="Q110" s="168">
        <f t="shared" si="126"/>
        <v>51.855116685231465</v>
      </c>
      <c r="R110" s="168">
        <f t="shared" si="126"/>
        <v>57.285471338381569</v>
      </c>
      <c r="S110" s="168">
        <f t="shared" si="126"/>
        <v>31.691113722472725</v>
      </c>
      <c r="T110" s="168">
        <f t="shared" si="126"/>
        <v>9.6860646048347618</v>
      </c>
      <c r="U110" s="168">
        <f t="shared" si="126"/>
        <v>20.440976673625528</v>
      </c>
      <c r="V110" s="168">
        <f t="shared" si="126"/>
        <v>32.173192151407036</v>
      </c>
      <c r="W110" s="168">
        <f t="shared" si="126"/>
        <v>29.59888262105202</v>
      </c>
      <c r="X110" s="168">
        <f t="shared" si="126"/>
        <v>22.099249644009593</v>
      </c>
      <c r="Y110" s="168">
        <f t="shared" si="126"/>
        <v>37.060392583457663</v>
      </c>
      <c r="Z110" s="168">
        <f t="shared" si="126"/>
        <v>51.154169905772122</v>
      </c>
      <c r="AA110" s="168">
        <f t="shared" si="126"/>
        <v>45.089331049490966</v>
      </c>
      <c r="AB110" s="168">
        <f t="shared" si="126"/>
        <v>47.690403030958421</v>
      </c>
      <c r="AC110" s="168">
        <f t="shared" si="126"/>
        <v>14.604455394283224</v>
      </c>
      <c r="AD110" s="168">
        <f t="shared" si="126"/>
        <v>33.302620410485886</v>
      </c>
      <c r="AE110" s="168">
        <f t="shared" si="126"/>
        <v>50.0246823319657</v>
      </c>
      <c r="AF110" s="168">
        <f t="shared" si="126"/>
        <v>41.165033925544769</v>
      </c>
      <c r="AG110" s="168">
        <f t="shared" si="126"/>
        <v>17.378011699769104</v>
      </c>
      <c r="AH110" s="168">
        <f t="shared" si="126"/>
        <v>18.217997586810142</v>
      </c>
      <c r="AI110" s="168">
        <f t="shared" si="126"/>
        <v>39.507627333722887</v>
      </c>
      <c r="AJ110" s="168">
        <f t="shared" si="126"/>
        <v>19.737571527366367</v>
      </c>
      <c r="AK110" s="168">
        <f t="shared" si="126"/>
        <v>39.279900006059691</v>
      </c>
      <c r="AL110" s="168">
        <f t="shared" si="126"/>
        <v>44.610064850108927</v>
      </c>
      <c r="AM110" s="168">
        <f t="shared" si="126"/>
        <v>23.298469789913657</v>
      </c>
      <c r="AN110" s="168">
        <f t="shared" si="126"/>
        <v>39.038096178981839</v>
      </c>
      <c r="AO110" s="168">
        <f t="shared" si="126"/>
        <v>18.105961115356401</v>
      </c>
      <c r="AP110" s="168">
        <f t="shared" si="126"/>
        <v>7.1870151241890579</v>
      </c>
      <c r="AQ110" s="168">
        <f t="shared" si="126"/>
        <v>23.915754218041357</v>
      </c>
      <c r="AR110" s="168">
        <f t="shared" si="126"/>
        <v>18.900767278761652</v>
      </c>
      <c r="AS110" s="168">
        <f t="shared" si="126"/>
        <v>7.3867562665173168</v>
      </c>
      <c r="AT110" s="168">
        <f t="shared" si="126"/>
        <v>15.325208411409649</v>
      </c>
      <c r="AU110" s="168">
        <f t="shared" si="126"/>
        <v>9.2458633593567132</v>
      </c>
      <c r="AV110" s="168">
        <f t="shared" si="126"/>
        <v>47.085132529501024</v>
      </c>
      <c r="AW110" s="168">
        <f t="shared" si="126"/>
        <v>48.382753387787211</v>
      </c>
      <c r="AX110" s="168">
        <f t="shared" si="126"/>
        <v>1.4768199278028407</v>
      </c>
      <c r="AY110" s="168">
        <f t="shared" si="126"/>
        <v>36.501813254667333</v>
      </c>
      <c r="AZ110" s="168">
        <f t="shared" si="126"/>
        <v>26.891250753486059</v>
      </c>
      <c r="BA110" s="168">
        <f t="shared" si="126"/>
        <v>16.276478710231562</v>
      </c>
      <c r="BB110" s="168">
        <f t="shared" si="126"/>
        <v>32.191407812643668</v>
      </c>
      <c r="BC110" s="168">
        <f t="shared" si="126"/>
        <v>27.894300855531114</v>
      </c>
      <c r="BD110" s="168">
        <f t="shared" si="126"/>
        <v>24.176478430452132</v>
      </c>
      <c r="BE110" s="168">
        <f t="shared" si="126"/>
        <v>20.309610263622108</v>
      </c>
      <c r="BF110" s="168">
        <f t="shared" si="126"/>
        <v>29.128930203233448</v>
      </c>
      <c r="BG110" s="168">
        <f t="shared" si="126"/>
        <v>44.996436255166401</v>
      </c>
      <c r="BH110" s="168">
        <f t="shared" si="126"/>
        <v>19.570937925698455</v>
      </c>
      <c r="BI110" s="168">
        <f t="shared" si="126"/>
        <v>22.392671810967038</v>
      </c>
      <c r="BJ110" s="168">
        <f t="shared" si="126"/>
        <v>44.066805934701861</v>
      </c>
      <c r="BK110" s="168">
        <f t="shared" si="126"/>
        <v>47.581686392651036</v>
      </c>
      <c r="BL110" s="168">
        <f t="shared" si="126"/>
        <v>47.423524944659896</v>
      </c>
      <c r="BM110" s="168">
        <f t="shared" si="126"/>
        <v>19.677811910902442</v>
      </c>
      <c r="BN110" s="168">
        <f t="shared" si="126"/>
        <v>7.823583659101419</v>
      </c>
      <c r="BO110" s="168">
        <f t="shared" si="126"/>
        <v>18.598597285691795</v>
      </c>
      <c r="BP110" s="168">
        <f t="shared" si="126"/>
        <v>8.0168660488001464</v>
      </c>
      <c r="BQ110" s="168">
        <f t="shared" si="126"/>
        <v>3.5312606851401238</v>
      </c>
      <c r="BR110" s="168">
        <f t="shared" ref="BR110:CW110" si="127">BR109*BR59^0.25</f>
        <v>47.844988068602511</v>
      </c>
      <c r="BS110" s="168">
        <f t="shared" si="127"/>
        <v>26.934129466654969</v>
      </c>
      <c r="BT110" s="168">
        <f t="shared" si="127"/>
        <v>43.765325965455034</v>
      </c>
      <c r="BU110" s="168">
        <f t="shared" si="127"/>
        <v>45.885527508522891</v>
      </c>
      <c r="BV110" s="168">
        <f t="shared" si="127"/>
        <v>29.840542421047321</v>
      </c>
      <c r="BW110" s="168">
        <f t="shared" si="127"/>
        <v>14.527959811719031</v>
      </c>
      <c r="BX110" s="168">
        <f t="shared" si="127"/>
        <v>37.575634910306043</v>
      </c>
      <c r="BY110" s="168">
        <f t="shared" si="127"/>
        <v>33.311215159813301</v>
      </c>
      <c r="BZ110" s="168">
        <f t="shared" si="127"/>
        <v>11.310163859661401</v>
      </c>
      <c r="CA110" s="168">
        <f t="shared" si="127"/>
        <v>48.142083124649687</v>
      </c>
      <c r="CB110" s="168">
        <f t="shared" si="127"/>
        <v>3.9655409510871924</v>
      </c>
      <c r="CC110" s="168">
        <f t="shared" si="127"/>
        <v>32.567109263275604</v>
      </c>
      <c r="CD110" s="168">
        <f t="shared" si="127"/>
        <v>48.403832887646757</v>
      </c>
      <c r="CE110" s="168">
        <f t="shared" si="127"/>
        <v>31.966999398663852</v>
      </c>
      <c r="CF110" s="168">
        <f t="shared" si="127"/>
        <v>46.194305748520243</v>
      </c>
      <c r="CG110" s="168">
        <f t="shared" si="127"/>
        <v>24.291820779657268</v>
      </c>
      <c r="CH110" s="168">
        <f t="shared" si="127"/>
        <v>28.5462363303504</v>
      </c>
      <c r="CI110" s="168">
        <f t="shared" si="127"/>
        <v>36.015577309279649</v>
      </c>
      <c r="CJ110" s="168">
        <f t="shared" si="127"/>
        <v>10.396580948121001</v>
      </c>
      <c r="CK110" s="168">
        <f t="shared" si="127"/>
        <v>19.073456946353083</v>
      </c>
      <c r="CL110" s="168">
        <f t="shared" si="127"/>
        <v>8.2941585222179484</v>
      </c>
      <c r="CM110" s="168">
        <f t="shared" si="127"/>
        <v>15.879377426646144</v>
      </c>
      <c r="CN110" s="168">
        <f t="shared" si="127"/>
        <v>29.467200813809839</v>
      </c>
      <c r="CO110" s="168">
        <f t="shared" si="127"/>
        <v>31.578023402145391</v>
      </c>
      <c r="CP110" s="168">
        <f t="shared" si="127"/>
        <v>30.962225908209955</v>
      </c>
      <c r="CQ110" s="168">
        <f t="shared" si="127"/>
        <v>28.597558787163035</v>
      </c>
      <c r="CR110" s="168">
        <f t="shared" si="127"/>
        <v>32.34366170631229</v>
      </c>
      <c r="CS110" s="168">
        <f t="shared" si="127"/>
        <v>4.5564917229361388</v>
      </c>
      <c r="CT110" s="168">
        <f t="shared" si="127"/>
        <v>22.629142739430687</v>
      </c>
      <c r="CU110" s="168">
        <f t="shared" si="127"/>
        <v>18.156480989044649</v>
      </c>
      <c r="CV110" s="168">
        <f t="shared" si="127"/>
        <v>32.523452233454023</v>
      </c>
      <c r="CW110" s="168">
        <f t="shared" si="127"/>
        <v>24.05646583663988</v>
      </c>
      <c r="CX110" s="168">
        <f>CX109*CX59^0.25</f>
        <v>22.16992221843589</v>
      </c>
      <c r="CY110" s="168">
        <f>CY109*CY59^0.25</f>
        <v>30.548727237637959</v>
      </c>
      <c r="CZ110" s="168">
        <f>CZ109*CZ59^0.25</f>
        <v>43.066424115893824</v>
      </c>
      <c r="DA110" s="168">
        <f>DA109*DA59^0.25</f>
        <v>48.485874630787151</v>
      </c>
    </row>
    <row r="111" spans="1:119">
      <c r="E111" s="168"/>
      <c r="F111" s="168"/>
      <c r="G111" s="168"/>
      <c r="H111" s="168"/>
      <c r="I111" s="168"/>
      <c r="J111" s="168"/>
      <c r="K111" s="168"/>
      <c r="L111" s="168"/>
      <c r="M111" s="168"/>
      <c r="N111" s="168"/>
      <c r="O111" s="168"/>
      <c r="P111" s="168"/>
      <c r="Q111" s="168"/>
      <c r="R111" s="168"/>
      <c r="S111" s="168"/>
      <c r="T111" s="168"/>
      <c r="U111" s="168"/>
      <c r="V111" s="168"/>
      <c r="W111" s="168"/>
      <c r="X111" s="168"/>
      <c r="Y111" s="168"/>
      <c r="Z111" s="168"/>
      <c r="AA111" s="168"/>
      <c r="AB111" s="168"/>
      <c r="AC111" s="168"/>
      <c r="AD111" s="168"/>
      <c r="AE111" s="168"/>
      <c r="AF111" s="168"/>
      <c r="AG111" s="168"/>
      <c r="AH111" s="168"/>
      <c r="AI111" s="168"/>
      <c r="AJ111" s="168"/>
      <c r="AK111" s="168"/>
      <c r="AL111" s="168"/>
      <c r="AM111" s="168"/>
      <c r="AN111" s="168"/>
      <c r="AO111" s="168"/>
      <c r="AP111" s="168"/>
      <c r="AQ111" s="168"/>
      <c r="AR111" s="168"/>
      <c r="AS111" s="168"/>
      <c r="AT111" s="168"/>
      <c r="AU111" s="168"/>
      <c r="AV111" s="168"/>
      <c r="AW111" s="168"/>
      <c r="AX111" s="168"/>
      <c r="AY111" s="168"/>
      <c r="AZ111" s="168"/>
      <c r="BA111" s="168"/>
      <c r="BB111" s="168"/>
      <c r="BC111" s="168"/>
      <c r="BD111" s="168"/>
      <c r="BE111" s="168"/>
      <c r="BF111" s="168"/>
      <c r="BG111" s="168"/>
      <c r="BH111" s="168"/>
      <c r="BI111" s="168"/>
      <c r="BJ111" s="168"/>
      <c r="BK111" s="168"/>
      <c r="BL111" s="168"/>
      <c r="BM111" s="168"/>
      <c r="BN111" s="168"/>
      <c r="BO111" s="168"/>
      <c r="BP111" s="168"/>
      <c r="BQ111" s="168"/>
      <c r="BR111" s="168"/>
      <c r="BS111" s="168"/>
      <c r="BT111" s="168"/>
      <c r="BU111" s="168"/>
      <c r="BV111" s="168"/>
      <c r="BW111" s="168"/>
      <c r="BX111" s="168"/>
      <c r="BY111" s="168"/>
      <c r="BZ111" s="168"/>
      <c r="CA111" s="168"/>
      <c r="CB111" s="168"/>
      <c r="CC111" s="168"/>
      <c r="CD111" s="168"/>
      <c r="CE111" s="168"/>
      <c r="CF111" s="168"/>
      <c r="CG111" s="168"/>
      <c r="CH111" s="168"/>
      <c r="CI111" s="168"/>
      <c r="CJ111" s="168"/>
      <c r="CK111" s="168"/>
      <c r="CL111" s="168"/>
      <c r="CM111" s="168"/>
      <c r="CN111" s="168"/>
      <c r="CO111" s="168"/>
      <c r="CP111" s="168"/>
      <c r="CQ111" s="168"/>
      <c r="CR111" s="168"/>
      <c r="CS111" s="168"/>
      <c r="CT111" s="168"/>
      <c r="CU111" s="168"/>
      <c r="CV111" s="168"/>
      <c r="CW111" s="168"/>
      <c r="CX111" s="168"/>
      <c r="CY111" s="168"/>
      <c r="CZ111" s="168"/>
      <c r="DA111" s="168"/>
    </row>
    <row r="112" spans="1:119">
      <c r="E112" s="172" t="s">
        <v>332</v>
      </c>
      <c r="F112" s="168">
        <f>F109*COS(PI()*F$96/180)</f>
        <v>6.4659837240329176E-3</v>
      </c>
      <c r="G112" s="168">
        <f t="shared" ref="G112:BR112" si="128">G109*COS(PI()*G$96/180)</f>
        <v>21.803899699278123</v>
      </c>
      <c r="H112" s="168">
        <f t="shared" si="128"/>
        <v>48.663468645863084</v>
      </c>
      <c r="I112" s="168">
        <f t="shared" si="128"/>
        <v>19.629215824245083</v>
      </c>
      <c r="J112" s="168">
        <f t="shared" si="128"/>
        <v>27.75653375633123</v>
      </c>
      <c r="K112" s="168">
        <f t="shared" si="128"/>
        <v>55.513890842431536</v>
      </c>
      <c r="L112" s="168">
        <f t="shared" si="128"/>
        <v>24.107270727299394</v>
      </c>
      <c r="M112" s="168">
        <f t="shared" si="128"/>
        <v>51.615143793469102</v>
      </c>
      <c r="N112" s="168">
        <f t="shared" si="128"/>
        <v>46.933994284577089</v>
      </c>
      <c r="O112" s="168">
        <f t="shared" si="128"/>
        <v>3.7869134617186928</v>
      </c>
      <c r="P112" s="168">
        <f t="shared" si="128"/>
        <v>47.454491756272674</v>
      </c>
      <c r="Q112" s="168">
        <f t="shared" si="128"/>
        <v>45.211811375688875</v>
      </c>
      <c r="R112" s="168">
        <f t="shared" si="128"/>
        <v>49.793382714340972</v>
      </c>
      <c r="S112" s="168">
        <f t="shared" si="128"/>
        <v>26.720077685580542</v>
      </c>
      <c r="T112" s="168">
        <f t="shared" si="128"/>
        <v>7.5674206798217254</v>
      </c>
      <c r="U112" s="168">
        <f t="shared" si="128"/>
        <v>16.939873656123162</v>
      </c>
      <c r="V112" s="168">
        <f t="shared" si="128"/>
        <v>25.173726131776949</v>
      </c>
      <c r="W112" s="168">
        <f t="shared" si="128"/>
        <v>20.594903069839038</v>
      </c>
      <c r="X112" s="168">
        <f t="shared" si="128"/>
        <v>15.76403492748152</v>
      </c>
      <c r="Y112" s="168">
        <f t="shared" si="128"/>
        <v>19.759160422279642</v>
      </c>
      <c r="Z112" s="168">
        <f t="shared" si="128"/>
        <v>32.069191587715281</v>
      </c>
      <c r="AA112" s="168">
        <f t="shared" si="128"/>
        <v>20.880713728006693</v>
      </c>
      <c r="AB112" s="168">
        <f t="shared" si="128"/>
        <v>23.478632745825376</v>
      </c>
      <c r="AC112" s="168">
        <f t="shared" si="128"/>
        <v>4.5254088693509349</v>
      </c>
      <c r="AD112" s="168">
        <f t="shared" si="128"/>
        <v>8.6794244038024946</v>
      </c>
      <c r="AE112" s="168">
        <f t="shared" si="128"/>
        <v>12.312394445002685</v>
      </c>
      <c r="AF112" s="168">
        <f t="shared" si="128"/>
        <v>9.7151761532844993</v>
      </c>
      <c r="AG112" s="168">
        <f t="shared" si="128"/>
        <v>1.696742660421753</v>
      </c>
      <c r="AH112" s="168">
        <f t="shared" si="128"/>
        <v>0.20589514070705153</v>
      </c>
      <c r="AI112" s="168">
        <f t="shared" si="128"/>
        <v>2.7888858553743847</v>
      </c>
      <c r="AJ112" s="168">
        <f t="shared" si="128"/>
        <v>2.556936600575038</v>
      </c>
      <c r="AK112" s="168">
        <f t="shared" si="128"/>
        <v>0.50521418836754617</v>
      </c>
      <c r="AL112" s="168">
        <f t="shared" si="128"/>
        <v>-1.0385907308799691</v>
      </c>
      <c r="AM112" s="168">
        <f t="shared" si="128"/>
        <v>0.22702991247330293</v>
      </c>
      <c r="AN112" s="168">
        <f t="shared" si="128"/>
        <v>-4.9957608198483472</v>
      </c>
      <c r="AO112" s="168">
        <f t="shared" si="128"/>
        <v>-3.4995192508103514</v>
      </c>
      <c r="AP112" s="168">
        <f t="shared" si="128"/>
        <v>5.959013252683474E-2</v>
      </c>
      <c r="AQ112" s="168">
        <f t="shared" si="128"/>
        <v>-6.9688940254994565</v>
      </c>
      <c r="AR112" s="168">
        <f t="shared" si="128"/>
        <v>-3.2987020009103203</v>
      </c>
      <c r="AS112" s="168">
        <f t="shared" si="128"/>
        <v>-2.1171207174563409</v>
      </c>
      <c r="AT112" s="168">
        <f t="shared" si="128"/>
        <v>-4.8590539956309353</v>
      </c>
      <c r="AU112" s="168">
        <f t="shared" si="128"/>
        <v>-3.4963392215522213</v>
      </c>
      <c r="AV112" s="168">
        <f t="shared" si="128"/>
        <v>-26.16717577611</v>
      </c>
      <c r="AW112" s="168">
        <f t="shared" si="128"/>
        <v>-27.317722348318565</v>
      </c>
      <c r="AX112" s="168">
        <f t="shared" si="128"/>
        <v>-0.78131235210701522</v>
      </c>
      <c r="AY112" s="168">
        <f t="shared" si="128"/>
        <v>-26.589514959737297</v>
      </c>
      <c r="AZ112" s="168">
        <f t="shared" si="128"/>
        <v>-19.629217183399042</v>
      </c>
      <c r="BA112" s="168">
        <f t="shared" si="128"/>
        <v>-11.023405695972363</v>
      </c>
      <c r="BB112" s="168">
        <f t="shared" si="128"/>
        <v>-28.253825206691491</v>
      </c>
      <c r="BC112" s="168">
        <f t="shared" si="128"/>
        <v>-23.947559674415277</v>
      </c>
      <c r="BD112" s="168">
        <f t="shared" si="128"/>
        <v>-24.005158516533456</v>
      </c>
      <c r="BE112" s="168">
        <f t="shared" si="128"/>
        <v>-20.316047979971056</v>
      </c>
      <c r="BF112" s="168">
        <f t="shared" si="128"/>
        <v>-29.265523520434421</v>
      </c>
      <c r="BG112" s="168">
        <f t="shared" si="128"/>
        <v>-47.407968736840566</v>
      </c>
      <c r="BH112" s="168">
        <f t="shared" si="128"/>
        <v>-20.708403028960024</v>
      </c>
      <c r="BI112" s="168">
        <f t="shared" si="128"/>
        <v>-23.507155581906222</v>
      </c>
      <c r="BJ112" s="168">
        <f t="shared" si="128"/>
        <v>-46.278673753228297</v>
      </c>
      <c r="BK112" s="168">
        <f t="shared" si="128"/>
        <v>-49.938711260025684</v>
      </c>
      <c r="BL112" s="168">
        <f t="shared" si="128"/>
        <v>-49.208150894791629</v>
      </c>
      <c r="BM112" s="168">
        <f t="shared" si="128"/>
        <v>-20.403936832456459</v>
      </c>
      <c r="BN112" s="168">
        <f t="shared" si="128"/>
        <v>-7.6131751315922127</v>
      </c>
      <c r="BO112" s="168">
        <f t="shared" si="128"/>
        <v>-18.341682374911503</v>
      </c>
      <c r="BP112" s="168">
        <f t="shared" si="128"/>
        <v>-6.8394502429576871</v>
      </c>
      <c r="BQ112" s="168">
        <f t="shared" si="128"/>
        <v>-2.0550206362227614</v>
      </c>
      <c r="BR112" s="168">
        <f t="shared" si="128"/>
        <v>-44.935873205950209</v>
      </c>
      <c r="BS112" s="168">
        <f t="shared" ref="BS112:DA112" si="129">BS109*COS(PI()*BS$96/180)</f>
        <v>-24.71931869981162</v>
      </c>
      <c r="BT112" s="168">
        <f t="shared" si="129"/>
        <v>-38.168395934648238</v>
      </c>
      <c r="BU112" s="168">
        <f t="shared" si="129"/>
        <v>-39.139591292004553</v>
      </c>
      <c r="BV112" s="168">
        <f t="shared" si="129"/>
        <v>-23.405889621128189</v>
      </c>
      <c r="BW112" s="168">
        <f t="shared" si="129"/>
        <v>-8.3736885968676571</v>
      </c>
      <c r="BX112" s="168">
        <f t="shared" si="129"/>
        <v>-25.069436787822024</v>
      </c>
      <c r="BY112" s="168">
        <f t="shared" si="129"/>
        <v>-19.724593570477509</v>
      </c>
      <c r="BZ112" s="168">
        <f t="shared" si="129"/>
        <v>-7.00409663547065</v>
      </c>
      <c r="CA112" s="168">
        <f t="shared" si="129"/>
        <v>-31.016502502049104</v>
      </c>
      <c r="CB112" s="168">
        <f t="shared" si="129"/>
        <v>-0.91413360108836028</v>
      </c>
      <c r="CC112" s="168">
        <f t="shared" si="129"/>
        <v>-15.338513453246112</v>
      </c>
      <c r="CD112" s="168">
        <f t="shared" si="129"/>
        <v>-19.209037306751622</v>
      </c>
      <c r="CE112" s="168">
        <f t="shared" si="129"/>
        <v>-10.028345614463065</v>
      </c>
      <c r="CF112" s="168">
        <f t="shared" si="129"/>
        <v>-16.021709617865138</v>
      </c>
      <c r="CG112" s="168">
        <f t="shared" si="129"/>
        <v>-3.3311790750296839</v>
      </c>
      <c r="CH112" s="168">
        <f t="shared" si="129"/>
        <v>2.660787288915281</v>
      </c>
      <c r="CI112" s="168">
        <f t="shared" si="129"/>
        <v>8.4647592056355752</v>
      </c>
      <c r="CJ112" s="168">
        <f t="shared" si="129"/>
        <v>1.7863182124206591</v>
      </c>
      <c r="CK112" s="168">
        <f t="shared" si="129"/>
        <v>4.8930537786196346</v>
      </c>
      <c r="CL112" s="168">
        <f t="shared" si="129"/>
        <v>5.3667853807038082</v>
      </c>
      <c r="CM112" s="168">
        <f t="shared" si="129"/>
        <v>8.9180150078142066</v>
      </c>
      <c r="CN112" s="168">
        <f t="shared" si="129"/>
        <v>15.624239269034444</v>
      </c>
      <c r="CO112" s="168">
        <f t="shared" si="129"/>
        <v>20.31384123673887</v>
      </c>
      <c r="CP112" s="168">
        <f t="shared" si="129"/>
        <v>25.653438462653611</v>
      </c>
      <c r="CQ112" s="168">
        <f t="shared" si="129"/>
        <v>24.712110087399004</v>
      </c>
      <c r="CR112" s="168">
        <f t="shared" si="129"/>
        <v>28.956015319790257</v>
      </c>
      <c r="CS112" s="168">
        <f t="shared" si="129"/>
        <v>4.4765155459004617</v>
      </c>
      <c r="CT112" s="168">
        <f t="shared" si="129"/>
        <v>22.216289075734426</v>
      </c>
      <c r="CU112" s="168">
        <f t="shared" si="129"/>
        <v>18.028172095564322</v>
      </c>
      <c r="CV112" s="168">
        <f t="shared" si="129"/>
        <v>33.511007174900037</v>
      </c>
      <c r="CW112" s="168">
        <f t="shared" si="129"/>
        <v>24.850483254266194</v>
      </c>
      <c r="CX112" s="168">
        <f t="shared" si="129"/>
        <v>23.081388399422842</v>
      </c>
      <c r="CY112" s="168">
        <f t="shared" si="129"/>
        <v>32.218063079347203</v>
      </c>
      <c r="CZ112" s="168">
        <f t="shared" si="129"/>
        <v>45.614567535020143</v>
      </c>
      <c r="DA112" s="168">
        <f t="shared" si="129"/>
        <v>51.351815843806953</v>
      </c>
    </row>
    <row r="113" spans="5:105">
      <c r="E113" s="172" t="s">
        <v>333</v>
      </c>
      <c r="F113" s="168">
        <f>F109*SIN(PI()*F$96/180)</f>
        <v>7.1844263609764278E-4</v>
      </c>
      <c r="G113" s="168">
        <f t="shared" ref="G113:BR113" si="130">G109*SIN(PI()*G$96/180)</f>
        <v>2.2876478133999374</v>
      </c>
      <c r="H113" s="168">
        <f t="shared" si="130"/>
        <v>7.6673387299093534</v>
      </c>
      <c r="I113" s="168">
        <f t="shared" si="130"/>
        <v>3.1307949190359716</v>
      </c>
      <c r="J113" s="168">
        <f t="shared" si="130"/>
        <v>9.2170881565329434</v>
      </c>
      <c r="K113" s="168">
        <f t="shared" si="130"/>
        <v>16.300803909485833</v>
      </c>
      <c r="L113" s="168">
        <f t="shared" si="130"/>
        <v>9.4285188455080977</v>
      </c>
      <c r="M113" s="168">
        <f t="shared" si="130"/>
        <v>17.589720286120457</v>
      </c>
      <c r="N113" s="168">
        <f t="shared" si="130"/>
        <v>15.73709099345816</v>
      </c>
      <c r="O113" s="168">
        <f t="shared" si="130"/>
        <v>0.67720258221485041</v>
      </c>
      <c r="P113" s="168">
        <f t="shared" si="130"/>
        <v>29.377021837778027</v>
      </c>
      <c r="Q113" s="168">
        <f t="shared" si="130"/>
        <v>31.211215023924186</v>
      </c>
      <c r="R113" s="168">
        <f t="shared" si="130"/>
        <v>34.700415094276039</v>
      </c>
      <c r="S113" s="168">
        <f t="shared" si="130"/>
        <v>20.331159333423042</v>
      </c>
      <c r="T113" s="168">
        <f t="shared" si="130"/>
        <v>6.9313319340866322</v>
      </c>
      <c r="U113" s="168">
        <f t="shared" si="130"/>
        <v>13.492329563090262</v>
      </c>
      <c r="V113" s="168">
        <f t="shared" si="130"/>
        <v>22.981732338779167</v>
      </c>
      <c r="W113" s="168">
        <f t="shared" si="130"/>
        <v>23.64808801296692</v>
      </c>
      <c r="X113" s="168">
        <f t="shared" si="130"/>
        <v>17.311258320349847</v>
      </c>
      <c r="Y113" s="168">
        <f t="shared" si="130"/>
        <v>33.930024407263829</v>
      </c>
      <c r="Z113" s="168">
        <f t="shared" si="130"/>
        <v>43.689455264550368</v>
      </c>
      <c r="AA113" s="168">
        <f t="shared" si="130"/>
        <v>42.965273899149693</v>
      </c>
      <c r="AB113" s="168">
        <f t="shared" si="130"/>
        <v>44.739835807416149</v>
      </c>
      <c r="AC113" s="168">
        <f t="shared" si="130"/>
        <v>14.79630820001101</v>
      </c>
      <c r="AD113" s="168">
        <f t="shared" si="130"/>
        <v>34.198690480556287</v>
      </c>
      <c r="AE113" s="168">
        <f t="shared" si="130"/>
        <v>51.549308850391625</v>
      </c>
      <c r="AF113" s="168">
        <f t="shared" si="130"/>
        <v>42.516992595064899</v>
      </c>
      <c r="AG113" s="168">
        <f t="shared" si="130"/>
        <v>18.333011659824962</v>
      </c>
      <c r="AH113" s="168">
        <f t="shared" si="130"/>
        <v>19.300197870060643</v>
      </c>
      <c r="AI113" s="168">
        <f t="shared" si="130"/>
        <v>41.763859258394909</v>
      </c>
      <c r="AJ113" s="168">
        <f t="shared" si="130"/>
        <v>20.754314167968051</v>
      </c>
      <c r="AK113" s="168">
        <f t="shared" si="130"/>
        <v>41.612537618386028</v>
      </c>
      <c r="AL113" s="168">
        <f t="shared" si="130"/>
        <v>47.251304511006481</v>
      </c>
      <c r="AM113" s="168">
        <f t="shared" si="130"/>
        <v>24.682824809291809</v>
      </c>
      <c r="AN113" s="168">
        <f t="shared" si="130"/>
        <v>41.05659721474354</v>
      </c>
      <c r="AO113" s="168">
        <f t="shared" si="130"/>
        <v>18.860684370843458</v>
      </c>
      <c r="AP113" s="168">
        <f t="shared" si="130"/>
        <v>7.6141440991126021</v>
      </c>
      <c r="AQ113" s="168">
        <f t="shared" si="130"/>
        <v>24.360657062173658</v>
      </c>
      <c r="AR113" s="168">
        <f t="shared" si="130"/>
        <v>19.751095882831006</v>
      </c>
      <c r="AS113" s="168">
        <f t="shared" si="130"/>
        <v>7.5341892558666794</v>
      </c>
      <c r="AT113" s="168">
        <f t="shared" si="130"/>
        <v>15.492362312614741</v>
      </c>
      <c r="AU113" s="168">
        <f t="shared" si="130"/>
        <v>9.150431167973835</v>
      </c>
      <c r="AV113" s="168">
        <f t="shared" si="130"/>
        <v>42.471027352883439</v>
      </c>
      <c r="AW113" s="168">
        <f t="shared" si="130"/>
        <v>43.373991675231586</v>
      </c>
      <c r="AX113" s="168">
        <f t="shared" si="130"/>
        <v>1.3555948794942272</v>
      </c>
      <c r="AY113" s="168">
        <f t="shared" si="130"/>
        <v>28.0810672496956</v>
      </c>
      <c r="AZ113" s="168">
        <f t="shared" si="130"/>
        <v>20.64922098195656</v>
      </c>
      <c r="BA113" s="168">
        <f t="shared" si="130"/>
        <v>13.260897102836646</v>
      </c>
      <c r="BB113" s="168">
        <f t="shared" si="130"/>
        <v>19.102719530186846</v>
      </c>
      <c r="BC113" s="168">
        <f t="shared" si="130"/>
        <v>17.317423236987235</v>
      </c>
      <c r="BD113" s="168">
        <f t="shared" si="130"/>
        <v>8.934976149627051</v>
      </c>
      <c r="BE113" s="168">
        <f t="shared" si="130"/>
        <v>7.0888392361832055</v>
      </c>
      <c r="BF113" s="168">
        <f t="shared" si="130"/>
        <v>9.7944928674273406</v>
      </c>
      <c r="BG113" s="168">
        <f t="shared" si="130"/>
        <v>5.0110023890584561</v>
      </c>
      <c r="BH113" s="168">
        <f t="shared" si="130"/>
        <v>-1.0436790331104755</v>
      </c>
      <c r="BI113" s="168">
        <f t="shared" si="130"/>
        <v>-3.201834789979765</v>
      </c>
      <c r="BJ113" s="168">
        <f t="shared" si="130"/>
        <v>-6.1623660816422809</v>
      </c>
      <c r="BK113" s="168">
        <f t="shared" si="130"/>
        <v>-6.8846306860724544</v>
      </c>
      <c r="BL113" s="168">
        <f t="shared" si="130"/>
        <v>-10.147147933521744</v>
      </c>
      <c r="BM113" s="168">
        <f t="shared" si="130"/>
        <v>-4.2795959965703796</v>
      </c>
      <c r="BN113" s="168">
        <f t="shared" si="130"/>
        <v>-3.2777643539710848</v>
      </c>
      <c r="BO113" s="168">
        <f t="shared" si="130"/>
        <v>-7.2007699974692043</v>
      </c>
      <c r="BP113" s="168">
        <f t="shared" si="130"/>
        <v>-5.0361408528200959</v>
      </c>
      <c r="BQ113" s="168">
        <f t="shared" si="130"/>
        <v>-3.1263028796821182</v>
      </c>
      <c r="BR113" s="168">
        <f t="shared" si="130"/>
        <v>-23.457265534049039</v>
      </c>
      <c r="BS113" s="168">
        <f t="shared" ref="BS113:DA113" si="131">BS109*SIN(PI()*BS$96/180)</f>
        <v>-14.256310123248733</v>
      </c>
      <c r="BT113" s="168">
        <f t="shared" si="131"/>
        <v>-26.327581999258101</v>
      </c>
      <c r="BU113" s="168">
        <f t="shared" si="131"/>
        <v>-28.834278551267971</v>
      </c>
      <c r="BV113" s="168">
        <f t="shared" si="131"/>
        <v>-21.252520067622577</v>
      </c>
      <c r="BW113" s="168">
        <f t="shared" si="131"/>
        <v>-12.914720019843925</v>
      </c>
      <c r="BX113" s="168">
        <f t="shared" si="131"/>
        <v>-30.925059627165659</v>
      </c>
      <c r="BY113" s="168">
        <f t="shared" si="131"/>
        <v>-29.265438478935064</v>
      </c>
      <c r="BZ113" s="168">
        <f t="shared" si="131"/>
        <v>-9.722538672557766</v>
      </c>
      <c r="CA113" s="168">
        <f t="shared" si="131"/>
        <v>-40.490272275795689</v>
      </c>
      <c r="CB113" s="168">
        <f t="shared" si="131"/>
        <v>-4.1006894004077434</v>
      </c>
      <c r="CC113" s="168">
        <f t="shared" si="131"/>
        <v>-30.906825971818467</v>
      </c>
      <c r="CD113" s="168">
        <f t="shared" si="131"/>
        <v>-47.548544198141556</v>
      </c>
      <c r="CE113" s="168">
        <f t="shared" si="131"/>
        <v>-32.349095195045464</v>
      </c>
      <c r="CF113" s="168">
        <f t="shared" si="131"/>
        <v>-46.24437443896862</v>
      </c>
      <c r="CG113" s="168">
        <f t="shared" si="131"/>
        <v>-25.51979124730504</v>
      </c>
      <c r="CH113" s="168">
        <f t="shared" si="131"/>
        <v>-30.126410745819346</v>
      </c>
      <c r="CI113" s="168">
        <f t="shared" si="131"/>
        <v>-37.206422197058416</v>
      </c>
      <c r="CJ113" s="168">
        <f t="shared" si="131"/>
        <v>-10.868981096079134</v>
      </c>
      <c r="CK113" s="168">
        <f t="shared" si="131"/>
        <v>-19.606276560985378</v>
      </c>
      <c r="CL113" s="168">
        <f t="shared" si="131"/>
        <v>-6.9581046208717998</v>
      </c>
      <c r="CM113" s="168">
        <f t="shared" si="131"/>
        <v>-14.265448036039437</v>
      </c>
      <c r="CN113" s="168">
        <f t="shared" si="131"/>
        <v>-27.028407587474049</v>
      </c>
      <c r="CO113" s="168">
        <f t="shared" si="131"/>
        <v>-26.582608733724797</v>
      </c>
      <c r="CP113" s="168">
        <f t="shared" si="131"/>
        <v>-20.444068210477642</v>
      </c>
      <c r="CQ113" s="168">
        <f t="shared" si="131"/>
        <v>-17.529516256767373</v>
      </c>
      <c r="CR113" s="168">
        <f t="shared" si="131"/>
        <v>-18.324047094485341</v>
      </c>
      <c r="CS113" s="168">
        <f t="shared" si="131"/>
        <v>-1.8069132485267621</v>
      </c>
      <c r="CT113" s="168">
        <f t="shared" si="131"/>
        <v>-9.0124765418298463</v>
      </c>
      <c r="CU113" s="168">
        <f t="shared" si="131"/>
        <v>-6.7092013009486129</v>
      </c>
      <c r="CV113" s="168">
        <f t="shared" si="131"/>
        <v>-8.0202636225060573</v>
      </c>
      <c r="CW113" s="168">
        <f t="shared" si="131"/>
        <v>-5.660165764303037</v>
      </c>
      <c r="CX113" s="168">
        <f t="shared" si="131"/>
        <v>-4.3526686629329614</v>
      </c>
      <c r="CY113" s="168">
        <f t="shared" si="131"/>
        <v>-3.0831410781713324</v>
      </c>
      <c r="CZ113" s="168">
        <f t="shared" si="131"/>
        <v>1.0772843561335357</v>
      </c>
      <c r="DA113" s="168">
        <f t="shared" si="131"/>
        <v>1.3283939663465585</v>
      </c>
    </row>
    <row r="114" spans="5:105">
      <c r="E114" s="172" t="s">
        <v>252</v>
      </c>
      <c r="F114" s="168">
        <f>F110*COS(PI()*F$96/180)</f>
        <v>6.1030759463354244E-3</v>
      </c>
      <c r="G114" s="168">
        <f t="shared" ref="G114:BR114" si="132">G110*COS(PI()*G$96/180)</f>
        <v>20.580140852562572</v>
      </c>
      <c r="H114" s="168">
        <f t="shared" si="132"/>
        <v>45.932198043420733</v>
      </c>
      <c r="I114" s="168">
        <f t="shared" si="132"/>
        <v>18.527512603705862</v>
      </c>
      <c r="J114" s="168">
        <f t="shared" si="132"/>
        <v>26.198679234573646</v>
      </c>
      <c r="K114" s="168">
        <f t="shared" si="132"/>
        <v>52.39813558896757</v>
      </c>
      <c r="L114" s="168">
        <f t="shared" si="132"/>
        <v>22.75423359955677</v>
      </c>
      <c r="M114" s="168">
        <f t="shared" si="132"/>
        <v>48.718208395997777</v>
      </c>
      <c r="N114" s="168">
        <f t="shared" si="132"/>
        <v>44.299791618558125</v>
      </c>
      <c r="O114" s="168">
        <f t="shared" si="132"/>
        <v>3.5743703426234466</v>
      </c>
      <c r="P114" s="168">
        <f t="shared" si="132"/>
        <v>44.791075812149082</v>
      </c>
      <c r="Q114" s="168">
        <f t="shared" si="132"/>
        <v>42.674267408319317</v>
      </c>
      <c r="R114" s="168">
        <f t="shared" si="132"/>
        <v>46.998694908719415</v>
      </c>
      <c r="S114" s="168">
        <f t="shared" si="132"/>
        <v>25.220394972687735</v>
      </c>
      <c r="T114" s="168">
        <f t="shared" si="132"/>
        <v>7.1426939964543159</v>
      </c>
      <c r="U114" s="168">
        <f t="shared" si="132"/>
        <v>15.989111611954941</v>
      </c>
      <c r="V114" s="168">
        <f t="shared" si="132"/>
        <v>23.760833461958963</v>
      </c>
      <c r="W114" s="168">
        <f t="shared" si="132"/>
        <v>19.438999989354805</v>
      </c>
      <c r="X114" s="168">
        <f t="shared" si="132"/>
        <v>14.879267639587731</v>
      </c>
      <c r="Y114" s="168">
        <f t="shared" si="132"/>
        <v>18.65016397192278</v>
      </c>
      <c r="Z114" s="168">
        <f t="shared" si="132"/>
        <v>30.269286183005413</v>
      </c>
      <c r="AA114" s="168">
        <f t="shared" si="132"/>
        <v>19.70876932802263</v>
      </c>
      <c r="AB114" s="168">
        <f t="shared" si="132"/>
        <v>22.160878356575431</v>
      </c>
      <c r="AC114" s="168">
        <f t="shared" si="132"/>
        <v>4.2714171882638778</v>
      </c>
      <c r="AD114" s="168">
        <f t="shared" si="132"/>
        <v>8.1922857476425683</v>
      </c>
      <c r="AE114" s="168">
        <f t="shared" si="132"/>
        <v>11.621352849960752</v>
      </c>
      <c r="AF114" s="168">
        <f t="shared" si="132"/>
        <v>9.1699052187747654</v>
      </c>
      <c r="AG114" s="168">
        <f t="shared" si="132"/>
        <v>1.6015118131912667</v>
      </c>
      <c r="AH114" s="168">
        <f t="shared" si="132"/>
        <v>0.19433913451498766</v>
      </c>
      <c r="AI114" s="168">
        <f t="shared" si="132"/>
        <v>2.6323577211843676</v>
      </c>
      <c r="AJ114" s="168">
        <f t="shared" si="132"/>
        <v>2.4134267776258849</v>
      </c>
      <c r="AK114" s="168">
        <f t="shared" si="132"/>
        <v>0.47685869503708145</v>
      </c>
      <c r="AL114" s="168">
        <f t="shared" si="132"/>
        <v>-0.98029911274923553</v>
      </c>
      <c r="AM114" s="168">
        <f t="shared" si="132"/>
        <v>0.21428770269935773</v>
      </c>
      <c r="AN114" s="168">
        <f t="shared" si="132"/>
        <v>-4.7153703124765505</v>
      </c>
      <c r="AO114" s="168">
        <f t="shared" si="132"/>
        <v>-3.3031063292001708</v>
      </c>
      <c r="AP114" s="168">
        <f t="shared" si="132"/>
        <v>5.6245595409051136E-2</v>
      </c>
      <c r="AQ114" s="168">
        <f t="shared" si="132"/>
        <v>-6.5777600617062504</v>
      </c>
      <c r="AR114" s="168">
        <f t="shared" si="132"/>
        <v>-3.1135600853828906</v>
      </c>
      <c r="AS114" s="168">
        <f t="shared" si="132"/>
        <v>-1.9982958630364795</v>
      </c>
      <c r="AT114" s="168">
        <f t="shared" si="132"/>
        <v>-4.5863362526659568</v>
      </c>
      <c r="AU114" s="168">
        <f t="shared" si="132"/>
        <v>-3.3001047812683688</v>
      </c>
      <c r="AV114" s="168">
        <f t="shared" si="132"/>
        <v>-24.698525062649058</v>
      </c>
      <c r="AW114" s="168">
        <f t="shared" si="132"/>
        <v>-25.784496418235019</v>
      </c>
      <c r="AX114" s="168">
        <f t="shared" si="132"/>
        <v>-0.73746065969757191</v>
      </c>
      <c r="AY114" s="168">
        <f t="shared" si="132"/>
        <v>-25.097160169509959</v>
      </c>
      <c r="AZ114" s="168">
        <f t="shared" si="132"/>
        <v>-18.527513886576372</v>
      </c>
      <c r="BA114" s="168">
        <f t="shared" si="132"/>
        <v>-10.404709479816706</v>
      </c>
      <c r="BB114" s="168">
        <f t="shared" si="132"/>
        <v>-26.668059860715864</v>
      </c>
      <c r="BC114" s="168">
        <f t="shared" si="132"/>
        <v>-22.603486439213935</v>
      </c>
      <c r="BD114" s="168">
        <f t="shared" si="132"/>
        <v>-22.657852506756239</v>
      </c>
      <c r="BE114" s="168">
        <f t="shared" si="132"/>
        <v>-19.17579583293837</v>
      </c>
      <c r="BF114" s="168">
        <f t="shared" si="132"/>
        <v>-27.622975911711038</v>
      </c>
      <c r="BG114" s="168">
        <f t="shared" si="132"/>
        <v>-44.747163929137116</v>
      </c>
      <c r="BH114" s="168">
        <f t="shared" si="132"/>
        <v>-19.546129685312234</v>
      </c>
      <c r="BI114" s="168">
        <f t="shared" si="132"/>
        <v>-22.187800328890219</v>
      </c>
      <c r="BJ114" s="168">
        <f t="shared" si="132"/>
        <v>-43.681251402140752</v>
      </c>
      <c r="BK114" s="168">
        <f t="shared" si="132"/>
        <v>-47.135866789958094</v>
      </c>
      <c r="BL114" s="168">
        <f t="shared" si="132"/>
        <v>-46.44630962701104</v>
      </c>
      <c r="BM114" s="168">
        <f t="shared" si="132"/>
        <v>-19.258751863211227</v>
      </c>
      <c r="BN114" s="168">
        <f t="shared" si="132"/>
        <v>-7.1858804481925604</v>
      </c>
      <c r="BO114" s="168">
        <f t="shared" si="132"/>
        <v>-17.3122428535635</v>
      </c>
      <c r="BP114" s="168">
        <f t="shared" si="132"/>
        <v>-6.4555814003686054</v>
      </c>
      <c r="BQ114" s="168">
        <f t="shared" si="132"/>
        <v>-1.9396811915158179</v>
      </c>
      <c r="BR114" s="168">
        <f t="shared" si="132"/>
        <v>-42.413816457886433</v>
      </c>
      <c r="BS114" s="168">
        <f t="shared" ref="BS114:DA114" si="133">BS110*COS(PI()*BS$96/180)</f>
        <v>-23.331929959224212</v>
      </c>
      <c r="BT114" s="168">
        <f t="shared" si="133"/>
        <v>-36.02616849670445</v>
      </c>
      <c r="BU114" s="168">
        <f t="shared" si="133"/>
        <v>-36.942854847559829</v>
      </c>
      <c r="BV114" s="168">
        <f t="shared" si="133"/>
        <v>-22.09221798971577</v>
      </c>
      <c r="BW114" s="168">
        <f t="shared" si="133"/>
        <v>-7.90370957286778</v>
      </c>
      <c r="BX114" s="168">
        <f t="shared" si="133"/>
        <v>-23.662397429065056</v>
      </c>
      <c r="BY114" s="168">
        <f t="shared" si="133"/>
        <v>-18.617537208420416</v>
      </c>
      <c r="BZ114" s="168">
        <f t="shared" si="133"/>
        <v>-6.610986901013761</v>
      </c>
      <c r="CA114" s="168">
        <f t="shared" si="133"/>
        <v>-29.275679995315855</v>
      </c>
      <c r="CB114" s="168">
        <f t="shared" si="133"/>
        <v>-0.86282722485104602</v>
      </c>
      <c r="CC114" s="168">
        <f t="shared" si="133"/>
        <v>-14.477628850364871</v>
      </c>
      <c r="CD114" s="168">
        <f t="shared" si="133"/>
        <v>-18.130916894107976</v>
      </c>
      <c r="CE114" s="168">
        <f t="shared" si="133"/>
        <v>-9.4654978288430183</v>
      </c>
      <c r="CF114" s="168">
        <f t="shared" si="133"/>
        <v>-15.122480160988703</v>
      </c>
      <c r="CG114" s="168">
        <f t="shared" si="133"/>
        <v>-3.1442143614102993</v>
      </c>
      <c r="CH114" s="168">
        <f t="shared" si="133"/>
        <v>2.5114487747527812</v>
      </c>
      <c r="CI114" s="168">
        <f t="shared" si="133"/>
        <v>7.9896687811663956</v>
      </c>
      <c r="CJ114" s="168">
        <f t="shared" si="133"/>
        <v>1.6860598758089167</v>
      </c>
      <c r="CK114" s="168">
        <f t="shared" si="133"/>
        <v>4.618427774481531</v>
      </c>
      <c r="CL114" s="168">
        <f t="shared" si="133"/>
        <v>5.0655708650143314</v>
      </c>
      <c r="CM114" s="168">
        <f t="shared" si="133"/>
        <v>8.417485290127237</v>
      </c>
      <c r="CN114" s="168">
        <f t="shared" si="133"/>
        <v>14.747318108490191</v>
      </c>
      <c r="CO114" s="168">
        <f t="shared" si="133"/>
        <v>19.173712944685796</v>
      </c>
      <c r="CP114" s="168">
        <f t="shared" si="133"/>
        <v>24.21362160877289</v>
      </c>
      <c r="CQ114" s="168">
        <f t="shared" si="133"/>
        <v>23.325125935134515</v>
      </c>
      <c r="CR114" s="168">
        <f t="shared" si="133"/>
        <v>27.330839071414946</v>
      </c>
      <c r="CS114" s="168">
        <f t="shared" si="133"/>
        <v>4.225268036174632</v>
      </c>
      <c r="CT114" s="168">
        <f t="shared" si="133"/>
        <v>20.969384592014013</v>
      </c>
      <c r="CU114" s="168">
        <f t="shared" si="133"/>
        <v>17.016328553980443</v>
      </c>
      <c r="CV114" s="168">
        <f t="shared" si="133"/>
        <v>31.630178880042763</v>
      </c>
      <c r="CW114" s="168">
        <f t="shared" si="133"/>
        <v>23.455732812969131</v>
      </c>
      <c r="CX114" s="168">
        <f t="shared" si="133"/>
        <v>21.785929621963568</v>
      </c>
      <c r="CY114" s="168">
        <f t="shared" si="133"/>
        <v>30.409802159916527</v>
      </c>
      <c r="CZ114" s="168">
        <f t="shared" si="133"/>
        <v>43.054418601573474</v>
      </c>
      <c r="DA114" s="168">
        <f t="shared" si="133"/>
        <v>48.46965990837824</v>
      </c>
    </row>
    <row r="115" spans="5:105">
      <c r="E115" s="172" t="s">
        <v>254</v>
      </c>
      <c r="F115" s="168">
        <f>F110*SIN(PI()*F$96/180)</f>
        <v>6.7811954968153535E-4</v>
      </c>
      <c r="G115" s="168">
        <f t="shared" ref="G115:BR115" si="134">G110*SIN(PI()*G$96/180)</f>
        <v>2.1592520085930409</v>
      </c>
      <c r="H115" s="168">
        <f t="shared" si="134"/>
        <v>7.2370040773516733</v>
      </c>
      <c r="I115" s="168">
        <f t="shared" si="134"/>
        <v>2.9550769038063738</v>
      </c>
      <c r="J115" s="168">
        <f t="shared" si="134"/>
        <v>8.6997727529545745</v>
      </c>
      <c r="K115" s="168">
        <f t="shared" si="134"/>
        <v>15.385910093795184</v>
      </c>
      <c r="L115" s="168">
        <f t="shared" si="134"/>
        <v>8.8993367492890041</v>
      </c>
      <c r="M115" s="168">
        <f t="shared" si="134"/>
        <v>16.602485153493948</v>
      </c>
      <c r="N115" s="168">
        <f t="shared" si="134"/>
        <v>14.853835952367978</v>
      </c>
      <c r="O115" s="168">
        <f t="shared" si="134"/>
        <v>0.63919412214880644</v>
      </c>
      <c r="P115" s="168">
        <f t="shared" si="134"/>
        <v>27.728216309410683</v>
      </c>
      <c r="Q115" s="168">
        <f t="shared" si="134"/>
        <v>29.459464143161643</v>
      </c>
      <c r="R115" s="168">
        <f t="shared" si="134"/>
        <v>32.752830462994318</v>
      </c>
      <c r="S115" s="168">
        <f t="shared" si="134"/>
        <v>19.190059051298572</v>
      </c>
      <c r="T115" s="168">
        <f t="shared" si="134"/>
        <v>6.5423061684736412</v>
      </c>
      <c r="U115" s="168">
        <f t="shared" si="134"/>
        <v>12.735063299102626</v>
      </c>
      <c r="V115" s="168">
        <f t="shared" si="134"/>
        <v>21.691866826172674</v>
      </c>
      <c r="W115" s="168">
        <f t="shared" si="134"/>
        <v>22.320822830457644</v>
      </c>
      <c r="X115" s="168">
        <f t="shared" si="134"/>
        <v>16.339652056814902</v>
      </c>
      <c r="Y115" s="168">
        <f t="shared" si="134"/>
        <v>32.025678482436518</v>
      </c>
      <c r="Z115" s="168">
        <f t="shared" si="134"/>
        <v>41.23735457955469</v>
      </c>
      <c r="AA115" s="168">
        <f t="shared" si="134"/>
        <v>40.55381839069392</v>
      </c>
      <c r="AB115" s="168">
        <f t="shared" si="134"/>
        <v>42.228781792994155</v>
      </c>
      <c r="AC115" s="168">
        <f t="shared" si="134"/>
        <v>13.965855239383382</v>
      </c>
      <c r="AD115" s="168">
        <f t="shared" si="134"/>
        <v>32.279265487831097</v>
      </c>
      <c r="AE115" s="168">
        <f t="shared" si="134"/>
        <v>48.656068484319512</v>
      </c>
      <c r="AF115" s="168">
        <f t="shared" si="134"/>
        <v>40.130697182704651</v>
      </c>
      <c r="AG115" s="168">
        <f t="shared" si="134"/>
        <v>17.304058788316706</v>
      </c>
      <c r="AH115" s="168">
        <f t="shared" si="134"/>
        <v>18.21696100818729</v>
      </c>
      <c r="AI115" s="168">
        <f t="shared" si="134"/>
        <v>39.419833971847837</v>
      </c>
      <c r="AJ115" s="168">
        <f t="shared" si="134"/>
        <v>19.589464030109191</v>
      </c>
      <c r="AK115" s="168">
        <f t="shared" si="134"/>
        <v>39.277005362820312</v>
      </c>
      <c r="AL115" s="168">
        <f t="shared" si="134"/>
        <v>44.599292590583396</v>
      </c>
      <c r="AM115" s="168">
        <f t="shared" si="134"/>
        <v>23.297484313375794</v>
      </c>
      <c r="AN115" s="168">
        <f t="shared" si="134"/>
        <v>38.752267496182093</v>
      </c>
      <c r="AO115" s="168">
        <f t="shared" si="134"/>
        <v>17.802115505995229</v>
      </c>
      <c r="AP115" s="168">
        <f t="shared" si="134"/>
        <v>7.1867950317453291</v>
      </c>
      <c r="AQ115" s="168">
        <f t="shared" si="134"/>
        <v>22.99339845234682</v>
      </c>
      <c r="AR115" s="168">
        <f t="shared" si="134"/>
        <v>18.642552060289859</v>
      </c>
      <c r="AS115" s="168">
        <f t="shared" si="134"/>
        <v>7.1113277089938798</v>
      </c>
      <c r="AT115" s="168">
        <f t="shared" si="134"/>
        <v>14.622842836829747</v>
      </c>
      <c r="AU115" s="168">
        <f t="shared" si="134"/>
        <v>8.6368569336619583</v>
      </c>
      <c r="AV115" s="168">
        <f t="shared" si="134"/>
        <v>40.087311771312031</v>
      </c>
      <c r="AW115" s="168">
        <f t="shared" si="134"/>
        <v>40.939596600863823</v>
      </c>
      <c r="AX115" s="168">
        <f t="shared" si="134"/>
        <v>1.2795111857869823</v>
      </c>
      <c r="AY115" s="168">
        <f t="shared" si="134"/>
        <v>26.504998062715842</v>
      </c>
      <c r="AZ115" s="168">
        <f t="shared" si="134"/>
        <v>19.490269271346261</v>
      </c>
      <c r="BA115" s="168">
        <f t="shared" si="134"/>
        <v>12.516620144641029</v>
      </c>
      <c r="BB115" s="168">
        <f t="shared" si="134"/>
        <v>18.030566275777677</v>
      </c>
      <c r="BC115" s="168">
        <f t="shared" si="134"/>
        <v>16.345470963271616</v>
      </c>
      <c r="BD115" s="168">
        <f t="shared" si="134"/>
        <v>8.4334944762060076</v>
      </c>
      <c r="BE115" s="168">
        <f t="shared" si="134"/>
        <v>6.690973265055538</v>
      </c>
      <c r="BF115" s="168">
        <f t="shared" si="134"/>
        <v>9.2447702278573445</v>
      </c>
      <c r="BG115" s="168">
        <f t="shared" si="134"/>
        <v>4.7297564381460102</v>
      </c>
      <c r="BH115" s="168">
        <f t="shared" si="134"/>
        <v>-0.98510183052213451</v>
      </c>
      <c r="BI115" s="168">
        <f t="shared" si="134"/>
        <v>-3.022129613199434</v>
      </c>
      <c r="BJ115" s="168">
        <f t="shared" si="134"/>
        <v>-5.8164990526649243</v>
      </c>
      <c r="BK115" s="168">
        <f t="shared" si="134"/>
        <v>-6.4982260600811941</v>
      </c>
      <c r="BL115" s="168">
        <f t="shared" si="134"/>
        <v>-9.5776322861446914</v>
      </c>
      <c r="BM115" s="168">
        <f t="shared" si="134"/>
        <v>-4.0394007318056611</v>
      </c>
      <c r="BN115" s="168">
        <f t="shared" si="134"/>
        <v>-3.093797578259224</v>
      </c>
      <c r="BO115" s="168">
        <f t="shared" si="134"/>
        <v>-6.7966218354842818</v>
      </c>
      <c r="BP115" s="168">
        <f t="shared" si="134"/>
        <v>-4.7534839883625759</v>
      </c>
      <c r="BQ115" s="168">
        <f t="shared" si="134"/>
        <v>-2.9508369832466301</v>
      </c>
      <c r="BR115" s="168">
        <f t="shared" si="134"/>
        <v>-22.140710394236194</v>
      </c>
      <c r="BS115" s="168">
        <f t="shared" ref="BS115:DA115" si="135">BS110*SIN(PI()*BS$96/180)</f>
        <v>-13.456164925579175</v>
      </c>
      <c r="BT115" s="168">
        <f t="shared" si="135"/>
        <v>-24.849928376347332</v>
      </c>
      <c r="BU115" s="168">
        <f t="shared" si="135"/>
        <v>-27.215934862641344</v>
      </c>
      <c r="BV115" s="168">
        <f t="shared" si="135"/>
        <v>-20.059707781450943</v>
      </c>
      <c r="BW115" s="168">
        <f t="shared" si="135"/>
        <v>-12.189872488204356</v>
      </c>
      <c r="BX115" s="168">
        <f t="shared" si="135"/>
        <v>-29.189369414593141</v>
      </c>
      <c r="BY115" s="168">
        <f t="shared" si="135"/>
        <v>-27.622895643224243</v>
      </c>
      <c r="BZ115" s="168">
        <f t="shared" si="135"/>
        <v>-9.1768545115968436</v>
      </c>
      <c r="CA115" s="168">
        <f t="shared" si="135"/>
        <v>-38.217727933415183</v>
      </c>
      <c r="CB115" s="168">
        <f t="shared" si="135"/>
        <v>-3.8705353912353462</v>
      </c>
      <c r="CC115" s="168">
        <f t="shared" si="135"/>
        <v>-29.172159135676164</v>
      </c>
      <c r="CD115" s="168">
        <f t="shared" si="135"/>
        <v>-44.879849496117785</v>
      </c>
      <c r="CE115" s="168">
        <f t="shared" si="135"/>
        <v>-30.533480008121302</v>
      </c>
      <c r="CF115" s="168">
        <f t="shared" si="135"/>
        <v>-43.648877160452514</v>
      </c>
      <c r="CG115" s="168">
        <f t="shared" si="135"/>
        <v>-24.087475435181869</v>
      </c>
      <c r="CH115" s="168">
        <f t="shared" si="135"/>
        <v>-28.435545250267484</v>
      </c>
      <c r="CI115" s="168">
        <f t="shared" si="135"/>
        <v>-35.118186195872276</v>
      </c>
      <c r="CJ115" s="168">
        <f t="shared" si="135"/>
        <v>-10.258952066659624</v>
      </c>
      <c r="CK115" s="168">
        <f t="shared" si="135"/>
        <v>-18.505860822352528</v>
      </c>
      <c r="CL115" s="168">
        <f t="shared" si="135"/>
        <v>-6.5675762198240664</v>
      </c>
      <c r="CM115" s="168">
        <f t="shared" si="135"/>
        <v>-13.464789966738088</v>
      </c>
      <c r="CN115" s="168">
        <f t="shared" si="135"/>
        <v>-25.511419647059874</v>
      </c>
      <c r="CO115" s="168">
        <f t="shared" si="135"/>
        <v>-25.090641560175982</v>
      </c>
      <c r="CP115" s="168">
        <f t="shared" si="135"/>
        <v>-19.296630840076578</v>
      </c>
      <c r="CQ115" s="168">
        <f t="shared" si="135"/>
        <v>-16.545660116639677</v>
      </c>
      <c r="CR115" s="168">
        <f t="shared" si="135"/>
        <v>-17.29559736536412</v>
      </c>
      <c r="CS115" s="168">
        <f t="shared" si="135"/>
        <v>-1.7054990013677838</v>
      </c>
      <c r="CT115" s="168">
        <f t="shared" si="135"/>
        <v>-8.5066451056649743</v>
      </c>
      <c r="CU115" s="168">
        <f t="shared" si="135"/>
        <v>-6.3326427696917857</v>
      </c>
      <c r="CV115" s="168">
        <f t="shared" si="135"/>
        <v>-7.5701208179435469</v>
      </c>
      <c r="CW115" s="168">
        <f t="shared" si="135"/>
        <v>-5.3424850730745916</v>
      </c>
      <c r="CX115" s="168">
        <f t="shared" si="135"/>
        <v>-4.1083721445783974</v>
      </c>
      <c r="CY115" s="168">
        <f t="shared" si="135"/>
        <v>-2.9100976674914891</v>
      </c>
      <c r="CZ115" s="168">
        <f t="shared" si="135"/>
        <v>1.0168210317085784</v>
      </c>
      <c r="DA115" s="168">
        <f t="shared" si="135"/>
        <v>1.2538369425727798</v>
      </c>
    </row>
    <row r="116" spans="5:105">
      <c r="E116" s="172" t="s">
        <v>334</v>
      </c>
      <c r="F116" s="168">
        <f>F108*COS(PI()*F$96/180)</f>
        <v>0.50481181946946019</v>
      </c>
      <c r="G116" s="168">
        <f t="shared" ref="G116:BR116" si="136">G108*COS(PI()*G$96/180)</f>
        <v>31.143320973521725</v>
      </c>
      <c r="H116" s="168">
        <f t="shared" si="136"/>
        <v>51.793668278504072</v>
      </c>
      <c r="I116" s="168">
        <f t="shared" si="136"/>
        <v>40.603955844021783</v>
      </c>
      <c r="J116" s="168">
        <f t="shared" si="136"/>
        <v>37.042537727008174</v>
      </c>
      <c r="K116" s="168">
        <f t="shared" si="136"/>
        <v>58.316837668244609</v>
      </c>
      <c r="L116" s="168">
        <f t="shared" si="136"/>
        <v>37.878080748339009</v>
      </c>
      <c r="M116" s="168">
        <f t="shared" si="136"/>
        <v>58.687740311339049</v>
      </c>
      <c r="N116" s="168">
        <f t="shared" si="136"/>
        <v>56.366512426314706</v>
      </c>
      <c r="O116" s="168">
        <f t="shared" si="136"/>
        <v>18.315082274712765</v>
      </c>
      <c r="P116" s="168">
        <f t="shared" si="136"/>
        <v>44.54638995890047</v>
      </c>
      <c r="Q116" s="168">
        <f t="shared" si="136"/>
        <v>46.730991123117072</v>
      </c>
      <c r="R116" s="168">
        <f t="shared" si="136"/>
        <v>47.336640566959154</v>
      </c>
      <c r="S116" s="168">
        <f t="shared" si="136"/>
        <v>38.719963426975312</v>
      </c>
      <c r="T116" s="168">
        <f t="shared" si="136"/>
        <v>16.703092599791745</v>
      </c>
      <c r="U116" s="168">
        <f t="shared" si="136"/>
        <v>26.039685096061881</v>
      </c>
      <c r="V116" s="168">
        <f t="shared" si="136"/>
        <v>35.142979645595304</v>
      </c>
      <c r="W116" s="168">
        <f t="shared" si="136"/>
        <v>29.6562403062063</v>
      </c>
      <c r="X116" s="168">
        <f t="shared" si="136"/>
        <v>25.247499311593973</v>
      </c>
      <c r="Y116" s="168">
        <f t="shared" si="136"/>
        <v>22.582283737140717</v>
      </c>
      <c r="Z116" s="168">
        <f t="shared" si="136"/>
        <v>31.850431346082335</v>
      </c>
      <c r="AA116" s="168">
        <f t="shared" si="136"/>
        <v>20.20297260685108</v>
      </c>
      <c r="AB116" s="168">
        <f t="shared" si="136"/>
        <v>22.85907158187722</v>
      </c>
      <c r="AC116" s="168">
        <f t="shared" si="136"/>
        <v>7.5143746763069972</v>
      </c>
      <c r="AD116" s="168">
        <f t="shared" si="136"/>
        <v>9.5918382913414248</v>
      </c>
      <c r="AE116" s="168">
        <f t="shared" si="136"/>
        <v>12.118646973575757</v>
      </c>
      <c r="AF116" s="168">
        <f t="shared" si="136"/>
        <v>9.692686905296517</v>
      </c>
      <c r="AG116" s="168">
        <f t="shared" si="136"/>
        <v>2.8076162224404988</v>
      </c>
      <c r="AH116" s="168">
        <f t="shared" si="136"/>
        <v>0.39925136649136361</v>
      </c>
      <c r="AI116" s="168">
        <f t="shared" si="136"/>
        <v>2.876923374653416</v>
      </c>
      <c r="AJ116" s="168">
        <f t="shared" si="136"/>
        <v>4.1521560160488562</v>
      </c>
      <c r="AK116" s="168">
        <f t="shared" si="136"/>
        <v>0.5187590785288696</v>
      </c>
      <c r="AL116" s="168">
        <f t="shared" si="136"/>
        <v>-1.0633271946224883</v>
      </c>
      <c r="AM116" s="168">
        <f t="shared" si="136"/>
        <v>0.30093547493980621</v>
      </c>
      <c r="AN116" s="168">
        <f t="shared" si="136"/>
        <v>-5.8459002154040229</v>
      </c>
      <c r="AO116" s="168">
        <f t="shared" si="136"/>
        <v>-6.7843070148055782</v>
      </c>
      <c r="AP116" s="168">
        <f t="shared" si="136"/>
        <v>0.14805811572189062</v>
      </c>
      <c r="AQ116" s="168">
        <f t="shared" si="136"/>
        <v>-11.31943699755344</v>
      </c>
      <c r="AR116" s="168">
        <f t="shared" si="136"/>
        <v>-4.9268314766197667</v>
      </c>
      <c r="AS116" s="168">
        <f t="shared" si="136"/>
        <v>-6.7802727416353976</v>
      </c>
      <c r="AT116" s="168">
        <f t="shared" si="136"/>
        <v>-9.7155878615807065</v>
      </c>
      <c r="AU116" s="168">
        <f t="shared" si="136"/>
        <v>-7.4019226618479239</v>
      </c>
      <c r="AV116" s="168">
        <f t="shared" si="136"/>
        <v>-26.968789783808152</v>
      </c>
      <c r="AW116" s="168">
        <f t="shared" si="136"/>
        <v>-27.256694123469643</v>
      </c>
      <c r="AX116" s="168">
        <f t="shared" si="136"/>
        <v>-5.9383603928198179</v>
      </c>
      <c r="AY116" s="168">
        <f t="shared" si="136"/>
        <v>-32.867209349202064</v>
      </c>
      <c r="AZ116" s="168">
        <f t="shared" si="136"/>
        <v>-27.030414634719371</v>
      </c>
      <c r="BA116" s="168">
        <f t="shared" si="136"/>
        <v>-19.148764929790925</v>
      </c>
      <c r="BB116" s="168">
        <f t="shared" si="136"/>
        <v>-33.706858690120519</v>
      </c>
      <c r="BC116" s="168">
        <f t="shared" si="136"/>
        <v>-36.44352372040165</v>
      </c>
      <c r="BD116" s="168">
        <f t="shared" si="136"/>
        <v>-37.219458463593782</v>
      </c>
      <c r="BE116" s="168">
        <f t="shared" si="136"/>
        <v>-33.593942648565957</v>
      </c>
      <c r="BF116" s="168">
        <f t="shared" si="136"/>
        <v>-45.157052801786875</v>
      </c>
      <c r="BG116" s="168">
        <f t="shared" si="136"/>
        <v>-55.667174721336174</v>
      </c>
      <c r="BH116" s="168">
        <f t="shared" si="136"/>
        <v>-30.308845389603881</v>
      </c>
      <c r="BI116" s="168">
        <f t="shared" si="136"/>
        <v>-32.667650146814246</v>
      </c>
      <c r="BJ116" s="168">
        <f t="shared" si="136"/>
        <v>-48.719400216619107</v>
      </c>
      <c r="BK116" s="168">
        <f t="shared" si="136"/>
        <v>-54.369336581188556</v>
      </c>
      <c r="BL116" s="168">
        <f t="shared" si="136"/>
        <v>-54.836630056019828</v>
      </c>
      <c r="BM116" s="168">
        <f t="shared" si="136"/>
        <v>-29.80373671217</v>
      </c>
      <c r="BN116" s="168">
        <f t="shared" si="136"/>
        <v>-17.511364303260269</v>
      </c>
      <c r="BO116" s="168">
        <f t="shared" si="136"/>
        <v>-28.848707052641519</v>
      </c>
      <c r="BP116" s="168">
        <f t="shared" si="136"/>
        <v>-17.177435982243537</v>
      </c>
      <c r="BQ116" s="168">
        <f t="shared" si="136"/>
        <v>-9.5695338444703673</v>
      </c>
      <c r="BR116" s="168">
        <f t="shared" si="136"/>
        <v>-48.511274859669953</v>
      </c>
      <c r="BS116" s="168">
        <f t="shared" ref="BS116:DA116" si="137">BS108*COS(PI()*BS$96/180)</f>
        <v>-39.996022087906574</v>
      </c>
      <c r="BT116" s="168">
        <f t="shared" si="137"/>
        <v>-46.950030731125651</v>
      </c>
      <c r="BU116" s="168">
        <f t="shared" si="137"/>
        <v>-46.012097111941884</v>
      </c>
      <c r="BV116" s="168">
        <f t="shared" si="137"/>
        <v>-31.00935632181826</v>
      </c>
      <c r="BW116" s="168">
        <f t="shared" si="137"/>
        <v>-16.853069003869297</v>
      </c>
      <c r="BX116" s="168">
        <f t="shared" si="137"/>
        <v>-28.339228849543602</v>
      </c>
      <c r="BY116" s="168">
        <f t="shared" si="137"/>
        <v>-29.802103687739024</v>
      </c>
      <c r="BZ116" s="168">
        <f t="shared" si="137"/>
        <v>-14.127120497227153</v>
      </c>
      <c r="CA116" s="168">
        <f t="shared" si="137"/>
        <v>-33.48948499555879</v>
      </c>
      <c r="CB116" s="168">
        <f t="shared" si="137"/>
        <v>-4.2542761814186907</v>
      </c>
      <c r="CC116" s="168">
        <f t="shared" si="137"/>
        <v>-23.81931318959791</v>
      </c>
      <c r="CD116" s="168">
        <f t="shared" si="137"/>
        <v>-21.876735278965416</v>
      </c>
      <c r="CE116" s="168">
        <f t="shared" si="137"/>
        <v>-14.365616503093692</v>
      </c>
      <c r="CF116" s="168">
        <f t="shared" si="137"/>
        <v>-19.151798404984913</v>
      </c>
      <c r="CG116" s="168">
        <f t="shared" si="137"/>
        <v>-4.6434626538618158</v>
      </c>
      <c r="CH116" s="168">
        <f t="shared" si="137"/>
        <v>3.5565275152228826</v>
      </c>
      <c r="CI116" s="168">
        <f t="shared" si="137"/>
        <v>11.416181442238489</v>
      </c>
      <c r="CJ116" s="168">
        <f t="shared" si="137"/>
        <v>3.5774743279424168</v>
      </c>
      <c r="CK116" s="168">
        <f t="shared" si="137"/>
        <v>7.7245272070299063</v>
      </c>
      <c r="CL116" s="168">
        <f t="shared" si="137"/>
        <v>17.276332159337876</v>
      </c>
      <c r="CM116" s="168">
        <f t="shared" si="137"/>
        <v>18.522761472475111</v>
      </c>
      <c r="CN116" s="168">
        <f t="shared" si="137"/>
        <v>20.535359106444268</v>
      </c>
      <c r="CO116" s="168">
        <f t="shared" si="137"/>
        <v>30.210862647242269</v>
      </c>
      <c r="CP116" s="168">
        <f t="shared" si="137"/>
        <v>33.460671776955749</v>
      </c>
      <c r="CQ116" s="168">
        <f t="shared" si="137"/>
        <v>39.010531938348237</v>
      </c>
      <c r="CR116" s="168">
        <f t="shared" si="137"/>
        <v>41.277385827401766</v>
      </c>
      <c r="CS116" s="168">
        <f t="shared" si="137"/>
        <v>13.957634345961406</v>
      </c>
      <c r="CT116" s="168">
        <f t="shared" si="137"/>
        <v>35.010801900587445</v>
      </c>
      <c r="CU116" s="168">
        <f t="shared" si="137"/>
        <v>29.932056778544922</v>
      </c>
      <c r="CV116" s="168">
        <f t="shared" si="137"/>
        <v>49.005284506032758</v>
      </c>
      <c r="CW116" s="168">
        <f t="shared" si="137"/>
        <v>35.294844457149047</v>
      </c>
      <c r="CX116" s="168">
        <f t="shared" si="137"/>
        <v>32.876471861335048</v>
      </c>
      <c r="CY116" s="168">
        <f t="shared" si="137"/>
        <v>44.787671217365009</v>
      </c>
      <c r="CZ116" s="168">
        <f t="shared" si="137"/>
        <v>49.771280890296914</v>
      </c>
      <c r="DA116" s="168">
        <f t="shared" si="137"/>
        <v>56.273001982780094</v>
      </c>
    </row>
    <row r="117" spans="5:105">
      <c r="E117" s="172" t="s">
        <v>335</v>
      </c>
      <c r="F117" s="168">
        <f>F108*SIN(PI()*F$96/180)</f>
        <v>5.6090202170610975E-2</v>
      </c>
      <c r="G117" s="168">
        <f>G108*SIN(PI()*G$96/180)</f>
        <v>3.2675324648208748</v>
      </c>
      <c r="H117" s="168">
        <f t="shared" ref="H117:BS117" si="138">H108*SIN(PI()*H$96/180)</f>
        <v>8.1605280060448635</v>
      </c>
      <c r="I117" s="168">
        <f t="shared" si="138"/>
        <v>6.4761964913651022</v>
      </c>
      <c r="J117" s="168">
        <f t="shared" si="138"/>
        <v>12.300683463173902</v>
      </c>
      <c r="K117" s="168">
        <f t="shared" si="138"/>
        <v>17.123846320726297</v>
      </c>
      <c r="L117" s="168">
        <f t="shared" si="138"/>
        <v>14.814377048620784</v>
      </c>
      <c r="M117" s="168">
        <f t="shared" si="138"/>
        <v>19.999962422492512</v>
      </c>
      <c r="N117" s="168">
        <f t="shared" si="138"/>
        <v>18.899838987884635</v>
      </c>
      <c r="O117" s="168">
        <f t="shared" si="138"/>
        <v>3.2752322267971246</v>
      </c>
      <c r="P117" s="168">
        <f t="shared" si="138"/>
        <v>27.57674188858666</v>
      </c>
      <c r="Q117" s="168">
        <f t="shared" si="138"/>
        <v>32.25995526047371</v>
      </c>
      <c r="R117" s="168">
        <f t="shared" si="138"/>
        <v>32.98834076538737</v>
      </c>
      <c r="S117" s="168">
        <f t="shared" si="138"/>
        <v>29.461806027718669</v>
      </c>
      <c r="T117" s="168">
        <f t="shared" si="138"/>
        <v>15.29909384364635</v>
      </c>
      <c r="U117" s="168">
        <f t="shared" si="138"/>
        <v>20.740179069054694</v>
      </c>
      <c r="V117" s="168">
        <f t="shared" si="138"/>
        <v>32.08291643336576</v>
      </c>
      <c r="W117" s="168">
        <f t="shared" si="138"/>
        <v>34.052764342548798</v>
      </c>
      <c r="X117" s="168">
        <f t="shared" si="138"/>
        <v>27.72551472617705</v>
      </c>
      <c r="Y117" s="168">
        <f t="shared" si="138"/>
        <v>38.777833774201518</v>
      </c>
      <c r="Z117" s="168">
        <f t="shared" si="138"/>
        <v>43.391427303217341</v>
      </c>
      <c r="AA117" s="168">
        <f t="shared" si="138"/>
        <v>41.570717502156867</v>
      </c>
      <c r="AB117" s="168">
        <f t="shared" si="138"/>
        <v>43.559227675427685</v>
      </c>
      <c r="AC117" s="168">
        <f t="shared" si="138"/>
        <v>24.569051515767946</v>
      </c>
      <c r="AD117" s="168">
        <f t="shared" si="138"/>
        <v>37.793786039708181</v>
      </c>
      <c r="AE117" s="168">
        <f t="shared" si="138"/>
        <v>50.73813046521385</v>
      </c>
      <c r="AF117" s="168">
        <f t="shared" si="138"/>
        <v>42.418571817604231</v>
      </c>
      <c r="AG117" s="168">
        <f t="shared" si="138"/>
        <v>30.335808807636841</v>
      </c>
      <c r="AH117" s="168">
        <f t="shared" si="138"/>
        <v>37.425022983611932</v>
      </c>
      <c r="AI117" s="168">
        <f t="shared" si="138"/>
        <v>43.082230376933971</v>
      </c>
      <c r="AJ117" s="168">
        <f t="shared" si="138"/>
        <v>33.702497907893502</v>
      </c>
      <c r="AK117" s="168">
        <f t="shared" si="138"/>
        <v>42.728177804969484</v>
      </c>
      <c r="AL117" s="168">
        <f t="shared" si="138"/>
        <v>48.376704676895621</v>
      </c>
      <c r="AM117" s="168">
        <f t="shared" si="138"/>
        <v>32.717880766983662</v>
      </c>
      <c r="AN117" s="168">
        <f t="shared" si="138"/>
        <v>48.043286929959827</v>
      </c>
      <c r="AO117" s="168">
        <f t="shared" si="138"/>
        <v>36.564071836872294</v>
      </c>
      <c r="AP117" s="168">
        <f t="shared" si="138"/>
        <v>18.918162795524918</v>
      </c>
      <c r="AQ117" s="168">
        <f t="shared" si="138"/>
        <v>39.56853437938701</v>
      </c>
      <c r="AR117" s="168">
        <f t="shared" si="138"/>
        <v>29.499579187939016</v>
      </c>
      <c r="AS117" s="168">
        <f t="shared" si="138"/>
        <v>24.128930211996085</v>
      </c>
      <c r="AT117" s="168">
        <f t="shared" si="138"/>
        <v>30.976689571054234</v>
      </c>
      <c r="AU117" s="168">
        <f t="shared" si="138"/>
        <v>19.371914318381158</v>
      </c>
      <c r="AV117" s="168">
        <f t="shared" si="138"/>
        <v>43.772098998471016</v>
      </c>
      <c r="AW117" s="168">
        <f t="shared" si="138"/>
        <v>43.277093490134021</v>
      </c>
      <c r="AX117" s="168">
        <f t="shared" si="138"/>
        <v>10.30319169969461</v>
      </c>
      <c r="AY117" s="168">
        <f t="shared" si="138"/>
        <v>34.710912081033534</v>
      </c>
      <c r="AZ117" s="168">
        <f t="shared" si="138"/>
        <v>28.43501092332308</v>
      </c>
      <c r="BA117" s="168">
        <f t="shared" si="138"/>
        <v>23.035512652241689</v>
      </c>
      <c r="BB117" s="168">
        <f t="shared" si="138"/>
        <v>22.78957497225959</v>
      </c>
      <c r="BC117" s="168">
        <f t="shared" si="138"/>
        <v>26.353746815698813</v>
      </c>
      <c r="BD117" s="168">
        <f t="shared" si="138"/>
        <v>13.853479594612935</v>
      </c>
      <c r="BE117" s="168">
        <f t="shared" si="138"/>
        <v>11.721869281861284</v>
      </c>
      <c r="BF117" s="168">
        <f t="shared" si="138"/>
        <v>15.113019634598903</v>
      </c>
      <c r="BG117" s="168">
        <f t="shared" si="138"/>
        <v>5.8839969936104914</v>
      </c>
      <c r="BH117" s="168">
        <f t="shared" si="138"/>
        <v>-1.527529979336377</v>
      </c>
      <c r="BI117" s="168">
        <f t="shared" si="138"/>
        <v>-4.4495565778901263</v>
      </c>
      <c r="BJ117" s="168">
        <f t="shared" si="138"/>
        <v>-6.4873678319683057</v>
      </c>
      <c r="BK117" s="168">
        <f t="shared" si="138"/>
        <v>-7.4954437862692229</v>
      </c>
      <c r="BL117" s="168">
        <f t="shared" si="138"/>
        <v>-11.30778920231959</v>
      </c>
      <c r="BM117" s="168">
        <f t="shared" si="138"/>
        <v>-6.2511442455237551</v>
      </c>
      <c r="BN117" s="168">
        <f t="shared" si="138"/>
        <v>-7.539315030918516</v>
      </c>
      <c r="BO117" s="168">
        <f t="shared" si="138"/>
        <v>-11.32572792202447</v>
      </c>
      <c r="BP117" s="168">
        <f t="shared" si="138"/>
        <v>-12.648383133710555</v>
      </c>
      <c r="BQ117" s="168">
        <f t="shared" si="138"/>
        <v>-14.558131771451571</v>
      </c>
      <c r="BR117" s="168">
        <f t="shared" si="138"/>
        <v>-25.323684054454617</v>
      </c>
      <c r="BS117" s="168">
        <f t="shared" si="138"/>
        <v>-23.066804611643594</v>
      </c>
      <c r="BT117" s="168">
        <f t="shared" ref="BT117:DA117" si="139">BT108*SIN(PI()*BT$96/180)</f>
        <v>-32.384928778715519</v>
      </c>
      <c r="BU117" s="168">
        <f t="shared" si="139"/>
        <v>-33.897278460461308</v>
      </c>
      <c r="BV117" s="168">
        <f t="shared" si="139"/>
        <v>-28.156458830712701</v>
      </c>
      <c r="BW117" s="168">
        <f t="shared" si="139"/>
        <v>-25.992448267242608</v>
      </c>
      <c r="BX117" s="168">
        <f t="shared" si="139"/>
        <v>-34.95859717062946</v>
      </c>
      <c r="BY117" s="168">
        <f t="shared" si="139"/>
        <v>-44.217470382851388</v>
      </c>
      <c r="BZ117" s="168">
        <f t="shared" si="139"/>
        <v>-19.610162811088195</v>
      </c>
      <c r="CA117" s="168">
        <f t="shared" si="139"/>
        <v>-43.718609658093008</v>
      </c>
      <c r="CB117" s="168">
        <f t="shared" si="139"/>
        <v>-19.084152713323654</v>
      </c>
      <c r="CC117" s="168">
        <f t="shared" si="139"/>
        <v>-47.995483379997566</v>
      </c>
      <c r="CD117" s="168">
        <f t="shared" si="139"/>
        <v>-54.151954505149305</v>
      </c>
      <c r="CE117" s="168">
        <f t="shared" si="139"/>
        <v>-46.340115674102194</v>
      </c>
      <c r="CF117" s="168">
        <f t="shared" si="139"/>
        <v>-55.278928263198495</v>
      </c>
      <c r="CG117" s="168">
        <f t="shared" si="139"/>
        <v>-35.573049338440221</v>
      </c>
      <c r="CH117" s="168">
        <f t="shared" si="139"/>
        <v>-40.268310510492789</v>
      </c>
      <c r="CI117" s="168">
        <f t="shared" si="139"/>
        <v>-50.179249793113975</v>
      </c>
      <c r="CJ117" s="168">
        <f t="shared" si="139"/>
        <v>-21.767398760058029</v>
      </c>
      <c r="CK117" s="168">
        <f t="shared" si="139"/>
        <v>-30.951880681476833</v>
      </c>
      <c r="CL117" s="168">
        <f t="shared" si="139"/>
        <v>-22.398981532188706</v>
      </c>
      <c r="CM117" s="168">
        <f t="shared" si="139"/>
        <v>-29.629406436075367</v>
      </c>
      <c r="CN117" s="168">
        <f t="shared" si="139"/>
        <v>-35.524165133860194</v>
      </c>
      <c r="CO117" s="168">
        <f t="shared" si="139"/>
        <v>-39.533810070717458</v>
      </c>
      <c r="CP117" s="168">
        <f t="shared" si="139"/>
        <v>-26.665909023165174</v>
      </c>
      <c r="CQ117" s="168">
        <f t="shared" si="139"/>
        <v>-27.672090783826434</v>
      </c>
      <c r="CR117" s="168">
        <f t="shared" si="139"/>
        <v>-26.12129996082729</v>
      </c>
      <c r="CS117" s="168">
        <f t="shared" si="139"/>
        <v>-5.6338985443502398</v>
      </c>
      <c r="CT117" s="168">
        <f t="shared" si="139"/>
        <v>-14.202823422222023</v>
      </c>
      <c r="CU117" s="168">
        <f t="shared" si="139"/>
        <v>-11.139243247411169</v>
      </c>
      <c r="CV117" s="168">
        <f t="shared" si="139"/>
        <v>-11.728543358394797</v>
      </c>
      <c r="CW117" s="168">
        <f t="shared" si="139"/>
        <v>-8.0390658084469901</v>
      </c>
      <c r="CX117" s="168">
        <f t="shared" si="139"/>
        <v>-6.1998172008668524</v>
      </c>
      <c r="CY117" s="168">
        <f t="shared" si="139"/>
        <v>-4.2860028110879158</v>
      </c>
      <c r="CZ117" s="168">
        <f t="shared" si="139"/>
        <v>1.1754539215280357</v>
      </c>
      <c r="DA117" s="168">
        <f t="shared" si="139"/>
        <v>1.4556976238095036</v>
      </c>
    </row>
    <row r="118" spans="5:105">
      <c r="E118" s="160"/>
      <c r="F118" s="160"/>
      <c r="G118" s="160"/>
      <c r="H118" s="160"/>
      <c r="I118" s="160"/>
      <c r="J118" s="160"/>
      <c r="K118" s="160"/>
      <c r="L118" s="160"/>
      <c r="M118" s="160"/>
      <c r="N118" s="160"/>
      <c r="O118" s="160"/>
      <c r="P118" s="160"/>
      <c r="Q118" s="160"/>
      <c r="R118" s="160"/>
      <c r="S118" s="160"/>
      <c r="T118" s="160"/>
      <c r="U118" s="160"/>
      <c r="V118" s="160"/>
      <c r="W118" s="160"/>
      <c r="X118" s="160"/>
      <c r="Y118" s="160"/>
      <c r="Z118" s="160"/>
      <c r="AA118" s="160"/>
      <c r="AB118" s="160"/>
      <c r="AC118" s="160"/>
      <c r="AD118" s="160"/>
      <c r="AE118" s="160"/>
      <c r="AF118" s="160"/>
      <c r="AG118" s="160"/>
      <c r="AH118" s="160"/>
      <c r="AI118" s="160"/>
      <c r="AJ118" s="160"/>
      <c r="AK118" s="160"/>
      <c r="AL118" s="160"/>
      <c r="AM118" s="160"/>
      <c r="AN118" s="160"/>
      <c r="AO118" s="160"/>
      <c r="AP118" s="160"/>
      <c r="AQ118" s="160"/>
      <c r="AR118" s="160"/>
      <c r="AS118" s="160"/>
      <c r="AT118" s="160"/>
      <c r="AU118" s="160"/>
      <c r="AV118" s="160"/>
      <c r="AW118" s="160"/>
      <c r="AX118" s="160"/>
      <c r="AY118" s="160"/>
      <c r="AZ118" s="160"/>
      <c r="BA118" s="160"/>
      <c r="BB118" s="160"/>
      <c r="BC118" s="160"/>
      <c r="BD118" s="160"/>
      <c r="BE118" s="160"/>
      <c r="BF118" s="160"/>
      <c r="BG118" s="160"/>
      <c r="BH118" s="160"/>
      <c r="BI118" s="160"/>
      <c r="BJ118" s="160"/>
      <c r="BK118" s="160"/>
      <c r="BL118" s="160"/>
      <c r="BM118" s="160"/>
      <c r="BN118" s="160"/>
      <c r="BO118" s="160"/>
      <c r="BP118" s="160"/>
      <c r="BQ118" s="160"/>
      <c r="BR118" s="160"/>
      <c r="BS118" s="160"/>
      <c r="BT118" s="160"/>
      <c r="BU118" s="160"/>
      <c r="BV118" s="160"/>
      <c r="BW118" s="160"/>
      <c r="BX118" s="160"/>
      <c r="BY118" s="160"/>
      <c r="BZ118" s="160"/>
      <c r="CA118" s="160"/>
      <c r="CB118" s="160"/>
      <c r="CC118" s="160"/>
      <c r="CD118" s="160"/>
      <c r="CE118" s="160"/>
      <c r="CF118" s="160"/>
      <c r="CG118" s="160"/>
      <c r="CH118" s="160"/>
      <c r="CI118" s="160"/>
      <c r="CJ118" s="160"/>
      <c r="CK118" s="160"/>
      <c r="CL118" s="160"/>
      <c r="CM118" s="160"/>
      <c r="CN118" s="160"/>
      <c r="CO118" s="160"/>
      <c r="CP118" s="160"/>
      <c r="CQ118" s="160"/>
      <c r="CR118" s="160"/>
      <c r="CS118" s="160"/>
      <c r="CT118" s="160"/>
      <c r="CU118" s="160"/>
      <c r="CV118" s="160"/>
      <c r="CW118" s="160"/>
      <c r="CX118" s="160"/>
      <c r="CY118" s="160"/>
      <c r="CZ118" s="160"/>
      <c r="DA118" s="160"/>
    </row>
    <row r="119" spans="5:105">
      <c r="E119" s="160" t="s">
        <v>336</v>
      </c>
      <c r="F119" s="160"/>
      <c r="G119" s="160"/>
      <c r="H119" s="160"/>
      <c r="I119" s="160"/>
      <c r="J119" s="160"/>
      <c r="K119" s="160"/>
      <c r="L119" s="160"/>
      <c r="M119" s="160"/>
      <c r="N119" s="160"/>
      <c r="O119" s="160"/>
      <c r="P119" s="160"/>
      <c r="Q119" s="160"/>
      <c r="R119" s="160"/>
      <c r="S119" s="160"/>
      <c r="T119" s="160"/>
      <c r="U119" s="160"/>
      <c r="V119" s="160"/>
      <c r="W119" s="160"/>
      <c r="X119" s="160"/>
      <c r="Y119" s="160"/>
      <c r="Z119" s="160"/>
      <c r="AA119" s="160"/>
      <c r="AB119" s="160"/>
      <c r="AC119" s="160"/>
      <c r="AD119" s="160"/>
      <c r="AE119" s="160"/>
      <c r="AF119" s="160"/>
      <c r="AG119" s="160"/>
      <c r="AH119" s="160"/>
      <c r="AI119" s="160"/>
      <c r="AJ119" s="160"/>
      <c r="AK119" s="160"/>
      <c r="AL119" s="160"/>
      <c r="AM119" s="160"/>
      <c r="AN119" s="160"/>
      <c r="AO119" s="160"/>
      <c r="AP119" s="160"/>
      <c r="AQ119" s="160"/>
      <c r="AR119" s="160"/>
      <c r="AS119" s="160"/>
      <c r="AT119" s="160"/>
      <c r="AU119" s="160"/>
      <c r="AV119" s="160"/>
      <c r="AW119" s="160"/>
      <c r="AX119" s="160"/>
      <c r="AY119" s="160"/>
      <c r="AZ119" s="160"/>
      <c r="BA119" s="160"/>
      <c r="BB119" s="160"/>
      <c r="BC119" s="160"/>
      <c r="BD119" s="160"/>
      <c r="BE119" s="160"/>
      <c r="BF119" s="160"/>
      <c r="BG119" s="160"/>
      <c r="BH119" s="160"/>
      <c r="BI119" s="160"/>
      <c r="BJ119" s="160"/>
      <c r="BK119" s="160"/>
      <c r="BL119" s="160"/>
      <c r="BM119" s="160"/>
      <c r="BN119" s="160"/>
      <c r="BO119" s="160"/>
      <c r="BP119" s="160"/>
      <c r="BQ119" s="160"/>
      <c r="BR119" s="160"/>
      <c r="BS119" s="160"/>
      <c r="BT119" s="160"/>
      <c r="BU119" s="160"/>
      <c r="BV119" s="160"/>
      <c r="BW119" s="160"/>
      <c r="BX119" s="160"/>
      <c r="BY119" s="160"/>
      <c r="BZ119" s="160"/>
      <c r="CA119" s="160"/>
      <c r="CB119" s="160"/>
      <c r="CC119" s="160"/>
      <c r="CD119" s="160"/>
      <c r="CE119" s="160"/>
      <c r="CF119" s="160"/>
      <c r="CG119" s="160"/>
      <c r="CH119" s="160"/>
      <c r="CI119" s="160"/>
      <c r="CJ119" s="160"/>
      <c r="CK119" s="160"/>
      <c r="CL119" s="160"/>
      <c r="CM119" s="160"/>
      <c r="CN119" s="160"/>
      <c r="CO119" s="160"/>
      <c r="CP119" s="160"/>
      <c r="CQ119" s="160"/>
      <c r="CR119" s="160"/>
      <c r="CS119" s="160"/>
      <c r="CT119" s="160"/>
      <c r="CU119" s="160"/>
      <c r="CV119" s="160"/>
      <c r="CW119" s="160"/>
      <c r="CX119" s="160"/>
      <c r="CY119" s="160"/>
      <c r="CZ119" s="160"/>
      <c r="DA119" s="160"/>
    </row>
    <row r="120" spans="5:105">
      <c r="E120" s="160"/>
      <c r="F120" s="160"/>
      <c r="G120" s="160"/>
      <c r="H120" s="160"/>
      <c r="I120" s="160"/>
      <c r="J120" s="160"/>
      <c r="K120" s="160"/>
      <c r="L120" s="160"/>
      <c r="M120" s="160"/>
      <c r="N120" s="160"/>
      <c r="O120" s="160"/>
      <c r="P120" s="160"/>
      <c r="Q120" s="160"/>
      <c r="R120" s="160"/>
      <c r="S120" s="160"/>
      <c r="T120" s="160"/>
      <c r="U120" s="160"/>
      <c r="V120" s="160"/>
      <c r="W120" s="160"/>
      <c r="X120" s="160"/>
      <c r="Y120" s="160"/>
      <c r="Z120" s="160"/>
      <c r="AA120" s="160"/>
      <c r="AB120" s="160"/>
      <c r="AC120" s="160"/>
      <c r="AD120" s="160"/>
      <c r="AE120" s="160"/>
      <c r="AF120" s="160"/>
      <c r="AG120" s="160"/>
      <c r="AH120" s="160"/>
      <c r="AI120" s="160"/>
      <c r="AJ120" s="160"/>
      <c r="AK120" s="160"/>
      <c r="AL120" s="160"/>
      <c r="AM120" s="160"/>
      <c r="AN120" s="160"/>
      <c r="AO120" s="160"/>
      <c r="AP120" s="160"/>
      <c r="AQ120" s="160"/>
      <c r="AR120" s="160"/>
      <c r="AS120" s="160"/>
      <c r="AT120" s="160"/>
      <c r="AU120" s="160"/>
      <c r="AV120" s="160"/>
      <c r="AW120" s="160"/>
      <c r="AX120" s="160"/>
      <c r="AY120" s="160"/>
      <c r="AZ120" s="160"/>
      <c r="BA120" s="160"/>
      <c r="BB120" s="160"/>
      <c r="BC120" s="160"/>
      <c r="BD120" s="160"/>
      <c r="BE120" s="160"/>
      <c r="BF120" s="160"/>
      <c r="BG120" s="160"/>
      <c r="BH120" s="160"/>
      <c r="BI120" s="160"/>
      <c r="BJ120" s="160"/>
      <c r="BK120" s="160"/>
      <c r="BL120" s="160"/>
      <c r="BM120" s="160"/>
      <c r="BN120" s="160"/>
      <c r="BO120" s="160"/>
      <c r="BP120" s="160"/>
      <c r="BQ120" s="160"/>
      <c r="BR120" s="160"/>
      <c r="BS120" s="160"/>
      <c r="BT120" s="160"/>
      <c r="BU120" s="160"/>
      <c r="BV120" s="160"/>
      <c r="BW120" s="160"/>
      <c r="BX120" s="160"/>
      <c r="BY120" s="160"/>
      <c r="BZ120" s="160"/>
      <c r="CA120" s="160"/>
      <c r="CB120" s="160"/>
      <c r="CC120" s="160"/>
      <c r="CD120" s="160"/>
      <c r="CE120" s="160"/>
      <c r="CF120" s="160"/>
      <c r="CG120" s="160"/>
      <c r="CH120" s="160"/>
      <c r="CI120" s="160"/>
      <c r="CJ120" s="160"/>
      <c r="CK120" s="160"/>
      <c r="CL120" s="160"/>
      <c r="CM120" s="160"/>
      <c r="CN120" s="160"/>
      <c r="CO120" s="160"/>
      <c r="CP120" s="160"/>
      <c r="CQ120" s="160"/>
      <c r="CR120" s="160"/>
      <c r="CS120" s="160"/>
      <c r="CT120" s="160"/>
      <c r="CU120" s="160"/>
      <c r="CV120" s="160"/>
      <c r="CW120" s="160"/>
      <c r="CX120" s="160"/>
      <c r="CY120" s="160"/>
      <c r="CZ120" s="160"/>
      <c r="DA120" s="160"/>
    </row>
    <row r="121" spans="5:105">
      <c r="E121" s="160" t="s">
        <v>337</v>
      </c>
      <c r="F121" s="160"/>
      <c r="G121" s="160"/>
      <c r="H121" s="160"/>
      <c r="I121" s="160"/>
      <c r="J121" s="160"/>
      <c r="K121" s="160"/>
      <c r="L121" s="160"/>
      <c r="M121" s="160"/>
      <c r="N121" s="160"/>
      <c r="O121" s="160"/>
      <c r="P121" s="160"/>
      <c r="Q121" s="160"/>
      <c r="R121" s="160"/>
      <c r="S121" s="160"/>
      <c r="T121" s="160"/>
      <c r="U121" s="160"/>
      <c r="V121" s="160"/>
      <c r="W121" s="160"/>
      <c r="X121" s="160"/>
      <c r="Y121" s="160"/>
      <c r="Z121" s="160"/>
      <c r="AA121" s="160"/>
      <c r="AB121" s="160"/>
      <c r="AC121" s="160"/>
      <c r="AD121" s="160"/>
      <c r="AE121" s="160"/>
      <c r="AF121" s="160"/>
      <c r="AG121" s="160"/>
      <c r="AH121" s="160"/>
      <c r="AI121" s="160"/>
      <c r="AJ121" s="160"/>
      <c r="AK121" s="160"/>
      <c r="AL121" s="160"/>
      <c r="AM121" s="160"/>
      <c r="AN121" s="160"/>
      <c r="AO121" s="160"/>
      <c r="AP121" s="160"/>
      <c r="AQ121" s="160"/>
      <c r="AR121" s="160"/>
      <c r="AS121" s="160"/>
      <c r="AT121" s="160"/>
      <c r="AU121" s="160"/>
      <c r="AV121" s="160"/>
      <c r="AW121" s="160"/>
      <c r="AX121" s="160"/>
      <c r="AY121" s="160"/>
      <c r="AZ121" s="160"/>
      <c r="BA121" s="160"/>
      <c r="BB121" s="160"/>
      <c r="BC121" s="160"/>
      <c r="BD121" s="160"/>
      <c r="BE121" s="160"/>
      <c r="BF121" s="160"/>
      <c r="BG121" s="160"/>
      <c r="BH121" s="160"/>
      <c r="BI121" s="160"/>
      <c r="BJ121" s="160"/>
      <c r="BK121" s="160"/>
      <c r="BL121" s="160"/>
      <c r="BM121" s="160"/>
      <c r="BN121" s="160"/>
      <c r="BO121" s="160"/>
      <c r="BP121" s="160"/>
      <c r="BQ121" s="160"/>
      <c r="BR121" s="160"/>
      <c r="BS121" s="160"/>
      <c r="BT121" s="160"/>
      <c r="BU121" s="160"/>
      <c r="BV121" s="160"/>
      <c r="BW121" s="160"/>
      <c r="BX121" s="160"/>
      <c r="BY121" s="160"/>
      <c r="BZ121" s="160"/>
      <c r="CA121" s="160"/>
      <c r="CB121" s="160"/>
      <c r="CC121" s="160"/>
      <c r="CD121" s="160"/>
      <c r="CE121" s="160"/>
      <c r="CF121" s="160"/>
      <c r="CG121" s="160"/>
      <c r="CH121" s="160"/>
      <c r="CI121" s="160"/>
      <c r="CJ121" s="160"/>
      <c r="CK121" s="160"/>
      <c r="CL121" s="160"/>
      <c r="CM121" s="160"/>
      <c r="CN121" s="160"/>
      <c r="CO121" s="160"/>
      <c r="CP121" s="160"/>
      <c r="CQ121" s="160"/>
      <c r="CR121" s="160"/>
      <c r="CS121" s="160"/>
      <c r="CT121" s="160"/>
      <c r="CU121" s="160"/>
      <c r="CV121" s="160"/>
      <c r="CW121" s="160"/>
      <c r="CX121" s="160"/>
      <c r="CY121" s="160"/>
      <c r="CZ121" s="160"/>
      <c r="DA121" s="160"/>
    </row>
    <row r="122" spans="5:105">
      <c r="E122" s="160" t="s">
        <v>338</v>
      </c>
      <c r="F122" s="160"/>
      <c r="G122" s="160"/>
      <c r="H122" s="160"/>
      <c r="I122" s="160"/>
      <c r="J122" s="160"/>
      <c r="K122" s="160"/>
      <c r="L122" s="160"/>
      <c r="M122" s="160"/>
      <c r="N122" s="160"/>
      <c r="O122" s="160"/>
      <c r="P122" s="160"/>
      <c r="Q122" s="160"/>
      <c r="R122" s="160"/>
      <c r="S122" s="160"/>
      <c r="T122" s="160"/>
      <c r="U122" s="160"/>
      <c r="V122" s="160"/>
      <c r="W122" s="160"/>
      <c r="X122" s="160"/>
      <c r="Y122" s="160"/>
      <c r="Z122" s="160"/>
      <c r="AA122" s="160"/>
      <c r="AB122" s="160"/>
      <c r="AC122" s="160"/>
      <c r="AD122" s="160"/>
      <c r="AE122" s="160"/>
      <c r="AF122" s="160"/>
      <c r="AG122" s="160"/>
      <c r="AH122" s="160"/>
      <c r="AI122" s="160"/>
      <c r="AJ122" s="160"/>
      <c r="AK122" s="160"/>
      <c r="AL122" s="160"/>
      <c r="AM122" s="160"/>
      <c r="AN122" s="160"/>
      <c r="AO122" s="160"/>
      <c r="AP122" s="160"/>
      <c r="AQ122" s="160"/>
      <c r="AR122" s="160"/>
      <c r="AS122" s="160"/>
      <c r="AT122" s="160"/>
      <c r="AU122" s="160"/>
      <c r="AV122" s="160"/>
      <c r="AW122" s="160"/>
      <c r="AX122" s="160"/>
      <c r="AY122" s="160"/>
      <c r="AZ122" s="160"/>
      <c r="BA122" s="160"/>
      <c r="BB122" s="160"/>
      <c r="BC122" s="160"/>
      <c r="BD122" s="160"/>
      <c r="BE122" s="160"/>
      <c r="BF122" s="160"/>
      <c r="BG122" s="160"/>
      <c r="BH122" s="160"/>
      <c r="BI122" s="160"/>
      <c r="BJ122" s="160"/>
      <c r="BK122" s="160"/>
      <c r="BL122" s="160"/>
      <c r="BM122" s="160"/>
      <c r="BN122" s="160"/>
      <c r="BO122" s="160"/>
      <c r="BP122" s="160"/>
      <c r="BQ122" s="160"/>
      <c r="BR122" s="160"/>
      <c r="BS122" s="160"/>
      <c r="BT122" s="160"/>
      <c r="BU122" s="160"/>
      <c r="BV122" s="160"/>
      <c r="BW122" s="160"/>
      <c r="BX122" s="160"/>
      <c r="BY122" s="160"/>
      <c r="BZ122" s="160"/>
      <c r="CA122" s="160"/>
      <c r="CB122" s="160"/>
      <c r="CC122" s="160"/>
      <c r="CD122" s="160"/>
      <c r="CE122" s="160"/>
      <c r="CF122" s="160"/>
      <c r="CG122" s="160"/>
      <c r="CH122" s="160"/>
      <c r="CI122" s="160"/>
      <c r="CJ122" s="160"/>
      <c r="CK122" s="160"/>
      <c r="CL122" s="160"/>
      <c r="CM122" s="160"/>
      <c r="CN122" s="160"/>
      <c r="CO122" s="160"/>
      <c r="CP122" s="160"/>
      <c r="CQ122" s="160"/>
      <c r="CR122" s="160"/>
      <c r="CS122" s="160"/>
      <c r="CT122" s="160"/>
      <c r="CU122" s="160"/>
      <c r="CV122" s="160"/>
      <c r="CW122" s="160"/>
      <c r="CX122" s="160"/>
      <c r="CY122" s="160"/>
      <c r="CZ122" s="160"/>
      <c r="DA122" s="160"/>
    </row>
    <row r="123" spans="5:105">
      <c r="E123" s="160" t="s">
        <v>339</v>
      </c>
      <c r="F123" s="160"/>
      <c r="G123" s="160"/>
      <c r="H123" s="160"/>
      <c r="I123" s="160"/>
      <c r="J123" s="160"/>
      <c r="K123" s="160"/>
      <c r="L123" s="160"/>
      <c r="M123" s="160"/>
      <c r="N123" s="160"/>
      <c r="O123" s="160"/>
      <c r="P123" s="160"/>
      <c r="Q123" s="160"/>
      <c r="R123" s="160"/>
      <c r="S123" s="160"/>
      <c r="T123" s="160"/>
      <c r="U123" s="160"/>
      <c r="V123" s="160"/>
      <c r="W123" s="160"/>
      <c r="X123" s="160"/>
      <c r="Y123" s="160"/>
      <c r="Z123" s="160"/>
      <c r="AA123" s="160"/>
      <c r="AB123" s="160"/>
      <c r="AC123" s="160"/>
      <c r="AD123" s="160"/>
      <c r="AE123" s="160"/>
      <c r="AF123" s="160"/>
      <c r="AG123" s="160"/>
      <c r="AH123" s="160"/>
      <c r="AI123" s="160"/>
      <c r="AJ123" s="160"/>
      <c r="AK123" s="160"/>
      <c r="AL123" s="160"/>
      <c r="AM123" s="160"/>
      <c r="AN123" s="160"/>
      <c r="AO123" s="160"/>
      <c r="AP123" s="160"/>
      <c r="AQ123" s="160"/>
      <c r="AR123" s="160"/>
      <c r="AS123" s="160"/>
      <c r="AT123" s="160"/>
      <c r="AU123" s="160"/>
      <c r="AV123" s="160"/>
      <c r="AW123" s="160"/>
      <c r="AX123" s="160"/>
      <c r="AY123" s="160"/>
      <c r="AZ123" s="160"/>
      <c r="BA123" s="160"/>
      <c r="BB123" s="160"/>
      <c r="BC123" s="160"/>
      <c r="BD123" s="160"/>
      <c r="BE123" s="160"/>
      <c r="BF123" s="160"/>
      <c r="BG123" s="160"/>
      <c r="BH123" s="160"/>
      <c r="BI123" s="160"/>
      <c r="BJ123" s="160"/>
      <c r="BK123" s="160"/>
      <c r="BL123" s="160"/>
      <c r="BM123" s="160"/>
      <c r="BN123" s="160"/>
      <c r="BO123" s="160"/>
      <c r="BP123" s="160"/>
      <c r="BQ123" s="160"/>
      <c r="BR123" s="160"/>
      <c r="BS123" s="160"/>
      <c r="BT123" s="160"/>
      <c r="BU123" s="160"/>
      <c r="BV123" s="160"/>
      <c r="BW123" s="160"/>
      <c r="BX123" s="160"/>
      <c r="BY123" s="160"/>
      <c r="BZ123" s="160"/>
      <c r="CA123" s="160"/>
      <c r="CB123" s="160"/>
      <c r="CC123" s="160"/>
      <c r="CD123" s="160"/>
      <c r="CE123" s="160"/>
      <c r="CF123" s="160"/>
      <c r="CG123" s="160"/>
      <c r="CH123" s="160"/>
      <c r="CI123" s="160"/>
      <c r="CJ123" s="160"/>
      <c r="CK123" s="160"/>
      <c r="CL123" s="160"/>
      <c r="CM123" s="160"/>
      <c r="CN123" s="160"/>
      <c r="CO123" s="160"/>
      <c r="CP123" s="160"/>
      <c r="CQ123" s="160"/>
      <c r="CR123" s="160"/>
      <c r="CS123" s="160"/>
      <c r="CT123" s="160"/>
      <c r="CU123" s="160"/>
      <c r="CV123" s="160"/>
      <c r="CW123" s="160"/>
      <c r="CX123" s="160"/>
      <c r="CY123" s="160"/>
      <c r="CZ123" s="160"/>
      <c r="DA123" s="160"/>
    </row>
    <row r="124" spans="5:105">
      <c r="E124" s="160" t="s">
        <v>340</v>
      </c>
      <c r="F124" s="160"/>
      <c r="G124" s="160"/>
      <c r="H124" s="160"/>
      <c r="I124" s="160"/>
      <c r="J124" s="160"/>
      <c r="K124" s="160"/>
      <c r="L124" s="160"/>
      <c r="M124" s="160"/>
      <c r="N124" s="160"/>
      <c r="O124" s="160"/>
      <c r="P124" s="160"/>
      <c r="Q124" s="160"/>
      <c r="R124" s="160"/>
      <c r="S124" s="160"/>
      <c r="T124" s="160"/>
      <c r="U124" s="160"/>
      <c r="V124" s="160"/>
      <c r="W124" s="160"/>
      <c r="X124" s="160"/>
      <c r="Y124" s="160"/>
      <c r="Z124" s="160"/>
      <c r="AA124" s="160"/>
      <c r="AB124" s="160"/>
      <c r="AC124" s="160"/>
      <c r="AD124" s="160"/>
      <c r="AE124" s="160"/>
      <c r="AF124" s="160"/>
      <c r="AG124" s="160"/>
      <c r="AH124" s="160"/>
      <c r="AI124" s="160"/>
      <c r="AJ124" s="160"/>
      <c r="AK124" s="160"/>
      <c r="AL124" s="160"/>
      <c r="AM124" s="160"/>
      <c r="AN124" s="160"/>
      <c r="AO124" s="160"/>
      <c r="AP124" s="160"/>
      <c r="AQ124" s="160"/>
      <c r="AR124" s="160"/>
      <c r="AS124" s="160"/>
      <c r="AT124" s="160"/>
      <c r="AU124" s="160"/>
      <c r="AV124" s="160"/>
      <c r="AW124" s="160"/>
      <c r="AX124" s="160"/>
      <c r="AY124" s="160"/>
      <c r="AZ124" s="160"/>
      <c r="BA124" s="160"/>
      <c r="BB124" s="160"/>
      <c r="BC124" s="160"/>
      <c r="BD124" s="160"/>
      <c r="BE124" s="160"/>
      <c r="BF124" s="160"/>
      <c r="BG124" s="160"/>
      <c r="BH124" s="160"/>
      <c r="BI124" s="160"/>
      <c r="BJ124" s="160"/>
      <c r="BK124" s="160"/>
      <c r="BL124" s="160"/>
      <c r="BM124" s="160"/>
      <c r="BN124" s="160"/>
      <c r="BO124" s="160"/>
      <c r="BP124" s="160"/>
      <c r="BQ124" s="160"/>
      <c r="BR124" s="160"/>
      <c r="BS124" s="160"/>
      <c r="BT124" s="160"/>
      <c r="BU124" s="160"/>
      <c r="BV124" s="160"/>
      <c r="BW124" s="160"/>
      <c r="BX124" s="160"/>
      <c r="BY124" s="160"/>
      <c r="BZ124" s="160"/>
      <c r="CA124" s="160"/>
      <c r="CB124" s="160"/>
      <c r="CC124" s="160"/>
      <c r="CD124" s="160"/>
      <c r="CE124" s="160"/>
      <c r="CF124" s="160"/>
      <c r="CG124" s="160"/>
      <c r="CH124" s="160"/>
      <c r="CI124" s="160"/>
      <c r="CJ124" s="160"/>
      <c r="CK124" s="160"/>
      <c r="CL124" s="160"/>
      <c r="CM124" s="160"/>
      <c r="CN124" s="160"/>
      <c r="CO124" s="160"/>
      <c r="CP124" s="160"/>
      <c r="CQ124" s="160"/>
      <c r="CR124" s="160"/>
      <c r="CS124" s="160"/>
      <c r="CT124" s="160"/>
      <c r="CU124" s="160"/>
      <c r="CV124" s="160"/>
      <c r="CW124" s="160"/>
      <c r="CX124" s="160"/>
      <c r="CY124" s="160"/>
      <c r="CZ124" s="160"/>
      <c r="DA124" s="160"/>
    </row>
    <row r="125" spans="5:105">
      <c r="E125" s="160"/>
      <c r="F125" s="160"/>
      <c r="G125" s="160"/>
      <c r="H125" s="160"/>
      <c r="I125" s="160"/>
      <c r="J125" s="160"/>
      <c r="K125" s="160"/>
      <c r="L125" s="160"/>
      <c r="M125" s="160"/>
      <c r="N125" s="160"/>
      <c r="O125" s="160"/>
      <c r="P125" s="160"/>
      <c r="Q125" s="160"/>
      <c r="R125" s="160"/>
      <c r="S125" s="160"/>
      <c r="T125" s="160"/>
      <c r="U125" s="160"/>
      <c r="V125" s="160"/>
      <c r="W125" s="160"/>
      <c r="X125" s="160"/>
      <c r="Y125" s="160"/>
      <c r="Z125" s="160"/>
      <c r="AA125" s="160"/>
      <c r="AB125" s="160"/>
      <c r="AC125" s="160"/>
      <c r="AD125" s="160"/>
      <c r="AE125" s="160"/>
      <c r="AF125" s="160"/>
      <c r="AG125" s="160"/>
      <c r="AH125" s="160"/>
      <c r="AI125" s="160"/>
      <c r="AJ125" s="160"/>
      <c r="AK125" s="160"/>
      <c r="AL125" s="160"/>
      <c r="AM125" s="160"/>
      <c r="AN125" s="160"/>
      <c r="AO125" s="160"/>
      <c r="AP125" s="160"/>
      <c r="AQ125" s="160"/>
      <c r="AR125" s="160"/>
      <c r="AS125" s="160"/>
      <c r="AT125" s="160"/>
      <c r="AU125" s="160"/>
      <c r="AV125" s="160"/>
      <c r="AW125" s="160"/>
      <c r="AX125" s="160"/>
      <c r="AY125" s="160"/>
      <c r="AZ125" s="160"/>
      <c r="BA125" s="160"/>
      <c r="BB125" s="160"/>
      <c r="BC125" s="160"/>
      <c r="BD125" s="160"/>
      <c r="BE125" s="160"/>
      <c r="BF125" s="160"/>
      <c r="BG125" s="160"/>
      <c r="BH125" s="160"/>
      <c r="BI125" s="160"/>
      <c r="BJ125" s="160"/>
      <c r="BK125" s="160"/>
      <c r="BL125" s="160"/>
      <c r="BM125" s="160"/>
      <c r="BN125" s="160"/>
      <c r="BO125" s="160"/>
      <c r="BP125" s="160"/>
      <c r="BQ125" s="160"/>
      <c r="BR125" s="160"/>
      <c r="BS125" s="160"/>
      <c r="BT125" s="160"/>
      <c r="BU125" s="160"/>
      <c r="BV125" s="160"/>
      <c r="BW125" s="160"/>
      <c r="BX125" s="160"/>
      <c r="BY125" s="160"/>
      <c r="BZ125" s="160"/>
      <c r="CA125" s="160"/>
      <c r="CB125" s="160"/>
      <c r="CC125" s="160"/>
      <c r="CD125" s="160"/>
      <c r="CE125" s="160"/>
      <c r="CF125" s="160"/>
      <c r="CG125" s="160"/>
      <c r="CH125" s="160"/>
      <c r="CI125" s="160"/>
      <c r="CJ125" s="160"/>
      <c r="CK125" s="160"/>
      <c r="CL125" s="160"/>
      <c r="CM125" s="160"/>
      <c r="CN125" s="160"/>
      <c r="CO125" s="160"/>
      <c r="CP125" s="160"/>
      <c r="CQ125" s="160"/>
      <c r="CR125" s="160"/>
      <c r="CS125" s="160"/>
      <c r="CT125" s="160"/>
      <c r="CU125" s="160"/>
      <c r="CV125" s="160"/>
      <c r="CW125" s="160"/>
      <c r="CX125" s="160"/>
      <c r="CY125" s="160"/>
      <c r="CZ125" s="160"/>
      <c r="DA125" s="160"/>
    </row>
    <row r="126" spans="5:105">
      <c r="E126" s="174" t="s">
        <v>341</v>
      </c>
      <c r="F126" s="160">
        <f>(1+100*0.007)*F105/(1+0.007*F105)</f>
        <v>100</v>
      </c>
      <c r="G126" s="160">
        <f t="shared" ref="G126:BR126" si="140">(1+100*0.007)*G105/(1+0.007*G105)</f>
        <v>86.196505882897426</v>
      </c>
      <c r="H126" s="160">
        <f t="shared" si="140"/>
        <v>63.42126252438991</v>
      </c>
      <c r="I126" s="160">
        <f t="shared" si="140"/>
        <v>32.072786588010501</v>
      </c>
      <c r="J126" s="160">
        <f t="shared" si="140"/>
        <v>70.0876777089114</v>
      </c>
      <c r="K126" s="160">
        <f t="shared" si="140"/>
        <v>51.633021308856691</v>
      </c>
      <c r="L126" s="160">
        <f t="shared" si="140"/>
        <v>51.559958722857083</v>
      </c>
      <c r="M126" s="160">
        <f t="shared" si="140"/>
        <v>44.034205146059193</v>
      </c>
      <c r="N126" s="160">
        <f t="shared" si="140"/>
        <v>43.126069477105972</v>
      </c>
      <c r="O126" s="160">
        <f t="shared" si="140"/>
        <v>29.062731177101636</v>
      </c>
      <c r="P126" s="160">
        <f t="shared" si="140"/>
        <v>75.953927346449063</v>
      </c>
      <c r="Q126" s="160">
        <f t="shared" si="140"/>
        <v>58.808602419853074</v>
      </c>
      <c r="R126" s="160">
        <f t="shared" si="140"/>
        <v>65.051509547114748</v>
      </c>
      <c r="S126" s="160">
        <f t="shared" si="140"/>
        <v>44.027273243407016</v>
      </c>
      <c r="T126" s="160">
        <f t="shared" si="140"/>
        <v>74.249144895382329</v>
      </c>
      <c r="U126" s="160">
        <f t="shared" si="140"/>
        <v>71.871670125044787</v>
      </c>
      <c r="V126" s="160">
        <f t="shared" si="140"/>
        <v>48.483039518273529</v>
      </c>
      <c r="W126" s="160">
        <f t="shared" si="140"/>
        <v>50.164198103279269</v>
      </c>
      <c r="X126" s="160">
        <f t="shared" si="140"/>
        <v>56.784279070570626</v>
      </c>
      <c r="Y126" s="160">
        <f t="shared" si="140"/>
        <v>71.649094722908288</v>
      </c>
      <c r="Z126" s="160">
        <f t="shared" si="140"/>
        <v>67.528333127716394</v>
      </c>
      <c r="AA126" s="160">
        <f t="shared" si="140"/>
        <v>86.215321259726309</v>
      </c>
      <c r="AB126" s="160">
        <f t="shared" si="140"/>
        <v>78.747040865430648</v>
      </c>
      <c r="AC126" s="160">
        <f t="shared" si="140"/>
        <v>91.522987587120937</v>
      </c>
      <c r="AD126" s="160">
        <f t="shared" si="140"/>
        <v>90.384697644717576</v>
      </c>
      <c r="AE126" s="160">
        <f t="shared" si="140"/>
        <v>71.533121595806534</v>
      </c>
      <c r="AF126" s="160">
        <f t="shared" si="140"/>
        <v>89.546079233632483</v>
      </c>
      <c r="AG126" s="160">
        <f t="shared" si="140"/>
        <v>73.397717697162861</v>
      </c>
      <c r="AH126" s="160">
        <f t="shared" si="140"/>
        <v>41.979168809287586</v>
      </c>
      <c r="AI126" s="160">
        <f t="shared" si="140"/>
        <v>86.660813145797235</v>
      </c>
      <c r="AJ126" s="160">
        <f t="shared" si="140"/>
        <v>64.547195297694245</v>
      </c>
      <c r="AK126" s="160">
        <f t="shared" si="140"/>
        <v>88.342833559882067</v>
      </c>
      <c r="AL126" s="160">
        <f t="shared" si="140"/>
        <v>75.194339864715189</v>
      </c>
      <c r="AM126" s="160">
        <f t="shared" si="140"/>
        <v>89.652182282726855</v>
      </c>
      <c r="AN126" s="160">
        <f t="shared" si="140"/>
        <v>62.050164818879843</v>
      </c>
      <c r="AO126" s="160">
        <f t="shared" si="140"/>
        <v>42.442576870829228</v>
      </c>
      <c r="AP126" s="160">
        <f t="shared" si="140"/>
        <v>80.754354971545922</v>
      </c>
      <c r="AQ126" s="160">
        <f t="shared" si="140"/>
        <v>47.997084090959341</v>
      </c>
      <c r="AR126" s="160">
        <f t="shared" si="140"/>
        <v>86.339558800765403</v>
      </c>
      <c r="AS126" s="160">
        <f t="shared" si="140"/>
        <v>35.435907740344881</v>
      </c>
      <c r="AT126" s="160">
        <f t="shared" si="140"/>
        <v>50.301238690131491</v>
      </c>
      <c r="AU126" s="160">
        <f t="shared" si="140"/>
        <v>88.275877716437648</v>
      </c>
      <c r="AV126" s="160">
        <f t="shared" si="140"/>
        <v>68.394420976163318</v>
      </c>
      <c r="AW126" s="160">
        <f t="shared" si="140"/>
        <v>72.152741455765565</v>
      </c>
      <c r="AX126" s="160">
        <f t="shared" si="140"/>
        <v>28.836186332704703</v>
      </c>
      <c r="AY126" s="160">
        <f t="shared" si="140"/>
        <v>58.211070425133684</v>
      </c>
      <c r="AZ126" s="160">
        <f t="shared" si="140"/>
        <v>66.506065478894811</v>
      </c>
      <c r="BA126" s="160">
        <f t="shared" si="140"/>
        <v>70.192033605685012</v>
      </c>
      <c r="BB126" s="160">
        <f t="shared" si="140"/>
        <v>77.327720423239199</v>
      </c>
      <c r="BC126" s="160">
        <f t="shared" si="140"/>
        <v>46.208998132225837</v>
      </c>
      <c r="BD126" s="160">
        <f t="shared" si="140"/>
        <v>54.640445494402712</v>
      </c>
      <c r="BE126" s="160">
        <f t="shared" si="140"/>
        <v>58.593919644551676</v>
      </c>
      <c r="BF126" s="160">
        <f t="shared" si="140"/>
        <v>41.128697458753308</v>
      </c>
      <c r="BG126" s="160">
        <f t="shared" si="140"/>
        <v>49.310746346068164</v>
      </c>
      <c r="BH126" s="160">
        <f t="shared" si="140"/>
        <v>86.973916270251394</v>
      </c>
      <c r="BI126" s="160">
        <f t="shared" si="140"/>
        <v>83.538612479496607</v>
      </c>
      <c r="BJ126" s="160">
        <f t="shared" si="140"/>
        <v>70.757994356638932</v>
      </c>
      <c r="BK126" s="160">
        <f t="shared" si="140"/>
        <v>57.227513570119569</v>
      </c>
      <c r="BL126" s="160">
        <f t="shared" si="140"/>
        <v>53.5297289988888</v>
      </c>
      <c r="BM126" s="160">
        <f t="shared" si="140"/>
        <v>86.811222289713328</v>
      </c>
      <c r="BN126" s="160">
        <f t="shared" si="140"/>
        <v>88.404100177790994</v>
      </c>
      <c r="BO126" s="160">
        <f t="shared" si="140"/>
        <v>76.883610228850117</v>
      </c>
      <c r="BP126" s="160">
        <f t="shared" si="140"/>
        <v>67.316766473294095</v>
      </c>
      <c r="BQ126" s="160">
        <f t="shared" si="140"/>
        <v>34.796533365610131</v>
      </c>
      <c r="BR126" s="160">
        <f t="shared" si="140"/>
        <v>58.228155134071443</v>
      </c>
      <c r="BS126" s="160">
        <f t="shared" ref="BS126:DA126" si="141">(1+100*0.007)*BS105/(1+0.007*BS105)</f>
        <v>40.008253194363292</v>
      </c>
      <c r="BT126" s="160">
        <f t="shared" si="141"/>
        <v>44.383259732951046</v>
      </c>
      <c r="BU126" s="160">
        <f t="shared" si="141"/>
        <v>47.611422112084362</v>
      </c>
      <c r="BV126" s="160">
        <f t="shared" si="141"/>
        <v>63.950798660051554</v>
      </c>
      <c r="BW126" s="160">
        <f t="shared" si="141"/>
        <v>53.593605483678864</v>
      </c>
      <c r="BX126" s="160">
        <f t="shared" si="141"/>
        <v>72.469549551414389</v>
      </c>
      <c r="BY126" s="160">
        <f t="shared" si="141"/>
        <v>35.211913529811582</v>
      </c>
      <c r="BZ126" s="160">
        <f t="shared" si="141"/>
        <v>76.87940576828862</v>
      </c>
      <c r="CA126" s="160">
        <f t="shared" si="141"/>
        <v>57.655075671282262</v>
      </c>
      <c r="CB126" s="160">
        <f t="shared" si="141"/>
        <v>28.495843994690745</v>
      </c>
      <c r="CC126" s="160">
        <f t="shared" si="141"/>
        <v>33.314559246782167</v>
      </c>
      <c r="CD126" s="160">
        <f t="shared" si="141"/>
        <v>48.383532883747975</v>
      </c>
      <c r="CE126" s="160">
        <f t="shared" si="141"/>
        <v>45.07261197323583</v>
      </c>
      <c r="CF126" s="160">
        <f t="shared" si="141"/>
        <v>44.618306447770543</v>
      </c>
      <c r="CG126" s="160">
        <f t="shared" si="141"/>
        <v>74.224781635860907</v>
      </c>
      <c r="CH126" s="160">
        <f t="shared" si="141"/>
        <v>66.490402729537436</v>
      </c>
      <c r="CI126" s="160">
        <f t="shared" si="141"/>
        <v>45.172252823571917</v>
      </c>
      <c r="CJ126" s="160">
        <f t="shared" si="141"/>
        <v>87.574167663250208</v>
      </c>
      <c r="CK126" s="160">
        <f t="shared" si="141"/>
        <v>73.499260346241996</v>
      </c>
      <c r="CL126" s="160">
        <f t="shared" si="141"/>
        <v>28.459665529475359</v>
      </c>
      <c r="CM126" s="160">
        <f t="shared" si="141"/>
        <v>41.978005809815151</v>
      </c>
      <c r="CN126" s="160">
        <f t="shared" si="141"/>
        <v>66.676277246087764</v>
      </c>
      <c r="CO126" s="160">
        <f t="shared" si="141"/>
        <v>40.648895014612421</v>
      </c>
      <c r="CP126" s="160">
        <f t="shared" si="141"/>
        <v>63.416711761944846</v>
      </c>
      <c r="CQ126" s="160">
        <f t="shared" si="141"/>
        <v>39.303925811161236</v>
      </c>
      <c r="CR126" s="160">
        <f t="shared" si="141"/>
        <v>44.930090183819836</v>
      </c>
      <c r="CS126" s="160">
        <f t="shared" si="141"/>
        <v>80.925789896692919</v>
      </c>
      <c r="CT126" s="160">
        <f t="shared" si="141"/>
        <v>57.539133170356337</v>
      </c>
      <c r="CU126" s="160">
        <f t="shared" si="141"/>
        <v>68.324662397120932</v>
      </c>
      <c r="CV126" s="160">
        <f t="shared" si="141"/>
        <v>40.933290974248777</v>
      </c>
      <c r="CW126" s="160">
        <f t="shared" si="141"/>
        <v>71.399075956736681</v>
      </c>
      <c r="CX126" s="160">
        <f t="shared" si="141"/>
        <v>79.285113467374103</v>
      </c>
      <c r="CY126" s="160">
        <f t="shared" si="141"/>
        <v>53.328220185508066</v>
      </c>
      <c r="CZ126" s="160">
        <f t="shared" si="141"/>
        <v>65.978318833102449</v>
      </c>
      <c r="DA126" s="160">
        <f t="shared" si="141"/>
        <v>54.488521972576599</v>
      </c>
    </row>
    <row r="127" spans="5:105">
      <c r="E127" s="174" t="s">
        <v>342</v>
      </c>
      <c r="F127" s="160">
        <f>(1/0.0228)*LN(1+0.0228*F110)</f>
        <v>6.1402038672305611E-3</v>
      </c>
      <c r="G127" s="160">
        <f t="shared" ref="G127:BR127" si="142">(1/0.0228)*LN(1+0.0228*G110)</f>
        <v>16.951229362330036</v>
      </c>
      <c r="H127" s="160">
        <f t="shared" si="142"/>
        <v>31.701320163225915</v>
      </c>
      <c r="I127" s="160">
        <f t="shared" si="142"/>
        <v>15.618922758534076</v>
      </c>
      <c r="J127" s="160">
        <f t="shared" si="142"/>
        <v>21.412870260629429</v>
      </c>
      <c r="K127" s="160">
        <f t="shared" si="142"/>
        <v>35.471808300891631</v>
      </c>
      <c r="L127" s="160">
        <f t="shared" si="142"/>
        <v>19.421138305577706</v>
      </c>
      <c r="M127" s="160">
        <f t="shared" si="142"/>
        <v>34.05002514031014</v>
      </c>
      <c r="N127" s="160">
        <f t="shared" si="142"/>
        <v>31.810356230640139</v>
      </c>
      <c r="O127" s="160">
        <f t="shared" si="142"/>
        <v>3.4885802235815624</v>
      </c>
      <c r="P127" s="160">
        <f t="shared" si="142"/>
        <v>34.603087982455634</v>
      </c>
      <c r="Q127" s="160">
        <f t="shared" si="142"/>
        <v>34.227098078958619</v>
      </c>
      <c r="R127" s="160">
        <f t="shared" si="142"/>
        <v>36.647437666992246</v>
      </c>
      <c r="S127" s="160">
        <f t="shared" si="142"/>
        <v>23.85131766974196</v>
      </c>
      <c r="T127" s="160">
        <f t="shared" si="142"/>
        <v>8.7517986067597402</v>
      </c>
      <c r="U127" s="160">
        <f t="shared" si="142"/>
        <v>16.779588623810458</v>
      </c>
      <c r="V127" s="160">
        <f t="shared" si="142"/>
        <v>24.130290612100229</v>
      </c>
      <c r="W127" s="160">
        <f t="shared" si="142"/>
        <v>22.619575000817786</v>
      </c>
      <c r="X127" s="160">
        <f t="shared" si="142"/>
        <v>17.896362239498039</v>
      </c>
      <c r="Y127" s="160">
        <f t="shared" si="142"/>
        <v>26.862578275388795</v>
      </c>
      <c r="Z127" s="160">
        <f t="shared" si="142"/>
        <v>33.904719362225592</v>
      </c>
      <c r="AA127" s="160">
        <f t="shared" si="142"/>
        <v>31.011763414256119</v>
      </c>
      <c r="AB127" s="160">
        <f t="shared" si="142"/>
        <v>32.275925340957244</v>
      </c>
      <c r="AC127" s="160">
        <f t="shared" si="142"/>
        <v>12.606062495145489</v>
      </c>
      <c r="AD127" s="160">
        <f t="shared" si="142"/>
        <v>24.777011312409822</v>
      </c>
      <c r="AE127" s="160">
        <f t="shared" si="142"/>
        <v>33.380208995731429</v>
      </c>
      <c r="AF127" s="160">
        <f t="shared" si="142"/>
        <v>29.03275702272127</v>
      </c>
      <c r="AG127" s="160">
        <f t="shared" si="142"/>
        <v>14.638931146937555</v>
      </c>
      <c r="AH127" s="160">
        <f t="shared" si="142"/>
        <v>15.236457225919914</v>
      </c>
      <c r="AI127" s="160">
        <f t="shared" si="142"/>
        <v>28.169347399978435</v>
      </c>
      <c r="AJ127" s="160">
        <f t="shared" si="142"/>
        <v>16.297150258792513</v>
      </c>
      <c r="AK127" s="160">
        <f t="shared" si="142"/>
        <v>28.04937577864052</v>
      </c>
      <c r="AL127" s="160">
        <f t="shared" si="142"/>
        <v>30.774804185435425</v>
      </c>
      <c r="AM127" s="160">
        <f t="shared" si="142"/>
        <v>18.686626304958793</v>
      </c>
      <c r="AN127" s="160">
        <f t="shared" si="142"/>
        <v>27.921628111513574</v>
      </c>
      <c r="AO127" s="160">
        <f t="shared" si="142"/>
        <v>15.157228708642249</v>
      </c>
      <c r="AP127" s="160">
        <f t="shared" si="142"/>
        <v>6.6555024821919622</v>
      </c>
      <c r="AQ127" s="160">
        <f t="shared" si="142"/>
        <v>19.087921207005678</v>
      </c>
      <c r="AR127" s="160">
        <f t="shared" si="142"/>
        <v>15.716220159881995</v>
      </c>
      <c r="AS127" s="160">
        <f t="shared" si="142"/>
        <v>6.826786569826659</v>
      </c>
      <c r="AT127" s="160">
        <f t="shared" si="142"/>
        <v>13.143464090118142</v>
      </c>
      <c r="AU127" s="160">
        <f t="shared" si="142"/>
        <v>8.3897365377786759</v>
      </c>
      <c r="AV127" s="160">
        <f t="shared" si="142"/>
        <v>31.984990539075184</v>
      </c>
      <c r="AW127" s="160">
        <f t="shared" si="142"/>
        <v>32.606367495552014</v>
      </c>
      <c r="AX127" s="160">
        <f t="shared" si="142"/>
        <v>1.4525009600039889</v>
      </c>
      <c r="AY127" s="160">
        <f t="shared" si="142"/>
        <v>26.558771692439286</v>
      </c>
      <c r="AZ127" s="160">
        <f t="shared" si="142"/>
        <v>20.9723909000117</v>
      </c>
      <c r="BA127" s="160">
        <f t="shared" si="142"/>
        <v>13.842809060679071</v>
      </c>
      <c r="BB127" s="160">
        <f t="shared" si="142"/>
        <v>24.140797082852284</v>
      </c>
      <c r="BC127" s="160">
        <f t="shared" si="142"/>
        <v>21.589831669543226</v>
      </c>
      <c r="BD127" s="160">
        <f t="shared" si="142"/>
        <v>19.256320553466338</v>
      </c>
      <c r="BE127" s="160">
        <f t="shared" si="142"/>
        <v>16.689891545787628</v>
      </c>
      <c r="BF127" s="160">
        <f t="shared" si="142"/>
        <v>22.338080627147448</v>
      </c>
      <c r="BG127" s="160">
        <f t="shared" si="142"/>
        <v>30.965934197383056</v>
      </c>
      <c r="BH127" s="160">
        <f t="shared" si="142"/>
        <v>16.182081036930661</v>
      </c>
      <c r="BI127" s="160">
        <f t="shared" si="142"/>
        <v>18.091041850595477</v>
      </c>
      <c r="BJ127" s="160">
        <f t="shared" si="142"/>
        <v>30.504648423242312</v>
      </c>
      <c r="BK127" s="160">
        <f t="shared" si="142"/>
        <v>32.223810602316064</v>
      </c>
      <c r="BL127" s="160">
        <f t="shared" si="142"/>
        <v>32.147883105102949</v>
      </c>
      <c r="BM127" s="160">
        <f t="shared" si="142"/>
        <v>16.255917827670764</v>
      </c>
      <c r="BN127" s="160">
        <f t="shared" si="142"/>
        <v>7.1990644002496857</v>
      </c>
      <c r="BO127" s="160">
        <f t="shared" si="142"/>
        <v>15.504540921349673</v>
      </c>
      <c r="BP127" s="160">
        <f t="shared" si="142"/>
        <v>7.3627825978043155</v>
      </c>
      <c r="BQ127" s="160">
        <f t="shared" si="142"/>
        <v>3.3963022405365981</v>
      </c>
      <c r="BR127" s="160">
        <f t="shared" si="142"/>
        <v>32.349921233156437</v>
      </c>
      <c r="BS127" s="160">
        <f t="shared" ref="BS127:DA127" si="143">(1/0.0228)*LN(1+0.0228*BS110)</f>
        <v>20.998964069590937</v>
      </c>
      <c r="BT127" s="160">
        <f t="shared" si="143"/>
        <v>30.354005176909528</v>
      </c>
      <c r="BU127" s="160">
        <f t="shared" si="143"/>
        <v>31.40261143127956</v>
      </c>
      <c r="BV127" s="160">
        <f t="shared" si="143"/>
        <v>22.763625225306473</v>
      </c>
      <c r="BW127" s="160">
        <f t="shared" si="143"/>
        <v>12.548638093039949</v>
      </c>
      <c r="BX127" s="160">
        <f t="shared" si="143"/>
        <v>27.140960563521617</v>
      </c>
      <c r="BY127" s="160">
        <f t="shared" si="143"/>
        <v>24.78189636438626</v>
      </c>
      <c r="BZ127" s="160">
        <f t="shared" si="143"/>
        <v>10.062333088411687</v>
      </c>
      <c r="CA127" s="160">
        <f t="shared" si="143"/>
        <v>32.491783448541327</v>
      </c>
      <c r="CB127" s="160">
        <f t="shared" si="143"/>
        <v>3.7963923973393321</v>
      </c>
      <c r="CC127" s="160">
        <f t="shared" si="143"/>
        <v>24.356935635365065</v>
      </c>
      <c r="CD127" s="160">
        <f t="shared" si="143"/>
        <v>32.616389284005493</v>
      </c>
      <c r="CE127" s="160">
        <f t="shared" si="143"/>
        <v>24.011186467121675</v>
      </c>
      <c r="CF127" s="160">
        <f t="shared" si="143"/>
        <v>31.553256414532697</v>
      </c>
      <c r="CG127" s="160">
        <f t="shared" si="143"/>
        <v>19.330613312413995</v>
      </c>
      <c r="CH127" s="160">
        <f t="shared" si="143"/>
        <v>21.98652823927538</v>
      </c>
      <c r="CI127" s="160">
        <f t="shared" si="143"/>
        <v>26.292587916773893</v>
      </c>
      <c r="CJ127" s="160">
        <f t="shared" si="143"/>
        <v>9.3299597729089214</v>
      </c>
      <c r="CK127" s="160">
        <f t="shared" si="143"/>
        <v>15.836737316922584</v>
      </c>
      <c r="CL127" s="160">
        <f t="shared" si="143"/>
        <v>7.5965986441717765</v>
      </c>
      <c r="CM127" s="160">
        <f t="shared" si="143"/>
        <v>13.552226966970965</v>
      </c>
      <c r="CN127" s="160">
        <f t="shared" si="143"/>
        <v>22.54088161398661</v>
      </c>
      <c r="CO127" s="160">
        <f t="shared" si="143"/>
        <v>23.7856159133906</v>
      </c>
      <c r="CP127" s="160">
        <f t="shared" si="143"/>
        <v>23.426120444874936</v>
      </c>
      <c r="CQ127" s="160">
        <f t="shared" si="143"/>
        <v>22.017605651607845</v>
      </c>
      <c r="CR127" s="160">
        <f t="shared" si="143"/>
        <v>24.228516137193434</v>
      </c>
      <c r="CS127" s="160">
        <f t="shared" si="143"/>
        <v>4.3350220901013241</v>
      </c>
      <c r="CT127" s="160">
        <f t="shared" si="143"/>
        <v>18.247309079387296</v>
      </c>
      <c r="CU127" s="160">
        <f t="shared" si="143"/>
        <v>15.192972424613243</v>
      </c>
      <c r="CV127" s="160">
        <f t="shared" si="143"/>
        <v>24.331874660045248</v>
      </c>
      <c r="CW127" s="160">
        <f t="shared" si="143"/>
        <v>19.178885837791182</v>
      </c>
      <c r="CX127" s="160">
        <f t="shared" si="143"/>
        <v>17.943331108985383</v>
      </c>
      <c r="CY127" s="160">
        <f t="shared" si="143"/>
        <v>23.183060437275671</v>
      </c>
      <c r="CZ127" s="160">
        <f t="shared" si="143"/>
        <v>30.002775505118809</v>
      </c>
      <c r="DA127" s="160">
        <f t="shared" si="143"/>
        <v>32.65537245592126</v>
      </c>
    </row>
    <row r="128" spans="5:105">
      <c r="E128" s="174" t="s">
        <v>252</v>
      </c>
      <c r="F128" s="160">
        <f>F127*COS(F96*PI()/180)</f>
        <v>6.102648751210772E-3</v>
      </c>
      <c r="G128" s="160">
        <f>G127*COS(G96*PI()/180)</f>
        <v>16.858692749221458</v>
      </c>
      <c r="H128" s="160">
        <f t="shared" ref="H128:BS128" si="144">H127*COS(H96*PI()/180)</f>
        <v>31.315010834098434</v>
      </c>
      <c r="I128" s="160">
        <f t="shared" si="144"/>
        <v>15.423968187323448</v>
      </c>
      <c r="J128" s="160">
        <f t="shared" si="144"/>
        <v>20.321726428435085</v>
      </c>
      <c r="K128" s="160">
        <f t="shared" si="144"/>
        <v>34.034875445785211</v>
      </c>
      <c r="L128" s="160">
        <f t="shared" si="144"/>
        <v>18.087006709280683</v>
      </c>
      <c r="M128" s="160">
        <f t="shared" si="144"/>
        <v>32.229906787768876</v>
      </c>
      <c r="N128" s="160">
        <f t="shared" si="144"/>
        <v>30.16008821079787</v>
      </c>
      <c r="O128" s="160">
        <f t="shared" si="144"/>
        <v>3.4341025517946386</v>
      </c>
      <c r="P128" s="160">
        <f t="shared" si="144"/>
        <v>29.421679892095884</v>
      </c>
      <c r="Q128" s="160">
        <f t="shared" si="144"/>
        <v>28.167255796538232</v>
      </c>
      <c r="R128" s="160">
        <f t="shared" si="144"/>
        <v>30.066641713101795</v>
      </c>
      <c r="S128" s="160">
        <f t="shared" si="144"/>
        <v>18.981335194394759</v>
      </c>
      <c r="T128" s="160">
        <f t="shared" si="144"/>
        <v>6.453747927251869</v>
      </c>
      <c r="U128" s="160">
        <f t="shared" si="144"/>
        <v>13.12514169907368</v>
      </c>
      <c r="V128" s="160">
        <f t="shared" si="144"/>
        <v>17.82091792211892</v>
      </c>
      <c r="W128" s="160">
        <f t="shared" si="144"/>
        <v>14.855355312885084</v>
      </c>
      <c r="X128" s="160">
        <f t="shared" si="144"/>
        <v>12.049493436474409</v>
      </c>
      <c r="Y128" s="160">
        <f t="shared" si="144"/>
        <v>13.518245615353655</v>
      </c>
      <c r="Z128" s="160">
        <f t="shared" si="144"/>
        <v>20.062326399199158</v>
      </c>
      <c r="AA128" s="160">
        <f t="shared" si="144"/>
        <v>13.555394976162228</v>
      </c>
      <c r="AB128" s="160">
        <f t="shared" si="144"/>
        <v>14.998045935207301</v>
      </c>
      <c r="AC128" s="160">
        <f t="shared" si="144"/>
        <v>3.6869400853639824</v>
      </c>
      <c r="AD128" s="160">
        <f t="shared" si="144"/>
        <v>6.0950265817497629</v>
      </c>
      <c r="AE128" s="160">
        <f t="shared" si="144"/>
        <v>7.754635689049576</v>
      </c>
      <c r="AF128" s="160">
        <f t="shared" si="144"/>
        <v>6.4673244438373994</v>
      </c>
      <c r="AG128" s="160">
        <f t="shared" si="144"/>
        <v>1.3490853596689414</v>
      </c>
      <c r="AH128" s="160">
        <f t="shared" si="144"/>
        <v>0.16253377443104411</v>
      </c>
      <c r="AI128" s="160">
        <f t="shared" si="144"/>
        <v>1.8768983139051632</v>
      </c>
      <c r="AJ128" s="160">
        <f t="shared" si="144"/>
        <v>1.9927466141935566</v>
      </c>
      <c r="AK128" s="160">
        <f t="shared" si="144"/>
        <v>0.34051992821630894</v>
      </c>
      <c r="AL128" s="160">
        <f t="shared" si="144"/>
        <v>-0.67627144993805455</v>
      </c>
      <c r="AM128" s="160">
        <f t="shared" si="144"/>
        <v>0.17187026694021554</v>
      </c>
      <c r="AN128" s="160">
        <f t="shared" si="144"/>
        <v>-3.3726239022877391</v>
      </c>
      <c r="AO128" s="160">
        <f t="shared" si="144"/>
        <v>-2.7651632388731788</v>
      </c>
      <c r="AP128" s="160">
        <f t="shared" si="144"/>
        <v>5.2085976359976478E-2</v>
      </c>
      <c r="AQ128" s="160">
        <f t="shared" si="144"/>
        <v>-5.2499187201765967</v>
      </c>
      <c r="AR128" s="160">
        <f t="shared" si="144"/>
        <v>-2.5889634564139521</v>
      </c>
      <c r="AS128" s="160">
        <f t="shared" si="144"/>
        <v>-1.8468105441834848</v>
      </c>
      <c r="AT128" s="160">
        <f t="shared" si="144"/>
        <v>-3.9334111630901645</v>
      </c>
      <c r="AU128" s="160">
        <f t="shared" si="144"/>
        <v>-2.9945294004249354</v>
      </c>
      <c r="AV128" s="160">
        <f t="shared" si="144"/>
        <v>-16.777739554263356</v>
      </c>
      <c r="AW128" s="160">
        <f t="shared" si="144"/>
        <v>-17.376827630337697</v>
      </c>
      <c r="AX128" s="160">
        <f t="shared" si="144"/>
        <v>-0.72531680810234922</v>
      </c>
      <c r="AY128" s="160">
        <f t="shared" si="144"/>
        <v>-18.260729745675494</v>
      </c>
      <c r="AZ128" s="160">
        <f t="shared" si="144"/>
        <v>-14.449542239469942</v>
      </c>
      <c r="BA128" s="160">
        <f t="shared" si="144"/>
        <v>-8.8489905725371134</v>
      </c>
      <c r="BB128" s="160">
        <f t="shared" si="144"/>
        <v>-19.998759465190023</v>
      </c>
      <c r="BC128" s="160">
        <f t="shared" si="144"/>
        <v>-17.49480906135226</v>
      </c>
      <c r="BD128" s="160">
        <f t="shared" si="144"/>
        <v>-18.046750364341605</v>
      </c>
      <c r="BE128" s="160">
        <f t="shared" si="144"/>
        <v>-15.758153337346709</v>
      </c>
      <c r="BF128" s="160">
        <f t="shared" si="144"/>
        <v>-21.183210601021596</v>
      </c>
      <c r="BG128" s="160">
        <f t="shared" si="144"/>
        <v>-30.794388379814777</v>
      </c>
      <c r="BH128" s="160">
        <f t="shared" si="144"/>
        <v>-16.161568532224059</v>
      </c>
      <c r="BI128" s="160">
        <f t="shared" si="144"/>
        <v>-17.925526159233002</v>
      </c>
      <c r="BJ128" s="160">
        <f t="shared" si="144"/>
        <v>-30.237753530038752</v>
      </c>
      <c r="BK128" s="160">
        <f t="shared" si="144"/>
        <v>-31.921887582576353</v>
      </c>
      <c r="BL128" s="160">
        <f t="shared" si="144"/>
        <v>-31.485439648254239</v>
      </c>
      <c r="BM128" s="160">
        <f t="shared" si="144"/>
        <v>-15.909730673785331</v>
      </c>
      <c r="BN128" s="160">
        <f t="shared" si="144"/>
        <v>-6.6122659861702013</v>
      </c>
      <c r="BO128" s="160">
        <f t="shared" si="144"/>
        <v>-14.432183978192667</v>
      </c>
      <c r="BP128" s="160">
        <f t="shared" si="144"/>
        <v>-5.9288807002652826</v>
      </c>
      <c r="BQ128" s="160">
        <f t="shared" si="144"/>
        <v>-1.8655500581969815</v>
      </c>
      <c r="BR128" s="160">
        <f t="shared" si="144"/>
        <v>-28.677687611559627</v>
      </c>
      <c r="BS128" s="160">
        <f t="shared" si="144"/>
        <v>-18.190539979936077</v>
      </c>
      <c r="BT128" s="160">
        <f t="shared" ref="BT128:DA128" si="145">BT127*COS(BT96*PI()/180)</f>
        <v>-24.986412894909925</v>
      </c>
      <c r="BU128" s="160">
        <f t="shared" si="145"/>
        <v>-25.282527605781659</v>
      </c>
      <c r="BV128" s="160">
        <f t="shared" si="145"/>
        <v>-16.852876318995982</v>
      </c>
      <c r="BW128" s="160">
        <f t="shared" si="145"/>
        <v>-6.8268905137257185</v>
      </c>
      <c r="BX128" s="160">
        <f t="shared" si="145"/>
        <v>-17.091399706049554</v>
      </c>
      <c r="BY128" s="160">
        <f t="shared" si="145"/>
        <v>-13.850526780415587</v>
      </c>
      <c r="BZ128" s="160">
        <f t="shared" si="145"/>
        <v>-5.8816081770824598</v>
      </c>
      <c r="CA128" s="160">
        <f t="shared" si="145"/>
        <v>-19.758576965888569</v>
      </c>
      <c r="CB128" s="160">
        <f t="shared" si="145"/>
        <v>-0.82602367673037358</v>
      </c>
      <c r="CC128" s="160">
        <f t="shared" si="145"/>
        <v>-10.827816224348979</v>
      </c>
      <c r="CD128" s="160">
        <f t="shared" si="145"/>
        <v>-12.217318510020331</v>
      </c>
      <c r="CE128" s="160">
        <f t="shared" si="145"/>
        <v>-7.1097643710027025</v>
      </c>
      <c r="CF128" s="160">
        <f t="shared" si="145"/>
        <v>-10.329487290944845</v>
      </c>
      <c r="CG128" s="160">
        <f t="shared" si="145"/>
        <v>-2.5020599543801976</v>
      </c>
      <c r="CH128" s="160">
        <f t="shared" si="145"/>
        <v>1.9343369391532599</v>
      </c>
      <c r="CI128" s="160">
        <f t="shared" si="145"/>
        <v>5.8327280734882319</v>
      </c>
      <c r="CJ128" s="160">
        <f t="shared" si="145"/>
        <v>1.5130811652898335</v>
      </c>
      <c r="CK128" s="160">
        <f t="shared" si="145"/>
        <v>3.8346917230244508</v>
      </c>
      <c r="CL128" s="160">
        <f t="shared" si="145"/>
        <v>4.6395434403674329</v>
      </c>
      <c r="CM128" s="160">
        <f t="shared" si="145"/>
        <v>7.1838881385564166</v>
      </c>
      <c r="CN128" s="160">
        <f t="shared" si="145"/>
        <v>11.280934137846254</v>
      </c>
      <c r="CO128" s="160">
        <f t="shared" si="145"/>
        <v>14.442277337248333</v>
      </c>
      <c r="CP128" s="160">
        <f t="shared" si="145"/>
        <v>18.32010456532884</v>
      </c>
      <c r="CQ128" s="160">
        <f t="shared" si="145"/>
        <v>17.958295966312075</v>
      </c>
      <c r="CR128" s="160">
        <f t="shared" si="145"/>
        <v>20.473429431015216</v>
      </c>
      <c r="CS128" s="160">
        <f t="shared" si="145"/>
        <v>4.0198976289620241</v>
      </c>
      <c r="CT128" s="160">
        <f t="shared" si="145"/>
        <v>16.90894110576669</v>
      </c>
      <c r="CU128" s="160">
        <f t="shared" si="145"/>
        <v>14.23891615587713</v>
      </c>
      <c r="CV128" s="160">
        <f t="shared" si="145"/>
        <v>23.663587200388545</v>
      </c>
      <c r="CW128" s="160">
        <f t="shared" si="145"/>
        <v>18.699954719720445</v>
      </c>
      <c r="CX128" s="160">
        <f t="shared" si="145"/>
        <v>17.632544889980416</v>
      </c>
      <c r="CY128" s="160">
        <f t="shared" si="145"/>
        <v>23.077631872346753</v>
      </c>
      <c r="CZ128" s="160">
        <f t="shared" si="145"/>
        <v>29.99441170992635</v>
      </c>
      <c r="DA128" s="160">
        <f t="shared" si="145"/>
        <v>32.644451794933616</v>
      </c>
    </row>
    <row r="129" spans="5:105">
      <c r="E129" s="174" t="s">
        <v>254</v>
      </c>
      <c r="F129" s="160">
        <f>F127*SIN(F96*PI()/180)</f>
        <v>6.7807208355656764E-4</v>
      </c>
      <c r="G129" s="160">
        <f>G127*SIN(G96*PI()/180)</f>
        <v>1.7688006336689717</v>
      </c>
      <c r="H129" s="160">
        <f t="shared" ref="H129:BS129" si="146">H127*SIN(H96*PI()/180)</f>
        <v>4.9339433064894198</v>
      </c>
      <c r="I129" s="160">
        <f t="shared" si="146"/>
        <v>2.4600718472207164</v>
      </c>
      <c r="J129" s="160">
        <f t="shared" si="146"/>
        <v>6.7482181178731304</v>
      </c>
      <c r="K129" s="160">
        <f t="shared" si="146"/>
        <v>9.9938199666139393</v>
      </c>
      <c r="L129" s="160">
        <f t="shared" si="146"/>
        <v>7.07395231697339</v>
      </c>
      <c r="M129" s="160">
        <f t="shared" si="146"/>
        <v>10.983502196816929</v>
      </c>
      <c r="N129" s="160">
        <f t="shared" si="146"/>
        <v>10.112756431216827</v>
      </c>
      <c r="O129" s="160">
        <f t="shared" si="146"/>
        <v>0.61411044619183597</v>
      </c>
      <c r="P129" s="160">
        <f t="shared" si="146"/>
        <v>18.213688540452381</v>
      </c>
      <c r="Q129" s="160">
        <f t="shared" si="146"/>
        <v>19.444792202516233</v>
      </c>
      <c r="R129" s="160">
        <f t="shared" si="146"/>
        <v>20.953084346989336</v>
      </c>
      <c r="S129" s="160">
        <f t="shared" si="146"/>
        <v>14.44279297161653</v>
      </c>
      <c r="T129" s="160">
        <f t="shared" si="146"/>
        <v>5.9112702987406962</v>
      </c>
      <c r="U129" s="160">
        <f t="shared" si="146"/>
        <v>10.453958569056347</v>
      </c>
      <c r="V129" s="160">
        <f t="shared" si="146"/>
        <v>16.26916744758358</v>
      </c>
      <c r="W129" s="160">
        <f t="shared" si="146"/>
        <v>17.057654931014337</v>
      </c>
      <c r="X129" s="160">
        <f t="shared" si="146"/>
        <v>13.232138501833004</v>
      </c>
      <c r="Y129" s="160">
        <f t="shared" si="146"/>
        <v>23.213253694481562</v>
      </c>
      <c r="Z129" s="160">
        <f t="shared" si="146"/>
        <v>27.331905430892878</v>
      </c>
      <c r="AA129" s="160">
        <f t="shared" si="146"/>
        <v>27.892306055649652</v>
      </c>
      <c r="AB129" s="160">
        <f t="shared" si="146"/>
        <v>28.579607672962513</v>
      </c>
      <c r="AC129" s="160">
        <f t="shared" si="146"/>
        <v>12.054844853354602</v>
      </c>
      <c r="AD129" s="160">
        <f t="shared" si="146"/>
        <v>24.015639498940022</v>
      </c>
      <c r="AE129" s="160">
        <f t="shared" si="146"/>
        <v>32.466967488954495</v>
      </c>
      <c r="AF129" s="160">
        <f t="shared" si="146"/>
        <v>28.303262972288451</v>
      </c>
      <c r="AG129" s="160">
        <f t="shared" si="146"/>
        <v>14.576634516139361</v>
      </c>
      <c r="AH129" s="160">
        <f t="shared" si="146"/>
        <v>15.235590292780136</v>
      </c>
      <c r="AI129" s="160">
        <f t="shared" si="146"/>
        <v>28.106749823840033</v>
      </c>
      <c r="AJ129" s="160">
        <f t="shared" si="146"/>
        <v>16.174859118065942</v>
      </c>
      <c r="AK129" s="160">
        <f t="shared" si="146"/>
        <v>28.047308743440482</v>
      </c>
      <c r="AL129" s="160">
        <f t="shared" si="146"/>
        <v>30.767372809160882</v>
      </c>
      <c r="AM129" s="160">
        <f t="shared" si="146"/>
        <v>18.685835899753584</v>
      </c>
      <c r="AN129" s="160">
        <f t="shared" si="146"/>
        <v>27.717191856524401</v>
      </c>
      <c r="AO129" s="160">
        <f t="shared" si="146"/>
        <v>14.902867321038363</v>
      </c>
      <c r="AP129" s="160">
        <f t="shared" si="146"/>
        <v>6.6552986665911549</v>
      </c>
      <c r="AQ129" s="160">
        <f t="shared" si="146"/>
        <v>18.351759845758565</v>
      </c>
      <c r="AR129" s="160">
        <f t="shared" si="146"/>
        <v>15.501511033935833</v>
      </c>
      <c r="AS129" s="160">
        <f t="shared" si="146"/>
        <v>6.5722374944807296</v>
      </c>
      <c r="AT129" s="160">
        <f t="shared" si="146"/>
        <v>12.541089462654462</v>
      </c>
      <c r="AU129" s="160">
        <f t="shared" si="146"/>
        <v>7.837121464117371</v>
      </c>
      <c r="AV129" s="160">
        <f t="shared" si="146"/>
        <v>27.231361979049744</v>
      </c>
      <c r="AW129" s="160">
        <f t="shared" si="146"/>
        <v>27.590234916733191</v>
      </c>
      <c r="AX129" s="160">
        <f t="shared" si="146"/>
        <v>1.2584413242963413</v>
      </c>
      <c r="AY129" s="160">
        <f t="shared" si="146"/>
        <v>19.285074616565954</v>
      </c>
      <c r="AZ129" s="160">
        <f t="shared" si="146"/>
        <v>15.200391742737013</v>
      </c>
      <c r="BA129" s="160">
        <f t="shared" si="146"/>
        <v>10.645126985506931</v>
      </c>
      <c r="BB129" s="160">
        <f t="shared" si="146"/>
        <v>13.521379502436941</v>
      </c>
      <c r="BC129" s="160">
        <f t="shared" si="146"/>
        <v>12.651185218233051</v>
      </c>
      <c r="BD129" s="160">
        <f t="shared" si="146"/>
        <v>6.7171930555095951</v>
      </c>
      <c r="BE129" s="160">
        <f t="shared" si="146"/>
        <v>5.4984618946412738</v>
      </c>
      <c r="BF129" s="160">
        <f t="shared" si="146"/>
        <v>7.0895299377114105</v>
      </c>
      <c r="BG129" s="160">
        <f t="shared" si="146"/>
        <v>3.2549539212999745</v>
      </c>
      <c r="BH129" s="160">
        <f t="shared" si="146"/>
        <v>-0.81452394932007366</v>
      </c>
      <c r="BI129" s="160">
        <f t="shared" si="146"/>
        <v>-2.441578824173094</v>
      </c>
      <c r="BJ129" s="160">
        <f t="shared" si="146"/>
        <v>-4.026392539513334</v>
      </c>
      <c r="BK129" s="160">
        <f t="shared" si="146"/>
        <v>-4.4008025290047783</v>
      </c>
      <c r="BL129" s="160">
        <f t="shared" si="146"/>
        <v>-6.492571008121792</v>
      </c>
      <c r="BM129" s="160">
        <f t="shared" si="146"/>
        <v>-3.336964834636158</v>
      </c>
      <c r="BN129" s="160">
        <f t="shared" si="146"/>
        <v>-2.8468345169817977</v>
      </c>
      <c r="BO129" s="160">
        <f t="shared" si="146"/>
        <v>-5.6659381219181606</v>
      </c>
      <c r="BP129" s="160">
        <f t="shared" si="146"/>
        <v>-4.3656547303413626</v>
      </c>
      <c r="BQ129" s="160">
        <f t="shared" si="146"/>
        <v>-2.8380612906410523</v>
      </c>
      <c r="BR129" s="160">
        <f t="shared" si="146"/>
        <v>-14.970225016519469</v>
      </c>
      <c r="BS129" s="160">
        <f t="shared" si="146"/>
        <v>-10.490984092749278</v>
      </c>
      <c r="BT129" s="160">
        <f t="shared" ref="BT129:DA129" si="147">BT127*SIN(BT96*PI()/180)</f>
        <v>-17.234987697266554</v>
      </c>
      <c r="BU129" s="160">
        <f t="shared" si="147"/>
        <v>-18.625729584819439</v>
      </c>
      <c r="BV129" s="160">
        <f t="shared" si="147"/>
        <v>-15.302391746875179</v>
      </c>
      <c r="BW129" s="160">
        <f t="shared" si="147"/>
        <v>-10.529097012740223</v>
      </c>
      <c r="BX129" s="160">
        <f t="shared" si="147"/>
        <v>-21.083543260056761</v>
      </c>
      <c r="BY129" s="160">
        <f t="shared" si="147"/>
        <v>-20.550068012543694</v>
      </c>
      <c r="BZ129" s="160">
        <f t="shared" si="147"/>
        <v>-8.164388062397661</v>
      </c>
      <c r="CA129" s="160">
        <f t="shared" si="147"/>
        <v>-25.793693569358418</v>
      </c>
      <c r="CB129" s="160">
        <f t="shared" si="147"/>
        <v>-3.7054392614178302</v>
      </c>
      <c r="CC129" s="160">
        <f t="shared" si="147"/>
        <v>-21.817852996045271</v>
      </c>
      <c r="CD129" s="160">
        <f t="shared" si="147"/>
        <v>-30.24179191698969</v>
      </c>
      <c r="CE129" s="160">
        <f t="shared" si="147"/>
        <v>-22.934435378873133</v>
      </c>
      <c r="CF129" s="160">
        <f t="shared" si="147"/>
        <v>-29.814588420225721</v>
      </c>
      <c r="CG129" s="160">
        <f t="shared" si="147"/>
        <v>-19.168002165556121</v>
      </c>
      <c r="CH129" s="160">
        <f t="shared" si="147"/>
        <v>-21.901273127886444</v>
      </c>
      <c r="CI129" s="160">
        <f t="shared" si="147"/>
        <v>-25.637462093234323</v>
      </c>
      <c r="CJ129" s="160">
        <f t="shared" si="147"/>
        <v>-9.2064507141103977</v>
      </c>
      <c r="CK129" s="160">
        <f t="shared" si="147"/>
        <v>-15.365460885849668</v>
      </c>
      <c r="CL129" s="160">
        <f t="shared" si="147"/>
        <v>-6.015226315407924</v>
      </c>
      <c r="CM129" s="160">
        <f t="shared" si="147"/>
        <v>-11.491501510986431</v>
      </c>
      <c r="CN129" s="160">
        <f t="shared" si="147"/>
        <v>-19.514914012450443</v>
      </c>
      <c r="CO129" s="160">
        <f t="shared" si="147"/>
        <v>-18.899104468025552</v>
      </c>
      <c r="CP129" s="160">
        <f t="shared" si="147"/>
        <v>-14.599893417871408</v>
      </c>
      <c r="CQ129" s="160">
        <f t="shared" si="147"/>
        <v>-12.73870341188824</v>
      </c>
      <c r="CR129" s="160">
        <f t="shared" si="147"/>
        <v>-12.95606736411488</v>
      </c>
      <c r="CS129" s="160">
        <f t="shared" si="147"/>
        <v>-1.6226027161113561</v>
      </c>
      <c r="CT129" s="160">
        <f t="shared" si="147"/>
        <v>-6.8594459922360791</v>
      </c>
      <c r="CU129" s="160">
        <f t="shared" si="147"/>
        <v>-5.2990261181616871</v>
      </c>
      <c r="CV129" s="160">
        <f t="shared" si="147"/>
        <v>-5.6634587737317785</v>
      </c>
      <c r="CW129" s="160">
        <f t="shared" si="147"/>
        <v>-4.2592670096428726</v>
      </c>
      <c r="CX129" s="160">
        <f t="shared" si="147"/>
        <v>-3.3251303718062126</v>
      </c>
      <c r="CY129" s="160">
        <f t="shared" si="147"/>
        <v>-2.2084380006741835</v>
      </c>
      <c r="CZ129" s="160">
        <f t="shared" si="147"/>
        <v>0.70838138455932032</v>
      </c>
      <c r="DA129" s="160">
        <f t="shared" si="147"/>
        <v>0.84446269497032189</v>
      </c>
    </row>
    <row r="130" spans="5:105">
      <c r="E130" s="160"/>
      <c r="F130" s="160"/>
      <c r="G130" s="160"/>
      <c r="H130" s="160"/>
      <c r="I130" s="160"/>
      <c r="J130" s="160"/>
      <c r="K130" s="160"/>
      <c r="L130" s="160"/>
      <c r="M130" s="160"/>
      <c r="N130" s="160"/>
      <c r="O130" s="160"/>
      <c r="P130" s="160"/>
      <c r="Q130" s="160"/>
      <c r="R130" s="160"/>
      <c r="S130" s="160"/>
      <c r="T130" s="160"/>
      <c r="U130" s="160"/>
      <c r="V130" s="160"/>
      <c r="W130" s="160"/>
      <c r="X130" s="160"/>
      <c r="Y130" s="160"/>
      <c r="Z130" s="160"/>
      <c r="AA130" s="160"/>
      <c r="AB130" s="160"/>
      <c r="AC130" s="160"/>
      <c r="AD130" s="160"/>
      <c r="AE130" s="160"/>
      <c r="AF130" s="160"/>
      <c r="AG130" s="160"/>
      <c r="AH130" s="160"/>
      <c r="AI130" s="160"/>
      <c r="AJ130" s="160"/>
      <c r="AK130" s="160"/>
      <c r="AL130" s="160"/>
      <c r="AM130" s="160"/>
      <c r="AN130" s="160"/>
      <c r="AO130" s="160"/>
      <c r="AP130" s="160"/>
      <c r="AQ130" s="160"/>
      <c r="AR130" s="160"/>
      <c r="AS130" s="160"/>
      <c r="AT130" s="160"/>
      <c r="AU130" s="160"/>
      <c r="AV130" s="160"/>
      <c r="AW130" s="160"/>
      <c r="AX130" s="160"/>
      <c r="AY130" s="160"/>
      <c r="AZ130" s="160"/>
      <c r="BA130" s="160"/>
      <c r="BB130" s="160"/>
      <c r="BC130" s="160"/>
      <c r="BD130" s="160"/>
      <c r="BE130" s="160"/>
      <c r="BF130" s="160"/>
      <c r="BG130" s="160"/>
      <c r="BH130" s="160"/>
      <c r="BI130" s="160"/>
      <c r="BJ130" s="160"/>
      <c r="BK130" s="160"/>
      <c r="BL130" s="160"/>
      <c r="BM130" s="160"/>
      <c r="BN130" s="160"/>
      <c r="BO130" s="160"/>
      <c r="BP130" s="160"/>
      <c r="BQ130" s="160"/>
      <c r="BR130" s="160"/>
      <c r="BS130" s="160"/>
      <c r="BT130" s="160"/>
      <c r="BU130" s="160"/>
      <c r="BV130" s="160"/>
      <c r="BW130" s="160"/>
      <c r="BX130" s="160"/>
      <c r="BY130" s="160"/>
      <c r="BZ130" s="160"/>
      <c r="CA130" s="160"/>
      <c r="CB130" s="160"/>
      <c r="CC130" s="160"/>
      <c r="CD130" s="160"/>
      <c r="CE130" s="160"/>
      <c r="CF130" s="160"/>
      <c r="CG130" s="160"/>
      <c r="CH130" s="160"/>
      <c r="CI130" s="160"/>
      <c r="CJ130" s="160"/>
      <c r="CK130" s="160"/>
      <c r="CL130" s="160"/>
      <c r="CM130" s="160"/>
      <c r="CN130" s="160"/>
      <c r="CO130" s="160"/>
      <c r="CP130" s="160"/>
      <c r="CQ130" s="160"/>
      <c r="CR130" s="160"/>
      <c r="CS130" s="160"/>
      <c r="CT130" s="160"/>
      <c r="CU130" s="160"/>
      <c r="CV130" s="160"/>
      <c r="CW130" s="160"/>
      <c r="CX130" s="160"/>
      <c r="CY130" s="160"/>
      <c r="CZ130" s="160"/>
      <c r="DA130" s="160"/>
    </row>
    <row r="131" spans="5:105">
      <c r="E131" s="160"/>
      <c r="F131" s="160"/>
      <c r="G131" s="160"/>
      <c r="H131" s="160"/>
      <c r="I131" s="160"/>
      <c r="J131" s="160"/>
      <c r="K131" s="160"/>
      <c r="L131" s="160"/>
      <c r="M131" s="160"/>
      <c r="N131" s="160"/>
      <c r="O131" s="160"/>
      <c r="P131" s="160"/>
      <c r="Q131" s="160"/>
      <c r="R131" s="160"/>
      <c r="S131" s="160"/>
      <c r="T131" s="160"/>
      <c r="U131" s="160"/>
      <c r="V131" s="160"/>
      <c r="W131" s="160"/>
      <c r="X131" s="160"/>
      <c r="Y131" s="160"/>
      <c r="Z131" s="160"/>
      <c r="AA131" s="160"/>
      <c r="AB131" s="160"/>
      <c r="AC131" s="160"/>
      <c r="AD131" s="160"/>
      <c r="AE131" s="160"/>
      <c r="AF131" s="160"/>
      <c r="AG131" s="160"/>
      <c r="AH131" s="160"/>
      <c r="AI131" s="160"/>
      <c r="AJ131" s="160"/>
      <c r="AK131" s="160"/>
      <c r="AL131" s="160"/>
      <c r="AM131" s="160"/>
      <c r="AN131" s="160"/>
      <c r="AO131" s="160"/>
      <c r="AP131" s="160"/>
      <c r="AQ131" s="160"/>
      <c r="AR131" s="160"/>
      <c r="AS131" s="160"/>
      <c r="AT131" s="160"/>
      <c r="AU131" s="160"/>
      <c r="AV131" s="160"/>
      <c r="AW131" s="160"/>
      <c r="AX131" s="160"/>
      <c r="AY131" s="160"/>
      <c r="AZ131" s="160"/>
      <c r="BA131" s="160"/>
      <c r="BB131" s="160"/>
      <c r="BC131" s="160"/>
      <c r="BD131" s="160"/>
      <c r="BE131" s="160"/>
      <c r="BF131" s="160"/>
      <c r="BG131" s="160"/>
      <c r="BH131" s="160"/>
      <c r="BI131" s="160"/>
      <c r="BJ131" s="160"/>
      <c r="BK131" s="160"/>
      <c r="BL131" s="160"/>
      <c r="BM131" s="160"/>
      <c r="BN131" s="160"/>
      <c r="BO131" s="160"/>
      <c r="BP131" s="160"/>
      <c r="BQ131" s="160"/>
      <c r="BR131" s="160"/>
      <c r="BS131" s="160"/>
      <c r="BT131" s="160"/>
      <c r="BU131" s="160"/>
      <c r="BV131" s="160"/>
      <c r="BW131" s="160"/>
      <c r="BX131" s="160"/>
      <c r="BY131" s="160"/>
      <c r="BZ131" s="160"/>
      <c r="CA131" s="160"/>
      <c r="CB131" s="160"/>
      <c r="CC131" s="160"/>
      <c r="CD131" s="160"/>
      <c r="CE131" s="160"/>
      <c r="CF131" s="160"/>
      <c r="CG131" s="160"/>
      <c r="CH131" s="160"/>
      <c r="CI131" s="160"/>
      <c r="CJ131" s="160"/>
      <c r="CK131" s="160"/>
      <c r="CL131" s="160"/>
      <c r="CM131" s="160"/>
      <c r="CN131" s="160"/>
      <c r="CO131" s="160"/>
      <c r="CP131" s="160"/>
      <c r="CQ131" s="160"/>
      <c r="CR131" s="160"/>
      <c r="CS131" s="160"/>
      <c r="CT131" s="160"/>
      <c r="CU131" s="160"/>
      <c r="CV131" s="160"/>
      <c r="CW131" s="160"/>
      <c r="CX131" s="160"/>
      <c r="CY131" s="160"/>
      <c r="CZ131" s="160"/>
      <c r="DA131" s="160"/>
    </row>
    <row r="132" spans="5:105">
      <c r="E132" s="160" t="s">
        <v>238</v>
      </c>
      <c r="F132" s="160"/>
      <c r="G132" s="160"/>
      <c r="H132" s="160"/>
      <c r="I132" s="160"/>
      <c r="J132" s="160"/>
      <c r="K132" s="160"/>
      <c r="L132" s="160"/>
      <c r="M132" s="160"/>
      <c r="N132" s="160"/>
      <c r="O132" s="160"/>
      <c r="P132" s="160"/>
      <c r="Q132" s="160"/>
      <c r="R132" s="160"/>
      <c r="S132" s="160"/>
      <c r="T132" s="160"/>
      <c r="U132" s="160"/>
      <c r="V132" s="160"/>
      <c r="W132" s="160"/>
      <c r="X132" s="160"/>
      <c r="Y132" s="160"/>
      <c r="Z132" s="160"/>
      <c r="AA132" s="160"/>
      <c r="AB132" s="160"/>
      <c r="AC132" s="160"/>
      <c r="AD132" s="160"/>
      <c r="AE132" s="160"/>
      <c r="AF132" s="160"/>
      <c r="AG132" s="160"/>
      <c r="AH132" s="160"/>
      <c r="AI132" s="160"/>
      <c r="AJ132" s="160"/>
      <c r="AK132" s="160"/>
      <c r="AL132" s="160"/>
      <c r="AM132" s="160"/>
      <c r="AN132" s="160"/>
      <c r="AO132" s="160"/>
      <c r="AP132" s="160"/>
      <c r="AQ132" s="160"/>
      <c r="AR132" s="160"/>
      <c r="AS132" s="160"/>
      <c r="AT132" s="160"/>
      <c r="AU132" s="160"/>
      <c r="AV132" s="160"/>
      <c r="AW132" s="160"/>
      <c r="AX132" s="160"/>
      <c r="AY132" s="160"/>
      <c r="AZ132" s="160"/>
      <c r="BA132" s="160"/>
      <c r="BB132" s="160"/>
      <c r="BC132" s="160"/>
      <c r="BD132" s="160"/>
      <c r="BE132" s="160"/>
      <c r="BF132" s="160"/>
      <c r="BG132" s="160"/>
      <c r="BH132" s="160"/>
      <c r="BI132" s="160"/>
      <c r="BJ132" s="160"/>
      <c r="BK132" s="160"/>
      <c r="BL132" s="160"/>
      <c r="BM132" s="160"/>
      <c r="BN132" s="160"/>
      <c r="BO132" s="160"/>
      <c r="BP132" s="160"/>
      <c r="BQ132" s="160"/>
      <c r="BR132" s="160"/>
      <c r="BS132" s="160"/>
      <c r="BT132" s="160"/>
      <c r="BU132" s="160"/>
      <c r="BV132" s="160"/>
      <c r="BW132" s="160"/>
      <c r="BX132" s="160"/>
      <c r="BY132" s="160"/>
      <c r="BZ132" s="160"/>
      <c r="CA132" s="160"/>
      <c r="CB132" s="160"/>
      <c r="CC132" s="160"/>
      <c r="CD132" s="160"/>
      <c r="CE132" s="160"/>
      <c r="CF132" s="160"/>
      <c r="CG132" s="160"/>
      <c r="CH132" s="160"/>
      <c r="CI132" s="160"/>
      <c r="CJ132" s="160"/>
      <c r="CK132" s="160"/>
      <c r="CL132" s="160"/>
      <c r="CM132" s="160"/>
      <c r="CN132" s="160"/>
      <c r="CO132" s="160"/>
      <c r="CP132" s="160"/>
      <c r="CQ132" s="160"/>
      <c r="CR132" s="160"/>
      <c r="CS132" s="160"/>
      <c r="CT132" s="160"/>
      <c r="CU132" s="160"/>
      <c r="CV132" s="160"/>
      <c r="CW132" s="160"/>
      <c r="CX132" s="160"/>
      <c r="CY132" s="160"/>
      <c r="CZ132" s="160"/>
      <c r="DA132" s="160"/>
    </row>
    <row r="133" spans="5:105">
      <c r="E133" s="172" t="s">
        <v>107</v>
      </c>
      <c r="F133" s="168">
        <f t="shared" ref="F133:BQ135" si="148">F11</f>
        <v>115.01316616285051</v>
      </c>
      <c r="G133" s="168">
        <f t="shared" si="148"/>
        <v>79.700117018239524</v>
      </c>
      <c r="H133" s="168">
        <f t="shared" si="148"/>
        <v>38.825706808694882</v>
      </c>
      <c r="I133" s="168">
        <f t="shared" si="148"/>
        <v>7.1129639093576129</v>
      </c>
      <c r="J133" s="168">
        <f t="shared" si="148"/>
        <v>49.904392408069256</v>
      </c>
      <c r="K133" s="168">
        <f t="shared" si="148"/>
        <v>22.326331001061558</v>
      </c>
      <c r="L133" s="168">
        <f t="shared" si="148"/>
        <v>22.504946826671556</v>
      </c>
      <c r="M133" s="168">
        <f t="shared" si="148"/>
        <v>15.115724916720412</v>
      </c>
      <c r="N133" s="168">
        <f t="shared" si="148"/>
        <v>13.574124569564587</v>
      </c>
      <c r="O133" s="168">
        <f t="shared" si="148"/>
        <v>5.7303378556421274</v>
      </c>
      <c r="P133" s="168">
        <f t="shared" si="148"/>
        <v>65.043717014940256</v>
      </c>
      <c r="Q133" s="168">
        <f t="shared" si="148"/>
        <v>35.699824129841325</v>
      </c>
      <c r="R133" s="168">
        <f t="shared" si="148"/>
        <v>44.881063651453992</v>
      </c>
      <c r="S133" s="168">
        <f t="shared" si="148"/>
        <v>15.38372994927488</v>
      </c>
      <c r="T133" s="168">
        <f t="shared" si="148"/>
        <v>50.952206212108848</v>
      </c>
      <c r="U133" s="168">
        <f t="shared" si="148"/>
        <v>47.098788802606514</v>
      </c>
      <c r="V133" s="168">
        <f t="shared" si="148"/>
        <v>18.425318561822824</v>
      </c>
      <c r="W133" s="168">
        <f t="shared" si="148"/>
        <v>21.646481228875309</v>
      </c>
      <c r="X133" s="168">
        <f t="shared" si="148"/>
        <v>26.735160743908718</v>
      </c>
      <c r="Y133" s="168">
        <f t="shared" si="148"/>
        <v>53.300850269143837</v>
      </c>
      <c r="Z133" s="168">
        <f t="shared" si="148"/>
        <v>42.697095172273663</v>
      </c>
      <c r="AA133" s="168">
        <f t="shared" si="148"/>
        <v>86.727714064556068</v>
      </c>
      <c r="AB133" s="168">
        <f t="shared" si="148"/>
        <v>67.414620666038616</v>
      </c>
      <c r="AC133" s="168">
        <f t="shared" si="148"/>
        <v>91.006679435271437</v>
      </c>
      <c r="AD133" s="168">
        <f t="shared" si="148"/>
        <v>93.199520733258026</v>
      </c>
      <c r="AE133" s="168">
        <f t="shared" si="148"/>
        <v>52.370370433862377</v>
      </c>
      <c r="AF133" s="168">
        <f t="shared" si="148"/>
        <v>90.953784349703525</v>
      </c>
      <c r="AG133" s="168">
        <f t="shared" si="148"/>
        <v>48.899264888174237</v>
      </c>
      <c r="AH133" s="168">
        <f t="shared" si="148"/>
        <v>13.20895372521548</v>
      </c>
      <c r="AI133" s="168">
        <f t="shared" si="148"/>
        <v>79.186779060815709</v>
      </c>
      <c r="AJ133" s="168">
        <f t="shared" si="148"/>
        <v>34.932287642626612</v>
      </c>
      <c r="AK133" s="168">
        <f t="shared" si="148"/>
        <v>82.853117501402139</v>
      </c>
      <c r="AL133" s="168">
        <f t="shared" si="148"/>
        <v>53.385914776962757</v>
      </c>
      <c r="AM133" s="168">
        <f t="shared" si="148"/>
        <v>83.884115541936154</v>
      </c>
      <c r="AN133" s="168">
        <f t="shared" si="148"/>
        <v>33.067070279260228</v>
      </c>
      <c r="AO133" s="168">
        <f t="shared" si="148"/>
        <v>13.357857100488083</v>
      </c>
      <c r="AP133" s="168">
        <f t="shared" si="148"/>
        <v>61.241806524720204</v>
      </c>
      <c r="AQ133" s="168">
        <f t="shared" si="148"/>
        <v>17.406472573027227</v>
      </c>
      <c r="AR133" s="168">
        <f t="shared" si="148"/>
        <v>73.43378612171162</v>
      </c>
      <c r="AS133" s="168">
        <f t="shared" si="148"/>
        <v>8.3827007689380117</v>
      </c>
      <c r="AT133" s="168">
        <f t="shared" si="148"/>
        <v>17.564387592409389</v>
      </c>
      <c r="AU133" s="168">
        <f t="shared" si="148"/>
        <v>76.981854853602457</v>
      </c>
      <c r="AV133" s="168">
        <f t="shared" si="148"/>
        <v>36.682007182572207</v>
      </c>
      <c r="AW133" s="168">
        <f t="shared" si="148"/>
        <v>42.26411074915017</v>
      </c>
      <c r="AX133" s="168">
        <f t="shared" si="148"/>
        <v>5.6271596412119411</v>
      </c>
      <c r="AY133" s="168">
        <f t="shared" si="148"/>
        <v>23.799556515266712</v>
      </c>
      <c r="AZ133" s="168">
        <f t="shared" si="148"/>
        <v>34.799737771629324</v>
      </c>
      <c r="BA133" s="168">
        <f t="shared" si="148"/>
        <v>38.53688152491992</v>
      </c>
      <c r="BB133" s="168">
        <f t="shared" si="148"/>
        <v>50.798462356010781</v>
      </c>
      <c r="BC133" s="168">
        <f t="shared" si="148"/>
        <v>13.403569461336637</v>
      </c>
      <c r="BD133" s="168">
        <f t="shared" si="148"/>
        <v>19.169238530230093</v>
      </c>
      <c r="BE133" s="168">
        <f t="shared" si="148"/>
        <v>23.016595078953799</v>
      </c>
      <c r="BF133" s="168">
        <f t="shared" si="148"/>
        <v>9.0730563361822831</v>
      </c>
      <c r="BG133" s="168">
        <f t="shared" si="148"/>
        <v>12.097478048022779</v>
      </c>
      <c r="BH133" s="168">
        <f t="shared" si="148"/>
        <v>70.968436208684722</v>
      </c>
      <c r="BI133" s="168">
        <f t="shared" si="148"/>
        <v>61.286229485474109</v>
      </c>
      <c r="BJ133" s="168">
        <f t="shared" si="148"/>
        <v>33.647697902877496</v>
      </c>
      <c r="BK133" s="168">
        <f t="shared" si="148"/>
        <v>17.973853621331379</v>
      </c>
      <c r="BL133" s="168">
        <f t="shared" si="148"/>
        <v>14.989551957322043</v>
      </c>
      <c r="BM133" s="168">
        <f t="shared" si="148"/>
        <v>69.587089508028825</v>
      </c>
      <c r="BN133" s="168">
        <f t="shared" si="148"/>
        <v>76.666490628898259</v>
      </c>
      <c r="BO133" s="168">
        <f t="shared" si="148"/>
        <v>48.876749009783033</v>
      </c>
      <c r="BP133" s="168">
        <f t="shared" si="148"/>
        <v>36.039601420742862</v>
      </c>
      <c r="BQ133" s="168">
        <f t="shared" si="148"/>
        <v>8.3879405994665674</v>
      </c>
      <c r="BR133" s="168">
        <f t="shared" ref="BR133:DA135" si="149">BR11</f>
        <v>18.721063879258178</v>
      </c>
      <c r="BS133" s="168">
        <f t="shared" si="149"/>
        <v>10.191714087851414</v>
      </c>
      <c r="BT133" s="168">
        <f t="shared" si="149"/>
        <v>9.4993695699779703</v>
      </c>
      <c r="BU133" s="168">
        <f t="shared" si="149"/>
        <v>11.253233899308064</v>
      </c>
      <c r="BV133" s="168">
        <f t="shared" si="149"/>
        <v>28.138577011984687</v>
      </c>
      <c r="BW133" s="168">
        <f t="shared" si="149"/>
        <v>19.518554972396945</v>
      </c>
      <c r="BX133" s="168">
        <f t="shared" si="149"/>
        <v>39.040194294090028</v>
      </c>
      <c r="BY133" s="168">
        <f t="shared" si="149"/>
        <v>6.6370041541359281</v>
      </c>
      <c r="BZ133" s="168">
        <f t="shared" si="149"/>
        <v>51.654333983753531</v>
      </c>
      <c r="CA133" s="168">
        <f t="shared" si="149"/>
        <v>19.834653994108553</v>
      </c>
      <c r="CB133" s="168">
        <f t="shared" si="149"/>
        <v>5.3456174803882677</v>
      </c>
      <c r="CC133" s="168">
        <f t="shared" si="149"/>
        <v>6.3009283708237351</v>
      </c>
      <c r="CD133" s="168">
        <f t="shared" si="149"/>
        <v>13.371840536624674</v>
      </c>
      <c r="CE133" s="168">
        <f t="shared" si="149"/>
        <v>11.829188189593703</v>
      </c>
      <c r="CF133" s="168">
        <f t="shared" si="149"/>
        <v>11.791984803568937</v>
      </c>
      <c r="CG133" s="168">
        <f t="shared" si="149"/>
        <v>45.053930772297093</v>
      </c>
      <c r="CH133" s="168">
        <f t="shared" si="149"/>
        <v>34.776726464095148</v>
      </c>
      <c r="CI133" s="168">
        <f t="shared" si="149"/>
        <v>12.965588785478435</v>
      </c>
      <c r="CJ133" s="168">
        <f t="shared" si="149"/>
        <v>76.423582314548881</v>
      </c>
      <c r="CK133" s="168">
        <f t="shared" si="149"/>
        <v>47.546689201270233</v>
      </c>
      <c r="CL133" s="168">
        <f t="shared" si="149"/>
        <v>5.2785135946067365</v>
      </c>
      <c r="CM133" s="168">
        <f t="shared" si="149"/>
        <v>11.870530146943432</v>
      </c>
      <c r="CN133" s="168">
        <f t="shared" si="149"/>
        <v>34.528631046229485</v>
      </c>
      <c r="CO133" s="168">
        <f t="shared" si="149"/>
        <v>11.701457666573575</v>
      </c>
      <c r="CP133" s="168">
        <f t="shared" si="149"/>
        <v>34.05942481709949</v>
      </c>
      <c r="CQ133" s="168">
        <f t="shared" si="149"/>
        <v>11.379343567512255</v>
      </c>
      <c r="CR133" s="168">
        <f t="shared" si="149"/>
        <v>16.132612231229924</v>
      </c>
      <c r="CS133" s="168">
        <f t="shared" si="149"/>
        <v>61.077435057253844</v>
      </c>
      <c r="CT133" s="168">
        <f t="shared" si="149"/>
        <v>24.393758936984675</v>
      </c>
      <c r="CU133" s="168">
        <f t="shared" si="149"/>
        <v>39.306302840985339</v>
      </c>
      <c r="CV133" s="168">
        <f t="shared" si="149"/>
        <v>11.626039771023324</v>
      </c>
      <c r="CW133" s="168">
        <f t="shared" si="149"/>
        <v>44.245074933830246</v>
      </c>
      <c r="CX133" s="168">
        <f t="shared" si="149"/>
        <v>60.394128783383742</v>
      </c>
      <c r="CY133" s="168">
        <f t="shared" si="149"/>
        <v>27.013345471356196</v>
      </c>
      <c r="CZ133" s="168">
        <f t="shared" si="149"/>
        <v>43.557688633149404</v>
      </c>
      <c r="DA133" s="168">
        <f t="shared" si="149"/>
        <v>25.038611764892376</v>
      </c>
    </row>
    <row r="134" spans="5:105">
      <c r="E134" s="172" t="s">
        <v>108</v>
      </c>
      <c r="F134" s="168">
        <f t="shared" si="148"/>
        <v>100</v>
      </c>
      <c r="G134" s="168">
        <f t="shared" si="148"/>
        <v>63.561172251121938</v>
      </c>
      <c r="H134" s="168">
        <f t="shared" si="148"/>
        <v>26.430772092998893</v>
      </c>
      <c r="I134" s="168">
        <f t="shared" si="148"/>
        <v>5.4304810851266909</v>
      </c>
      <c r="J134" s="168">
        <f t="shared" si="148"/>
        <v>38.645260522950231</v>
      </c>
      <c r="K134" s="168">
        <f t="shared" si="148"/>
        <v>14.680492826022517</v>
      </c>
      <c r="L134" s="168">
        <f t="shared" si="148"/>
        <v>17.343498353858813</v>
      </c>
      <c r="M134" s="168">
        <f t="shared" si="148"/>
        <v>9.5713785999783259</v>
      </c>
      <c r="N134" s="168">
        <f t="shared" si="148"/>
        <v>8.9812213597707764</v>
      </c>
      <c r="O134" s="168">
        <f t="shared" si="148"/>
        <v>4.7795296795527058</v>
      </c>
      <c r="P134" s="168">
        <f t="shared" si="148"/>
        <v>45.682720524932591</v>
      </c>
      <c r="Q134" s="168">
        <f t="shared" si="148"/>
        <v>24.880172150422084</v>
      </c>
      <c r="R134" s="168">
        <f t="shared" si="148"/>
        <v>30.913300751234285</v>
      </c>
      <c r="S134" s="168">
        <f t="shared" si="148"/>
        <v>11.091611011629345</v>
      </c>
      <c r="T134" s="168">
        <f t="shared" si="148"/>
        <v>42.880440204502172</v>
      </c>
      <c r="U134" s="168">
        <f t="shared" si="148"/>
        <v>37.811331373574788</v>
      </c>
      <c r="V134" s="168">
        <f t="shared" si="148"/>
        <v>14.111220567019101</v>
      </c>
      <c r="W134" s="168">
        <f t="shared" si="148"/>
        <v>17.046666292355393</v>
      </c>
      <c r="X134" s="168">
        <f t="shared" si="148"/>
        <v>21.424587826013223</v>
      </c>
      <c r="Y134" s="168">
        <f t="shared" si="148"/>
        <v>42.595374323187748</v>
      </c>
      <c r="Z134" s="168">
        <f t="shared" si="148"/>
        <v>31.417807733285709</v>
      </c>
      <c r="AA134" s="168">
        <f t="shared" si="148"/>
        <v>70.278363736602373</v>
      </c>
      <c r="AB134" s="168">
        <f t="shared" si="148"/>
        <v>53.327876591422473</v>
      </c>
      <c r="AC134" s="168">
        <f t="shared" si="148"/>
        <v>78.620687113653318</v>
      </c>
      <c r="AD134" s="168">
        <f t="shared" si="148"/>
        <v>79.562578897408528</v>
      </c>
      <c r="AE134" s="168">
        <f t="shared" si="148"/>
        <v>43.733090157059749</v>
      </c>
      <c r="AF134" s="168">
        <f t="shared" si="148"/>
        <v>76.953129271411029</v>
      </c>
      <c r="AG134" s="168">
        <f t="shared" si="148"/>
        <v>42.6922382023414</v>
      </c>
      <c r="AH134" s="168">
        <f t="shared" si="148"/>
        <v>11.616477213969425</v>
      </c>
      <c r="AI134" s="168">
        <f t="shared" si="148"/>
        <v>68.93249012405721</v>
      </c>
      <c r="AJ134" s="168">
        <f t="shared" si="148"/>
        <v>30.358820129074712</v>
      </c>
      <c r="AK134" s="168">
        <f t="shared" si="148"/>
        <v>72.557228987398773</v>
      </c>
      <c r="AL134" s="168">
        <f t="shared" si="148"/>
        <v>47.533872562554556</v>
      </c>
      <c r="AM134" s="168">
        <f t="shared" si="148"/>
        <v>73.82022508081036</v>
      </c>
      <c r="AN134" s="168">
        <f t="shared" si="148"/>
        <v>29.862103807581128</v>
      </c>
      <c r="AO134" s="168">
        <f t="shared" si="148"/>
        <v>12.105004182250113</v>
      </c>
      <c r="AP134" s="168">
        <f t="shared" si="148"/>
        <v>53.626041405377613</v>
      </c>
      <c r="AQ134" s="168">
        <f t="shared" si="148"/>
        <v>16.311868104199192</v>
      </c>
      <c r="AR134" s="168">
        <f t="shared" si="148"/>
        <v>65.600408921090505</v>
      </c>
      <c r="AS134" s="168">
        <f t="shared" si="148"/>
        <v>7.3980862101131537</v>
      </c>
      <c r="AT134" s="168">
        <f t="shared" si="148"/>
        <v>15.700578090324058</v>
      </c>
      <c r="AU134" s="168">
        <f t="shared" si="148"/>
        <v>68.427489541304311</v>
      </c>
      <c r="AV134" s="168">
        <f t="shared" si="148"/>
        <v>36.875674705323824</v>
      </c>
      <c r="AW134" s="168">
        <f t="shared" si="148"/>
        <v>41.879399504290681</v>
      </c>
      <c r="AX134" s="168">
        <f t="shared" si="148"/>
        <v>4.93103386362601</v>
      </c>
      <c r="AY134" s="168">
        <f t="shared" si="148"/>
        <v>24.231275553404142</v>
      </c>
      <c r="AZ134" s="168">
        <f t="shared" si="148"/>
        <v>33.500395764225232</v>
      </c>
      <c r="BA134" s="168">
        <f t="shared" si="148"/>
        <v>35.815469631804199</v>
      </c>
      <c r="BB134" s="168">
        <f t="shared" si="148"/>
        <v>50.279555967746269</v>
      </c>
      <c r="BC134" s="168">
        <f t="shared" si="148"/>
        <v>13.656794382030423</v>
      </c>
      <c r="BD134" s="168">
        <f t="shared" si="148"/>
        <v>19.064812826893188</v>
      </c>
      <c r="BE134" s="168">
        <f t="shared" si="148"/>
        <v>22.102192788374321</v>
      </c>
      <c r="BF134" s="168">
        <f t="shared" si="148"/>
        <v>9.5970020760941139</v>
      </c>
      <c r="BG134" s="168">
        <f t="shared" si="148"/>
        <v>14.467154258583578</v>
      </c>
      <c r="BH134" s="168">
        <f t="shared" si="148"/>
        <v>66.300317423088131</v>
      </c>
      <c r="BI134" s="168">
        <f t="shared" si="148"/>
        <v>57.860535650817837</v>
      </c>
      <c r="BJ134" s="168">
        <f t="shared" si="148"/>
        <v>36.206812687199026</v>
      </c>
      <c r="BK134" s="168">
        <f t="shared" si="148"/>
        <v>20.8357184059522</v>
      </c>
      <c r="BL134" s="168">
        <f t="shared" si="148"/>
        <v>17.657069587574302</v>
      </c>
      <c r="BM134" s="168">
        <f t="shared" si="148"/>
        <v>64.349231413332205</v>
      </c>
      <c r="BN134" s="168">
        <f t="shared" si="148"/>
        <v>67.939144219950393</v>
      </c>
      <c r="BO134" s="168">
        <f t="shared" si="148"/>
        <v>44.938197359400952</v>
      </c>
      <c r="BP134" s="168">
        <f t="shared" si="148"/>
        <v>32.050728197028221</v>
      </c>
      <c r="BQ134" s="168">
        <f t="shared" si="148"/>
        <v>7.1536581885080199</v>
      </c>
      <c r="BR134" s="168">
        <f t="shared" si="149"/>
        <v>20.332342073791953</v>
      </c>
      <c r="BS134" s="168">
        <f t="shared" si="149"/>
        <v>9.839012736602184</v>
      </c>
      <c r="BT134" s="168">
        <f t="shared" si="149"/>
        <v>10.149100576050152</v>
      </c>
      <c r="BU134" s="168">
        <f t="shared" si="149"/>
        <v>11.929444670941162</v>
      </c>
      <c r="BV134" s="168">
        <f t="shared" si="149"/>
        <v>26.290242831511137</v>
      </c>
      <c r="BW134" s="168">
        <f t="shared" si="149"/>
        <v>17.149603741210726</v>
      </c>
      <c r="BX134" s="168">
        <f t="shared" si="149"/>
        <v>36.197305961288244</v>
      </c>
      <c r="BY134" s="168">
        <f t="shared" si="149"/>
        <v>6.1411134178368147</v>
      </c>
      <c r="BZ134" s="168">
        <f t="shared" si="149"/>
        <v>45.55714994862381</v>
      </c>
      <c r="CA134" s="168">
        <f t="shared" si="149"/>
        <v>18.996464201330795</v>
      </c>
      <c r="CB134" s="168">
        <f t="shared" si="149"/>
        <v>4.6937315284062233</v>
      </c>
      <c r="CC134" s="168">
        <f t="shared" si="149"/>
        <v>5.6402099179811058</v>
      </c>
      <c r="CD134" s="168">
        <f t="shared" si="149"/>
        <v>11.334263322465214</v>
      </c>
      <c r="CE134" s="168">
        <f t="shared" si="149"/>
        <v>10.525510956489772</v>
      </c>
      <c r="CF134" s="168">
        <f t="shared" si="149"/>
        <v>9.9734469384018638</v>
      </c>
      <c r="CG134" s="168">
        <f t="shared" si="149"/>
        <v>39.033532664422033</v>
      </c>
      <c r="CH134" s="168">
        <f t="shared" si="149"/>
        <v>29.003633648641145</v>
      </c>
      <c r="CI134" s="168">
        <f t="shared" si="149"/>
        <v>10.017773509495481</v>
      </c>
      <c r="CJ134" s="168">
        <f t="shared" si="149"/>
        <v>65.770441084462561</v>
      </c>
      <c r="CK134" s="168">
        <f t="shared" si="149"/>
        <v>40.039047978698392</v>
      </c>
      <c r="CL134" s="168">
        <f t="shared" si="149"/>
        <v>4.2916562781611365</v>
      </c>
      <c r="CM134" s="168">
        <f t="shared" si="149"/>
        <v>9.7913509842162476</v>
      </c>
      <c r="CN134" s="168">
        <f t="shared" si="149"/>
        <v>27.743292683760718</v>
      </c>
      <c r="CO134" s="168">
        <f t="shared" si="149"/>
        <v>8.2099740147845477</v>
      </c>
      <c r="CP134" s="168">
        <f t="shared" si="149"/>
        <v>25.301354567295441</v>
      </c>
      <c r="CQ134" s="168">
        <f t="shared" si="149"/>
        <v>8.2604744341423846</v>
      </c>
      <c r="CR134" s="168">
        <f t="shared" si="149"/>
        <v>11.204824689038942</v>
      </c>
      <c r="CS134" s="168">
        <f t="shared" si="149"/>
        <v>52.405303995748696</v>
      </c>
      <c r="CT134" s="168">
        <f t="shared" si="149"/>
        <v>19.179326154048887</v>
      </c>
      <c r="CU134" s="168">
        <f t="shared" si="149"/>
        <v>31.811643088608584</v>
      </c>
      <c r="CV134" s="168">
        <f t="shared" si="149"/>
        <v>8.2808452185484409</v>
      </c>
      <c r="CW134" s="168">
        <f t="shared" si="149"/>
        <v>34.545428049373811</v>
      </c>
      <c r="CX134" s="168">
        <f t="shared" si="149"/>
        <v>47.88600543182757</v>
      </c>
      <c r="CY134" s="168">
        <f t="shared" si="149"/>
        <v>19.561883389796563</v>
      </c>
      <c r="CZ134" s="168">
        <f t="shared" si="149"/>
        <v>29.976711251021552</v>
      </c>
      <c r="DA134" s="168">
        <f t="shared" si="149"/>
        <v>16.171703735526883</v>
      </c>
    </row>
    <row r="135" spans="5:105">
      <c r="E135" s="172" t="s">
        <v>111</v>
      </c>
      <c r="F135" s="168">
        <f t="shared" si="148"/>
        <v>40.999669335399368</v>
      </c>
      <c r="G135" s="168">
        <f t="shared" si="148"/>
        <v>25.759298137780416</v>
      </c>
      <c r="H135" s="168">
        <f t="shared" si="148"/>
        <v>9.9757678249898483</v>
      </c>
      <c r="I135" s="168">
        <f t="shared" si="148"/>
        <v>2.0516540010792728</v>
      </c>
      <c r="J135" s="168">
        <f t="shared" si="148"/>
        <v>12.974572997892279</v>
      </c>
      <c r="K135" s="168">
        <f t="shared" si="148"/>
        <v>4.4921376011258038</v>
      </c>
      <c r="L135" s="168">
        <f t="shared" si="148"/>
        <v>5.4010943791385566</v>
      </c>
      <c r="M135" s="168">
        <f t="shared" si="148"/>
        <v>2.3098878140799894</v>
      </c>
      <c r="N135" s="168">
        <f t="shared" si="148"/>
        <v>2.3582001240302457</v>
      </c>
      <c r="O135" s="168">
        <f t="shared" si="148"/>
        <v>1.9150262764953743</v>
      </c>
      <c r="P135" s="168">
        <f t="shared" si="148"/>
        <v>7.6755638960513473</v>
      </c>
      <c r="Q135" s="168">
        <f t="shared" si="148"/>
        <v>3.2050558128009135</v>
      </c>
      <c r="R135" s="168">
        <f t="shared" si="148"/>
        <v>3.8064567762878219</v>
      </c>
      <c r="S135" s="168">
        <f t="shared" si="148"/>
        <v>1.9304392705688866</v>
      </c>
      <c r="T135" s="168">
        <f t="shared" si="148"/>
        <v>14.551622193575547</v>
      </c>
      <c r="U135" s="168">
        <f t="shared" si="148"/>
        <v>9.9194398012515403</v>
      </c>
      <c r="V135" s="168">
        <f t="shared" si="148"/>
        <v>2.0740130416938212</v>
      </c>
      <c r="W135" s="168">
        <f t="shared" si="148"/>
        <v>2.3422107972379314</v>
      </c>
      <c r="X135" s="168">
        <f t="shared" si="148"/>
        <v>4.3684676284745594</v>
      </c>
      <c r="Y135" s="168">
        <f t="shared" si="148"/>
        <v>5.1184530010804297</v>
      </c>
      <c r="Z135" s="168">
        <f t="shared" si="148"/>
        <v>1.5855548398650241</v>
      </c>
      <c r="AA135" s="168">
        <f t="shared" si="148"/>
        <v>7.2084223243402157</v>
      </c>
      <c r="AB135" s="168">
        <f t="shared" si="148"/>
        <v>4.0362242648451661</v>
      </c>
      <c r="AC135" s="168">
        <f t="shared" si="148"/>
        <v>21.569006881366256</v>
      </c>
      <c r="AD135" s="168">
        <f t="shared" si="148"/>
        <v>11.90860561517891</v>
      </c>
      <c r="AE135" s="168">
        <f t="shared" si="148"/>
        <v>2.3789313893117199</v>
      </c>
      <c r="AF135" s="168">
        <f t="shared" si="148"/>
        <v>7.8203495417736129</v>
      </c>
      <c r="AG135" s="168">
        <f t="shared" si="148"/>
        <v>9.2427459907961858</v>
      </c>
      <c r="AH135" s="168">
        <f t="shared" si="148"/>
        <v>1.9547684271000438</v>
      </c>
      <c r="AI135" s="168">
        <f t="shared" si="148"/>
        <v>5.7142917047128776</v>
      </c>
      <c r="AJ135" s="168">
        <f t="shared" si="148"/>
        <v>4.226662220500665</v>
      </c>
      <c r="AK135" s="168">
        <f t="shared" si="148"/>
        <v>6.5886241155775345</v>
      </c>
      <c r="AL135" s="168">
        <f t="shared" si="148"/>
        <v>2.7796198497570344</v>
      </c>
      <c r="AM135" s="168">
        <f t="shared" si="148"/>
        <v>12.774980413645828</v>
      </c>
      <c r="AN135" s="168">
        <f t="shared" si="148"/>
        <v>2.1243563227010056</v>
      </c>
      <c r="AO135" s="168">
        <f t="shared" si="148"/>
        <v>2.0922411836078809</v>
      </c>
      <c r="AP135" s="168">
        <f t="shared" si="148"/>
        <v>16.346470428715243</v>
      </c>
      <c r="AQ135" s="168">
        <f t="shared" si="148"/>
        <v>2.2784522533182288</v>
      </c>
      <c r="AR135" s="168">
        <f t="shared" si="148"/>
        <v>12.367259602724301</v>
      </c>
      <c r="AS135" s="168">
        <f t="shared" si="148"/>
        <v>2.1562446633591437</v>
      </c>
      <c r="AT135" s="168">
        <f t="shared" si="148"/>
        <v>3.5867429301935472</v>
      </c>
      <c r="AU135" s="168">
        <f t="shared" si="148"/>
        <v>21.239833764265516</v>
      </c>
      <c r="AV135" s="168">
        <f t="shared" si="148"/>
        <v>3.2144713288176261</v>
      </c>
      <c r="AW135" s="168">
        <f t="shared" si="148"/>
        <v>3.1213367214187717</v>
      </c>
      <c r="AX135" s="168">
        <f t="shared" si="148"/>
        <v>1.9148416683419549</v>
      </c>
      <c r="AY135" s="168">
        <f t="shared" si="148"/>
        <v>3.2957258875610798</v>
      </c>
      <c r="AZ135" s="168">
        <f t="shared" si="148"/>
        <v>6.4442455895946829</v>
      </c>
      <c r="BA135" s="168">
        <f t="shared" si="148"/>
        <v>8.7954817854528304</v>
      </c>
      <c r="BB135" s="168">
        <f t="shared" si="148"/>
        <v>9.7629763257596398</v>
      </c>
      <c r="BC135" s="168">
        <f t="shared" si="148"/>
        <v>2.4903602821849171</v>
      </c>
      <c r="BD135" s="168">
        <f t="shared" si="148"/>
        <v>5.7324422226646643</v>
      </c>
      <c r="BE135" s="168">
        <f t="shared" si="148"/>
        <v>7.2598073666464762</v>
      </c>
      <c r="BF135" s="168">
        <f t="shared" si="148"/>
        <v>2.764378553786992</v>
      </c>
      <c r="BG135" s="168">
        <f t="shared" si="148"/>
        <v>4.6832934330988616</v>
      </c>
      <c r="BH135" s="168">
        <f t="shared" si="148"/>
        <v>26.007765557761847</v>
      </c>
      <c r="BI135" s="168">
        <f t="shared" si="148"/>
        <v>23.583639423331128</v>
      </c>
      <c r="BJ135" s="168">
        <f t="shared" si="148"/>
        <v>15.42379321176643</v>
      </c>
      <c r="BK135" s="168">
        <f t="shared" si="148"/>
        <v>8.9483434283230547</v>
      </c>
      <c r="BL135" s="168">
        <f t="shared" si="148"/>
        <v>8.4166740805634159</v>
      </c>
      <c r="BM135" s="168">
        <f t="shared" si="148"/>
        <v>28.108141655630472</v>
      </c>
      <c r="BN135" s="168">
        <f t="shared" si="148"/>
        <v>28.669340465796314</v>
      </c>
      <c r="BO135" s="168">
        <f t="shared" si="148"/>
        <v>20.932325517324848</v>
      </c>
      <c r="BP135" s="168">
        <f t="shared" si="148"/>
        <v>13.222938605677767</v>
      </c>
      <c r="BQ135" s="168">
        <f t="shared" si="148"/>
        <v>2.8942641679983967</v>
      </c>
      <c r="BR135" s="168">
        <f t="shared" si="149"/>
        <v>14.032162667857337</v>
      </c>
      <c r="BS135" s="168">
        <f t="shared" si="149"/>
        <v>5.3456374721932436</v>
      </c>
      <c r="BT135" s="168">
        <f t="shared" si="149"/>
        <v>8.3842240413535318</v>
      </c>
      <c r="BU135" s="168">
        <f t="shared" si="149"/>
        <v>10.218689426044723</v>
      </c>
      <c r="BV135" s="168">
        <f t="shared" si="149"/>
        <v>16.956614312061362</v>
      </c>
      <c r="BW135" s="168">
        <f t="shared" si="149"/>
        <v>9.5534246863743419</v>
      </c>
      <c r="BX135" s="168">
        <f t="shared" si="149"/>
        <v>26.770166194805579</v>
      </c>
      <c r="BY135" s="168">
        <f t="shared" si="149"/>
        <v>5.7413202394738798</v>
      </c>
      <c r="BZ135" s="168">
        <f t="shared" si="149"/>
        <v>21.733400103209579</v>
      </c>
      <c r="CA135" s="168">
        <f t="shared" si="149"/>
        <v>20.511847944975749</v>
      </c>
      <c r="CB135" s="168">
        <f t="shared" si="149"/>
        <v>2.045228332280367</v>
      </c>
      <c r="CC135" s="168">
        <f t="shared" si="149"/>
        <v>5.6116381610196031</v>
      </c>
      <c r="CD135" s="168">
        <f t="shared" si="149"/>
        <v>17.916850442712775</v>
      </c>
      <c r="CE135" s="168">
        <f t="shared" si="149"/>
        <v>10.788719370146042</v>
      </c>
      <c r="CF135" s="168">
        <f t="shared" si="149"/>
        <v>15.293512381373816</v>
      </c>
      <c r="CG135" s="168">
        <f t="shared" si="149"/>
        <v>26.417792838812296</v>
      </c>
      <c r="CH135" s="168">
        <f t="shared" si="149"/>
        <v>22.558677363633276</v>
      </c>
      <c r="CI135" s="168">
        <f t="shared" si="149"/>
        <v>13.579596072918092</v>
      </c>
      <c r="CJ135" s="168">
        <f t="shared" si="149"/>
        <v>31.865749080809906</v>
      </c>
      <c r="CK135" s="168">
        <f t="shared" si="149"/>
        <v>24.251837957496207</v>
      </c>
      <c r="CL135" s="168">
        <f t="shared" si="149"/>
        <v>2.3967021465698988</v>
      </c>
      <c r="CM135" s="168">
        <f t="shared" si="149"/>
        <v>6.1642140246903052</v>
      </c>
      <c r="CN135" s="168">
        <f t="shared" si="149"/>
        <v>23.081968014794704</v>
      </c>
      <c r="CO135" s="168">
        <f t="shared" si="149"/>
        <v>8.7819288514514913</v>
      </c>
      <c r="CP135" s="168">
        <f t="shared" si="149"/>
        <v>19.05811787865289</v>
      </c>
      <c r="CQ135" s="168">
        <f t="shared" si="149"/>
        <v>6.8315797487873215</v>
      </c>
      <c r="CR135" s="168">
        <f t="shared" si="149"/>
        <v>9.6595940871934101</v>
      </c>
      <c r="CS135" s="168">
        <f t="shared" si="149"/>
        <v>21.336475170190081</v>
      </c>
      <c r="CT135" s="168">
        <f t="shared" si="149"/>
        <v>10.935255027157346</v>
      </c>
      <c r="CU135" s="168">
        <f t="shared" si="149"/>
        <v>15.765385295665538</v>
      </c>
      <c r="CV135" s="168">
        <f t="shared" si="149"/>
        <v>5.5783001682301236</v>
      </c>
      <c r="CW135" s="168">
        <f t="shared" si="149"/>
        <v>17.299285210258187</v>
      </c>
      <c r="CX135" s="168">
        <f t="shared" si="149"/>
        <v>22.836601823472151</v>
      </c>
      <c r="CY135" s="168">
        <f t="shared" si="149"/>
        <v>9.0211386694933768</v>
      </c>
      <c r="CZ135" s="168">
        <f t="shared" si="149"/>
        <v>13.517956139213135</v>
      </c>
      <c r="DA135" s="168">
        <f t="shared" si="149"/>
        <v>8.1995617529154572</v>
      </c>
    </row>
    <row r="136" spans="5:105">
      <c r="E136" s="172" t="s">
        <v>282</v>
      </c>
      <c r="F136" s="168">
        <f t="shared" ref="F136:BQ138" si="150">$F11</f>
        <v>115.01316616285051</v>
      </c>
      <c r="G136" s="168">
        <f t="shared" si="150"/>
        <v>115.01316616285051</v>
      </c>
      <c r="H136" s="168">
        <f t="shared" si="150"/>
        <v>115.01316616285051</v>
      </c>
      <c r="I136" s="168">
        <f t="shared" si="150"/>
        <v>115.01316616285051</v>
      </c>
      <c r="J136" s="168">
        <f t="shared" si="150"/>
        <v>115.01316616285051</v>
      </c>
      <c r="K136" s="168">
        <f t="shared" si="150"/>
        <v>115.01316616285051</v>
      </c>
      <c r="L136" s="168">
        <f t="shared" si="150"/>
        <v>115.01316616285051</v>
      </c>
      <c r="M136" s="168">
        <f t="shared" si="150"/>
        <v>115.01316616285051</v>
      </c>
      <c r="N136" s="168">
        <f t="shared" si="150"/>
        <v>115.01316616285051</v>
      </c>
      <c r="O136" s="168">
        <f t="shared" si="150"/>
        <v>115.01316616285051</v>
      </c>
      <c r="P136" s="168">
        <f t="shared" si="150"/>
        <v>115.01316616285051</v>
      </c>
      <c r="Q136" s="168">
        <f t="shared" si="150"/>
        <v>115.01316616285051</v>
      </c>
      <c r="R136" s="168">
        <f t="shared" si="150"/>
        <v>115.01316616285051</v>
      </c>
      <c r="S136" s="168">
        <f t="shared" si="150"/>
        <v>115.01316616285051</v>
      </c>
      <c r="T136" s="168">
        <f t="shared" si="150"/>
        <v>115.01316616285051</v>
      </c>
      <c r="U136" s="168">
        <f t="shared" si="150"/>
        <v>115.01316616285051</v>
      </c>
      <c r="V136" s="168">
        <f t="shared" si="150"/>
        <v>115.01316616285051</v>
      </c>
      <c r="W136" s="168">
        <f t="shared" si="150"/>
        <v>115.01316616285051</v>
      </c>
      <c r="X136" s="168">
        <f t="shared" si="150"/>
        <v>115.01316616285051</v>
      </c>
      <c r="Y136" s="168">
        <f t="shared" si="150"/>
        <v>115.01316616285051</v>
      </c>
      <c r="Z136" s="168">
        <f t="shared" si="150"/>
        <v>115.01316616285051</v>
      </c>
      <c r="AA136" s="168">
        <f t="shared" si="150"/>
        <v>115.01316616285051</v>
      </c>
      <c r="AB136" s="168">
        <f t="shared" si="150"/>
        <v>115.01316616285051</v>
      </c>
      <c r="AC136" s="168">
        <f t="shared" si="150"/>
        <v>115.01316616285051</v>
      </c>
      <c r="AD136" s="168">
        <f t="shared" si="150"/>
        <v>115.01316616285051</v>
      </c>
      <c r="AE136" s="168">
        <f t="shared" si="150"/>
        <v>115.01316616285051</v>
      </c>
      <c r="AF136" s="168">
        <f t="shared" si="150"/>
        <v>115.01316616285051</v>
      </c>
      <c r="AG136" s="168">
        <f t="shared" si="150"/>
        <v>115.01316616285051</v>
      </c>
      <c r="AH136" s="168">
        <f t="shared" si="150"/>
        <v>115.01316616285051</v>
      </c>
      <c r="AI136" s="168">
        <f t="shared" si="150"/>
        <v>115.01316616285051</v>
      </c>
      <c r="AJ136" s="168">
        <f t="shared" si="150"/>
        <v>115.01316616285051</v>
      </c>
      <c r="AK136" s="168">
        <f t="shared" si="150"/>
        <v>115.01316616285051</v>
      </c>
      <c r="AL136" s="168">
        <f t="shared" si="150"/>
        <v>115.01316616285051</v>
      </c>
      <c r="AM136" s="168">
        <f t="shared" si="150"/>
        <v>115.01316616285051</v>
      </c>
      <c r="AN136" s="168">
        <f t="shared" si="150"/>
        <v>115.01316616285051</v>
      </c>
      <c r="AO136" s="168">
        <f t="shared" si="150"/>
        <v>115.01316616285051</v>
      </c>
      <c r="AP136" s="168">
        <f t="shared" si="150"/>
        <v>115.01316616285051</v>
      </c>
      <c r="AQ136" s="168">
        <f t="shared" si="150"/>
        <v>115.01316616285051</v>
      </c>
      <c r="AR136" s="168">
        <f t="shared" si="150"/>
        <v>115.01316616285051</v>
      </c>
      <c r="AS136" s="168">
        <f t="shared" si="150"/>
        <v>115.01316616285051</v>
      </c>
      <c r="AT136" s="168">
        <f t="shared" si="150"/>
        <v>115.01316616285051</v>
      </c>
      <c r="AU136" s="168">
        <f t="shared" si="150"/>
        <v>115.01316616285051</v>
      </c>
      <c r="AV136" s="168">
        <f t="shared" si="150"/>
        <v>115.01316616285051</v>
      </c>
      <c r="AW136" s="168">
        <f t="shared" si="150"/>
        <v>115.01316616285051</v>
      </c>
      <c r="AX136" s="168">
        <f t="shared" si="150"/>
        <v>115.01316616285051</v>
      </c>
      <c r="AY136" s="168">
        <f t="shared" si="150"/>
        <v>115.01316616285051</v>
      </c>
      <c r="AZ136" s="168">
        <f t="shared" si="150"/>
        <v>115.01316616285051</v>
      </c>
      <c r="BA136" s="168">
        <f t="shared" si="150"/>
        <v>115.01316616285051</v>
      </c>
      <c r="BB136" s="168">
        <f t="shared" si="150"/>
        <v>115.01316616285051</v>
      </c>
      <c r="BC136" s="168">
        <f t="shared" si="150"/>
        <v>115.01316616285051</v>
      </c>
      <c r="BD136" s="168">
        <f t="shared" si="150"/>
        <v>115.01316616285051</v>
      </c>
      <c r="BE136" s="168">
        <f t="shared" si="150"/>
        <v>115.01316616285051</v>
      </c>
      <c r="BF136" s="168">
        <f t="shared" si="150"/>
        <v>115.01316616285051</v>
      </c>
      <c r="BG136" s="168">
        <f t="shared" si="150"/>
        <v>115.01316616285051</v>
      </c>
      <c r="BH136" s="168">
        <f t="shared" si="150"/>
        <v>115.01316616285051</v>
      </c>
      <c r="BI136" s="168">
        <f t="shared" si="150"/>
        <v>115.01316616285051</v>
      </c>
      <c r="BJ136" s="168">
        <f t="shared" si="150"/>
        <v>115.01316616285051</v>
      </c>
      <c r="BK136" s="168">
        <f t="shared" si="150"/>
        <v>115.01316616285051</v>
      </c>
      <c r="BL136" s="168">
        <f t="shared" si="150"/>
        <v>115.01316616285051</v>
      </c>
      <c r="BM136" s="168">
        <f t="shared" si="150"/>
        <v>115.01316616285051</v>
      </c>
      <c r="BN136" s="168">
        <f t="shared" si="150"/>
        <v>115.01316616285051</v>
      </c>
      <c r="BO136" s="168">
        <f t="shared" si="150"/>
        <v>115.01316616285051</v>
      </c>
      <c r="BP136" s="168">
        <f t="shared" si="150"/>
        <v>115.01316616285051</v>
      </c>
      <c r="BQ136" s="168">
        <f t="shared" si="150"/>
        <v>115.01316616285051</v>
      </c>
      <c r="BR136" s="168">
        <f t="shared" ref="BR136:DA138" si="151">$F11</f>
        <v>115.01316616285051</v>
      </c>
      <c r="BS136" s="168">
        <f t="shared" si="151"/>
        <v>115.01316616285051</v>
      </c>
      <c r="BT136" s="168">
        <f t="shared" si="151"/>
        <v>115.01316616285051</v>
      </c>
      <c r="BU136" s="168">
        <f t="shared" si="151"/>
        <v>115.01316616285051</v>
      </c>
      <c r="BV136" s="168">
        <f t="shared" si="151"/>
        <v>115.01316616285051</v>
      </c>
      <c r="BW136" s="168">
        <f t="shared" si="151"/>
        <v>115.01316616285051</v>
      </c>
      <c r="BX136" s="168">
        <f t="shared" si="151"/>
        <v>115.01316616285051</v>
      </c>
      <c r="BY136" s="168">
        <f t="shared" si="151"/>
        <v>115.01316616285051</v>
      </c>
      <c r="BZ136" s="168">
        <f t="shared" si="151"/>
        <v>115.01316616285051</v>
      </c>
      <c r="CA136" s="168">
        <f t="shared" si="151"/>
        <v>115.01316616285051</v>
      </c>
      <c r="CB136" s="168">
        <f t="shared" si="151"/>
        <v>115.01316616285051</v>
      </c>
      <c r="CC136" s="168">
        <f t="shared" si="151"/>
        <v>115.01316616285051</v>
      </c>
      <c r="CD136" s="168">
        <f t="shared" si="151"/>
        <v>115.01316616285051</v>
      </c>
      <c r="CE136" s="168">
        <f t="shared" si="151"/>
        <v>115.01316616285051</v>
      </c>
      <c r="CF136" s="168">
        <f t="shared" si="151"/>
        <v>115.01316616285051</v>
      </c>
      <c r="CG136" s="168">
        <f t="shared" si="151"/>
        <v>115.01316616285051</v>
      </c>
      <c r="CH136" s="168">
        <f t="shared" si="151"/>
        <v>115.01316616285051</v>
      </c>
      <c r="CI136" s="168">
        <f t="shared" si="151"/>
        <v>115.01316616285051</v>
      </c>
      <c r="CJ136" s="168">
        <f t="shared" si="151"/>
        <v>115.01316616285051</v>
      </c>
      <c r="CK136" s="168">
        <f t="shared" si="151"/>
        <v>115.01316616285051</v>
      </c>
      <c r="CL136" s="168">
        <f t="shared" si="151"/>
        <v>115.01316616285051</v>
      </c>
      <c r="CM136" s="168">
        <f t="shared" si="151"/>
        <v>115.01316616285051</v>
      </c>
      <c r="CN136" s="168">
        <f t="shared" si="151"/>
        <v>115.01316616285051</v>
      </c>
      <c r="CO136" s="168">
        <f t="shared" si="151"/>
        <v>115.01316616285051</v>
      </c>
      <c r="CP136" s="168">
        <f t="shared" si="151"/>
        <v>115.01316616285051</v>
      </c>
      <c r="CQ136" s="168">
        <f t="shared" si="151"/>
        <v>115.01316616285051</v>
      </c>
      <c r="CR136" s="168">
        <f t="shared" si="151"/>
        <v>115.01316616285051</v>
      </c>
      <c r="CS136" s="168">
        <f t="shared" si="151"/>
        <v>115.01316616285051</v>
      </c>
      <c r="CT136" s="168">
        <f t="shared" si="151"/>
        <v>115.01316616285051</v>
      </c>
      <c r="CU136" s="168">
        <f t="shared" si="151"/>
        <v>115.01316616285051</v>
      </c>
      <c r="CV136" s="168">
        <f t="shared" si="151"/>
        <v>115.01316616285051</v>
      </c>
      <c r="CW136" s="168">
        <f t="shared" si="151"/>
        <v>115.01316616285051</v>
      </c>
      <c r="CX136" s="168">
        <f t="shared" si="151"/>
        <v>115.01316616285051</v>
      </c>
      <c r="CY136" s="168">
        <f t="shared" si="151"/>
        <v>115.01316616285051</v>
      </c>
      <c r="CZ136" s="168">
        <f t="shared" si="151"/>
        <v>115.01316616285051</v>
      </c>
      <c r="DA136" s="168">
        <f t="shared" si="151"/>
        <v>115.01316616285051</v>
      </c>
    </row>
    <row r="137" spans="5:105">
      <c r="E137" s="172" t="s">
        <v>283</v>
      </c>
      <c r="F137" s="168">
        <f t="shared" si="150"/>
        <v>100</v>
      </c>
      <c r="G137" s="168">
        <f t="shared" si="150"/>
        <v>100</v>
      </c>
      <c r="H137" s="168">
        <f t="shared" si="150"/>
        <v>100</v>
      </c>
      <c r="I137" s="168">
        <f t="shared" si="150"/>
        <v>100</v>
      </c>
      <c r="J137" s="168">
        <f t="shared" si="150"/>
        <v>100</v>
      </c>
      <c r="K137" s="168">
        <f t="shared" si="150"/>
        <v>100</v>
      </c>
      <c r="L137" s="168">
        <f t="shared" si="150"/>
        <v>100</v>
      </c>
      <c r="M137" s="168">
        <f t="shared" si="150"/>
        <v>100</v>
      </c>
      <c r="N137" s="168">
        <f t="shared" si="150"/>
        <v>100</v>
      </c>
      <c r="O137" s="168">
        <f t="shared" si="150"/>
        <v>100</v>
      </c>
      <c r="P137" s="168">
        <f t="shared" si="150"/>
        <v>100</v>
      </c>
      <c r="Q137" s="168">
        <f t="shared" si="150"/>
        <v>100</v>
      </c>
      <c r="R137" s="168">
        <f t="shared" si="150"/>
        <v>100</v>
      </c>
      <c r="S137" s="168">
        <f t="shared" si="150"/>
        <v>100</v>
      </c>
      <c r="T137" s="168">
        <f t="shared" si="150"/>
        <v>100</v>
      </c>
      <c r="U137" s="168">
        <f t="shared" si="150"/>
        <v>100</v>
      </c>
      <c r="V137" s="168">
        <f t="shared" si="150"/>
        <v>100</v>
      </c>
      <c r="W137" s="168">
        <f t="shared" si="150"/>
        <v>100</v>
      </c>
      <c r="X137" s="168">
        <f t="shared" si="150"/>
        <v>100</v>
      </c>
      <c r="Y137" s="168">
        <f t="shared" si="150"/>
        <v>100</v>
      </c>
      <c r="Z137" s="168">
        <f t="shared" si="150"/>
        <v>100</v>
      </c>
      <c r="AA137" s="168">
        <f t="shared" si="150"/>
        <v>100</v>
      </c>
      <c r="AB137" s="168">
        <f t="shared" si="150"/>
        <v>100</v>
      </c>
      <c r="AC137" s="168">
        <f t="shared" si="150"/>
        <v>100</v>
      </c>
      <c r="AD137" s="168">
        <f t="shared" si="150"/>
        <v>100</v>
      </c>
      <c r="AE137" s="168">
        <f t="shared" si="150"/>
        <v>100</v>
      </c>
      <c r="AF137" s="168">
        <f t="shared" si="150"/>
        <v>100</v>
      </c>
      <c r="AG137" s="168">
        <f t="shared" si="150"/>
        <v>100</v>
      </c>
      <c r="AH137" s="168">
        <f t="shared" si="150"/>
        <v>100</v>
      </c>
      <c r="AI137" s="168">
        <f t="shared" si="150"/>
        <v>100</v>
      </c>
      <c r="AJ137" s="168">
        <f t="shared" si="150"/>
        <v>100</v>
      </c>
      <c r="AK137" s="168">
        <f t="shared" si="150"/>
        <v>100</v>
      </c>
      <c r="AL137" s="168">
        <f t="shared" si="150"/>
        <v>100</v>
      </c>
      <c r="AM137" s="168">
        <f t="shared" si="150"/>
        <v>100</v>
      </c>
      <c r="AN137" s="168">
        <f t="shared" si="150"/>
        <v>100</v>
      </c>
      <c r="AO137" s="168">
        <f t="shared" si="150"/>
        <v>100</v>
      </c>
      <c r="AP137" s="168">
        <f t="shared" si="150"/>
        <v>100</v>
      </c>
      <c r="AQ137" s="168">
        <f t="shared" si="150"/>
        <v>100</v>
      </c>
      <c r="AR137" s="168">
        <f t="shared" si="150"/>
        <v>100</v>
      </c>
      <c r="AS137" s="168">
        <f t="shared" si="150"/>
        <v>100</v>
      </c>
      <c r="AT137" s="168">
        <f t="shared" si="150"/>
        <v>100</v>
      </c>
      <c r="AU137" s="168">
        <f t="shared" si="150"/>
        <v>100</v>
      </c>
      <c r="AV137" s="168">
        <f t="shared" si="150"/>
        <v>100</v>
      </c>
      <c r="AW137" s="168">
        <f t="shared" si="150"/>
        <v>100</v>
      </c>
      <c r="AX137" s="168">
        <f t="shared" si="150"/>
        <v>100</v>
      </c>
      <c r="AY137" s="168">
        <f t="shared" si="150"/>
        <v>100</v>
      </c>
      <c r="AZ137" s="168">
        <f t="shared" si="150"/>
        <v>100</v>
      </c>
      <c r="BA137" s="168">
        <f t="shared" si="150"/>
        <v>100</v>
      </c>
      <c r="BB137" s="168">
        <f t="shared" si="150"/>
        <v>100</v>
      </c>
      <c r="BC137" s="168">
        <f t="shared" si="150"/>
        <v>100</v>
      </c>
      <c r="BD137" s="168">
        <f t="shared" si="150"/>
        <v>100</v>
      </c>
      <c r="BE137" s="168">
        <f t="shared" si="150"/>
        <v>100</v>
      </c>
      <c r="BF137" s="168">
        <f t="shared" si="150"/>
        <v>100</v>
      </c>
      <c r="BG137" s="168">
        <f t="shared" si="150"/>
        <v>100</v>
      </c>
      <c r="BH137" s="168">
        <f t="shared" si="150"/>
        <v>100</v>
      </c>
      <c r="BI137" s="168">
        <f t="shared" si="150"/>
        <v>100</v>
      </c>
      <c r="BJ137" s="168">
        <f t="shared" si="150"/>
        <v>100</v>
      </c>
      <c r="BK137" s="168">
        <f t="shared" si="150"/>
        <v>100</v>
      </c>
      <c r="BL137" s="168">
        <f t="shared" si="150"/>
        <v>100</v>
      </c>
      <c r="BM137" s="168">
        <f t="shared" si="150"/>
        <v>100</v>
      </c>
      <c r="BN137" s="168">
        <f t="shared" si="150"/>
        <v>100</v>
      </c>
      <c r="BO137" s="168">
        <f t="shared" si="150"/>
        <v>100</v>
      </c>
      <c r="BP137" s="168">
        <f t="shared" si="150"/>
        <v>100</v>
      </c>
      <c r="BQ137" s="168">
        <f t="shared" si="150"/>
        <v>100</v>
      </c>
      <c r="BR137" s="168">
        <f t="shared" si="151"/>
        <v>100</v>
      </c>
      <c r="BS137" s="168">
        <f t="shared" si="151"/>
        <v>100</v>
      </c>
      <c r="BT137" s="168">
        <f t="shared" si="151"/>
        <v>100</v>
      </c>
      <c r="BU137" s="168">
        <f t="shared" si="151"/>
        <v>100</v>
      </c>
      <c r="BV137" s="168">
        <f t="shared" si="151"/>
        <v>100</v>
      </c>
      <c r="BW137" s="168">
        <f t="shared" si="151"/>
        <v>100</v>
      </c>
      <c r="BX137" s="168">
        <f t="shared" si="151"/>
        <v>100</v>
      </c>
      <c r="BY137" s="168">
        <f t="shared" si="151"/>
        <v>100</v>
      </c>
      <c r="BZ137" s="168">
        <f t="shared" si="151"/>
        <v>100</v>
      </c>
      <c r="CA137" s="168">
        <f t="shared" si="151"/>
        <v>100</v>
      </c>
      <c r="CB137" s="168">
        <f t="shared" si="151"/>
        <v>100</v>
      </c>
      <c r="CC137" s="168">
        <f t="shared" si="151"/>
        <v>100</v>
      </c>
      <c r="CD137" s="168">
        <f t="shared" si="151"/>
        <v>100</v>
      </c>
      <c r="CE137" s="168">
        <f t="shared" si="151"/>
        <v>100</v>
      </c>
      <c r="CF137" s="168">
        <f t="shared" si="151"/>
        <v>100</v>
      </c>
      <c r="CG137" s="168">
        <f t="shared" si="151"/>
        <v>100</v>
      </c>
      <c r="CH137" s="168">
        <f t="shared" si="151"/>
        <v>100</v>
      </c>
      <c r="CI137" s="168">
        <f t="shared" si="151"/>
        <v>100</v>
      </c>
      <c r="CJ137" s="168">
        <f t="shared" si="151"/>
        <v>100</v>
      </c>
      <c r="CK137" s="168">
        <f t="shared" si="151"/>
        <v>100</v>
      </c>
      <c r="CL137" s="168">
        <f t="shared" si="151"/>
        <v>100</v>
      </c>
      <c r="CM137" s="168">
        <f t="shared" si="151"/>
        <v>100</v>
      </c>
      <c r="CN137" s="168">
        <f t="shared" si="151"/>
        <v>100</v>
      </c>
      <c r="CO137" s="168">
        <f t="shared" si="151"/>
        <v>100</v>
      </c>
      <c r="CP137" s="168">
        <f t="shared" si="151"/>
        <v>100</v>
      </c>
      <c r="CQ137" s="168">
        <f t="shared" si="151"/>
        <v>100</v>
      </c>
      <c r="CR137" s="168">
        <f t="shared" si="151"/>
        <v>100</v>
      </c>
      <c r="CS137" s="168">
        <f t="shared" si="151"/>
        <v>100</v>
      </c>
      <c r="CT137" s="168">
        <f t="shared" si="151"/>
        <v>100</v>
      </c>
      <c r="CU137" s="168">
        <f t="shared" si="151"/>
        <v>100</v>
      </c>
      <c r="CV137" s="168">
        <f t="shared" si="151"/>
        <v>100</v>
      </c>
      <c r="CW137" s="168">
        <f t="shared" si="151"/>
        <v>100</v>
      </c>
      <c r="CX137" s="168">
        <f t="shared" si="151"/>
        <v>100</v>
      </c>
      <c r="CY137" s="168">
        <f t="shared" si="151"/>
        <v>100</v>
      </c>
      <c r="CZ137" s="168">
        <f t="shared" si="151"/>
        <v>100</v>
      </c>
      <c r="DA137" s="168">
        <f t="shared" si="151"/>
        <v>100</v>
      </c>
    </row>
    <row r="138" spans="5:105">
      <c r="E138" s="172" t="s">
        <v>284</v>
      </c>
      <c r="F138" s="168">
        <f t="shared" si="150"/>
        <v>40.999669335399368</v>
      </c>
      <c r="G138" s="168">
        <f t="shared" si="150"/>
        <v>40.999669335399368</v>
      </c>
      <c r="H138" s="168">
        <f t="shared" si="150"/>
        <v>40.999669335399368</v>
      </c>
      <c r="I138" s="168">
        <f t="shared" si="150"/>
        <v>40.999669335399368</v>
      </c>
      <c r="J138" s="168">
        <f t="shared" si="150"/>
        <v>40.999669335399368</v>
      </c>
      <c r="K138" s="168">
        <f t="shared" si="150"/>
        <v>40.999669335399368</v>
      </c>
      <c r="L138" s="168">
        <f t="shared" si="150"/>
        <v>40.999669335399368</v>
      </c>
      <c r="M138" s="168">
        <f t="shared" si="150"/>
        <v>40.999669335399368</v>
      </c>
      <c r="N138" s="168">
        <f t="shared" si="150"/>
        <v>40.999669335399368</v>
      </c>
      <c r="O138" s="168">
        <f t="shared" si="150"/>
        <v>40.999669335399368</v>
      </c>
      <c r="P138" s="168">
        <f t="shared" si="150"/>
        <v>40.999669335399368</v>
      </c>
      <c r="Q138" s="168">
        <f t="shared" si="150"/>
        <v>40.999669335399368</v>
      </c>
      <c r="R138" s="168">
        <f t="shared" si="150"/>
        <v>40.999669335399368</v>
      </c>
      <c r="S138" s="168">
        <f t="shared" si="150"/>
        <v>40.999669335399368</v>
      </c>
      <c r="T138" s="168">
        <f t="shared" si="150"/>
        <v>40.999669335399368</v>
      </c>
      <c r="U138" s="168">
        <f t="shared" si="150"/>
        <v>40.999669335399368</v>
      </c>
      <c r="V138" s="168">
        <f t="shared" si="150"/>
        <v>40.999669335399368</v>
      </c>
      <c r="W138" s="168">
        <f t="shared" si="150"/>
        <v>40.999669335399368</v>
      </c>
      <c r="X138" s="168">
        <f t="shared" si="150"/>
        <v>40.999669335399368</v>
      </c>
      <c r="Y138" s="168">
        <f t="shared" si="150"/>
        <v>40.999669335399368</v>
      </c>
      <c r="Z138" s="168">
        <f t="shared" si="150"/>
        <v>40.999669335399368</v>
      </c>
      <c r="AA138" s="168">
        <f t="shared" si="150"/>
        <v>40.999669335399368</v>
      </c>
      <c r="AB138" s="168">
        <f t="shared" si="150"/>
        <v>40.999669335399368</v>
      </c>
      <c r="AC138" s="168">
        <f t="shared" si="150"/>
        <v>40.999669335399368</v>
      </c>
      <c r="AD138" s="168">
        <f t="shared" si="150"/>
        <v>40.999669335399368</v>
      </c>
      <c r="AE138" s="168">
        <f t="shared" si="150"/>
        <v>40.999669335399368</v>
      </c>
      <c r="AF138" s="168">
        <f t="shared" si="150"/>
        <v>40.999669335399368</v>
      </c>
      <c r="AG138" s="168">
        <f t="shared" si="150"/>
        <v>40.999669335399368</v>
      </c>
      <c r="AH138" s="168">
        <f t="shared" si="150"/>
        <v>40.999669335399368</v>
      </c>
      <c r="AI138" s="168">
        <f t="shared" si="150"/>
        <v>40.999669335399368</v>
      </c>
      <c r="AJ138" s="168">
        <f t="shared" si="150"/>
        <v>40.999669335399368</v>
      </c>
      <c r="AK138" s="168">
        <f t="shared" si="150"/>
        <v>40.999669335399368</v>
      </c>
      <c r="AL138" s="168">
        <f t="shared" si="150"/>
        <v>40.999669335399368</v>
      </c>
      <c r="AM138" s="168">
        <f t="shared" si="150"/>
        <v>40.999669335399368</v>
      </c>
      <c r="AN138" s="168">
        <f t="shared" si="150"/>
        <v>40.999669335399368</v>
      </c>
      <c r="AO138" s="168">
        <f t="shared" si="150"/>
        <v>40.999669335399368</v>
      </c>
      <c r="AP138" s="168">
        <f t="shared" si="150"/>
        <v>40.999669335399368</v>
      </c>
      <c r="AQ138" s="168">
        <f t="shared" si="150"/>
        <v>40.999669335399368</v>
      </c>
      <c r="AR138" s="168">
        <f t="shared" si="150"/>
        <v>40.999669335399368</v>
      </c>
      <c r="AS138" s="168">
        <f t="shared" si="150"/>
        <v>40.999669335399368</v>
      </c>
      <c r="AT138" s="168">
        <f t="shared" si="150"/>
        <v>40.999669335399368</v>
      </c>
      <c r="AU138" s="168">
        <f t="shared" si="150"/>
        <v>40.999669335399368</v>
      </c>
      <c r="AV138" s="168">
        <f t="shared" si="150"/>
        <v>40.999669335399368</v>
      </c>
      <c r="AW138" s="168">
        <f t="shared" si="150"/>
        <v>40.999669335399368</v>
      </c>
      <c r="AX138" s="168">
        <f t="shared" si="150"/>
        <v>40.999669335399368</v>
      </c>
      <c r="AY138" s="168">
        <f t="shared" si="150"/>
        <v>40.999669335399368</v>
      </c>
      <c r="AZ138" s="168">
        <f t="shared" si="150"/>
        <v>40.999669335399368</v>
      </c>
      <c r="BA138" s="168">
        <f t="shared" si="150"/>
        <v>40.999669335399368</v>
      </c>
      <c r="BB138" s="168">
        <f t="shared" si="150"/>
        <v>40.999669335399368</v>
      </c>
      <c r="BC138" s="168">
        <f t="shared" si="150"/>
        <v>40.999669335399368</v>
      </c>
      <c r="BD138" s="168">
        <f t="shared" si="150"/>
        <v>40.999669335399368</v>
      </c>
      <c r="BE138" s="168">
        <f t="shared" si="150"/>
        <v>40.999669335399368</v>
      </c>
      <c r="BF138" s="168">
        <f t="shared" si="150"/>
        <v>40.999669335399368</v>
      </c>
      <c r="BG138" s="168">
        <f t="shared" si="150"/>
        <v>40.999669335399368</v>
      </c>
      <c r="BH138" s="168">
        <f t="shared" si="150"/>
        <v>40.999669335399368</v>
      </c>
      <c r="BI138" s="168">
        <f t="shared" si="150"/>
        <v>40.999669335399368</v>
      </c>
      <c r="BJ138" s="168">
        <f t="shared" si="150"/>
        <v>40.999669335399368</v>
      </c>
      <c r="BK138" s="168">
        <f t="shared" si="150"/>
        <v>40.999669335399368</v>
      </c>
      <c r="BL138" s="168">
        <f t="shared" si="150"/>
        <v>40.999669335399368</v>
      </c>
      <c r="BM138" s="168">
        <f t="shared" si="150"/>
        <v>40.999669335399368</v>
      </c>
      <c r="BN138" s="168">
        <f t="shared" si="150"/>
        <v>40.999669335399368</v>
      </c>
      <c r="BO138" s="168">
        <f t="shared" si="150"/>
        <v>40.999669335399368</v>
      </c>
      <c r="BP138" s="168">
        <f t="shared" si="150"/>
        <v>40.999669335399368</v>
      </c>
      <c r="BQ138" s="168">
        <f t="shared" si="150"/>
        <v>40.999669335399368</v>
      </c>
      <c r="BR138" s="168">
        <f t="shared" si="151"/>
        <v>40.999669335399368</v>
      </c>
      <c r="BS138" s="168">
        <f t="shared" si="151"/>
        <v>40.999669335399368</v>
      </c>
      <c r="BT138" s="168">
        <f t="shared" si="151"/>
        <v>40.999669335399368</v>
      </c>
      <c r="BU138" s="168">
        <f t="shared" si="151"/>
        <v>40.999669335399368</v>
      </c>
      <c r="BV138" s="168">
        <f t="shared" si="151"/>
        <v>40.999669335399368</v>
      </c>
      <c r="BW138" s="168">
        <f t="shared" si="151"/>
        <v>40.999669335399368</v>
      </c>
      <c r="BX138" s="168">
        <f t="shared" si="151"/>
        <v>40.999669335399368</v>
      </c>
      <c r="BY138" s="168">
        <f t="shared" si="151"/>
        <v>40.999669335399368</v>
      </c>
      <c r="BZ138" s="168">
        <f t="shared" si="151"/>
        <v>40.999669335399368</v>
      </c>
      <c r="CA138" s="168">
        <f t="shared" si="151"/>
        <v>40.999669335399368</v>
      </c>
      <c r="CB138" s="168">
        <f t="shared" si="151"/>
        <v>40.999669335399368</v>
      </c>
      <c r="CC138" s="168">
        <f t="shared" si="151"/>
        <v>40.999669335399368</v>
      </c>
      <c r="CD138" s="168">
        <f t="shared" si="151"/>
        <v>40.999669335399368</v>
      </c>
      <c r="CE138" s="168">
        <f t="shared" si="151"/>
        <v>40.999669335399368</v>
      </c>
      <c r="CF138" s="168">
        <f t="shared" si="151"/>
        <v>40.999669335399368</v>
      </c>
      <c r="CG138" s="168">
        <f t="shared" si="151"/>
        <v>40.999669335399368</v>
      </c>
      <c r="CH138" s="168">
        <f t="shared" si="151"/>
        <v>40.999669335399368</v>
      </c>
      <c r="CI138" s="168">
        <f t="shared" si="151"/>
        <v>40.999669335399368</v>
      </c>
      <c r="CJ138" s="168">
        <f t="shared" si="151"/>
        <v>40.999669335399368</v>
      </c>
      <c r="CK138" s="168">
        <f t="shared" si="151"/>
        <v>40.999669335399368</v>
      </c>
      <c r="CL138" s="168">
        <f t="shared" si="151"/>
        <v>40.999669335399368</v>
      </c>
      <c r="CM138" s="168">
        <f t="shared" si="151"/>
        <v>40.999669335399368</v>
      </c>
      <c r="CN138" s="168">
        <f t="shared" si="151"/>
        <v>40.999669335399368</v>
      </c>
      <c r="CO138" s="168">
        <f t="shared" si="151"/>
        <v>40.999669335399368</v>
      </c>
      <c r="CP138" s="168">
        <f t="shared" si="151"/>
        <v>40.999669335399368</v>
      </c>
      <c r="CQ138" s="168">
        <f t="shared" si="151"/>
        <v>40.999669335399368</v>
      </c>
      <c r="CR138" s="168">
        <f t="shared" si="151"/>
        <v>40.999669335399368</v>
      </c>
      <c r="CS138" s="168">
        <f t="shared" si="151"/>
        <v>40.999669335399368</v>
      </c>
      <c r="CT138" s="168">
        <f t="shared" si="151"/>
        <v>40.999669335399368</v>
      </c>
      <c r="CU138" s="168">
        <f t="shared" si="151"/>
        <v>40.999669335399368</v>
      </c>
      <c r="CV138" s="168">
        <f t="shared" si="151"/>
        <v>40.999669335399368</v>
      </c>
      <c r="CW138" s="168">
        <f t="shared" si="151"/>
        <v>40.999669335399368</v>
      </c>
      <c r="CX138" s="168">
        <f t="shared" si="151"/>
        <v>40.999669335399368</v>
      </c>
      <c r="CY138" s="168">
        <f t="shared" si="151"/>
        <v>40.999669335399368</v>
      </c>
      <c r="CZ138" s="168">
        <f t="shared" si="151"/>
        <v>40.999669335399368</v>
      </c>
      <c r="DA138" s="168">
        <f t="shared" si="151"/>
        <v>40.999669335399368</v>
      </c>
    </row>
    <row r="139" spans="5:105">
      <c r="E139" s="160"/>
      <c r="F139" s="160"/>
      <c r="G139" s="160"/>
      <c r="H139" s="160"/>
      <c r="I139" s="160"/>
      <c r="J139" s="160"/>
      <c r="K139" s="160"/>
      <c r="L139" s="160"/>
      <c r="M139" s="160"/>
      <c r="N139" s="160"/>
      <c r="O139" s="160"/>
      <c r="P139" s="160"/>
      <c r="Q139" s="160"/>
      <c r="R139" s="160"/>
      <c r="S139" s="160"/>
      <c r="T139" s="160"/>
      <c r="U139" s="160"/>
      <c r="V139" s="160"/>
      <c r="W139" s="160"/>
      <c r="X139" s="160"/>
      <c r="Y139" s="160"/>
      <c r="Z139" s="160"/>
      <c r="AA139" s="160"/>
      <c r="AB139" s="160"/>
      <c r="AC139" s="160"/>
      <c r="AD139" s="160"/>
      <c r="AE139" s="160"/>
      <c r="AF139" s="160"/>
      <c r="AG139" s="160"/>
      <c r="AH139" s="160"/>
      <c r="AI139" s="160"/>
      <c r="AJ139" s="160"/>
      <c r="AK139" s="160"/>
      <c r="AL139" s="160"/>
      <c r="AM139" s="160"/>
      <c r="AN139" s="160"/>
      <c r="AO139" s="160"/>
      <c r="AP139" s="160"/>
      <c r="AQ139" s="160"/>
      <c r="AR139" s="160"/>
      <c r="AS139" s="160"/>
      <c r="AT139" s="160"/>
      <c r="AU139" s="160"/>
      <c r="AV139" s="160"/>
      <c r="AW139" s="160"/>
      <c r="AX139" s="160"/>
      <c r="AY139" s="160"/>
      <c r="AZ139" s="160"/>
      <c r="BA139" s="160"/>
      <c r="BB139" s="160"/>
      <c r="BC139" s="160"/>
      <c r="BD139" s="160"/>
      <c r="BE139" s="160"/>
      <c r="BF139" s="160"/>
      <c r="BG139" s="160"/>
      <c r="BH139" s="160"/>
      <c r="BI139" s="160"/>
      <c r="BJ139" s="160"/>
      <c r="BK139" s="160"/>
      <c r="BL139" s="160"/>
      <c r="BM139" s="160"/>
      <c r="BN139" s="160"/>
      <c r="BO139" s="160"/>
      <c r="BP139" s="160"/>
      <c r="BQ139" s="160"/>
      <c r="BR139" s="160"/>
      <c r="BS139" s="160"/>
      <c r="BT139" s="160"/>
      <c r="BU139" s="160"/>
      <c r="BV139" s="160"/>
      <c r="BW139" s="160"/>
      <c r="BX139" s="160"/>
      <c r="BY139" s="160"/>
      <c r="BZ139" s="160"/>
      <c r="CA139" s="160"/>
      <c r="CB139" s="160"/>
      <c r="CC139" s="160"/>
      <c r="CD139" s="160"/>
      <c r="CE139" s="160"/>
      <c r="CF139" s="160"/>
      <c r="CG139" s="160"/>
      <c r="CH139" s="160"/>
      <c r="CI139" s="160"/>
      <c r="CJ139" s="160"/>
      <c r="CK139" s="160"/>
      <c r="CL139" s="160"/>
      <c r="CM139" s="160"/>
      <c r="CN139" s="160"/>
      <c r="CO139" s="160"/>
      <c r="CP139" s="160"/>
      <c r="CQ139" s="160"/>
      <c r="CR139" s="160"/>
      <c r="CS139" s="160"/>
      <c r="CT139" s="160"/>
      <c r="CU139" s="160"/>
      <c r="CV139" s="160"/>
      <c r="CW139" s="160"/>
      <c r="CX139" s="160"/>
      <c r="CY139" s="160"/>
      <c r="CZ139" s="160"/>
      <c r="DA139" s="160"/>
    </row>
    <row r="140" spans="5:105">
      <c r="E140" s="172" t="s">
        <v>285</v>
      </c>
      <c r="F140" s="168">
        <f>1/(5*$F$43+1)</f>
        <v>1.996007984031936E-3</v>
      </c>
      <c r="G140" s="168">
        <f t="shared" ref="G140:BR140" si="152">1/(5*$F$43+1)</f>
        <v>1.996007984031936E-3</v>
      </c>
      <c r="H140" s="168">
        <f t="shared" si="152"/>
        <v>1.996007984031936E-3</v>
      </c>
      <c r="I140" s="168">
        <f t="shared" si="152"/>
        <v>1.996007984031936E-3</v>
      </c>
      <c r="J140" s="168">
        <f t="shared" si="152"/>
        <v>1.996007984031936E-3</v>
      </c>
      <c r="K140" s="168">
        <f t="shared" si="152"/>
        <v>1.996007984031936E-3</v>
      </c>
      <c r="L140" s="168">
        <f t="shared" si="152"/>
        <v>1.996007984031936E-3</v>
      </c>
      <c r="M140" s="168">
        <f t="shared" si="152"/>
        <v>1.996007984031936E-3</v>
      </c>
      <c r="N140" s="168">
        <f t="shared" si="152"/>
        <v>1.996007984031936E-3</v>
      </c>
      <c r="O140" s="168">
        <f t="shared" si="152"/>
        <v>1.996007984031936E-3</v>
      </c>
      <c r="P140" s="168">
        <f t="shared" si="152"/>
        <v>1.996007984031936E-3</v>
      </c>
      <c r="Q140" s="168">
        <f t="shared" si="152"/>
        <v>1.996007984031936E-3</v>
      </c>
      <c r="R140" s="168">
        <f t="shared" si="152"/>
        <v>1.996007984031936E-3</v>
      </c>
      <c r="S140" s="168">
        <f t="shared" si="152"/>
        <v>1.996007984031936E-3</v>
      </c>
      <c r="T140" s="168">
        <f t="shared" si="152"/>
        <v>1.996007984031936E-3</v>
      </c>
      <c r="U140" s="168">
        <f t="shared" si="152"/>
        <v>1.996007984031936E-3</v>
      </c>
      <c r="V140" s="168">
        <f t="shared" si="152"/>
        <v>1.996007984031936E-3</v>
      </c>
      <c r="W140" s="168">
        <f t="shared" si="152"/>
        <v>1.996007984031936E-3</v>
      </c>
      <c r="X140" s="168">
        <f t="shared" si="152"/>
        <v>1.996007984031936E-3</v>
      </c>
      <c r="Y140" s="168">
        <f t="shared" si="152"/>
        <v>1.996007984031936E-3</v>
      </c>
      <c r="Z140" s="168">
        <f t="shared" si="152"/>
        <v>1.996007984031936E-3</v>
      </c>
      <c r="AA140" s="168">
        <f t="shared" si="152"/>
        <v>1.996007984031936E-3</v>
      </c>
      <c r="AB140" s="168">
        <f t="shared" si="152"/>
        <v>1.996007984031936E-3</v>
      </c>
      <c r="AC140" s="168">
        <f t="shared" si="152"/>
        <v>1.996007984031936E-3</v>
      </c>
      <c r="AD140" s="168">
        <f t="shared" si="152"/>
        <v>1.996007984031936E-3</v>
      </c>
      <c r="AE140" s="168">
        <f t="shared" si="152"/>
        <v>1.996007984031936E-3</v>
      </c>
      <c r="AF140" s="168">
        <f t="shared" si="152"/>
        <v>1.996007984031936E-3</v>
      </c>
      <c r="AG140" s="168">
        <f t="shared" si="152"/>
        <v>1.996007984031936E-3</v>
      </c>
      <c r="AH140" s="168">
        <f t="shared" si="152"/>
        <v>1.996007984031936E-3</v>
      </c>
      <c r="AI140" s="168">
        <f t="shared" si="152"/>
        <v>1.996007984031936E-3</v>
      </c>
      <c r="AJ140" s="168">
        <f t="shared" si="152"/>
        <v>1.996007984031936E-3</v>
      </c>
      <c r="AK140" s="168">
        <f t="shared" si="152"/>
        <v>1.996007984031936E-3</v>
      </c>
      <c r="AL140" s="168">
        <f t="shared" si="152"/>
        <v>1.996007984031936E-3</v>
      </c>
      <c r="AM140" s="168">
        <f t="shared" si="152"/>
        <v>1.996007984031936E-3</v>
      </c>
      <c r="AN140" s="168">
        <f t="shared" si="152"/>
        <v>1.996007984031936E-3</v>
      </c>
      <c r="AO140" s="168">
        <f t="shared" si="152"/>
        <v>1.996007984031936E-3</v>
      </c>
      <c r="AP140" s="168">
        <f t="shared" si="152"/>
        <v>1.996007984031936E-3</v>
      </c>
      <c r="AQ140" s="168">
        <f t="shared" si="152"/>
        <v>1.996007984031936E-3</v>
      </c>
      <c r="AR140" s="168">
        <f t="shared" si="152"/>
        <v>1.996007984031936E-3</v>
      </c>
      <c r="AS140" s="168">
        <f t="shared" si="152"/>
        <v>1.996007984031936E-3</v>
      </c>
      <c r="AT140" s="168">
        <f t="shared" si="152"/>
        <v>1.996007984031936E-3</v>
      </c>
      <c r="AU140" s="168">
        <f t="shared" si="152"/>
        <v>1.996007984031936E-3</v>
      </c>
      <c r="AV140" s="168">
        <f t="shared" si="152"/>
        <v>1.996007984031936E-3</v>
      </c>
      <c r="AW140" s="168">
        <f t="shared" si="152"/>
        <v>1.996007984031936E-3</v>
      </c>
      <c r="AX140" s="168">
        <f t="shared" si="152"/>
        <v>1.996007984031936E-3</v>
      </c>
      <c r="AY140" s="168">
        <f t="shared" si="152"/>
        <v>1.996007984031936E-3</v>
      </c>
      <c r="AZ140" s="168">
        <f t="shared" si="152"/>
        <v>1.996007984031936E-3</v>
      </c>
      <c r="BA140" s="168">
        <f t="shared" si="152"/>
        <v>1.996007984031936E-3</v>
      </c>
      <c r="BB140" s="168">
        <f t="shared" si="152"/>
        <v>1.996007984031936E-3</v>
      </c>
      <c r="BC140" s="168">
        <f t="shared" si="152"/>
        <v>1.996007984031936E-3</v>
      </c>
      <c r="BD140" s="168">
        <f t="shared" si="152"/>
        <v>1.996007984031936E-3</v>
      </c>
      <c r="BE140" s="168">
        <f t="shared" si="152"/>
        <v>1.996007984031936E-3</v>
      </c>
      <c r="BF140" s="168">
        <f t="shared" si="152"/>
        <v>1.996007984031936E-3</v>
      </c>
      <c r="BG140" s="168">
        <f t="shared" si="152"/>
        <v>1.996007984031936E-3</v>
      </c>
      <c r="BH140" s="168">
        <f t="shared" si="152"/>
        <v>1.996007984031936E-3</v>
      </c>
      <c r="BI140" s="168">
        <f t="shared" si="152"/>
        <v>1.996007984031936E-3</v>
      </c>
      <c r="BJ140" s="168">
        <f t="shared" si="152"/>
        <v>1.996007984031936E-3</v>
      </c>
      <c r="BK140" s="168">
        <f t="shared" si="152"/>
        <v>1.996007984031936E-3</v>
      </c>
      <c r="BL140" s="168">
        <f t="shared" si="152"/>
        <v>1.996007984031936E-3</v>
      </c>
      <c r="BM140" s="168">
        <f t="shared" si="152"/>
        <v>1.996007984031936E-3</v>
      </c>
      <c r="BN140" s="168">
        <f t="shared" si="152"/>
        <v>1.996007984031936E-3</v>
      </c>
      <c r="BO140" s="168">
        <f t="shared" si="152"/>
        <v>1.996007984031936E-3</v>
      </c>
      <c r="BP140" s="168">
        <f t="shared" si="152"/>
        <v>1.996007984031936E-3</v>
      </c>
      <c r="BQ140" s="168">
        <f t="shared" si="152"/>
        <v>1.996007984031936E-3</v>
      </c>
      <c r="BR140" s="168">
        <f t="shared" si="152"/>
        <v>1.996007984031936E-3</v>
      </c>
      <c r="BS140" s="168">
        <f t="shared" ref="BS140:DA140" si="153">1/(5*$F$43+1)</f>
        <v>1.996007984031936E-3</v>
      </c>
      <c r="BT140" s="168">
        <f t="shared" si="153"/>
        <v>1.996007984031936E-3</v>
      </c>
      <c r="BU140" s="168">
        <f t="shared" si="153"/>
        <v>1.996007984031936E-3</v>
      </c>
      <c r="BV140" s="168">
        <f t="shared" si="153"/>
        <v>1.996007984031936E-3</v>
      </c>
      <c r="BW140" s="168">
        <f t="shared" si="153"/>
        <v>1.996007984031936E-3</v>
      </c>
      <c r="BX140" s="168">
        <f t="shared" si="153"/>
        <v>1.996007984031936E-3</v>
      </c>
      <c r="BY140" s="168">
        <f t="shared" si="153"/>
        <v>1.996007984031936E-3</v>
      </c>
      <c r="BZ140" s="168">
        <f t="shared" si="153"/>
        <v>1.996007984031936E-3</v>
      </c>
      <c r="CA140" s="168">
        <f t="shared" si="153"/>
        <v>1.996007984031936E-3</v>
      </c>
      <c r="CB140" s="168">
        <f t="shared" si="153"/>
        <v>1.996007984031936E-3</v>
      </c>
      <c r="CC140" s="168">
        <f t="shared" si="153"/>
        <v>1.996007984031936E-3</v>
      </c>
      <c r="CD140" s="168">
        <f t="shared" si="153"/>
        <v>1.996007984031936E-3</v>
      </c>
      <c r="CE140" s="168">
        <f t="shared" si="153"/>
        <v>1.996007984031936E-3</v>
      </c>
      <c r="CF140" s="168">
        <f t="shared" si="153"/>
        <v>1.996007984031936E-3</v>
      </c>
      <c r="CG140" s="168">
        <f t="shared" si="153"/>
        <v>1.996007984031936E-3</v>
      </c>
      <c r="CH140" s="168">
        <f t="shared" si="153"/>
        <v>1.996007984031936E-3</v>
      </c>
      <c r="CI140" s="168">
        <f t="shared" si="153"/>
        <v>1.996007984031936E-3</v>
      </c>
      <c r="CJ140" s="168">
        <f t="shared" si="153"/>
        <v>1.996007984031936E-3</v>
      </c>
      <c r="CK140" s="168">
        <f t="shared" si="153"/>
        <v>1.996007984031936E-3</v>
      </c>
      <c r="CL140" s="168">
        <f t="shared" si="153"/>
        <v>1.996007984031936E-3</v>
      </c>
      <c r="CM140" s="168">
        <f t="shared" si="153"/>
        <v>1.996007984031936E-3</v>
      </c>
      <c r="CN140" s="168">
        <f t="shared" si="153"/>
        <v>1.996007984031936E-3</v>
      </c>
      <c r="CO140" s="168">
        <f t="shared" si="153"/>
        <v>1.996007984031936E-3</v>
      </c>
      <c r="CP140" s="168">
        <f t="shared" si="153"/>
        <v>1.996007984031936E-3</v>
      </c>
      <c r="CQ140" s="168">
        <f t="shared" si="153"/>
        <v>1.996007984031936E-3</v>
      </c>
      <c r="CR140" s="168">
        <f t="shared" si="153"/>
        <v>1.996007984031936E-3</v>
      </c>
      <c r="CS140" s="168">
        <f t="shared" si="153"/>
        <v>1.996007984031936E-3</v>
      </c>
      <c r="CT140" s="168">
        <f t="shared" si="153"/>
        <v>1.996007984031936E-3</v>
      </c>
      <c r="CU140" s="168">
        <f t="shared" si="153"/>
        <v>1.996007984031936E-3</v>
      </c>
      <c r="CV140" s="168">
        <f t="shared" si="153"/>
        <v>1.996007984031936E-3</v>
      </c>
      <c r="CW140" s="168">
        <f t="shared" si="153"/>
        <v>1.996007984031936E-3</v>
      </c>
      <c r="CX140" s="168">
        <f t="shared" si="153"/>
        <v>1.996007984031936E-3</v>
      </c>
      <c r="CY140" s="168">
        <f t="shared" si="153"/>
        <v>1.996007984031936E-3</v>
      </c>
      <c r="CZ140" s="168">
        <f t="shared" si="153"/>
        <v>1.996007984031936E-3</v>
      </c>
      <c r="DA140" s="168">
        <f t="shared" si="153"/>
        <v>1.996007984031936E-3</v>
      </c>
    </row>
    <row r="141" spans="5:105">
      <c r="E141" s="172" t="s">
        <v>286</v>
      </c>
      <c r="F141" s="168">
        <f>0.2*F140^4*5*$F$43+0.1*(1-F140^4)^2*(5*$F$43)^(1/3)</f>
        <v>0.79370052754616693</v>
      </c>
      <c r="G141" s="168">
        <f t="shared" ref="G141:BR141" si="154">0.2*G140^4*5*$F$43+0.1*(1-G140^4)^2*(5*$F$43)^(1/3)</f>
        <v>0.79370052754616693</v>
      </c>
      <c r="H141" s="168">
        <f t="shared" si="154"/>
        <v>0.79370052754616693</v>
      </c>
      <c r="I141" s="168">
        <f t="shared" si="154"/>
        <v>0.79370052754616693</v>
      </c>
      <c r="J141" s="168">
        <f t="shared" si="154"/>
        <v>0.79370052754616693</v>
      </c>
      <c r="K141" s="168">
        <f t="shared" si="154"/>
        <v>0.79370052754616693</v>
      </c>
      <c r="L141" s="168">
        <f t="shared" si="154"/>
        <v>0.79370052754616693</v>
      </c>
      <c r="M141" s="168">
        <f t="shared" si="154"/>
        <v>0.79370052754616693</v>
      </c>
      <c r="N141" s="168">
        <f t="shared" si="154"/>
        <v>0.79370052754616693</v>
      </c>
      <c r="O141" s="168">
        <f t="shared" si="154"/>
        <v>0.79370052754616693</v>
      </c>
      <c r="P141" s="168">
        <f t="shared" si="154"/>
        <v>0.79370052754616693</v>
      </c>
      <c r="Q141" s="168">
        <f t="shared" si="154"/>
        <v>0.79370052754616693</v>
      </c>
      <c r="R141" s="168">
        <f t="shared" si="154"/>
        <v>0.79370052754616693</v>
      </c>
      <c r="S141" s="168">
        <f t="shared" si="154"/>
        <v>0.79370052754616693</v>
      </c>
      <c r="T141" s="168">
        <f t="shared" si="154"/>
        <v>0.79370052754616693</v>
      </c>
      <c r="U141" s="168">
        <f t="shared" si="154"/>
        <v>0.79370052754616693</v>
      </c>
      <c r="V141" s="168">
        <f t="shared" si="154"/>
        <v>0.79370052754616693</v>
      </c>
      <c r="W141" s="168">
        <f t="shared" si="154"/>
        <v>0.79370052754616693</v>
      </c>
      <c r="X141" s="168">
        <f t="shared" si="154"/>
        <v>0.79370052754616693</v>
      </c>
      <c r="Y141" s="168">
        <f t="shared" si="154"/>
        <v>0.79370052754616693</v>
      </c>
      <c r="Z141" s="168">
        <f t="shared" si="154"/>
        <v>0.79370052754616693</v>
      </c>
      <c r="AA141" s="168">
        <f t="shared" si="154"/>
        <v>0.79370052754616693</v>
      </c>
      <c r="AB141" s="168">
        <f t="shared" si="154"/>
        <v>0.79370052754616693</v>
      </c>
      <c r="AC141" s="168">
        <f t="shared" si="154"/>
        <v>0.79370052754616693</v>
      </c>
      <c r="AD141" s="168">
        <f t="shared" si="154"/>
        <v>0.79370052754616693</v>
      </c>
      <c r="AE141" s="168">
        <f t="shared" si="154"/>
        <v>0.79370052754616693</v>
      </c>
      <c r="AF141" s="168">
        <f t="shared" si="154"/>
        <v>0.79370052754616693</v>
      </c>
      <c r="AG141" s="168">
        <f t="shared" si="154"/>
        <v>0.79370052754616693</v>
      </c>
      <c r="AH141" s="168">
        <f t="shared" si="154"/>
        <v>0.79370052754616693</v>
      </c>
      <c r="AI141" s="168">
        <f t="shared" si="154"/>
        <v>0.79370052754616693</v>
      </c>
      <c r="AJ141" s="168">
        <f t="shared" si="154"/>
        <v>0.79370052754616693</v>
      </c>
      <c r="AK141" s="168">
        <f t="shared" si="154"/>
        <v>0.79370052754616693</v>
      </c>
      <c r="AL141" s="168">
        <f t="shared" si="154"/>
        <v>0.79370052754616693</v>
      </c>
      <c r="AM141" s="168">
        <f t="shared" si="154"/>
        <v>0.79370052754616693</v>
      </c>
      <c r="AN141" s="168">
        <f t="shared" si="154"/>
        <v>0.79370052754616693</v>
      </c>
      <c r="AO141" s="168">
        <f t="shared" si="154"/>
        <v>0.79370052754616693</v>
      </c>
      <c r="AP141" s="168">
        <f t="shared" si="154"/>
        <v>0.79370052754616693</v>
      </c>
      <c r="AQ141" s="168">
        <f t="shared" si="154"/>
        <v>0.79370052754616693</v>
      </c>
      <c r="AR141" s="168">
        <f t="shared" si="154"/>
        <v>0.79370052754616693</v>
      </c>
      <c r="AS141" s="168">
        <f t="shared" si="154"/>
        <v>0.79370052754616693</v>
      </c>
      <c r="AT141" s="168">
        <f t="shared" si="154"/>
        <v>0.79370052754616693</v>
      </c>
      <c r="AU141" s="168">
        <f t="shared" si="154"/>
        <v>0.79370052754616693</v>
      </c>
      <c r="AV141" s="168">
        <f t="shared" si="154"/>
        <v>0.79370052754616693</v>
      </c>
      <c r="AW141" s="168">
        <f t="shared" si="154"/>
        <v>0.79370052754616693</v>
      </c>
      <c r="AX141" s="168">
        <f t="shared" si="154"/>
        <v>0.79370052754616693</v>
      </c>
      <c r="AY141" s="168">
        <f t="shared" si="154"/>
        <v>0.79370052754616693</v>
      </c>
      <c r="AZ141" s="168">
        <f t="shared" si="154"/>
        <v>0.79370052754616693</v>
      </c>
      <c r="BA141" s="168">
        <f t="shared" si="154"/>
        <v>0.79370052754616693</v>
      </c>
      <c r="BB141" s="168">
        <f t="shared" si="154"/>
        <v>0.79370052754616693</v>
      </c>
      <c r="BC141" s="168">
        <f t="shared" si="154"/>
        <v>0.79370052754616693</v>
      </c>
      <c r="BD141" s="168">
        <f t="shared" si="154"/>
        <v>0.79370052754616693</v>
      </c>
      <c r="BE141" s="168">
        <f t="shared" si="154"/>
        <v>0.79370052754616693</v>
      </c>
      <c r="BF141" s="168">
        <f t="shared" si="154"/>
        <v>0.79370052754616693</v>
      </c>
      <c r="BG141" s="168">
        <f t="shared" si="154"/>
        <v>0.79370052754616693</v>
      </c>
      <c r="BH141" s="168">
        <f t="shared" si="154"/>
        <v>0.79370052754616693</v>
      </c>
      <c r="BI141" s="168">
        <f t="shared" si="154"/>
        <v>0.79370052754616693</v>
      </c>
      <c r="BJ141" s="168">
        <f t="shared" si="154"/>
        <v>0.79370052754616693</v>
      </c>
      <c r="BK141" s="168">
        <f t="shared" si="154"/>
        <v>0.79370052754616693</v>
      </c>
      <c r="BL141" s="168">
        <f t="shared" si="154"/>
        <v>0.79370052754616693</v>
      </c>
      <c r="BM141" s="168">
        <f t="shared" si="154"/>
        <v>0.79370052754616693</v>
      </c>
      <c r="BN141" s="168">
        <f t="shared" si="154"/>
        <v>0.79370052754616693</v>
      </c>
      <c r="BO141" s="168">
        <f t="shared" si="154"/>
        <v>0.79370052754616693</v>
      </c>
      <c r="BP141" s="168">
        <f t="shared" si="154"/>
        <v>0.79370052754616693</v>
      </c>
      <c r="BQ141" s="168">
        <f t="shared" si="154"/>
        <v>0.79370052754616693</v>
      </c>
      <c r="BR141" s="168">
        <f t="shared" si="154"/>
        <v>0.79370052754616693</v>
      </c>
      <c r="BS141" s="168">
        <f t="shared" ref="BS141:DA141" si="155">0.2*BS140^4*5*$F$43+0.1*(1-BS140^4)^2*(5*$F$43)^(1/3)</f>
        <v>0.79370052754616693</v>
      </c>
      <c r="BT141" s="168">
        <f t="shared" si="155"/>
        <v>0.79370052754616693</v>
      </c>
      <c r="BU141" s="168">
        <f t="shared" si="155"/>
        <v>0.79370052754616693</v>
      </c>
      <c r="BV141" s="168">
        <f t="shared" si="155"/>
        <v>0.79370052754616693</v>
      </c>
      <c r="BW141" s="168">
        <f t="shared" si="155"/>
        <v>0.79370052754616693</v>
      </c>
      <c r="BX141" s="168">
        <f t="shared" si="155"/>
        <v>0.79370052754616693</v>
      </c>
      <c r="BY141" s="168">
        <f t="shared" si="155"/>
        <v>0.79370052754616693</v>
      </c>
      <c r="BZ141" s="168">
        <f t="shared" si="155"/>
        <v>0.79370052754616693</v>
      </c>
      <c r="CA141" s="168">
        <f t="shared" si="155"/>
        <v>0.79370052754616693</v>
      </c>
      <c r="CB141" s="168">
        <f t="shared" si="155"/>
        <v>0.79370052754616693</v>
      </c>
      <c r="CC141" s="168">
        <f t="shared" si="155"/>
        <v>0.79370052754616693</v>
      </c>
      <c r="CD141" s="168">
        <f t="shared" si="155"/>
        <v>0.79370052754616693</v>
      </c>
      <c r="CE141" s="168">
        <f t="shared" si="155"/>
        <v>0.79370052754616693</v>
      </c>
      <c r="CF141" s="168">
        <f t="shared" si="155"/>
        <v>0.79370052754616693</v>
      </c>
      <c r="CG141" s="168">
        <f t="shared" si="155"/>
        <v>0.79370052754616693</v>
      </c>
      <c r="CH141" s="168">
        <f t="shared" si="155"/>
        <v>0.79370052754616693</v>
      </c>
      <c r="CI141" s="168">
        <f t="shared" si="155"/>
        <v>0.79370052754616693</v>
      </c>
      <c r="CJ141" s="168">
        <f t="shared" si="155"/>
        <v>0.79370052754616693</v>
      </c>
      <c r="CK141" s="168">
        <f t="shared" si="155"/>
        <v>0.79370052754616693</v>
      </c>
      <c r="CL141" s="168">
        <f t="shared" si="155"/>
        <v>0.79370052754616693</v>
      </c>
      <c r="CM141" s="168">
        <f t="shared" si="155"/>
        <v>0.79370052754616693</v>
      </c>
      <c r="CN141" s="168">
        <f t="shared" si="155"/>
        <v>0.79370052754616693</v>
      </c>
      <c r="CO141" s="168">
        <f t="shared" si="155"/>
        <v>0.79370052754616693</v>
      </c>
      <c r="CP141" s="168">
        <f t="shared" si="155"/>
        <v>0.79370052754616693</v>
      </c>
      <c r="CQ141" s="168">
        <f t="shared" si="155"/>
        <v>0.79370052754616693</v>
      </c>
      <c r="CR141" s="168">
        <f t="shared" si="155"/>
        <v>0.79370052754616693</v>
      </c>
      <c r="CS141" s="168">
        <f t="shared" si="155"/>
        <v>0.79370052754616693</v>
      </c>
      <c r="CT141" s="168">
        <f t="shared" si="155"/>
        <v>0.79370052754616693</v>
      </c>
      <c r="CU141" s="168">
        <f t="shared" si="155"/>
        <v>0.79370052754616693</v>
      </c>
      <c r="CV141" s="168">
        <f t="shared" si="155"/>
        <v>0.79370052754616693</v>
      </c>
      <c r="CW141" s="168">
        <f t="shared" si="155"/>
        <v>0.79370052754616693</v>
      </c>
      <c r="CX141" s="168">
        <f t="shared" si="155"/>
        <v>0.79370052754616693</v>
      </c>
      <c r="CY141" s="168">
        <f t="shared" si="155"/>
        <v>0.79370052754616693</v>
      </c>
      <c r="CZ141" s="168">
        <f t="shared" si="155"/>
        <v>0.79370052754616693</v>
      </c>
      <c r="DA141" s="168">
        <f t="shared" si="155"/>
        <v>0.79370052754616693</v>
      </c>
    </row>
    <row r="142" spans="5:105">
      <c r="E142" s="172" t="s">
        <v>287</v>
      </c>
      <c r="F142" s="168">
        <f>$F$44/F137</f>
        <v>0.2</v>
      </c>
      <c r="G142" s="168">
        <f t="shared" ref="G142:BR142" si="156">$F$44/G137</f>
        <v>0.2</v>
      </c>
      <c r="H142" s="168">
        <f t="shared" si="156"/>
        <v>0.2</v>
      </c>
      <c r="I142" s="168">
        <f t="shared" si="156"/>
        <v>0.2</v>
      </c>
      <c r="J142" s="168">
        <f t="shared" si="156"/>
        <v>0.2</v>
      </c>
      <c r="K142" s="168">
        <f t="shared" si="156"/>
        <v>0.2</v>
      </c>
      <c r="L142" s="168">
        <f t="shared" si="156"/>
        <v>0.2</v>
      </c>
      <c r="M142" s="168">
        <f t="shared" si="156"/>
        <v>0.2</v>
      </c>
      <c r="N142" s="168">
        <f t="shared" si="156"/>
        <v>0.2</v>
      </c>
      <c r="O142" s="168">
        <f t="shared" si="156"/>
        <v>0.2</v>
      </c>
      <c r="P142" s="168">
        <f t="shared" si="156"/>
        <v>0.2</v>
      </c>
      <c r="Q142" s="168">
        <f t="shared" si="156"/>
        <v>0.2</v>
      </c>
      <c r="R142" s="168">
        <f t="shared" si="156"/>
        <v>0.2</v>
      </c>
      <c r="S142" s="168">
        <f t="shared" si="156"/>
        <v>0.2</v>
      </c>
      <c r="T142" s="168">
        <f t="shared" si="156"/>
        <v>0.2</v>
      </c>
      <c r="U142" s="168">
        <f t="shared" si="156"/>
        <v>0.2</v>
      </c>
      <c r="V142" s="168">
        <f t="shared" si="156"/>
        <v>0.2</v>
      </c>
      <c r="W142" s="168">
        <f t="shared" si="156"/>
        <v>0.2</v>
      </c>
      <c r="X142" s="168">
        <f t="shared" si="156"/>
        <v>0.2</v>
      </c>
      <c r="Y142" s="168">
        <f t="shared" si="156"/>
        <v>0.2</v>
      </c>
      <c r="Z142" s="168">
        <f t="shared" si="156"/>
        <v>0.2</v>
      </c>
      <c r="AA142" s="168">
        <f t="shared" si="156"/>
        <v>0.2</v>
      </c>
      <c r="AB142" s="168">
        <f t="shared" si="156"/>
        <v>0.2</v>
      </c>
      <c r="AC142" s="168">
        <f t="shared" si="156"/>
        <v>0.2</v>
      </c>
      <c r="AD142" s="168">
        <f t="shared" si="156"/>
        <v>0.2</v>
      </c>
      <c r="AE142" s="168">
        <f t="shared" si="156"/>
        <v>0.2</v>
      </c>
      <c r="AF142" s="168">
        <f t="shared" si="156"/>
        <v>0.2</v>
      </c>
      <c r="AG142" s="168">
        <f t="shared" si="156"/>
        <v>0.2</v>
      </c>
      <c r="AH142" s="168">
        <f t="shared" si="156"/>
        <v>0.2</v>
      </c>
      <c r="AI142" s="168">
        <f t="shared" si="156"/>
        <v>0.2</v>
      </c>
      <c r="AJ142" s="168">
        <f t="shared" si="156"/>
        <v>0.2</v>
      </c>
      <c r="AK142" s="168">
        <f t="shared" si="156"/>
        <v>0.2</v>
      </c>
      <c r="AL142" s="168">
        <f t="shared" si="156"/>
        <v>0.2</v>
      </c>
      <c r="AM142" s="168">
        <f t="shared" si="156"/>
        <v>0.2</v>
      </c>
      <c r="AN142" s="168">
        <f t="shared" si="156"/>
        <v>0.2</v>
      </c>
      <c r="AO142" s="168">
        <f t="shared" si="156"/>
        <v>0.2</v>
      </c>
      <c r="AP142" s="168">
        <f t="shared" si="156"/>
        <v>0.2</v>
      </c>
      <c r="AQ142" s="168">
        <f t="shared" si="156"/>
        <v>0.2</v>
      </c>
      <c r="AR142" s="168">
        <f t="shared" si="156"/>
        <v>0.2</v>
      </c>
      <c r="AS142" s="168">
        <f t="shared" si="156"/>
        <v>0.2</v>
      </c>
      <c r="AT142" s="168">
        <f t="shared" si="156"/>
        <v>0.2</v>
      </c>
      <c r="AU142" s="168">
        <f t="shared" si="156"/>
        <v>0.2</v>
      </c>
      <c r="AV142" s="168">
        <f t="shared" si="156"/>
        <v>0.2</v>
      </c>
      <c r="AW142" s="168">
        <f t="shared" si="156"/>
        <v>0.2</v>
      </c>
      <c r="AX142" s="168">
        <f t="shared" si="156"/>
        <v>0.2</v>
      </c>
      <c r="AY142" s="168">
        <f t="shared" si="156"/>
        <v>0.2</v>
      </c>
      <c r="AZ142" s="168">
        <f t="shared" si="156"/>
        <v>0.2</v>
      </c>
      <c r="BA142" s="168">
        <f t="shared" si="156"/>
        <v>0.2</v>
      </c>
      <c r="BB142" s="168">
        <f t="shared" si="156"/>
        <v>0.2</v>
      </c>
      <c r="BC142" s="168">
        <f t="shared" si="156"/>
        <v>0.2</v>
      </c>
      <c r="BD142" s="168">
        <f t="shared" si="156"/>
        <v>0.2</v>
      </c>
      <c r="BE142" s="168">
        <f t="shared" si="156"/>
        <v>0.2</v>
      </c>
      <c r="BF142" s="168">
        <f t="shared" si="156"/>
        <v>0.2</v>
      </c>
      <c r="BG142" s="168">
        <f t="shared" si="156"/>
        <v>0.2</v>
      </c>
      <c r="BH142" s="168">
        <f t="shared" si="156"/>
        <v>0.2</v>
      </c>
      <c r="BI142" s="168">
        <f t="shared" si="156"/>
        <v>0.2</v>
      </c>
      <c r="BJ142" s="168">
        <f t="shared" si="156"/>
        <v>0.2</v>
      </c>
      <c r="BK142" s="168">
        <f t="shared" si="156"/>
        <v>0.2</v>
      </c>
      <c r="BL142" s="168">
        <f t="shared" si="156"/>
        <v>0.2</v>
      </c>
      <c r="BM142" s="168">
        <f t="shared" si="156"/>
        <v>0.2</v>
      </c>
      <c r="BN142" s="168">
        <f t="shared" si="156"/>
        <v>0.2</v>
      </c>
      <c r="BO142" s="168">
        <f t="shared" si="156"/>
        <v>0.2</v>
      </c>
      <c r="BP142" s="168">
        <f t="shared" si="156"/>
        <v>0.2</v>
      </c>
      <c r="BQ142" s="168">
        <f t="shared" si="156"/>
        <v>0.2</v>
      </c>
      <c r="BR142" s="168">
        <f t="shared" si="156"/>
        <v>0.2</v>
      </c>
      <c r="BS142" s="168">
        <f t="shared" ref="BS142:DA142" si="157">$F$44/BS137</f>
        <v>0.2</v>
      </c>
      <c r="BT142" s="168">
        <f t="shared" si="157"/>
        <v>0.2</v>
      </c>
      <c r="BU142" s="168">
        <f t="shared" si="157"/>
        <v>0.2</v>
      </c>
      <c r="BV142" s="168">
        <f t="shared" si="157"/>
        <v>0.2</v>
      </c>
      <c r="BW142" s="168">
        <f t="shared" si="157"/>
        <v>0.2</v>
      </c>
      <c r="BX142" s="168">
        <f t="shared" si="157"/>
        <v>0.2</v>
      </c>
      <c r="BY142" s="168">
        <f t="shared" si="157"/>
        <v>0.2</v>
      </c>
      <c r="BZ142" s="168">
        <f t="shared" si="157"/>
        <v>0.2</v>
      </c>
      <c r="CA142" s="168">
        <f t="shared" si="157"/>
        <v>0.2</v>
      </c>
      <c r="CB142" s="168">
        <f t="shared" si="157"/>
        <v>0.2</v>
      </c>
      <c r="CC142" s="168">
        <f t="shared" si="157"/>
        <v>0.2</v>
      </c>
      <c r="CD142" s="168">
        <f t="shared" si="157"/>
        <v>0.2</v>
      </c>
      <c r="CE142" s="168">
        <f t="shared" si="157"/>
        <v>0.2</v>
      </c>
      <c r="CF142" s="168">
        <f t="shared" si="157"/>
        <v>0.2</v>
      </c>
      <c r="CG142" s="168">
        <f t="shared" si="157"/>
        <v>0.2</v>
      </c>
      <c r="CH142" s="168">
        <f t="shared" si="157"/>
        <v>0.2</v>
      </c>
      <c r="CI142" s="168">
        <f t="shared" si="157"/>
        <v>0.2</v>
      </c>
      <c r="CJ142" s="168">
        <f t="shared" si="157"/>
        <v>0.2</v>
      </c>
      <c r="CK142" s="168">
        <f t="shared" si="157"/>
        <v>0.2</v>
      </c>
      <c r="CL142" s="168">
        <f t="shared" si="157"/>
        <v>0.2</v>
      </c>
      <c r="CM142" s="168">
        <f t="shared" si="157"/>
        <v>0.2</v>
      </c>
      <c r="CN142" s="168">
        <f t="shared" si="157"/>
        <v>0.2</v>
      </c>
      <c r="CO142" s="168">
        <f t="shared" si="157"/>
        <v>0.2</v>
      </c>
      <c r="CP142" s="168">
        <f t="shared" si="157"/>
        <v>0.2</v>
      </c>
      <c r="CQ142" s="168">
        <f t="shared" si="157"/>
        <v>0.2</v>
      </c>
      <c r="CR142" s="168">
        <f t="shared" si="157"/>
        <v>0.2</v>
      </c>
      <c r="CS142" s="168">
        <f t="shared" si="157"/>
        <v>0.2</v>
      </c>
      <c r="CT142" s="168">
        <f t="shared" si="157"/>
        <v>0.2</v>
      </c>
      <c r="CU142" s="168">
        <f t="shared" si="157"/>
        <v>0.2</v>
      </c>
      <c r="CV142" s="168">
        <f t="shared" si="157"/>
        <v>0.2</v>
      </c>
      <c r="CW142" s="168">
        <f t="shared" si="157"/>
        <v>0.2</v>
      </c>
      <c r="CX142" s="168">
        <f t="shared" si="157"/>
        <v>0.2</v>
      </c>
      <c r="CY142" s="168">
        <f t="shared" si="157"/>
        <v>0.2</v>
      </c>
      <c r="CZ142" s="168">
        <f t="shared" si="157"/>
        <v>0.2</v>
      </c>
      <c r="DA142" s="168">
        <f t="shared" si="157"/>
        <v>0.2</v>
      </c>
    </row>
    <row r="143" spans="5:105">
      <c r="E143" s="172" t="s">
        <v>288</v>
      </c>
      <c r="F143" s="168">
        <f>0.725*(1/F142)^0.2</f>
        <v>1.0003040045593807</v>
      </c>
      <c r="G143" s="168">
        <f t="shared" ref="G143:BR143" si="158">0.725*(1/G142)^0.2</f>
        <v>1.0003040045593807</v>
      </c>
      <c r="H143" s="168">
        <f t="shared" si="158"/>
        <v>1.0003040045593807</v>
      </c>
      <c r="I143" s="168">
        <f t="shared" si="158"/>
        <v>1.0003040045593807</v>
      </c>
      <c r="J143" s="168">
        <f t="shared" si="158"/>
        <v>1.0003040045593807</v>
      </c>
      <c r="K143" s="168">
        <f t="shared" si="158"/>
        <v>1.0003040045593807</v>
      </c>
      <c r="L143" s="168">
        <f t="shared" si="158"/>
        <v>1.0003040045593807</v>
      </c>
      <c r="M143" s="168">
        <f t="shared" si="158"/>
        <v>1.0003040045593807</v>
      </c>
      <c r="N143" s="168">
        <f t="shared" si="158"/>
        <v>1.0003040045593807</v>
      </c>
      <c r="O143" s="168">
        <f t="shared" si="158"/>
        <v>1.0003040045593807</v>
      </c>
      <c r="P143" s="168">
        <f t="shared" si="158"/>
        <v>1.0003040045593807</v>
      </c>
      <c r="Q143" s="168">
        <f t="shared" si="158"/>
        <v>1.0003040045593807</v>
      </c>
      <c r="R143" s="168">
        <f t="shared" si="158"/>
        <v>1.0003040045593807</v>
      </c>
      <c r="S143" s="168">
        <f t="shared" si="158"/>
        <v>1.0003040045593807</v>
      </c>
      <c r="T143" s="168">
        <f t="shared" si="158"/>
        <v>1.0003040045593807</v>
      </c>
      <c r="U143" s="168">
        <f t="shared" si="158"/>
        <v>1.0003040045593807</v>
      </c>
      <c r="V143" s="168">
        <f t="shared" si="158"/>
        <v>1.0003040045593807</v>
      </c>
      <c r="W143" s="168">
        <f t="shared" si="158"/>
        <v>1.0003040045593807</v>
      </c>
      <c r="X143" s="168">
        <f t="shared" si="158"/>
        <v>1.0003040045593807</v>
      </c>
      <c r="Y143" s="168">
        <f t="shared" si="158"/>
        <v>1.0003040045593807</v>
      </c>
      <c r="Z143" s="168">
        <f t="shared" si="158"/>
        <v>1.0003040045593807</v>
      </c>
      <c r="AA143" s="168">
        <f t="shared" si="158"/>
        <v>1.0003040045593807</v>
      </c>
      <c r="AB143" s="168">
        <f t="shared" si="158"/>
        <v>1.0003040045593807</v>
      </c>
      <c r="AC143" s="168">
        <f t="shared" si="158"/>
        <v>1.0003040045593807</v>
      </c>
      <c r="AD143" s="168">
        <f t="shared" si="158"/>
        <v>1.0003040045593807</v>
      </c>
      <c r="AE143" s="168">
        <f t="shared" si="158"/>
        <v>1.0003040045593807</v>
      </c>
      <c r="AF143" s="168">
        <f t="shared" si="158"/>
        <v>1.0003040045593807</v>
      </c>
      <c r="AG143" s="168">
        <f t="shared" si="158"/>
        <v>1.0003040045593807</v>
      </c>
      <c r="AH143" s="168">
        <f t="shared" si="158"/>
        <v>1.0003040045593807</v>
      </c>
      <c r="AI143" s="168">
        <f t="shared" si="158"/>
        <v>1.0003040045593807</v>
      </c>
      <c r="AJ143" s="168">
        <f t="shared" si="158"/>
        <v>1.0003040045593807</v>
      </c>
      <c r="AK143" s="168">
        <f t="shared" si="158"/>
        <v>1.0003040045593807</v>
      </c>
      <c r="AL143" s="168">
        <f t="shared" si="158"/>
        <v>1.0003040045593807</v>
      </c>
      <c r="AM143" s="168">
        <f t="shared" si="158"/>
        <v>1.0003040045593807</v>
      </c>
      <c r="AN143" s="168">
        <f t="shared" si="158"/>
        <v>1.0003040045593807</v>
      </c>
      <c r="AO143" s="168">
        <f t="shared" si="158"/>
        <v>1.0003040045593807</v>
      </c>
      <c r="AP143" s="168">
        <f t="shared" si="158"/>
        <v>1.0003040045593807</v>
      </c>
      <c r="AQ143" s="168">
        <f t="shared" si="158"/>
        <v>1.0003040045593807</v>
      </c>
      <c r="AR143" s="168">
        <f t="shared" si="158"/>
        <v>1.0003040045593807</v>
      </c>
      <c r="AS143" s="168">
        <f t="shared" si="158"/>
        <v>1.0003040045593807</v>
      </c>
      <c r="AT143" s="168">
        <f t="shared" si="158"/>
        <v>1.0003040045593807</v>
      </c>
      <c r="AU143" s="168">
        <f t="shared" si="158"/>
        <v>1.0003040045593807</v>
      </c>
      <c r="AV143" s="168">
        <f t="shared" si="158"/>
        <v>1.0003040045593807</v>
      </c>
      <c r="AW143" s="168">
        <f t="shared" si="158"/>
        <v>1.0003040045593807</v>
      </c>
      <c r="AX143" s="168">
        <f t="shared" si="158"/>
        <v>1.0003040045593807</v>
      </c>
      <c r="AY143" s="168">
        <f t="shared" si="158"/>
        <v>1.0003040045593807</v>
      </c>
      <c r="AZ143" s="168">
        <f t="shared" si="158"/>
        <v>1.0003040045593807</v>
      </c>
      <c r="BA143" s="168">
        <f t="shared" si="158"/>
        <v>1.0003040045593807</v>
      </c>
      <c r="BB143" s="168">
        <f t="shared" si="158"/>
        <v>1.0003040045593807</v>
      </c>
      <c r="BC143" s="168">
        <f t="shared" si="158"/>
        <v>1.0003040045593807</v>
      </c>
      <c r="BD143" s="168">
        <f t="shared" si="158"/>
        <v>1.0003040045593807</v>
      </c>
      <c r="BE143" s="168">
        <f t="shared" si="158"/>
        <v>1.0003040045593807</v>
      </c>
      <c r="BF143" s="168">
        <f t="shared" si="158"/>
        <v>1.0003040045593807</v>
      </c>
      <c r="BG143" s="168">
        <f t="shared" si="158"/>
        <v>1.0003040045593807</v>
      </c>
      <c r="BH143" s="168">
        <f t="shared" si="158"/>
        <v>1.0003040045593807</v>
      </c>
      <c r="BI143" s="168">
        <f t="shared" si="158"/>
        <v>1.0003040045593807</v>
      </c>
      <c r="BJ143" s="168">
        <f t="shared" si="158"/>
        <v>1.0003040045593807</v>
      </c>
      <c r="BK143" s="168">
        <f t="shared" si="158"/>
        <v>1.0003040045593807</v>
      </c>
      <c r="BL143" s="168">
        <f t="shared" si="158"/>
        <v>1.0003040045593807</v>
      </c>
      <c r="BM143" s="168">
        <f t="shared" si="158"/>
        <v>1.0003040045593807</v>
      </c>
      <c r="BN143" s="168">
        <f t="shared" si="158"/>
        <v>1.0003040045593807</v>
      </c>
      <c r="BO143" s="168">
        <f t="shared" si="158"/>
        <v>1.0003040045593807</v>
      </c>
      <c r="BP143" s="168">
        <f t="shared" si="158"/>
        <v>1.0003040045593807</v>
      </c>
      <c r="BQ143" s="168">
        <f t="shared" si="158"/>
        <v>1.0003040045593807</v>
      </c>
      <c r="BR143" s="168">
        <f t="shared" si="158"/>
        <v>1.0003040045593807</v>
      </c>
      <c r="BS143" s="168">
        <f t="shared" ref="BS143:DA143" si="159">0.725*(1/BS142)^0.2</f>
        <v>1.0003040045593807</v>
      </c>
      <c r="BT143" s="168">
        <f t="shared" si="159"/>
        <v>1.0003040045593807</v>
      </c>
      <c r="BU143" s="168">
        <f t="shared" si="159"/>
        <v>1.0003040045593807</v>
      </c>
      <c r="BV143" s="168">
        <f t="shared" si="159"/>
        <v>1.0003040045593807</v>
      </c>
      <c r="BW143" s="168">
        <f t="shared" si="159"/>
        <v>1.0003040045593807</v>
      </c>
      <c r="BX143" s="168">
        <f t="shared" si="159"/>
        <v>1.0003040045593807</v>
      </c>
      <c r="BY143" s="168">
        <f t="shared" si="159"/>
        <v>1.0003040045593807</v>
      </c>
      <c r="BZ143" s="168">
        <f t="shared" si="159"/>
        <v>1.0003040045593807</v>
      </c>
      <c r="CA143" s="168">
        <f t="shared" si="159"/>
        <v>1.0003040045593807</v>
      </c>
      <c r="CB143" s="168">
        <f t="shared" si="159"/>
        <v>1.0003040045593807</v>
      </c>
      <c r="CC143" s="168">
        <f t="shared" si="159"/>
        <v>1.0003040045593807</v>
      </c>
      <c r="CD143" s="168">
        <f t="shared" si="159"/>
        <v>1.0003040045593807</v>
      </c>
      <c r="CE143" s="168">
        <f t="shared" si="159"/>
        <v>1.0003040045593807</v>
      </c>
      <c r="CF143" s="168">
        <f t="shared" si="159"/>
        <v>1.0003040045593807</v>
      </c>
      <c r="CG143" s="168">
        <f t="shared" si="159"/>
        <v>1.0003040045593807</v>
      </c>
      <c r="CH143" s="168">
        <f t="shared" si="159"/>
        <v>1.0003040045593807</v>
      </c>
      <c r="CI143" s="168">
        <f t="shared" si="159"/>
        <v>1.0003040045593807</v>
      </c>
      <c r="CJ143" s="168">
        <f t="shared" si="159"/>
        <v>1.0003040045593807</v>
      </c>
      <c r="CK143" s="168">
        <f t="shared" si="159"/>
        <v>1.0003040045593807</v>
      </c>
      <c r="CL143" s="168">
        <f t="shared" si="159"/>
        <v>1.0003040045593807</v>
      </c>
      <c r="CM143" s="168">
        <f t="shared" si="159"/>
        <v>1.0003040045593807</v>
      </c>
      <c r="CN143" s="168">
        <f t="shared" si="159"/>
        <v>1.0003040045593807</v>
      </c>
      <c r="CO143" s="168">
        <f t="shared" si="159"/>
        <v>1.0003040045593807</v>
      </c>
      <c r="CP143" s="168">
        <f t="shared" si="159"/>
        <v>1.0003040045593807</v>
      </c>
      <c r="CQ143" s="168">
        <f t="shared" si="159"/>
        <v>1.0003040045593807</v>
      </c>
      <c r="CR143" s="168">
        <f t="shared" si="159"/>
        <v>1.0003040045593807</v>
      </c>
      <c r="CS143" s="168">
        <f t="shared" si="159"/>
        <v>1.0003040045593807</v>
      </c>
      <c r="CT143" s="168">
        <f t="shared" si="159"/>
        <v>1.0003040045593807</v>
      </c>
      <c r="CU143" s="168">
        <f t="shared" si="159"/>
        <v>1.0003040045593807</v>
      </c>
      <c r="CV143" s="168">
        <f t="shared" si="159"/>
        <v>1.0003040045593807</v>
      </c>
      <c r="CW143" s="168">
        <f t="shared" si="159"/>
        <v>1.0003040045593807</v>
      </c>
      <c r="CX143" s="168">
        <f t="shared" si="159"/>
        <v>1.0003040045593807</v>
      </c>
      <c r="CY143" s="168">
        <f t="shared" si="159"/>
        <v>1.0003040045593807</v>
      </c>
      <c r="CZ143" s="168">
        <f t="shared" si="159"/>
        <v>1.0003040045593807</v>
      </c>
      <c r="DA143" s="168">
        <f t="shared" si="159"/>
        <v>1.0003040045593807</v>
      </c>
    </row>
    <row r="144" spans="5:105">
      <c r="E144" s="172" t="s">
        <v>289</v>
      </c>
      <c r="F144" s="168">
        <f>0.725*(1/F142)^0.2</f>
        <v>1.0003040045593807</v>
      </c>
      <c r="G144" s="168">
        <f t="shared" ref="G144:BR144" si="160">0.725*(1/G142)^0.2</f>
        <v>1.0003040045593807</v>
      </c>
      <c r="H144" s="168">
        <f t="shared" si="160"/>
        <v>1.0003040045593807</v>
      </c>
      <c r="I144" s="168">
        <f t="shared" si="160"/>
        <v>1.0003040045593807</v>
      </c>
      <c r="J144" s="168">
        <f t="shared" si="160"/>
        <v>1.0003040045593807</v>
      </c>
      <c r="K144" s="168">
        <f t="shared" si="160"/>
        <v>1.0003040045593807</v>
      </c>
      <c r="L144" s="168">
        <f t="shared" si="160"/>
        <v>1.0003040045593807</v>
      </c>
      <c r="M144" s="168">
        <f t="shared" si="160"/>
        <v>1.0003040045593807</v>
      </c>
      <c r="N144" s="168">
        <f t="shared" si="160"/>
        <v>1.0003040045593807</v>
      </c>
      <c r="O144" s="168">
        <f t="shared" si="160"/>
        <v>1.0003040045593807</v>
      </c>
      <c r="P144" s="168">
        <f t="shared" si="160"/>
        <v>1.0003040045593807</v>
      </c>
      <c r="Q144" s="168">
        <f t="shared" si="160"/>
        <v>1.0003040045593807</v>
      </c>
      <c r="R144" s="168">
        <f t="shared" si="160"/>
        <v>1.0003040045593807</v>
      </c>
      <c r="S144" s="168">
        <f t="shared" si="160"/>
        <v>1.0003040045593807</v>
      </c>
      <c r="T144" s="168">
        <f t="shared" si="160"/>
        <v>1.0003040045593807</v>
      </c>
      <c r="U144" s="168">
        <f t="shared" si="160"/>
        <v>1.0003040045593807</v>
      </c>
      <c r="V144" s="168">
        <f t="shared" si="160"/>
        <v>1.0003040045593807</v>
      </c>
      <c r="W144" s="168">
        <f t="shared" si="160"/>
        <v>1.0003040045593807</v>
      </c>
      <c r="X144" s="168">
        <f t="shared" si="160"/>
        <v>1.0003040045593807</v>
      </c>
      <c r="Y144" s="168">
        <f t="shared" si="160"/>
        <v>1.0003040045593807</v>
      </c>
      <c r="Z144" s="168">
        <f t="shared" si="160"/>
        <v>1.0003040045593807</v>
      </c>
      <c r="AA144" s="168">
        <f t="shared" si="160"/>
        <v>1.0003040045593807</v>
      </c>
      <c r="AB144" s="168">
        <f t="shared" si="160"/>
        <v>1.0003040045593807</v>
      </c>
      <c r="AC144" s="168">
        <f t="shared" si="160"/>
        <v>1.0003040045593807</v>
      </c>
      <c r="AD144" s="168">
        <f t="shared" si="160"/>
        <v>1.0003040045593807</v>
      </c>
      <c r="AE144" s="168">
        <f t="shared" si="160"/>
        <v>1.0003040045593807</v>
      </c>
      <c r="AF144" s="168">
        <f t="shared" si="160"/>
        <v>1.0003040045593807</v>
      </c>
      <c r="AG144" s="168">
        <f t="shared" si="160"/>
        <v>1.0003040045593807</v>
      </c>
      <c r="AH144" s="168">
        <f t="shared" si="160"/>
        <v>1.0003040045593807</v>
      </c>
      <c r="AI144" s="168">
        <f t="shared" si="160"/>
        <v>1.0003040045593807</v>
      </c>
      <c r="AJ144" s="168">
        <f t="shared" si="160"/>
        <v>1.0003040045593807</v>
      </c>
      <c r="AK144" s="168">
        <f t="shared" si="160"/>
        <v>1.0003040045593807</v>
      </c>
      <c r="AL144" s="168">
        <f t="shared" si="160"/>
        <v>1.0003040045593807</v>
      </c>
      <c r="AM144" s="168">
        <f t="shared" si="160"/>
        <v>1.0003040045593807</v>
      </c>
      <c r="AN144" s="168">
        <f t="shared" si="160"/>
        <v>1.0003040045593807</v>
      </c>
      <c r="AO144" s="168">
        <f t="shared" si="160"/>
        <v>1.0003040045593807</v>
      </c>
      <c r="AP144" s="168">
        <f t="shared" si="160"/>
        <v>1.0003040045593807</v>
      </c>
      <c r="AQ144" s="168">
        <f t="shared" si="160"/>
        <v>1.0003040045593807</v>
      </c>
      <c r="AR144" s="168">
        <f t="shared" si="160"/>
        <v>1.0003040045593807</v>
      </c>
      <c r="AS144" s="168">
        <f t="shared" si="160"/>
        <v>1.0003040045593807</v>
      </c>
      <c r="AT144" s="168">
        <f t="shared" si="160"/>
        <v>1.0003040045593807</v>
      </c>
      <c r="AU144" s="168">
        <f t="shared" si="160"/>
        <v>1.0003040045593807</v>
      </c>
      <c r="AV144" s="168">
        <f t="shared" si="160"/>
        <v>1.0003040045593807</v>
      </c>
      <c r="AW144" s="168">
        <f t="shared" si="160"/>
        <v>1.0003040045593807</v>
      </c>
      <c r="AX144" s="168">
        <f t="shared" si="160"/>
        <v>1.0003040045593807</v>
      </c>
      <c r="AY144" s="168">
        <f t="shared" si="160"/>
        <v>1.0003040045593807</v>
      </c>
      <c r="AZ144" s="168">
        <f t="shared" si="160"/>
        <v>1.0003040045593807</v>
      </c>
      <c r="BA144" s="168">
        <f t="shared" si="160"/>
        <v>1.0003040045593807</v>
      </c>
      <c r="BB144" s="168">
        <f t="shared" si="160"/>
        <v>1.0003040045593807</v>
      </c>
      <c r="BC144" s="168">
        <f t="shared" si="160"/>
        <v>1.0003040045593807</v>
      </c>
      <c r="BD144" s="168">
        <f t="shared" si="160"/>
        <v>1.0003040045593807</v>
      </c>
      <c r="BE144" s="168">
        <f t="shared" si="160"/>
        <v>1.0003040045593807</v>
      </c>
      <c r="BF144" s="168">
        <f t="shared" si="160"/>
        <v>1.0003040045593807</v>
      </c>
      <c r="BG144" s="168">
        <f t="shared" si="160"/>
        <v>1.0003040045593807</v>
      </c>
      <c r="BH144" s="168">
        <f t="shared" si="160"/>
        <v>1.0003040045593807</v>
      </c>
      <c r="BI144" s="168">
        <f t="shared" si="160"/>
        <v>1.0003040045593807</v>
      </c>
      <c r="BJ144" s="168">
        <f t="shared" si="160"/>
        <v>1.0003040045593807</v>
      </c>
      <c r="BK144" s="168">
        <f t="shared" si="160"/>
        <v>1.0003040045593807</v>
      </c>
      <c r="BL144" s="168">
        <f t="shared" si="160"/>
        <v>1.0003040045593807</v>
      </c>
      <c r="BM144" s="168">
        <f t="shared" si="160"/>
        <v>1.0003040045593807</v>
      </c>
      <c r="BN144" s="168">
        <f t="shared" si="160"/>
        <v>1.0003040045593807</v>
      </c>
      <c r="BO144" s="168">
        <f t="shared" si="160"/>
        <v>1.0003040045593807</v>
      </c>
      <c r="BP144" s="168">
        <f t="shared" si="160"/>
        <v>1.0003040045593807</v>
      </c>
      <c r="BQ144" s="168">
        <f t="shared" si="160"/>
        <v>1.0003040045593807</v>
      </c>
      <c r="BR144" s="168">
        <f t="shared" si="160"/>
        <v>1.0003040045593807</v>
      </c>
      <c r="BS144" s="168">
        <f t="shared" ref="BS144:DA144" si="161">0.725*(1/BS142)^0.2</f>
        <v>1.0003040045593807</v>
      </c>
      <c r="BT144" s="168">
        <f t="shared" si="161"/>
        <v>1.0003040045593807</v>
      </c>
      <c r="BU144" s="168">
        <f t="shared" si="161"/>
        <v>1.0003040045593807</v>
      </c>
      <c r="BV144" s="168">
        <f t="shared" si="161"/>
        <v>1.0003040045593807</v>
      </c>
      <c r="BW144" s="168">
        <f t="shared" si="161"/>
        <v>1.0003040045593807</v>
      </c>
      <c r="BX144" s="168">
        <f t="shared" si="161"/>
        <v>1.0003040045593807</v>
      </c>
      <c r="BY144" s="168">
        <f t="shared" si="161"/>
        <v>1.0003040045593807</v>
      </c>
      <c r="BZ144" s="168">
        <f t="shared" si="161"/>
        <v>1.0003040045593807</v>
      </c>
      <c r="CA144" s="168">
        <f t="shared" si="161"/>
        <v>1.0003040045593807</v>
      </c>
      <c r="CB144" s="168">
        <f t="shared" si="161"/>
        <v>1.0003040045593807</v>
      </c>
      <c r="CC144" s="168">
        <f t="shared" si="161"/>
        <v>1.0003040045593807</v>
      </c>
      <c r="CD144" s="168">
        <f t="shared" si="161"/>
        <v>1.0003040045593807</v>
      </c>
      <c r="CE144" s="168">
        <f t="shared" si="161"/>
        <v>1.0003040045593807</v>
      </c>
      <c r="CF144" s="168">
        <f t="shared" si="161"/>
        <v>1.0003040045593807</v>
      </c>
      <c r="CG144" s="168">
        <f t="shared" si="161"/>
        <v>1.0003040045593807</v>
      </c>
      <c r="CH144" s="168">
        <f t="shared" si="161"/>
        <v>1.0003040045593807</v>
      </c>
      <c r="CI144" s="168">
        <f t="shared" si="161"/>
        <v>1.0003040045593807</v>
      </c>
      <c r="CJ144" s="168">
        <f t="shared" si="161"/>
        <v>1.0003040045593807</v>
      </c>
      <c r="CK144" s="168">
        <f t="shared" si="161"/>
        <v>1.0003040045593807</v>
      </c>
      <c r="CL144" s="168">
        <f t="shared" si="161"/>
        <v>1.0003040045593807</v>
      </c>
      <c r="CM144" s="168">
        <f t="shared" si="161"/>
        <v>1.0003040045593807</v>
      </c>
      <c r="CN144" s="168">
        <f t="shared" si="161"/>
        <v>1.0003040045593807</v>
      </c>
      <c r="CO144" s="168">
        <f t="shared" si="161"/>
        <v>1.0003040045593807</v>
      </c>
      <c r="CP144" s="168">
        <f t="shared" si="161"/>
        <v>1.0003040045593807</v>
      </c>
      <c r="CQ144" s="168">
        <f t="shared" si="161"/>
        <v>1.0003040045593807</v>
      </c>
      <c r="CR144" s="168">
        <f t="shared" si="161"/>
        <v>1.0003040045593807</v>
      </c>
      <c r="CS144" s="168">
        <f t="shared" si="161"/>
        <v>1.0003040045593807</v>
      </c>
      <c r="CT144" s="168">
        <f t="shared" si="161"/>
        <v>1.0003040045593807</v>
      </c>
      <c r="CU144" s="168">
        <f t="shared" si="161"/>
        <v>1.0003040045593807</v>
      </c>
      <c r="CV144" s="168">
        <f t="shared" si="161"/>
        <v>1.0003040045593807</v>
      </c>
      <c r="CW144" s="168">
        <f t="shared" si="161"/>
        <v>1.0003040045593807</v>
      </c>
      <c r="CX144" s="168">
        <f t="shared" si="161"/>
        <v>1.0003040045593807</v>
      </c>
      <c r="CY144" s="168">
        <f t="shared" si="161"/>
        <v>1.0003040045593807</v>
      </c>
      <c r="CZ144" s="168">
        <f t="shared" si="161"/>
        <v>1.0003040045593807</v>
      </c>
      <c r="DA144" s="168">
        <f t="shared" si="161"/>
        <v>1.0003040045593807</v>
      </c>
    </row>
    <row r="145" spans="5:105">
      <c r="E145" s="172" t="s">
        <v>290</v>
      </c>
      <c r="F145" s="168">
        <f>1.48+F142^(1/2)</f>
        <v>1.9272135954999579</v>
      </c>
      <c r="G145" s="168">
        <f t="shared" ref="G145:BR145" si="162">1.48+G142^(1/2)</f>
        <v>1.9272135954999579</v>
      </c>
      <c r="H145" s="168">
        <f t="shared" si="162"/>
        <v>1.9272135954999579</v>
      </c>
      <c r="I145" s="168">
        <f t="shared" si="162"/>
        <v>1.9272135954999579</v>
      </c>
      <c r="J145" s="168">
        <f t="shared" si="162"/>
        <v>1.9272135954999579</v>
      </c>
      <c r="K145" s="168">
        <f t="shared" si="162"/>
        <v>1.9272135954999579</v>
      </c>
      <c r="L145" s="168">
        <f t="shared" si="162"/>
        <v>1.9272135954999579</v>
      </c>
      <c r="M145" s="168">
        <f t="shared" si="162"/>
        <v>1.9272135954999579</v>
      </c>
      <c r="N145" s="168">
        <f t="shared" si="162"/>
        <v>1.9272135954999579</v>
      </c>
      <c r="O145" s="168">
        <f t="shared" si="162"/>
        <v>1.9272135954999579</v>
      </c>
      <c r="P145" s="168">
        <f t="shared" si="162"/>
        <v>1.9272135954999579</v>
      </c>
      <c r="Q145" s="168">
        <f t="shared" si="162"/>
        <v>1.9272135954999579</v>
      </c>
      <c r="R145" s="168">
        <f t="shared" si="162"/>
        <v>1.9272135954999579</v>
      </c>
      <c r="S145" s="168">
        <f t="shared" si="162"/>
        <v>1.9272135954999579</v>
      </c>
      <c r="T145" s="168">
        <f t="shared" si="162"/>
        <v>1.9272135954999579</v>
      </c>
      <c r="U145" s="168">
        <f t="shared" si="162"/>
        <v>1.9272135954999579</v>
      </c>
      <c r="V145" s="168">
        <f t="shared" si="162"/>
        <v>1.9272135954999579</v>
      </c>
      <c r="W145" s="168">
        <f t="shared" si="162"/>
        <v>1.9272135954999579</v>
      </c>
      <c r="X145" s="168">
        <f t="shared" si="162"/>
        <v>1.9272135954999579</v>
      </c>
      <c r="Y145" s="168">
        <f t="shared" si="162"/>
        <v>1.9272135954999579</v>
      </c>
      <c r="Z145" s="168">
        <f t="shared" si="162"/>
        <v>1.9272135954999579</v>
      </c>
      <c r="AA145" s="168">
        <f t="shared" si="162"/>
        <v>1.9272135954999579</v>
      </c>
      <c r="AB145" s="168">
        <f t="shared" si="162"/>
        <v>1.9272135954999579</v>
      </c>
      <c r="AC145" s="168">
        <f t="shared" si="162"/>
        <v>1.9272135954999579</v>
      </c>
      <c r="AD145" s="168">
        <f t="shared" si="162"/>
        <v>1.9272135954999579</v>
      </c>
      <c r="AE145" s="168">
        <f t="shared" si="162"/>
        <v>1.9272135954999579</v>
      </c>
      <c r="AF145" s="168">
        <f t="shared" si="162"/>
        <v>1.9272135954999579</v>
      </c>
      <c r="AG145" s="168">
        <f t="shared" si="162"/>
        <v>1.9272135954999579</v>
      </c>
      <c r="AH145" s="168">
        <f t="shared" si="162"/>
        <v>1.9272135954999579</v>
      </c>
      <c r="AI145" s="168">
        <f t="shared" si="162"/>
        <v>1.9272135954999579</v>
      </c>
      <c r="AJ145" s="168">
        <f t="shared" si="162"/>
        <v>1.9272135954999579</v>
      </c>
      <c r="AK145" s="168">
        <f t="shared" si="162"/>
        <v>1.9272135954999579</v>
      </c>
      <c r="AL145" s="168">
        <f t="shared" si="162"/>
        <v>1.9272135954999579</v>
      </c>
      <c r="AM145" s="168">
        <f t="shared" si="162"/>
        <v>1.9272135954999579</v>
      </c>
      <c r="AN145" s="168">
        <f t="shared" si="162"/>
        <v>1.9272135954999579</v>
      </c>
      <c r="AO145" s="168">
        <f t="shared" si="162"/>
        <v>1.9272135954999579</v>
      </c>
      <c r="AP145" s="168">
        <f t="shared" si="162"/>
        <v>1.9272135954999579</v>
      </c>
      <c r="AQ145" s="168">
        <f t="shared" si="162"/>
        <v>1.9272135954999579</v>
      </c>
      <c r="AR145" s="168">
        <f t="shared" si="162"/>
        <v>1.9272135954999579</v>
      </c>
      <c r="AS145" s="168">
        <f t="shared" si="162"/>
        <v>1.9272135954999579</v>
      </c>
      <c r="AT145" s="168">
        <f t="shared" si="162"/>
        <v>1.9272135954999579</v>
      </c>
      <c r="AU145" s="168">
        <f t="shared" si="162"/>
        <v>1.9272135954999579</v>
      </c>
      <c r="AV145" s="168">
        <f t="shared" si="162"/>
        <v>1.9272135954999579</v>
      </c>
      <c r="AW145" s="168">
        <f t="shared" si="162"/>
        <v>1.9272135954999579</v>
      </c>
      <c r="AX145" s="168">
        <f t="shared" si="162"/>
        <v>1.9272135954999579</v>
      </c>
      <c r="AY145" s="168">
        <f t="shared" si="162"/>
        <v>1.9272135954999579</v>
      </c>
      <c r="AZ145" s="168">
        <f t="shared" si="162"/>
        <v>1.9272135954999579</v>
      </c>
      <c r="BA145" s="168">
        <f t="shared" si="162"/>
        <v>1.9272135954999579</v>
      </c>
      <c r="BB145" s="168">
        <f t="shared" si="162"/>
        <v>1.9272135954999579</v>
      </c>
      <c r="BC145" s="168">
        <f t="shared" si="162"/>
        <v>1.9272135954999579</v>
      </c>
      <c r="BD145" s="168">
        <f t="shared" si="162"/>
        <v>1.9272135954999579</v>
      </c>
      <c r="BE145" s="168">
        <f t="shared" si="162"/>
        <v>1.9272135954999579</v>
      </c>
      <c r="BF145" s="168">
        <f t="shared" si="162"/>
        <v>1.9272135954999579</v>
      </c>
      <c r="BG145" s="168">
        <f t="shared" si="162"/>
        <v>1.9272135954999579</v>
      </c>
      <c r="BH145" s="168">
        <f t="shared" si="162"/>
        <v>1.9272135954999579</v>
      </c>
      <c r="BI145" s="168">
        <f t="shared" si="162"/>
        <v>1.9272135954999579</v>
      </c>
      <c r="BJ145" s="168">
        <f t="shared" si="162"/>
        <v>1.9272135954999579</v>
      </c>
      <c r="BK145" s="168">
        <f t="shared" si="162"/>
        <v>1.9272135954999579</v>
      </c>
      <c r="BL145" s="168">
        <f t="shared" si="162"/>
        <v>1.9272135954999579</v>
      </c>
      <c r="BM145" s="168">
        <f t="shared" si="162"/>
        <v>1.9272135954999579</v>
      </c>
      <c r="BN145" s="168">
        <f t="shared" si="162"/>
        <v>1.9272135954999579</v>
      </c>
      <c r="BO145" s="168">
        <f t="shared" si="162"/>
        <v>1.9272135954999579</v>
      </c>
      <c r="BP145" s="168">
        <f t="shared" si="162"/>
        <v>1.9272135954999579</v>
      </c>
      <c r="BQ145" s="168">
        <f t="shared" si="162"/>
        <v>1.9272135954999579</v>
      </c>
      <c r="BR145" s="168">
        <f t="shared" si="162"/>
        <v>1.9272135954999579</v>
      </c>
      <c r="BS145" s="168">
        <f t="shared" ref="BS145:DA145" si="163">1.48+BS142^(1/2)</f>
        <v>1.9272135954999579</v>
      </c>
      <c r="BT145" s="168">
        <f t="shared" si="163"/>
        <v>1.9272135954999579</v>
      </c>
      <c r="BU145" s="168">
        <f t="shared" si="163"/>
        <v>1.9272135954999579</v>
      </c>
      <c r="BV145" s="168">
        <f t="shared" si="163"/>
        <v>1.9272135954999579</v>
      </c>
      <c r="BW145" s="168">
        <f t="shared" si="163"/>
        <v>1.9272135954999579</v>
      </c>
      <c r="BX145" s="168">
        <f t="shared" si="163"/>
        <v>1.9272135954999579</v>
      </c>
      <c r="BY145" s="168">
        <f t="shared" si="163"/>
        <v>1.9272135954999579</v>
      </c>
      <c r="BZ145" s="168">
        <f t="shared" si="163"/>
        <v>1.9272135954999579</v>
      </c>
      <c r="CA145" s="168">
        <f t="shared" si="163"/>
        <v>1.9272135954999579</v>
      </c>
      <c r="CB145" s="168">
        <f t="shared" si="163"/>
        <v>1.9272135954999579</v>
      </c>
      <c r="CC145" s="168">
        <f t="shared" si="163"/>
        <v>1.9272135954999579</v>
      </c>
      <c r="CD145" s="168">
        <f t="shared" si="163"/>
        <v>1.9272135954999579</v>
      </c>
      <c r="CE145" s="168">
        <f t="shared" si="163"/>
        <v>1.9272135954999579</v>
      </c>
      <c r="CF145" s="168">
        <f t="shared" si="163"/>
        <v>1.9272135954999579</v>
      </c>
      <c r="CG145" s="168">
        <f t="shared" si="163"/>
        <v>1.9272135954999579</v>
      </c>
      <c r="CH145" s="168">
        <f t="shared" si="163"/>
        <v>1.9272135954999579</v>
      </c>
      <c r="CI145" s="168">
        <f t="shared" si="163"/>
        <v>1.9272135954999579</v>
      </c>
      <c r="CJ145" s="168">
        <f t="shared" si="163"/>
        <v>1.9272135954999579</v>
      </c>
      <c r="CK145" s="168">
        <f t="shared" si="163"/>
        <v>1.9272135954999579</v>
      </c>
      <c r="CL145" s="168">
        <f t="shared" si="163"/>
        <v>1.9272135954999579</v>
      </c>
      <c r="CM145" s="168">
        <f t="shared" si="163"/>
        <v>1.9272135954999579</v>
      </c>
      <c r="CN145" s="168">
        <f t="shared" si="163"/>
        <v>1.9272135954999579</v>
      </c>
      <c r="CO145" s="168">
        <f t="shared" si="163"/>
        <v>1.9272135954999579</v>
      </c>
      <c r="CP145" s="168">
        <f t="shared" si="163"/>
        <v>1.9272135954999579</v>
      </c>
      <c r="CQ145" s="168">
        <f t="shared" si="163"/>
        <v>1.9272135954999579</v>
      </c>
      <c r="CR145" s="168">
        <f t="shared" si="163"/>
        <v>1.9272135954999579</v>
      </c>
      <c r="CS145" s="168">
        <f t="shared" si="163"/>
        <v>1.9272135954999579</v>
      </c>
      <c r="CT145" s="168">
        <f t="shared" si="163"/>
        <v>1.9272135954999579</v>
      </c>
      <c r="CU145" s="168">
        <f t="shared" si="163"/>
        <v>1.9272135954999579</v>
      </c>
      <c r="CV145" s="168">
        <f t="shared" si="163"/>
        <v>1.9272135954999579</v>
      </c>
      <c r="CW145" s="168">
        <f t="shared" si="163"/>
        <v>1.9272135954999579</v>
      </c>
      <c r="CX145" s="168">
        <f t="shared" si="163"/>
        <v>1.9272135954999579</v>
      </c>
      <c r="CY145" s="168">
        <f t="shared" si="163"/>
        <v>1.9272135954999579</v>
      </c>
      <c r="CZ145" s="168">
        <f t="shared" si="163"/>
        <v>1.9272135954999579</v>
      </c>
      <c r="DA145" s="168">
        <f t="shared" si="163"/>
        <v>1.9272135954999579</v>
      </c>
    </row>
    <row r="146" spans="5:105">
      <c r="E146" s="172" t="s">
        <v>291</v>
      </c>
      <c r="F146" s="168">
        <f t="array" ref="F146:F148">MMULT($I$43:$K$45,F133:F135)</f>
        <v>120.58330186406799</v>
      </c>
      <c r="G146" s="168">
        <f t="array" ref="G146:G148">MMULT($I$43:$K$45,G133:G135)</f>
        <v>81.526815332472381</v>
      </c>
      <c r="H146" s="168">
        <f t="array" ref="H146:H148">MMULT($I$43:$K$45,H133:H135)</f>
        <v>38.186072945785583</v>
      </c>
      <c r="I146" s="168">
        <f t="array" ref="I146:I148">MMULT($I$43:$K$45,I133:I135)</f>
        <v>7.2121260171724124</v>
      </c>
      <c r="J146" s="168">
        <f t="array" ref="J146:J148">MMULT($I$43:$K$45,J133:J135)</f>
        <v>51.064872022434855</v>
      </c>
      <c r="K146" s="168">
        <f t="array" ref="K146:K148">MMULT($I$43:$K$45,K133:K135)</f>
        <v>21.93795192921435</v>
      </c>
      <c r="L146" s="168">
        <f t="array" ref="L146:L148">MMULT($I$43:$K$45,L133:L135)</f>
        <v>23.065254200230562</v>
      </c>
      <c r="M146" s="168">
        <f t="array" ref="M146:M148">MMULT($I$43:$K$45,M133:M135)</f>
        <v>14.813541684516816</v>
      </c>
      <c r="N146" s="168">
        <f t="array" ref="N146:N148">MMULT($I$43:$K$45,N133:N135)</f>
        <v>13.422479480591942</v>
      </c>
      <c r="O146" s="168">
        <f t="array" ref="O146:O148">MMULT($I$43:$K$45,O133:O135)</f>
        <v>5.9414772636475446</v>
      </c>
      <c r="P146" s="168">
        <f t="array" ref="P146:P148">MMULT($I$43:$K$45,P133:P135)</f>
        <v>66.042820989340512</v>
      </c>
      <c r="Q146" s="168">
        <f t="array" ref="Q146:Q148">MMULT($I$43:$K$45,Q133:Q135)</f>
        <v>36.328852014170174</v>
      </c>
      <c r="R146" s="168">
        <f t="array" ref="R146:R148">MMULT($I$43:$K$45,R133:R135)</f>
        <v>45.551028866046586</v>
      </c>
      <c r="S146" s="168">
        <f t="array" ref="S146:S148">MMULT($I$43:$K$45,S133:S135)</f>
        <v>15.72465005988421</v>
      </c>
      <c r="T146" s="168">
        <f t="array" ref="T146:T148">MMULT($I$43:$K$45,T133:T135)</f>
        <v>53.396030379850828</v>
      </c>
      <c r="U146" s="168">
        <f t="array" ref="U146:U148">MMULT($I$43:$K$45,U133:U135)</f>
        <v>49.146823368914532</v>
      </c>
      <c r="V146" s="168">
        <f t="array" ref="V146:V148">MMULT($I$43:$K$45,V133:V135)</f>
        <v>19.227434079724095</v>
      </c>
      <c r="W146" s="168">
        <f t="array" ref="W146:W148">MMULT($I$43:$K$45,W133:W135)</f>
        <v>22.805414250244262</v>
      </c>
      <c r="X146" s="168">
        <f t="array" ref="X146:X148">MMULT($I$43:$K$45,X133:X135)</f>
        <v>28.086089580327318</v>
      </c>
      <c r="Y146" s="168">
        <f t="array" ref="Y146:Y148">MMULT($I$43:$K$45,Y133:Y135)</f>
        <v>56.526599119094591</v>
      </c>
      <c r="Z146" s="168">
        <f t="array" ref="Z146:Z148">MMULT($I$43:$K$45,Z133:Z135)</f>
        <v>44.528027438467603</v>
      </c>
      <c r="AA146" s="168">
        <f t="array" ref="AA146:AA148">MMULT($I$43:$K$45,AA133:AA135)</f>
        <v>92.575006142278212</v>
      </c>
      <c r="AB146" s="168">
        <f t="array" ref="AB146:AB148">MMULT($I$43:$K$45,AB133:AB135)</f>
        <v>71.655606987137332</v>
      </c>
      <c r="AC146" s="168">
        <f t="array" ref="AC146:AC148">MMULT($I$43:$K$45,AC133:AC135)</f>
        <v>96.962335156658483</v>
      </c>
      <c r="AD146" s="168">
        <f t="array" ref="AD146:AD148">MMULT($I$43:$K$45,AD133:AD135)</f>
        <v>100.54273513575313</v>
      </c>
      <c r="AE146" s="168">
        <f t="array" ref="AE146:AE148">MMULT($I$43:$K$45,AE133:AE135)</f>
        <v>56.778404527782989</v>
      </c>
      <c r="AF146" s="168">
        <f t="array" ref="AF146:AF148">MMULT($I$43:$K$45,AF133:AF135)</f>
        <v>98.439972740876883</v>
      </c>
      <c r="AG146" s="168">
        <f t="array" ref="AG146:AG148">MMULT($I$43:$K$45,AG133:AG135)</f>
        <v>52.672944892874646</v>
      </c>
      <c r="AH146" s="168">
        <f t="array" ref="AH146:AH148">MMULT($I$43:$K$45,AH133:AH135)</f>
        <v>14.352505508398123</v>
      </c>
      <c r="AI146" s="168">
        <f t="array" ref="AI146:AI148">MMULT($I$43:$K$45,AI133:AI135)</f>
        <v>86.713468480215354</v>
      </c>
      <c r="AJ146" s="168">
        <f t="array" ref="AJ146:AJ148">MMULT($I$43:$K$45,AJ133:AJ135)</f>
        <v>37.954119567357964</v>
      </c>
      <c r="AK146" s="168">
        <f t="array" ref="AK146:AK148">MMULT($I$43:$K$45,AK133:AK135)</f>
        <v>90.815357521644202</v>
      </c>
      <c r="AL146" s="168">
        <f t="array" ref="AL146:AL148">MMULT($I$43:$K$45,AL133:AL135)</f>
        <v>59.090339737831201</v>
      </c>
      <c r="AM146" s="168">
        <f t="array" ref="AM146:AM148">MMULT($I$43:$K$45,AM133:AM135)</f>
        <v>91.108791744670853</v>
      </c>
      <c r="AN146" s="168">
        <f t="array" ref="AN146:AN148">MMULT($I$43:$K$45,AN133:AN135)</f>
        <v>36.715313429572106</v>
      </c>
      <c r="AO146" s="168">
        <f t="array" ref="AO146:AO148">MMULT($I$43:$K$45,AO133:AO135)</f>
        <v>14.649167511714394</v>
      </c>
      <c r="AP146" s="168">
        <f t="array" ref="AP146:AP148">MMULT($I$43:$K$45,AP133:AP135)</f>
        <v>65.261076411441849</v>
      </c>
      <c r="AQ146" s="168">
        <f t="array" ref="AQ146:AQ148">MMULT($I$43:$K$45,AQ133:AQ135)</f>
        <v>19.393020993139444</v>
      </c>
      <c r="AR146" s="168">
        <f t="array" ref="AR146:AR148">MMULT($I$43:$K$45,AR133:AR135)</f>
        <v>79.985771183008339</v>
      </c>
      <c r="AS146" s="168">
        <f t="array" ref="AS146:AS148">MMULT($I$43:$K$45,AS133:AS135)</f>
        <v>8.9708868260128618</v>
      </c>
      <c r="AT146" s="168">
        <f t="array" ref="AT146:AT148">MMULT($I$43:$K$45,AT133:AT135)</f>
        <v>19.033664523457382</v>
      </c>
      <c r="AU146" s="168">
        <f t="array" ref="AU146:AU148">MMULT($I$43:$K$45,AU133:AU135)</f>
        <v>82.359403740347489</v>
      </c>
      <c r="AV146" s="168">
        <f t="array" ref="AV146:AV148">MMULT($I$43:$K$45,AV133:AV135)</f>
        <v>42.200334572996042</v>
      </c>
      <c r="AW146" s="168">
        <f t="array" ref="AW146:AW148">MMULT($I$43:$K$45,AW133:AW135)</f>
        <v>48.455625300462117</v>
      </c>
      <c r="AX146" s="168">
        <f t="array" ref="AX146:AX148">MMULT($I$43:$K$45,AX133:AX135)</f>
        <v>5.9309844459551107</v>
      </c>
      <c r="AY146" s="168">
        <f t="array" ref="AY146:AY148">MMULT($I$43:$K$45,AY133:AY135)</f>
        <v>27.314845107989946</v>
      </c>
      <c r="AZ146" s="168">
        <f t="array" ref="AZ146:AZ148">MMULT($I$43:$K$45,AZ133:AZ135)</f>
        <v>38.846472375610951</v>
      </c>
      <c r="BA146" s="168">
        <f t="array" ref="BA146:BA148">MMULT($I$43:$K$45,BA133:BA135)</f>
        <v>42.197766293326865</v>
      </c>
      <c r="BB146" s="168">
        <f t="array" ref="BB146:BB148">MMULT($I$43:$K$45,BB133:BB135)</f>
        <v>57.239703102925134</v>
      </c>
      <c r="BC146" s="168">
        <f t="array" ref="BC146:BC148">MMULT($I$43:$K$45,BC133:BC135)</f>
        <v>15.284660057960927</v>
      </c>
      <c r="BD146" s="168">
        <f t="array" ref="BD146:BD148">MMULT($I$43:$K$45,BD133:BD135)</f>
        <v>21.306512968425185</v>
      </c>
      <c r="BE146" s="168">
        <f t="array" ref="BE146:BE148">MMULT($I$43:$K$45,BE133:BE135)</f>
        <v>25.182670179399565</v>
      </c>
      <c r="BF146" s="168">
        <f t="array" ref="BF146:BF148">MMULT($I$43:$K$45,BF133:BF135)</f>
        <v>10.3226726979094</v>
      </c>
      <c r="BG146" s="168">
        <f t="array" ref="BG146:BG148">MMULT($I$43:$K$45,BG133:BG135)</f>
        <v>14.319554529543343</v>
      </c>
      <c r="BH146" s="168">
        <f t="array" ref="BH146:BH148">MMULT($I$43:$K$45,BH133:BH135)</f>
        <v>76.264625292102309</v>
      </c>
      <c r="BI146" s="168">
        <f t="array" ref="BI146:BI148">MMULT($I$43:$K$45,BI133:BI135)</f>
        <v>65.937452040197797</v>
      </c>
      <c r="BJ146" s="168">
        <f t="array" ref="BJ146:BJ148">MMULT($I$43:$K$45,BJ133:BJ135)</f>
        <v>37.706655736058458</v>
      </c>
      <c r="BK146" s="168">
        <f t="array" ref="BK146:BK148">MMULT($I$43:$K$45,BK133:BK135)</f>
        <v>20.669053588149033</v>
      </c>
      <c r="BL146" s="168">
        <f t="array" ref="BL146:BL148">MMULT($I$43:$K$45,BL133:BL135)</f>
        <v>17.202952898464012</v>
      </c>
      <c r="BM146" s="168">
        <f t="array" ref="BM146:BM148">MMULT($I$43:$K$45,BM133:BM135)</f>
        <v>74.073086801776654</v>
      </c>
      <c r="BN146" s="168">
        <f t="array" ref="BN146:BN148">MMULT($I$43:$K$45,BN133:BN135)</f>
        <v>80.711959798102015</v>
      </c>
      <c r="BO146" s="168">
        <f t="array" ref="BO146:BO148">MMULT($I$43:$K$45,BO133:BO135)</f>
        <v>51.722921595954098</v>
      </c>
      <c r="BP146" s="168">
        <f t="array" ref="BP146:BP148">MMULT($I$43:$K$45,BP133:BP135)</f>
        <v>38.031407525001626</v>
      </c>
      <c r="BQ146" s="168">
        <f t="array" ref="BQ146:BQ148">MMULT($I$43:$K$45,BQ133:BQ135)</f>
        <v>8.7498659281892053</v>
      </c>
      <c r="BR146" s="168">
        <f t="array" ref="BR146:BR148">MMULT($I$43:$K$45,BR133:BR135)</f>
        <v>20.174746548361384</v>
      </c>
      <c r="BS146" s="168">
        <f t="array" ref="BS146:BS148">MMULT($I$43:$K$45,BS133:BS135)</f>
        <v>10.827196429737631</v>
      </c>
      <c r="BT146" s="168">
        <f t="array" ref="BT146:BT148">MMULT($I$43:$K$45,BT133:BT135)</f>
        <v>9.9595936440351878</v>
      </c>
      <c r="BU146" s="168">
        <f t="array" ref="BU146:BU148">MMULT($I$43:$K$45,BU133:BU135)</f>
        <v>11.711744069259609</v>
      </c>
      <c r="BV146" s="168">
        <f t="array" ref="BV146:BV148">MMULT($I$43:$K$45,BV133:BV135)</f>
        <v>29.160483390520799</v>
      </c>
      <c r="BW146" s="168">
        <f t="array" ref="BW146:BW148">MMULT($I$43:$K$45,BW133:BW135)</f>
        <v>20.119190681929418</v>
      </c>
      <c r="BX146" s="168">
        <f t="array" ref="BX146:BX148">MMULT($I$43:$K$45,BX133:BX135)</f>
        <v>39.811542029642176</v>
      </c>
      <c r="BY146" s="168">
        <f t="array" ref="BY146:BY148">MMULT($I$43:$K$45,BY133:BY135)</f>
        <v>6.5694285615629457</v>
      </c>
      <c r="BZ146" s="168">
        <f t="array" ref="BZ146:BZ148">MMULT($I$43:$K$45,BZ133:BZ135)</f>
        <v>53.89414338446214</v>
      </c>
      <c r="CA146" s="168">
        <f t="array" ref="CA146:CA148">MMULT($I$43:$K$45,CA133:CA135)</f>
        <v>19.364591361510392</v>
      </c>
      <c r="CB146" s="168">
        <f t="array" ref="CB146:CB148">MMULT($I$43:$K$45,CB133:CB135)</f>
        <v>5.601550473069504</v>
      </c>
      <c r="CC146" s="168">
        <f t="array" ref="CC146:CC148">MMULT($I$43:$K$45,CC133:CC135)</f>
        <v>6.1290244535547336</v>
      </c>
      <c r="CD146" s="168">
        <f t="array" ref="CD146:CD148">MMULT($I$43:$K$45,CD133:CD135)</f>
        <v>11.758387756673065</v>
      </c>
      <c r="CE146" s="168">
        <f t="array" ref="CE146:CE148">MMULT($I$43:$K$45,CE133:CE135)</f>
        <v>11.438100586530553</v>
      </c>
      <c r="CF146" s="168">
        <f t="array" ref="CF146:CF148">MMULT($I$43:$K$45,CF133:CF135)</f>
        <v>10.442092858057649</v>
      </c>
      <c r="CG146" s="168">
        <f t="array" ref="CG146:CG148">MMULT($I$43:$K$45,CG133:CG135)</f>
        <v>45.494076545551899</v>
      </c>
      <c r="CH146" s="168">
        <f t="array" ref="CH146:CH148">MMULT($I$43:$K$45,CH133:CH135)</f>
        <v>34.280816964491116</v>
      </c>
      <c r="CI146" s="168">
        <f t="array" ref="CI146:CI148">MMULT($I$43:$K$45,CI133:CI135)</f>
        <v>11.599492559435957</v>
      </c>
      <c r="CJ146" s="168">
        <f t="array" ref="CJ146:CJ148">MMULT($I$43:$K$45,CJ133:CJ135)</f>
        <v>79.083184959263008</v>
      </c>
      <c r="CK146" s="168">
        <f t="array" ref="CK146:CK148">MMULT($I$43:$K$45,CK133:CK135)</f>
        <v>48.104490374042271</v>
      </c>
      <c r="CL146" s="168">
        <f t="array" ref="CL146:CL148">MMULT($I$43:$K$45,CL133:CL135)</f>
        <v>5.3225658706228893</v>
      </c>
      <c r="CM146" s="168">
        <f t="array" ref="CM146:CM148">MMULT($I$43:$K$45,CM133:CM135)</f>
        <v>11.904020516889743</v>
      </c>
      <c r="CN146" s="168">
        <f t="array" ref="CN146:CN148">MMULT($I$43:$K$45,CN133:CN135)</f>
        <v>33.472587762017909</v>
      </c>
      <c r="CO146" s="168">
        <f t="array" ref="CO146:CO148">MMULT($I$43:$K$45,CO133:CO135)</f>
        <v>10.675647769340834</v>
      </c>
      <c r="CP146" s="168">
        <f t="array" ref="CP146:CP148">MMULT($I$43:$K$45,CP133:CP135)</f>
        <v>32.7331700845874</v>
      </c>
      <c r="CQ146" s="168">
        <f t="array" ref="CQ146:CQ148">MMULT($I$43:$K$45,CQ133:CQ135)</f>
        <v>10.778034231977488</v>
      </c>
      <c r="CR146" s="168">
        <f t="array" ref="CR146:CR148">MMULT($I$43:$K$45,CR133:CR135)</f>
        <v>15.066852849696208</v>
      </c>
      <c r="CS146" s="168">
        <f t="array" ref="CS146:CS148">MMULT($I$43:$K$45,CS133:CS135)</f>
        <v>63.805819438890381</v>
      </c>
      <c r="CT146" s="168">
        <f t="array" ref="CT146:CT148">MMULT($I$43:$K$45,CT133:CT135)</f>
        <v>24.339299648391417</v>
      </c>
      <c r="CU146" s="168">
        <f t="array" ref="CU146:CU148">MMULT($I$43:$K$45,CU133:CU135)</f>
        <v>39.90964202072422</v>
      </c>
      <c r="CV146" s="168">
        <f t="array" ref="CV146:CV148">MMULT($I$43:$K$45,CV133:CV135)</f>
        <v>11.171097102773729</v>
      </c>
      <c r="CW146" s="168">
        <f t="array" ref="CW146:CW148">MMULT($I$43:$K$45,CW133:CW135)</f>
        <v>44.45410288337586</v>
      </c>
      <c r="CX146" s="168">
        <f t="array" ref="CX146:CX148">MMULT($I$43:$K$45,CX133:CX135)</f>
        <v>61.119981369844844</v>
      </c>
      <c r="CY146" s="168">
        <f t="array" ref="CY146:CY148">MMULT($I$43:$K$45,CY133:CY135)</f>
        <v>26.734131745740697</v>
      </c>
      <c r="CZ146" s="168">
        <f t="array" ref="CZ146:CZ148">MMULT($I$43:$K$45,CZ133:CZ135)</f>
        <v>42.601753306802529</v>
      </c>
      <c r="DA146" s="168">
        <f t="array" ref="DA146:DA148">MMULT($I$43:$K$45,DA133:DA135)</f>
        <v>23.96404979742201</v>
      </c>
    </row>
    <row r="147" spans="5:105">
      <c r="E147" s="172" t="s">
        <v>292</v>
      </c>
      <c r="F147" s="168">
        <v>89.076834270764309</v>
      </c>
      <c r="G147" s="168">
        <v>51.975219280886613</v>
      </c>
      <c r="H147" s="168">
        <v>17.60932050100034</v>
      </c>
      <c r="I147" s="168">
        <v>4.2260753247851257</v>
      </c>
      <c r="J147" s="168">
        <v>30.566744134677634</v>
      </c>
      <c r="K147" s="168">
        <v>9.2387321191931786</v>
      </c>
      <c r="L147" s="168">
        <v>13.639054544141974</v>
      </c>
      <c r="M147" s="168">
        <v>5.6260814377246131</v>
      </c>
      <c r="N147" s="168">
        <v>5.7092542318218342</v>
      </c>
      <c r="O147" s="168">
        <v>4.0930675760975399</v>
      </c>
      <c r="P147" s="168">
        <v>31.82847973912703</v>
      </c>
      <c r="Q147" s="168">
        <v>17.135246808043213</v>
      </c>
      <c r="R147" s="168">
        <v>20.920231026392528</v>
      </c>
      <c r="S147" s="168">
        <v>8.0157929794814784</v>
      </c>
      <c r="T147" s="168">
        <v>37.028339851683462</v>
      </c>
      <c r="U147" s="168">
        <v>31.106535787916897</v>
      </c>
      <c r="V147" s="168">
        <v>11.002394251970719</v>
      </c>
      <c r="W147" s="168">
        <v>13.720539324499766</v>
      </c>
      <c r="X147" s="168">
        <v>17.584026387776969</v>
      </c>
      <c r="Y147" s="168">
        <v>34.834392227548186</v>
      </c>
      <c r="Z147" s="168">
        <v>23.29972434856392</v>
      </c>
      <c r="AA147" s="168">
        <v>58.319874203239351</v>
      </c>
      <c r="AB147" s="168">
        <v>43.115764381330429</v>
      </c>
      <c r="AC147" s="168">
        <v>69.55788766674587</v>
      </c>
      <c r="AD147" s="168">
        <v>69.554937384683214</v>
      </c>
      <c r="AE147" s="168">
        <v>37.403639385818153</v>
      </c>
      <c r="AF147" s="168">
        <v>66.680558401973627</v>
      </c>
      <c r="AG147" s="168">
        <v>38.120932323698995</v>
      </c>
      <c r="AH147" s="168">
        <v>10.437074317056796</v>
      </c>
      <c r="AI147" s="168">
        <v>61.331941417795939</v>
      </c>
      <c r="AJ147" s="168">
        <v>26.98152222329729</v>
      </c>
      <c r="AK147" s="168">
        <v>64.9106333392279</v>
      </c>
      <c r="AL147" s="168">
        <v>43.143374718948884</v>
      </c>
      <c r="AM147" s="168">
        <v>66.366895759892543</v>
      </c>
      <c r="AN147" s="168">
        <v>27.437889138449947</v>
      </c>
      <c r="AO147" s="168">
        <v>11.16241901468616</v>
      </c>
      <c r="AP147" s="168">
        <v>48.040183684450525</v>
      </c>
      <c r="AQ147" s="168">
        <v>15.456100563241412</v>
      </c>
      <c r="AR147" s="168">
        <v>59.764122511891458</v>
      </c>
      <c r="AS147" s="168">
        <v>6.6733361730887841</v>
      </c>
      <c r="AT147" s="168">
        <v>14.315307330180024</v>
      </c>
      <c r="AU147" s="168">
        <v>62.120793407331398</v>
      </c>
      <c r="AV147" s="168">
        <v>36.806605833735176</v>
      </c>
      <c r="AW147" s="168">
        <v>41.372292489432027</v>
      </c>
      <c r="AX147" s="168">
        <v>4.4228409941253162</v>
      </c>
      <c r="AY147" s="168">
        <v>24.407326215675994</v>
      </c>
      <c r="AZ147" s="168">
        <v>32.421136211750458</v>
      </c>
      <c r="BA147" s="168">
        <v>33.735862297945232</v>
      </c>
      <c r="BB147" s="168">
        <v>49.667302297147245</v>
      </c>
      <c r="BC147" s="168">
        <v>13.766848188221513</v>
      </c>
      <c r="BD147" s="168">
        <v>18.910011441339549</v>
      </c>
      <c r="BE147" s="168">
        <v>21.368280785650061</v>
      </c>
      <c r="BF147" s="168">
        <v>9.9239712952100056</v>
      </c>
      <c r="BG147" s="168">
        <v>16.0747768892987</v>
      </c>
      <c r="BH147" s="168">
        <v>62.770044479163886</v>
      </c>
      <c r="BI147" s="168">
        <v>55.241128401766019</v>
      </c>
      <c r="BJ147" s="168">
        <v>37.88062943064751</v>
      </c>
      <c r="BK147" s="168">
        <v>22.776813481047871</v>
      </c>
      <c r="BL147" s="168">
        <v>19.477568579627022</v>
      </c>
      <c r="BM147" s="168">
        <v>60.44280381038169</v>
      </c>
      <c r="BN147" s="168">
        <v>61.559037483714341</v>
      </c>
      <c r="BO147" s="168">
        <v>42.020596599955454</v>
      </c>
      <c r="BP147" s="168">
        <v>29.129307480315362</v>
      </c>
      <c r="BQ147" s="168">
        <v>6.2592347806324762</v>
      </c>
      <c r="BR147" s="168">
        <v>21.427606317089715</v>
      </c>
      <c r="BS147" s="168">
        <v>9.5634424767503283</v>
      </c>
      <c r="BT147" s="168">
        <v>10.595485565060891</v>
      </c>
      <c r="BU147" s="168">
        <v>12.394790962868342</v>
      </c>
      <c r="BV147" s="168">
        <v>24.932819768161298</v>
      </c>
      <c r="BW147" s="168">
        <v>15.436472962713601</v>
      </c>
      <c r="BX147" s="168">
        <v>34.139544177753365</v>
      </c>
      <c r="BY147" s="168">
        <v>5.7897659573887452</v>
      </c>
      <c r="BZ147" s="168">
        <v>41.121846387449509</v>
      </c>
      <c r="CA147" s="168">
        <v>18.415957703968601</v>
      </c>
      <c r="CB147" s="168">
        <v>4.2189087030952894</v>
      </c>
      <c r="CC147" s="168">
        <v>5.1751541268435677</v>
      </c>
      <c r="CD147" s="168">
        <v>9.9407777760161267</v>
      </c>
      <c r="CE147" s="168">
        <v>9.609849226601149</v>
      </c>
      <c r="CF147" s="168">
        <v>8.7263760956724408</v>
      </c>
      <c r="CG147" s="168">
        <v>34.720624542784911</v>
      </c>
      <c r="CH147" s="168">
        <v>24.90237131034916</v>
      </c>
      <c r="CI147" s="168">
        <v>7.9654177989507513</v>
      </c>
      <c r="CJ147" s="168">
        <v>58.068072293751548</v>
      </c>
      <c r="CK147" s="168">
        <v>34.660369633367509</v>
      </c>
      <c r="CL147" s="168">
        <v>3.585744250107306</v>
      </c>
      <c r="CM147" s="168">
        <v>8.3063149898682926</v>
      </c>
      <c r="CN147" s="168">
        <v>22.940694531447004</v>
      </c>
      <c r="CO147" s="168">
        <v>5.7568550418894571</v>
      </c>
      <c r="CP147" s="168">
        <v>19.101092595732592</v>
      </c>
      <c r="CQ147" s="168">
        <v>6.0573218543226783</v>
      </c>
      <c r="CR147" s="168">
        <v>7.7282074676821102</v>
      </c>
      <c r="CS147" s="168">
        <v>46.114072725037765</v>
      </c>
      <c r="CT147" s="168">
        <v>15.460162414101228</v>
      </c>
      <c r="CU147" s="168">
        <v>26.440518314299343</v>
      </c>
      <c r="CV147" s="168">
        <v>5.9106808066201708</v>
      </c>
      <c r="CW147" s="168">
        <v>27.615555030151654</v>
      </c>
      <c r="CX147" s="168">
        <v>38.932488479661686</v>
      </c>
      <c r="CY147" s="168">
        <v>14.254736126417354</v>
      </c>
      <c r="CZ147" s="168">
        <v>20.320737158774364</v>
      </c>
      <c r="DA147" s="168">
        <v>9.8843171799713918</v>
      </c>
    </row>
    <row r="148" spans="5:105">
      <c r="E148" s="172" t="s">
        <v>55</v>
      </c>
      <c r="F148" s="168">
        <v>42.02411432292029</v>
      </c>
      <c r="G148" s="168">
        <v>26.43522608236324</v>
      </c>
      <c r="H148" s="168">
        <v>10.286105699985887</v>
      </c>
      <c r="I148" s="168">
        <v>2.1127899791471529</v>
      </c>
      <c r="J148" s="168">
        <v>13.4344838064636</v>
      </c>
      <c r="K148" s="168">
        <v>4.6842018123842069</v>
      </c>
      <c r="L148" s="168">
        <v>5.6148226305373514</v>
      </c>
      <c r="M148" s="168">
        <v>2.4470616000761281</v>
      </c>
      <c r="N148" s="168">
        <v>2.4819209861729203</v>
      </c>
      <c r="O148" s="168">
        <v>1.9654294575143942</v>
      </c>
      <c r="P148" s="168">
        <v>8.3645656855607999</v>
      </c>
      <c r="Q148" s="168">
        <v>3.5973216999436826</v>
      </c>
      <c r="R148" s="168">
        <v>4.2983336749725929</v>
      </c>
      <c r="S148" s="168">
        <v>2.0953910782834271</v>
      </c>
      <c r="T148" s="168">
        <v>15.04609587057975</v>
      </c>
      <c r="U148" s="168">
        <v>10.410307573639201</v>
      </c>
      <c r="V148" s="168">
        <v>2.2867729805986321</v>
      </c>
      <c r="W148" s="168">
        <v>2.600104203266441</v>
      </c>
      <c r="X148" s="168">
        <v>4.6675309425073879</v>
      </c>
      <c r="Y148" s="168">
        <v>5.7726863228652796</v>
      </c>
      <c r="Z148" s="168">
        <v>2.1146081002127715</v>
      </c>
      <c r="AA148" s="168">
        <v>8.3047314027676293</v>
      </c>
      <c r="AB148" s="168">
        <v>4.8967259256901983</v>
      </c>
      <c r="AC148" s="168">
        <v>22.553222750187079</v>
      </c>
      <c r="AD148" s="168">
        <v>13.072572397171472</v>
      </c>
      <c r="AE148" s="168">
        <v>3.0913222656867454</v>
      </c>
      <c r="AF148" s="168">
        <v>9.009955650520471</v>
      </c>
      <c r="AG148" s="168">
        <v>9.8166286415653339</v>
      </c>
      <c r="AH148" s="168">
        <v>2.1199302224958139</v>
      </c>
      <c r="AI148" s="168">
        <v>6.7944766652842699</v>
      </c>
      <c r="AJ148" s="168">
        <v>4.67417644432365</v>
      </c>
      <c r="AK148" s="168">
        <v>7.7145906219917784</v>
      </c>
      <c r="AL148" s="168">
        <v>3.5400965714326977</v>
      </c>
      <c r="AM148" s="168">
        <v>13.818523146504138</v>
      </c>
      <c r="AN148" s="168">
        <v>2.5944178303650527</v>
      </c>
      <c r="AO148" s="168">
        <v>2.2622116081400558</v>
      </c>
      <c r="AP148" s="168">
        <v>16.988158602285868</v>
      </c>
      <c r="AQ148" s="168">
        <v>2.514690769849337</v>
      </c>
      <c r="AR148" s="168">
        <v>13.274430013011045</v>
      </c>
      <c r="AS148" s="168">
        <v>2.2462130767117348</v>
      </c>
      <c r="AT148" s="168">
        <v>3.7934240223579696</v>
      </c>
      <c r="AU148" s="168">
        <v>22.048811946101257</v>
      </c>
      <c r="AV148" s="168">
        <v>3.7726663022993741</v>
      </c>
      <c r="AW148" s="168">
        <v>3.765874697349024</v>
      </c>
      <c r="AX148" s="168">
        <v>1.9669988361164281</v>
      </c>
      <c r="AY148" s="168">
        <v>3.6419608548996627</v>
      </c>
      <c r="AZ148" s="168">
        <v>6.897275708515763</v>
      </c>
      <c r="BA148" s="168">
        <v>9.2521778193816093</v>
      </c>
      <c r="BB148" s="168">
        <v>10.437108266981411</v>
      </c>
      <c r="BC148" s="168">
        <v>2.6749634134802713</v>
      </c>
      <c r="BD148" s="168">
        <v>5.9540728518048684</v>
      </c>
      <c r="BE148" s="168">
        <v>7.5089341715188969</v>
      </c>
      <c r="BF148" s="168">
        <v>2.876228267037555</v>
      </c>
      <c r="BG148" s="168">
        <v>4.8385964941702255</v>
      </c>
      <c r="BH148" s="168">
        <v>26.690626275083055</v>
      </c>
      <c r="BI148" s="168">
        <v>24.162912982211378</v>
      </c>
      <c r="BJ148" s="168">
        <v>15.761113990705647</v>
      </c>
      <c r="BK148" s="168">
        <v>9.1370882585978368</v>
      </c>
      <c r="BL148" s="168">
        <v>8.5620620930890396</v>
      </c>
      <c r="BM148" s="168">
        <v>28.725457319892413</v>
      </c>
      <c r="BN148" s="168">
        <v>29.347401247342116</v>
      </c>
      <c r="BO148" s="168">
        <v>21.34263864485446</v>
      </c>
      <c r="BP148" s="168">
        <v>13.547446532565328</v>
      </c>
      <c r="BQ148" s="168">
        <v>2.9686729559717322</v>
      </c>
      <c r="BR148" s="168">
        <v>14.131911811412252</v>
      </c>
      <c r="BS148" s="168">
        <v>5.4212856056361796</v>
      </c>
      <c r="BT148" s="168">
        <v>8.4115717988112806</v>
      </c>
      <c r="BU148" s="168">
        <v>10.245059330795105</v>
      </c>
      <c r="BV148" s="168">
        <v>17.117097548025651</v>
      </c>
      <c r="BW148" s="168">
        <v>9.6866281123781857</v>
      </c>
      <c r="BX148" s="168">
        <v>26.935185379927599</v>
      </c>
      <c r="BY148" s="168">
        <v>5.7494444784436025</v>
      </c>
      <c r="BZ148" s="168">
        <v>22.147165902748846</v>
      </c>
      <c r="CA148" s="168">
        <v>20.48920714420958</v>
      </c>
      <c r="CB148" s="168">
        <v>2.0911491431920024</v>
      </c>
      <c r="CC148" s="168">
        <v>5.6140946075436924</v>
      </c>
      <c r="CD148" s="168">
        <v>17.813692228159148</v>
      </c>
      <c r="CE148" s="168">
        <v>10.788261142178662</v>
      </c>
      <c r="CF148" s="168">
        <v>15.210654908615982</v>
      </c>
      <c r="CG148" s="168">
        <v>26.645275314241044</v>
      </c>
      <c r="CH148" s="168">
        <v>22.682982916410769</v>
      </c>
      <c r="CI148" s="168">
        <v>13.529313264193226</v>
      </c>
      <c r="CJ148" s="168">
        <v>32.460526391760801</v>
      </c>
      <c r="CK148" s="168">
        <v>24.53642856751588</v>
      </c>
      <c r="CL148" s="168">
        <v>2.4311189571036502</v>
      </c>
      <c r="CM148" s="168">
        <v>6.2306620357066178</v>
      </c>
      <c r="CN148" s="168">
        <v>23.179702019386948</v>
      </c>
      <c r="CO148" s="168">
        <v>8.7829088521181884</v>
      </c>
      <c r="CP148" s="168">
        <v>19.188029818433769</v>
      </c>
      <c r="CQ148" s="168">
        <v>6.8646560079643253</v>
      </c>
      <c r="CR148" s="168">
        <v>9.7000282778106204</v>
      </c>
      <c r="CS148" s="168">
        <v>21.878234121878869</v>
      </c>
      <c r="CT148" s="168">
        <v>11.087749906212554</v>
      </c>
      <c r="CU148" s="168">
        <v>16.054237154285524</v>
      </c>
      <c r="CV148" s="168">
        <v>5.6331979997228325</v>
      </c>
      <c r="CW148" s="168">
        <v>17.614670122040874</v>
      </c>
      <c r="CX148" s="168">
        <v>23.289946293425519</v>
      </c>
      <c r="CY148" s="168">
        <v>9.2184694180950881</v>
      </c>
      <c r="CZ148" s="168">
        <v>13.831914406215539</v>
      </c>
      <c r="DA148" s="168">
        <v>8.358500033914904</v>
      </c>
    </row>
    <row r="149" spans="5:105">
      <c r="E149" s="172" t="s">
        <v>293</v>
      </c>
      <c r="F149" s="168">
        <f t="array" ref="F149:F151">MMULT($I$43:$K$45,F136:F138)</f>
        <v>120.58330186406799</v>
      </c>
      <c r="G149" s="168">
        <f t="array" ref="G149:G151">MMULT($I$43:$K$45,G136:G138)</f>
        <v>120.58330186406799</v>
      </c>
      <c r="H149" s="168">
        <f t="array" ref="H149:H151">MMULT($I$43:$K$45,H136:H138)</f>
        <v>120.58330186406799</v>
      </c>
      <c r="I149" s="168">
        <f t="array" ref="I149:I151">MMULT($I$43:$K$45,I136:I138)</f>
        <v>120.58330186406799</v>
      </c>
      <c r="J149" s="168">
        <f t="array" ref="J149:J151">MMULT($I$43:$K$45,J136:J138)</f>
        <v>120.58330186406799</v>
      </c>
      <c r="K149" s="168">
        <f t="array" ref="K149:K151">MMULT($I$43:$K$45,K136:K138)</f>
        <v>120.58330186406799</v>
      </c>
      <c r="L149" s="168">
        <f t="array" ref="L149:L151">MMULT($I$43:$K$45,L136:L138)</f>
        <v>120.58330186406799</v>
      </c>
      <c r="M149" s="168">
        <f t="array" ref="M149:M151">MMULT($I$43:$K$45,M136:M138)</f>
        <v>120.58330186406799</v>
      </c>
      <c r="N149" s="168">
        <f t="array" ref="N149:N151">MMULT($I$43:$K$45,N136:N138)</f>
        <v>120.58330186406799</v>
      </c>
      <c r="O149" s="168">
        <f t="array" ref="O149:O151">MMULT($I$43:$K$45,O136:O138)</f>
        <v>120.58330186406799</v>
      </c>
      <c r="P149" s="168">
        <f t="array" ref="P149:P151">MMULT($I$43:$K$45,P136:P138)</f>
        <v>120.58330186406799</v>
      </c>
      <c r="Q149" s="168">
        <f t="array" ref="Q149:Q151">MMULT($I$43:$K$45,Q136:Q138)</f>
        <v>120.58330186406799</v>
      </c>
      <c r="R149" s="168">
        <f t="array" ref="R149:R151">MMULT($I$43:$K$45,R136:R138)</f>
        <v>120.58330186406799</v>
      </c>
      <c r="S149" s="168">
        <f t="array" ref="S149:S151">MMULT($I$43:$K$45,S136:S138)</f>
        <v>120.58330186406799</v>
      </c>
      <c r="T149" s="168">
        <f t="array" ref="T149:T151">MMULT($I$43:$K$45,T136:T138)</f>
        <v>120.58330186406799</v>
      </c>
      <c r="U149" s="168">
        <f t="array" ref="U149:U151">MMULT($I$43:$K$45,U136:U138)</f>
        <v>120.58330186406799</v>
      </c>
      <c r="V149" s="168">
        <f t="array" ref="V149:V151">MMULT($I$43:$K$45,V136:V138)</f>
        <v>120.58330186406799</v>
      </c>
      <c r="W149" s="168">
        <f t="array" ref="W149:W151">MMULT($I$43:$K$45,W136:W138)</f>
        <v>120.58330186406799</v>
      </c>
      <c r="X149" s="168">
        <f t="array" ref="X149:X151">MMULT($I$43:$K$45,X136:X138)</f>
        <v>120.58330186406799</v>
      </c>
      <c r="Y149" s="168">
        <f t="array" ref="Y149:Y151">MMULT($I$43:$K$45,Y136:Y138)</f>
        <v>120.58330186406799</v>
      </c>
      <c r="Z149" s="168">
        <f t="array" ref="Z149:Z151">MMULT($I$43:$K$45,Z136:Z138)</f>
        <v>120.58330186406799</v>
      </c>
      <c r="AA149" s="168">
        <f t="array" ref="AA149:AA151">MMULT($I$43:$K$45,AA136:AA138)</f>
        <v>120.58330186406799</v>
      </c>
      <c r="AB149" s="168">
        <f t="array" ref="AB149:AB151">MMULT($I$43:$K$45,AB136:AB138)</f>
        <v>120.58330186406799</v>
      </c>
      <c r="AC149" s="168">
        <f t="array" ref="AC149:AC151">MMULT($I$43:$K$45,AC136:AC138)</f>
        <v>120.58330186406799</v>
      </c>
      <c r="AD149" s="168">
        <f t="array" ref="AD149:AD151">MMULT($I$43:$K$45,AD136:AD138)</f>
        <v>120.58330186406799</v>
      </c>
      <c r="AE149" s="168">
        <f t="array" ref="AE149:AE151">MMULT($I$43:$K$45,AE136:AE138)</f>
        <v>120.58330186406799</v>
      </c>
      <c r="AF149" s="168">
        <f t="array" ref="AF149:AF151">MMULT($I$43:$K$45,AF136:AF138)</f>
        <v>120.58330186406799</v>
      </c>
      <c r="AG149" s="168">
        <f t="array" ref="AG149:AG151">MMULT($I$43:$K$45,AG136:AG138)</f>
        <v>120.58330186406799</v>
      </c>
      <c r="AH149" s="168">
        <f t="array" ref="AH149:AH151">MMULT($I$43:$K$45,AH136:AH138)</f>
        <v>120.58330186406799</v>
      </c>
      <c r="AI149" s="168">
        <f t="array" ref="AI149:AI151">MMULT($I$43:$K$45,AI136:AI138)</f>
        <v>120.58330186406799</v>
      </c>
      <c r="AJ149" s="168">
        <f t="array" ref="AJ149:AJ151">MMULT($I$43:$K$45,AJ136:AJ138)</f>
        <v>120.58330186406799</v>
      </c>
      <c r="AK149" s="168">
        <f t="array" ref="AK149:AK151">MMULT($I$43:$K$45,AK136:AK138)</f>
        <v>120.58330186406799</v>
      </c>
      <c r="AL149" s="168">
        <f t="array" ref="AL149:AL151">MMULT($I$43:$K$45,AL136:AL138)</f>
        <v>120.58330186406799</v>
      </c>
      <c r="AM149" s="168">
        <f t="array" ref="AM149:AM151">MMULT($I$43:$K$45,AM136:AM138)</f>
        <v>120.58330186406799</v>
      </c>
      <c r="AN149" s="168">
        <f t="array" ref="AN149:AN151">MMULT($I$43:$K$45,AN136:AN138)</f>
        <v>120.58330186406799</v>
      </c>
      <c r="AO149" s="168">
        <f t="array" ref="AO149:AO151">MMULT($I$43:$K$45,AO136:AO138)</f>
        <v>120.58330186406799</v>
      </c>
      <c r="AP149" s="168">
        <f t="array" ref="AP149:AP151">MMULT($I$43:$K$45,AP136:AP138)</f>
        <v>120.58330186406799</v>
      </c>
      <c r="AQ149" s="168">
        <f t="array" ref="AQ149:AQ151">MMULT($I$43:$K$45,AQ136:AQ138)</f>
        <v>120.58330186406799</v>
      </c>
      <c r="AR149" s="168">
        <f t="array" ref="AR149:AR151">MMULT($I$43:$K$45,AR136:AR138)</f>
        <v>120.58330186406799</v>
      </c>
      <c r="AS149" s="168">
        <f t="array" ref="AS149:AS151">MMULT($I$43:$K$45,AS136:AS138)</f>
        <v>120.58330186406799</v>
      </c>
      <c r="AT149" s="168">
        <f t="array" ref="AT149:AT151">MMULT($I$43:$K$45,AT136:AT138)</f>
        <v>120.58330186406799</v>
      </c>
      <c r="AU149" s="168">
        <f t="array" ref="AU149:AU151">MMULT($I$43:$K$45,AU136:AU138)</f>
        <v>120.58330186406799</v>
      </c>
      <c r="AV149" s="168">
        <f t="array" ref="AV149:AV151">MMULT($I$43:$K$45,AV136:AV138)</f>
        <v>120.58330186406799</v>
      </c>
      <c r="AW149" s="168">
        <f t="array" ref="AW149:AW151">MMULT($I$43:$K$45,AW136:AW138)</f>
        <v>120.58330186406799</v>
      </c>
      <c r="AX149" s="168">
        <f t="array" ref="AX149:AX151">MMULT($I$43:$K$45,AX136:AX138)</f>
        <v>120.58330186406799</v>
      </c>
      <c r="AY149" s="168">
        <f t="array" ref="AY149:AY151">MMULT($I$43:$K$45,AY136:AY138)</f>
        <v>120.58330186406799</v>
      </c>
      <c r="AZ149" s="168">
        <f t="array" ref="AZ149:AZ151">MMULT($I$43:$K$45,AZ136:AZ138)</f>
        <v>120.58330186406799</v>
      </c>
      <c r="BA149" s="168">
        <f t="array" ref="BA149:BA151">MMULT($I$43:$K$45,BA136:BA138)</f>
        <v>120.58330186406799</v>
      </c>
      <c r="BB149" s="168">
        <f t="array" ref="BB149:BB151">MMULT($I$43:$K$45,BB136:BB138)</f>
        <v>120.58330186406799</v>
      </c>
      <c r="BC149" s="168">
        <f t="array" ref="BC149:BC151">MMULT($I$43:$K$45,BC136:BC138)</f>
        <v>120.58330186406799</v>
      </c>
      <c r="BD149" s="168">
        <f t="array" ref="BD149:BD151">MMULT($I$43:$K$45,BD136:BD138)</f>
        <v>120.58330186406799</v>
      </c>
      <c r="BE149" s="168">
        <f t="array" ref="BE149:BE151">MMULT($I$43:$K$45,BE136:BE138)</f>
        <v>120.58330186406799</v>
      </c>
      <c r="BF149" s="168">
        <f t="array" ref="BF149:BF151">MMULT($I$43:$K$45,BF136:BF138)</f>
        <v>120.58330186406799</v>
      </c>
      <c r="BG149" s="168">
        <f t="array" ref="BG149:BG151">MMULT($I$43:$K$45,BG136:BG138)</f>
        <v>120.58330186406799</v>
      </c>
      <c r="BH149" s="168">
        <f t="array" ref="BH149:BH151">MMULT($I$43:$K$45,BH136:BH138)</f>
        <v>120.58330186406799</v>
      </c>
      <c r="BI149" s="168">
        <f t="array" ref="BI149:BI151">MMULT($I$43:$K$45,BI136:BI138)</f>
        <v>120.58330186406799</v>
      </c>
      <c r="BJ149" s="168">
        <f t="array" ref="BJ149:BJ151">MMULT($I$43:$K$45,BJ136:BJ138)</f>
        <v>120.58330186406799</v>
      </c>
      <c r="BK149" s="168">
        <f t="array" ref="BK149:BK151">MMULT($I$43:$K$45,BK136:BK138)</f>
        <v>120.58330186406799</v>
      </c>
      <c r="BL149" s="168">
        <f t="array" ref="BL149:BL151">MMULT($I$43:$K$45,BL136:BL138)</f>
        <v>120.58330186406799</v>
      </c>
      <c r="BM149" s="168">
        <f t="array" ref="BM149:BM151">MMULT($I$43:$K$45,BM136:BM138)</f>
        <v>120.58330186406799</v>
      </c>
      <c r="BN149" s="168">
        <f t="array" ref="BN149:BN151">MMULT($I$43:$K$45,BN136:BN138)</f>
        <v>120.58330186406799</v>
      </c>
      <c r="BO149" s="168">
        <f t="array" ref="BO149:BO151">MMULT($I$43:$K$45,BO136:BO138)</f>
        <v>120.58330186406799</v>
      </c>
      <c r="BP149" s="168">
        <f t="array" ref="BP149:BP151">MMULT($I$43:$K$45,BP136:BP138)</f>
        <v>120.58330186406799</v>
      </c>
      <c r="BQ149" s="168">
        <f t="array" ref="BQ149:BQ151">MMULT($I$43:$K$45,BQ136:BQ138)</f>
        <v>120.58330186406799</v>
      </c>
      <c r="BR149" s="168">
        <f t="array" ref="BR149:BR151">MMULT($I$43:$K$45,BR136:BR138)</f>
        <v>120.58330186406799</v>
      </c>
      <c r="BS149" s="168">
        <f t="array" ref="BS149:BS151">MMULT($I$43:$K$45,BS136:BS138)</f>
        <v>120.58330186406799</v>
      </c>
      <c r="BT149" s="168">
        <f t="array" ref="BT149:BT151">MMULT($I$43:$K$45,BT136:BT138)</f>
        <v>120.58330186406799</v>
      </c>
      <c r="BU149" s="168">
        <f t="array" ref="BU149:BU151">MMULT($I$43:$K$45,BU136:BU138)</f>
        <v>120.58330186406799</v>
      </c>
      <c r="BV149" s="168">
        <f t="array" ref="BV149:BV151">MMULT($I$43:$K$45,BV136:BV138)</f>
        <v>120.58330186406799</v>
      </c>
      <c r="BW149" s="168">
        <f t="array" ref="BW149:BW151">MMULT($I$43:$K$45,BW136:BW138)</f>
        <v>120.58330186406799</v>
      </c>
      <c r="BX149" s="168">
        <f t="array" ref="BX149:BX151">MMULT($I$43:$K$45,BX136:BX138)</f>
        <v>120.58330186406799</v>
      </c>
      <c r="BY149" s="168">
        <f t="array" ref="BY149:BY151">MMULT($I$43:$K$45,BY136:BY138)</f>
        <v>120.58330186406799</v>
      </c>
      <c r="BZ149" s="168">
        <f t="array" ref="BZ149:BZ151">MMULT($I$43:$K$45,BZ136:BZ138)</f>
        <v>120.58330186406799</v>
      </c>
      <c r="CA149" s="168">
        <f t="array" ref="CA149:CA151">MMULT($I$43:$K$45,CA136:CA138)</f>
        <v>120.58330186406799</v>
      </c>
      <c r="CB149" s="168">
        <f t="array" ref="CB149:CB151">MMULT($I$43:$K$45,CB136:CB138)</f>
        <v>120.58330186406799</v>
      </c>
      <c r="CC149" s="168">
        <f t="array" ref="CC149:CC151">MMULT($I$43:$K$45,CC136:CC138)</f>
        <v>120.58330186406799</v>
      </c>
      <c r="CD149" s="168">
        <f t="array" ref="CD149:CD151">MMULT($I$43:$K$45,CD136:CD138)</f>
        <v>120.58330186406799</v>
      </c>
      <c r="CE149" s="168">
        <f t="array" ref="CE149:CE151">MMULT($I$43:$K$45,CE136:CE138)</f>
        <v>120.58330186406799</v>
      </c>
      <c r="CF149" s="168">
        <f t="array" ref="CF149:CF151">MMULT($I$43:$K$45,CF136:CF138)</f>
        <v>120.58330186406799</v>
      </c>
      <c r="CG149" s="168">
        <f t="array" ref="CG149:CG151">MMULT($I$43:$K$45,CG136:CG138)</f>
        <v>120.58330186406799</v>
      </c>
      <c r="CH149" s="168">
        <f t="array" ref="CH149:CH151">MMULT($I$43:$K$45,CH136:CH138)</f>
        <v>120.58330186406799</v>
      </c>
      <c r="CI149" s="168">
        <f t="array" ref="CI149:CI151">MMULT($I$43:$K$45,CI136:CI138)</f>
        <v>120.58330186406799</v>
      </c>
      <c r="CJ149" s="168">
        <f t="array" ref="CJ149:CJ151">MMULT($I$43:$K$45,CJ136:CJ138)</f>
        <v>120.58330186406799</v>
      </c>
      <c r="CK149" s="168">
        <f t="array" ref="CK149:CK151">MMULT($I$43:$K$45,CK136:CK138)</f>
        <v>120.58330186406799</v>
      </c>
      <c r="CL149" s="168">
        <f t="array" ref="CL149:CL151">MMULT($I$43:$K$45,CL136:CL138)</f>
        <v>120.58330186406799</v>
      </c>
      <c r="CM149" s="168">
        <f t="array" ref="CM149:CM151">MMULT($I$43:$K$45,CM136:CM138)</f>
        <v>120.58330186406799</v>
      </c>
      <c r="CN149" s="168">
        <f t="array" ref="CN149:CN151">MMULT($I$43:$K$45,CN136:CN138)</f>
        <v>120.58330186406799</v>
      </c>
      <c r="CO149" s="168">
        <f t="array" ref="CO149:CO151">MMULT($I$43:$K$45,CO136:CO138)</f>
        <v>120.58330186406799</v>
      </c>
      <c r="CP149" s="168">
        <f t="array" ref="CP149:CP151">MMULT($I$43:$K$45,CP136:CP138)</f>
        <v>120.58330186406799</v>
      </c>
      <c r="CQ149" s="168">
        <f t="array" ref="CQ149:CQ151">MMULT($I$43:$K$45,CQ136:CQ138)</f>
        <v>120.58330186406799</v>
      </c>
      <c r="CR149" s="168">
        <f t="array" ref="CR149:CR151">MMULT($I$43:$K$45,CR136:CR138)</f>
        <v>120.58330186406799</v>
      </c>
      <c r="CS149" s="168">
        <f t="array" ref="CS149:CS151">MMULT($I$43:$K$45,CS136:CS138)</f>
        <v>120.58330186406799</v>
      </c>
      <c r="CT149" s="168">
        <f t="array" ref="CT149:CT151">MMULT($I$43:$K$45,CT136:CT138)</f>
        <v>120.58330186406799</v>
      </c>
      <c r="CU149" s="168">
        <f t="array" ref="CU149:CU151">MMULT($I$43:$K$45,CU136:CU138)</f>
        <v>120.58330186406799</v>
      </c>
      <c r="CV149" s="168">
        <f t="array" ref="CV149:CV151">MMULT($I$43:$K$45,CV136:CV138)</f>
        <v>120.58330186406799</v>
      </c>
      <c r="CW149" s="168">
        <f t="array" ref="CW149:CW151">MMULT($I$43:$K$45,CW136:CW138)</f>
        <v>120.58330186406799</v>
      </c>
      <c r="CX149" s="168">
        <f t="array" ref="CX149:CX151">MMULT($I$43:$K$45,CX136:CX138)</f>
        <v>120.58330186406799</v>
      </c>
      <c r="CY149" s="168">
        <f t="array" ref="CY149:CY151">MMULT($I$43:$K$45,CY136:CY138)</f>
        <v>120.58330186406799</v>
      </c>
      <c r="CZ149" s="168">
        <f t="array" ref="CZ149:CZ151">MMULT($I$43:$K$45,CZ136:CZ138)</f>
        <v>120.58330186406799</v>
      </c>
      <c r="DA149" s="168">
        <f t="array" ref="DA149:DA151">MMULT($I$43:$K$45,DA136:DA138)</f>
        <v>120.58330186406799</v>
      </c>
    </row>
    <row r="150" spans="5:105">
      <c r="E150" s="172" t="s">
        <v>294</v>
      </c>
      <c r="F150" s="168">
        <v>89.076834270764309</v>
      </c>
      <c r="G150" s="168">
        <v>89.076834270764309</v>
      </c>
      <c r="H150" s="168">
        <v>89.076834270764309</v>
      </c>
      <c r="I150" s="168">
        <v>89.076834270764309</v>
      </c>
      <c r="J150" s="168">
        <v>89.076834270764309</v>
      </c>
      <c r="K150" s="168">
        <v>89.076834270764309</v>
      </c>
      <c r="L150" s="168">
        <v>89.076834270764309</v>
      </c>
      <c r="M150" s="168">
        <v>89.076834270764309</v>
      </c>
      <c r="N150" s="168">
        <v>89.076834270764309</v>
      </c>
      <c r="O150" s="168">
        <v>89.076834270764309</v>
      </c>
      <c r="P150" s="168">
        <v>89.076834270764309</v>
      </c>
      <c r="Q150" s="168">
        <v>89.076834270764309</v>
      </c>
      <c r="R150" s="168">
        <v>89.076834270764309</v>
      </c>
      <c r="S150" s="168">
        <v>89.076834270764309</v>
      </c>
      <c r="T150" s="168">
        <v>89.076834270764309</v>
      </c>
      <c r="U150" s="168">
        <v>89.076834270764309</v>
      </c>
      <c r="V150" s="168">
        <v>89.076834270764309</v>
      </c>
      <c r="W150" s="168">
        <v>89.076834270764309</v>
      </c>
      <c r="X150" s="168">
        <v>89.076834270764309</v>
      </c>
      <c r="Y150" s="168">
        <v>89.076834270764309</v>
      </c>
      <c r="Z150" s="168">
        <v>89.076834270764309</v>
      </c>
      <c r="AA150" s="168">
        <v>89.076834270764309</v>
      </c>
      <c r="AB150" s="168">
        <v>89.076834270764309</v>
      </c>
      <c r="AC150" s="168">
        <v>89.076834270764309</v>
      </c>
      <c r="AD150" s="168">
        <v>89.076834270764309</v>
      </c>
      <c r="AE150" s="168">
        <v>89.076834270764309</v>
      </c>
      <c r="AF150" s="168">
        <v>89.076834270764309</v>
      </c>
      <c r="AG150" s="168">
        <v>89.076834270764309</v>
      </c>
      <c r="AH150" s="168">
        <v>89.076834270764309</v>
      </c>
      <c r="AI150" s="168">
        <v>89.076834270764309</v>
      </c>
      <c r="AJ150" s="168">
        <v>89.076834270764309</v>
      </c>
      <c r="AK150" s="168">
        <v>89.076834270764309</v>
      </c>
      <c r="AL150" s="168">
        <v>89.076834270764309</v>
      </c>
      <c r="AM150" s="168">
        <v>89.076834270764309</v>
      </c>
      <c r="AN150" s="168">
        <v>89.076834270764309</v>
      </c>
      <c r="AO150" s="168">
        <v>89.076834270764309</v>
      </c>
      <c r="AP150" s="168">
        <v>89.076834270764309</v>
      </c>
      <c r="AQ150" s="168">
        <v>89.076834270764309</v>
      </c>
      <c r="AR150" s="168">
        <v>89.076834270764309</v>
      </c>
      <c r="AS150" s="168">
        <v>89.076834270764309</v>
      </c>
      <c r="AT150" s="168">
        <v>89.076834270764309</v>
      </c>
      <c r="AU150" s="168">
        <v>89.076834270764309</v>
      </c>
      <c r="AV150" s="168">
        <v>89.076834270764309</v>
      </c>
      <c r="AW150" s="168">
        <v>89.076834270764309</v>
      </c>
      <c r="AX150" s="168">
        <v>89.076834270764309</v>
      </c>
      <c r="AY150" s="168">
        <v>89.076834270764309</v>
      </c>
      <c r="AZ150" s="168">
        <v>89.076834270764309</v>
      </c>
      <c r="BA150" s="168">
        <v>89.076834270764309</v>
      </c>
      <c r="BB150" s="168">
        <v>89.076834270764309</v>
      </c>
      <c r="BC150" s="168">
        <v>89.076834270764309</v>
      </c>
      <c r="BD150" s="168">
        <v>89.076834270764309</v>
      </c>
      <c r="BE150" s="168">
        <v>89.076834270764309</v>
      </c>
      <c r="BF150" s="168">
        <v>89.076834270764309</v>
      </c>
      <c r="BG150" s="168">
        <v>89.076834270764309</v>
      </c>
      <c r="BH150" s="168">
        <v>89.076834270764309</v>
      </c>
      <c r="BI150" s="168">
        <v>89.076834270764309</v>
      </c>
      <c r="BJ150" s="168">
        <v>89.076834270764309</v>
      </c>
      <c r="BK150" s="168">
        <v>89.076834270764309</v>
      </c>
      <c r="BL150" s="168">
        <v>89.076834270764309</v>
      </c>
      <c r="BM150" s="168">
        <v>89.076834270764309</v>
      </c>
      <c r="BN150" s="168">
        <v>89.076834270764309</v>
      </c>
      <c r="BO150" s="168">
        <v>89.076834270764309</v>
      </c>
      <c r="BP150" s="168">
        <v>89.076834270764309</v>
      </c>
      <c r="BQ150" s="168">
        <v>89.076834270764309</v>
      </c>
      <c r="BR150" s="168">
        <v>89.076834270764309</v>
      </c>
      <c r="BS150" s="168">
        <v>89.076834270764309</v>
      </c>
      <c r="BT150" s="168">
        <v>89.076834270764309</v>
      </c>
      <c r="BU150" s="168">
        <v>89.076834270764309</v>
      </c>
      <c r="BV150" s="168">
        <v>89.076834270764309</v>
      </c>
      <c r="BW150" s="168">
        <v>89.076834270764309</v>
      </c>
      <c r="BX150" s="168">
        <v>89.076834270764309</v>
      </c>
      <c r="BY150" s="168">
        <v>89.076834270764309</v>
      </c>
      <c r="BZ150" s="168">
        <v>89.076834270764309</v>
      </c>
      <c r="CA150" s="168">
        <v>89.076834270764309</v>
      </c>
      <c r="CB150" s="168">
        <v>89.076834270764309</v>
      </c>
      <c r="CC150" s="168">
        <v>89.076834270764309</v>
      </c>
      <c r="CD150" s="168">
        <v>89.076834270764309</v>
      </c>
      <c r="CE150" s="168">
        <v>89.076834270764309</v>
      </c>
      <c r="CF150" s="168">
        <v>89.076834270764309</v>
      </c>
      <c r="CG150" s="168">
        <v>89.076834270764309</v>
      </c>
      <c r="CH150" s="168">
        <v>89.076834270764309</v>
      </c>
      <c r="CI150" s="168">
        <v>89.076834270764309</v>
      </c>
      <c r="CJ150" s="168">
        <v>89.076834270764309</v>
      </c>
      <c r="CK150" s="168">
        <v>89.076834270764309</v>
      </c>
      <c r="CL150" s="168">
        <v>89.076834270764309</v>
      </c>
      <c r="CM150" s="168">
        <v>89.076834270764309</v>
      </c>
      <c r="CN150" s="168">
        <v>89.076834270764309</v>
      </c>
      <c r="CO150" s="168">
        <v>89.076834270764309</v>
      </c>
      <c r="CP150" s="168">
        <v>89.076834270764309</v>
      </c>
      <c r="CQ150" s="168">
        <v>89.076834270764309</v>
      </c>
      <c r="CR150" s="168">
        <v>89.076834270764309</v>
      </c>
      <c r="CS150" s="168">
        <v>89.076834270764309</v>
      </c>
      <c r="CT150" s="168">
        <v>89.076834270764309</v>
      </c>
      <c r="CU150" s="168">
        <v>89.076834270764309</v>
      </c>
      <c r="CV150" s="168">
        <v>89.076834270764309</v>
      </c>
      <c r="CW150" s="168">
        <v>89.076834270764309</v>
      </c>
      <c r="CX150" s="168">
        <v>89.076834270764309</v>
      </c>
      <c r="CY150" s="168">
        <v>89.076834270764309</v>
      </c>
      <c r="CZ150" s="168">
        <v>89.076834270764309</v>
      </c>
      <c r="DA150" s="168">
        <v>89.076834270764309</v>
      </c>
    </row>
    <row r="151" spans="5:105">
      <c r="E151" s="172" t="s">
        <v>295</v>
      </c>
      <c r="F151" s="168">
        <v>42.02411432292029</v>
      </c>
      <c r="G151" s="168">
        <v>42.02411432292029</v>
      </c>
      <c r="H151" s="168">
        <v>42.02411432292029</v>
      </c>
      <c r="I151" s="168">
        <v>42.02411432292029</v>
      </c>
      <c r="J151" s="168">
        <v>42.02411432292029</v>
      </c>
      <c r="K151" s="168">
        <v>42.02411432292029</v>
      </c>
      <c r="L151" s="168">
        <v>42.02411432292029</v>
      </c>
      <c r="M151" s="168">
        <v>42.02411432292029</v>
      </c>
      <c r="N151" s="168">
        <v>42.02411432292029</v>
      </c>
      <c r="O151" s="168">
        <v>42.02411432292029</v>
      </c>
      <c r="P151" s="168">
        <v>42.02411432292029</v>
      </c>
      <c r="Q151" s="168">
        <v>42.02411432292029</v>
      </c>
      <c r="R151" s="168">
        <v>42.02411432292029</v>
      </c>
      <c r="S151" s="168">
        <v>42.02411432292029</v>
      </c>
      <c r="T151" s="168">
        <v>42.02411432292029</v>
      </c>
      <c r="U151" s="168">
        <v>42.02411432292029</v>
      </c>
      <c r="V151" s="168">
        <v>42.02411432292029</v>
      </c>
      <c r="W151" s="168">
        <v>42.02411432292029</v>
      </c>
      <c r="X151" s="168">
        <v>42.02411432292029</v>
      </c>
      <c r="Y151" s="168">
        <v>42.02411432292029</v>
      </c>
      <c r="Z151" s="168">
        <v>42.02411432292029</v>
      </c>
      <c r="AA151" s="168">
        <v>42.02411432292029</v>
      </c>
      <c r="AB151" s="168">
        <v>42.02411432292029</v>
      </c>
      <c r="AC151" s="168">
        <v>42.02411432292029</v>
      </c>
      <c r="AD151" s="168">
        <v>42.02411432292029</v>
      </c>
      <c r="AE151" s="168">
        <v>42.02411432292029</v>
      </c>
      <c r="AF151" s="168">
        <v>42.02411432292029</v>
      </c>
      <c r="AG151" s="168">
        <v>42.02411432292029</v>
      </c>
      <c r="AH151" s="168">
        <v>42.02411432292029</v>
      </c>
      <c r="AI151" s="168">
        <v>42.02411432292029</v>
      </c>
      <c r="AJ151" s="168">
        <v>42.02411432292029</v>
      </c>
      <c r="AK151" s="168">
        <v>42.02411432292029</v>
      </c>
      <c r="AL151" s="168">
        <v>42.02411432292029</v>
      </c>
      <c r="AM151" s="168">
        <v>42.02411432292029</v>
      </c>
      <c r="AN151" s="168">
        <v>42.02411432292029</v>
      </c>
      <c r="AO151" s="168">
        <v>42.02411432292029</v>
      </c>
      <c r="AP151" s="168">
        <v>42.02411432292029</v>
      </c>
      <c r="AQ151" s="168">
        <v>42.02411432292029</v>
      </c>
      <c r="AR151" s="168">
        <v>42.02411432292029</v>
      </c>
      <c r="AS151" s="168">
        <v>42.02411432292029</v>
      </c>
      <c r="AT151" s="168">
        <v>42.02411432292029</v>
      </c>
      <c r="AU151" s="168">
        <v>42.02411432292029</v>
      </c>
      <c r="AV151" s="168">
        <v>42.02411432292029</v>
      </c>
      <c r="AW151" s="168">
        <v>42.02411432292029</v>
      </c>
      <c r="AX151" s="168">
        <v>42.02411432292029</v>
      </c>
      <c r="AY151" s="168">
        <v>42.02411432292029</v>
      </c>
      <c r="AZ151" s="168">
        <v>42.02411432292029</v>
      </c>
      <c r="BA151" s="168">
        <v>42.02411432292029</v>
      </c>
      <c r="BB151" s="168">
        <v>42.02411432292029</v>
      </c>
      <c r="BC151" s="168">
        <v>42.02411432292029</v>
      </c>
      <c r="BD151" s="168">
        <v>42.02411432292029</v>
      </c>
      <c r="BE151" s="168">
        <v>42.02411432292029</v>
      </c>
      <c r="BF151" s="168">
        <v>42.02411432292029</v>
      </c>
      <c r="BG151" s="168">
        <v>42.02411432292029</v>
      </c>
      <c r="BH151" s="168">
        <v>42.02411432292029</v>
      </c>
      <c r="BI151" s="168">
        <v>42.02411432292029</v>
      </c>
      <c r="BJ151" s="168">
        <v>42.02411432292029</v>
      </c>
      <c r="BK151" s="168">
        <v>42.02411432292029</v>
      </c>
      <c r="BL151" s="168">
        <v>42.02411432292029</v>
      </c>
      <c r="BM151" s="168">
        <v>42.02411432292029</v>
      </c>
      <c r="BN151" s="168">
        <v>42.02411432292029</v>
      </c>
      <c r="BO151" s="168">
        <v>42.02411432292029</v>
      </c>
      <c r="BP151" s="168">
        <v>42.02411432292029</v>
      </c>
      <c r="BQ151" s="168">
        <v>42.02411432292029</v>
      </c>
      <c r="BR151" s="168">
        <v>42.02411432292029</v>
      </c>
      <c r="BS151" s="168">
        <v>42.02411432292029</v>
      </c>
      <c r="BT151" s="168">
        <v>42.02411432292029</v>
      </c>
      <c r="BU151" s="168">
        <v>42.02411432292029</v>
      </c>
      <c r="BV151" s="168">
        <v>42.02411432292029</v>
      </c>
      <c r="BW151" s="168">
        <v>42.02411432292029</v>
      </c>
      <c r="BX151" s="168">
        <v>42.02411432292029</v>
      </c>
      <c r="BY151" s="168">
        <v>42.02411432292029</v>
      </c>
      <c r="BZ151" s="168">
        <v>42.02411432292029</v>
      </c>
      <c r="CA151" s="168">
        <v>42.02411432292029</v>
      </c>
      <c r="CB151" s="168">
        <v>42.02411432292029</v>
      </c>
      <c r="CC151" s="168">
        <v>42.02411432292029</v>
      </c>
      <c r="CD151" s="168">
        <v>42.02411432292029</v>
      </c>
      <c r="CE151" s="168">
        <v>42.02411432292029</v>
      </c>
      <c r="CF151" s="168">
        <v>42.02411432292029</v>
      </c>
      <c r="CG151" s="168">
        <v>42.02411432292029</v>
      </c>
      <c r="CH151" s="168">
        <v>42.02411432292029</v>
      </c>
      <c r="CI151" s="168">
        <v>42.02411432292029</v>
      </c>
      <c r="CJ151" s="168">
        <v>42.02411432292029</v>
      </c>
      <c r="CK151" s="168">
        <v>42.02411432292029</v>
      </c>
      <c r="CL151" s="168">
        <v>42.02411432292029</v>
      </c>
      <c r="CM151" s="168">
        <v>42.02411432292029</v>
      </c>
      <c r="CN151" s="168">
        <v>42.02411432292029</v>
      </c>
      <c r="CO151" s="168">
        <v>42.02411432292029</v>
      </c>
      <c r="CP151" s="168">
        <v>42.02411432292029</v>
      </c>
      <c r="CQ151" s="168">
        <v>42.02411432292029</v>
      </c>
      <c r="CR151" s="168">
        <v>42.02411432292029</v>
      </c>
      <c r="CS151" s="168">
        <v>42.02411432292029</v>
      </c>
      <c r="CT151" s="168">
        <v>42.02411432292029</v>
      </c>
      <c r="CU151" s="168">
        <v>42.02411432292029</v>
      </c>
      <c r="CV151" s="168">
        <v>42.02411432292029</v>
      </c>
      <c r="CW151" s="168">
        <v>42.02411432292029</v>
      </c>
      <c r="CX151" s="168">
        <v>42.02411432292029</v>
      </c>
      <c r="CY151" s="168">
        <v>42.02411432292029</v>
      </c>
      <c r="CZ151" s="168">
        <v>42.02411432292029</v>
      </c>
      <c r="DA151" s="168">
        <v>42.02411432292029</v>
      </c>
    </row>
    <row r="152" spans="5:105">
      <c r="E152" s="172" t="s">
        <v>296</v>
      </c>
      <c r="F152" s="168">
        <f>($F$49*(F137/F149)+1-$F$49)*F146</f>
        <v>100.00000000000001</v>
      </c>
      <c r="G152" s="168">
        <f t="shared" ref="G152:BR152" si="164">($F$49*(G137/G149)+1-$F$49)*G146</f>
        <v>67.6103689915346</v>
      </c>
      <c r="H152" s="168">
        <f t="shared" si="164"/>
        <v>31.667795088935495</v>
      </c>
      <c r="I152" s="168">
        <f t="shared" si="164"/>
        <v>5.9810321210996111</v>
      </c>
      <c r="J152" s="168">
        <f t="shared" si="164"/>
        <v>42.348211761525356</v>
      </c>
      <c r="K152" s="168">
        <f t="shared" si="164"/>
        <v>18.193192249740122</v>
      </c>
      <c r="L152" s="168">
        <f t="shared" si="164"/>
        <v>19.128066526351823</v>
      </c>
      <c r="M152" s="168">
        <f t="shared" si="164"/>
        <v>12.284903013533278</v>
      </c>
      <c r="N152" s="168">
        <f t="shared" si="164"/>
        <v>11.131292038862009</v>
      </c>
      <c r="O152" s="168">
        <f t="shared" si="164"/>
        <v>4.9272802882320272</v>
      </c>
      <c r="P152" s="168">
        <f t="shared" si="164"/>
        <v>54.769458099422209</v>
      </c>
      <c r="Q152" s="168">
        <f t="shared" si="164"/>
        <v>30.127597646250578</v>
      </c>
      <c r="R152" s="168">
        <f t="shared" si="164"/>
        <v>37.775569388036565</v>
      </c>
      <c r="S152" s="168">
        <f t="shared" si="164"/>
        <v>13.040487212408902</v>
      </c>
      <c r="T152" s="168">
        <f t="shared" si="164"/>
        <v>44.281446563839737</v>
      </c>
      <c r="U152" s="168">
        <f t="shared" si="164"/>
        <v>40.757569753992243</v>
      </c>
      <c r="V152" s="168">
        <f t="shared" si="164"/>
        <v>15.945353778252761</v>
      </c>
      <c r="W152" s="168">
        <f t="shared" si="164"/>
        <v>18.912580678834384</v>
      </c>
      <c r="X152" s="168">
        <f t="shared" si="164"/>
        <v>23.291856456201877</v>
      </c>
      <c r="Y152" s="168">
        <f t="shared" si="164"/>
        <v>46.877634170953712</v>
      </c>
      <c r="Z152" s="168">
        <f t="shared" si="164"/>
        <v>36.927192032495078</v>
      </c>
      <c r="AA152" s="168">
        <f t="shared" si="164"/>
        <v>76.772658163430322</v>
      </c>
      <c r="AB152" s="168">
        <f t="shared" si="164"/>
        <v>59.424153991000999</v>
      </c>
      <c r="AC152" s="168">
        <f t="shared" si="164"/>
        <v>80.411079857444022</v>
      </c>
      <c r="AD152" s="168">
        <f t="shared" si="164"/>
        <v>83.380313510649827</v>
      </c>
      <c r="AE152" s="168">
        <f t="shared" si="164"/>
        <v>47.086456955531503</v>
      </c>
      <c r="AF152" s="168">
        <f t="shared" si="164"/>
        <v>81.636487987239732</v>
      </c>
      <c r="AG152" s="168">
        <f t="shared" si="164"/>
        <v>43.68179016382566</v>
      </c>
      <c r="AH152" s="168">
        <f t="shared" si="164"/>
        <v>11.902564688913163</v>
      </c>
      <c r="AI152" s="168">
        <f t="shared" si="164"/>
        <v>71.911671964304261</v>
      </c>
      <c r="AJ152" s="168">
        <f t="shared" si="164"/>
        <v>31.47543563713586</v>
      </c>
      <c r="AK152" s="168">
        <f t="shared" si="164"/>
        <v>75.313377654908805</v>
      </c>
      <c r="AL152" s="168">
        <f t="shared" si="164"/>
        <v>49.00374995904739</v>
      </c>
      <c r="AM152" s="168">
        <f t="shared" si="164"/>
        <v>75.556723307657165</v>
      </c>
      <c r="AN152" s="168">
        <f t="shared" si="164"/>
        <v>30.448090956209519</v>
      </c>
      <c r="AO152" s="168">
        <f t="shared" si="164"/>
        <v>12.148587147023237</v>
      </c>
      <c r="AP152" s="168">
        <f t="shared" si="164"/>
        <v>54.121155585049273</v>
      </c>
      <c r="AQ152" s="168">
        <f t="shared" si="164"/>
        <v>16.082675373246083</v>
      </c>
      <c r="AR152" s="168">
        <f t="shared" si="164"/>
        <v>66.332377656381709</v>
      </c>
      <c r="AS152" s="168">
        <f t="shared" si="164"/>
        <v>7.4395763653292795</v>
      </c>
      <c r="AT152" s="168">
        <f t="shared" si="164"/>
        <v>15.784660254961164</v>
      </c>
      <c r="AU152" s="168">
        <f t="shared" si="164"/>
        <v>68.300836407009484</v>
      </c>
      <c r="AV152" s="168">
        <f t="shared" si="164"/>
        <v>34.99683117034558</v>
      </c>
      <c r="AW152" s="168">
        <f t="shared" si="164"/>
        <v>40.184357660968288</v>
      </c>
      <c r="AX152" s="168">
        <f t="shared" si="164"/>
        <v>4.9185785712196157</v>
      </c>
      <c r="AY152" s="168">
        <f t="shared" si="164"/>
        <v>22.652261702687181</v>
      </c>
      <c r="AZ152" s="168">
        <f t="shared" si="164"/>
        <v>32.215465802555386</v>
      </c>
      <c r="BA152" s="168">
        <f t="shared" si="164"/>
        <v>34.994701290312875</v>
      </c>
      <c r="BB152" s="168">
        <f t="shared" si="164"/>
        <v>47.469012888244443</v>
      </c>
      <c r="BC152" s="168">
        <f t="shared" si="164"/>
        <v>12.675602526783626</v>
      </c>
      <c r="BD152" s="168">
        <f t="shared" si="164"/>
        <v>17.669538517400813</v>
      </c>
      <c r="BE152" s="168">
        <f t="shared" si="164"/>
        <v>20.88404429975526</v>
      </c>
      <c r="BF152" s="168">
        <f t="shared" si="164"/>
        <v>8.5606153906334548</v>
      </c>
      <c r="BG152" s="168">
        <f t="shared" si="164"/>
        <v>11.875238368978811</v>
      </c>
      <c r="BH152" s="168">
        <f t="shared" si="164"/>
        <v>63.246423105974038</v>
      </c>
      <c r="BI152" s="168">
        <f t="shared" si="164"/>
        <v>54.682075395918623</v>
      </c>
      <c r="BJ152" s="168">
        <f t="shared" si="164"/>
        <v>31.270213332327465</v>
      </c>
      <c r="BK152" s="168">
        <f t="shared" si="164"/>
        <v>17.140892037812161</v>
      </c>
      <c r="BL152" s="168">
        <f t="shared" si="164"/>
        <v>14.266447039123777</v>
      </c>
      <c r="BM152" s="168">
        <f t="shared" si="164"/>
        <v>61.428975369473875</v>
      </c>
      <c r="BN152" s="168">
        <f t="shared" si="164"/>
        <v>66.934607487434349</v>
      </c>
      <c r="BO152" s="168">
        <f t="shared" si="164"/>
        <v>42.893933734092542</v>
      </c>
      <c r="BP152" s="168">
        <f t="shared" si="164"/>
        <v>31.539530712033368</v>
      </c>
      <c r="BQ152" s="168">
        <f t="shared" si="164"/>
        <v>7.2562832439708922</v>
      </c>
      <c r="BR152" s="168">
        <f t="shared" si="164"/>
        <v>16.730962112070973</v>
      </c>
      <c r="BS152" s="168">
        <f t="shared" ref="BS152:DA152" si="165">($F$49*(BS137/BS149)+1-$F$49)*BS146</f>
        <v>8.9790180417708179</v>
      </c>
      <c r="BT152" s="168">
        <f t="shared" si="165"/>
        <v>8.2595131250117131</v>
      </c>
      <c r="BU152" s="168">
        <f t="shared" si="165"/>
        <v>9.7125753634297638</v>
      </c>
      <c r="BV152" s="168">
        <f t="shared" si="165"/>
        <v>24.182853628766146</v>
      </c>
      <c r="BW152" s="168">
        <f t="shared" si="165"/>
        <v>16.684889508673038</v>
      </c>
      <c r="BX152" s="168">
        <f t="shared" si="165"/>
        <v>33.015800209651928</v>
      </c>
      <c r="BY152" s="168">
        <f t="shared" si="165"/>
        <v>5.448041694005509</v>
      </c>
      <c r="BZ152" s="168">
        <f t="shared" si="165"/>
        <v>44.694532784660616</v>
      </c>
      <c r="CA152" s="168">
        <f t="shared" si="165"/>
        <v>16.059098616606011</v>
      </c>
      <c r="CB152" s="168">
        <f t="shared" si="165"/>
        <v>4.6453782459731121</v>
      </c>
      <c r="CC152" s="168">
        <f t="shared" si="165"/>
        <v>5.0828135892844477</v>
      </c>
      <c r="CD152" s="168">
        <f t="shared" si="165"/>
        <v>9.7512570769774953</v>
      </c>
      <c r="CE152" s="168">
        <f t="shared" si="165"/>
        <v>9.4856422155569913</v>
      </c>
      <c r="CF152" s="168">
        <f t="shared" si="165"/>
        <v>8.6596507946256835</v>
      </c>
      <c r="CG152" s="168">
        <f t="shared" si="165"/>
        <v>37.728338702183486</v>
      </c>
      <c r="CH152" s="168">
        <f t="shared" si="165"/>
        <v>28.429157631738633</v>
      </c>
      <c r="CI152" s="168">
        <f t="shared" si="165"/>
        <v>9.61948493707024</v>
      </c>
      <c r="CJ152" s="168">
        <f t="shared" si="165"/>
        <v>65.583860896770332</v>
      </c>
      <c r="CK152" s="168">
        <f t="shared" si="165"/>
        <v>39.893160686767267</v>
      </c>
      <c r="CL152" s="168">
        <f t="shared" si="165"/>
        <v>4.4140156956582182</v>
      </c>
      <c r="CM152" s="168">
        <f t="shared" si="165"/>
        <v>9.872030648413487</v>
      </c>
      <c r="CN152" s="168">
        <f t="shared" si="165"/>
        <v>27.758891359394962</v>
      </c>
      <c r="CO152" s="168">
        <f t="shared" si="165"/>
        <v>8.8533384011787604</v>
      </c>
      <c r="CP152" s="168">
        <f t="shared" si="165"/>
        <v>27.145690637570272</v>
      </c>
      <c r="CQ152" s="168">
        <f t="shared" si="165"/>
        <v>8.9382477220000407</v>
      </c>
      <c r="CR152" s="168">
        <f t="shared" si="165"/>
        <v>12.494974525312699</v>
      </c>
      <c r="CS152" s="168">
        <f t="shared" si="165"/>
        <v>52.914307746206745</v>
      </c>
      <c r="CT152" s="168">
        <f t="shared" si="165"/>
        <v>20.184635245623642</v>
      </c>
      <c r="CU152" s="168">
        <f t="shared" si="165"/>
        <v>33.097154750094546</v>
      </c>
      <c r="CV152" s="168">
        <f t="shared" si="165"/>
        <v>9.2642156335764998</v>
      </c>
      <c r="CW152" s="168">
        <f t="shared" si="165"/>
        <v>36.865886234802566</v>
      </c>
      <c r="CX152" s="168">
        <f t="shared" si="165"/>
        <v>50.686936271445461</v>
      </c>
      <c r="CY152" s="168">
        <f t="shared" si="165"/>
        <v>22.170674821856963</v>
      </c>
      <c r="CZ152" s="168">
        <f t="shared" si="165"/>
        <v>35.329728617671243</v>
      </c>
      <c r="DA152" s="168">
        <f t="shared" si="165"/>
        <v>19.873439710944705</v>
      </c>
    </row>
    <row r="153" spans="5:105">
      <c r="E153" s="172" t="s">
        <v>297</v>
      </c>
      <c r="F153" s="168">
        <f>($F$49*(F137/F150)+1-$F$49)*F147</f>
        <v>100.00000000000001</v>
      </c>
      <c r="G153" s="168">
        <f t="shared" ref="G153:BR153" si="166">($F$49*(G137/G150)+1-$F$49)*G147</f>
        <v>58.348749937496692</v>
      </c>
      <c r="H153" s="168">
        <f t="shared" si="166"/>
        <v>19.76868693769897</v>
      </c>
      <c r="I153" s="168">
        <f t="shared" si="166"/>
        <v>4.7443034537343864</v>
      </c>
      <c r="J153" s="168">
        <f t="shared" si="166"/>
        <v>34.315031943956136</v>
      </c>
      <c r="K153" s="168">
        <f t="shared" si="166"/>
        <v>10.371643979971795</v>
      </c>
      <c r="L153" s="168">
        <f t="shared" si="166"/>
        <v>15.311561817165316</v>
      </c>
      <c r="M153" s="168">
        <f t="shared" si="166"/>
        <v>6.3159871854259828</v>
      </c>
      <c r="N153" s="168">
        <f t="shared" si="166"/>
        <v>6.4093591544436546</v>
      </c>
      <c r="O153" s="168">
        <f t="shared" si="166"/>
        <v>4.594985452284889</v>
      </c>
      <c r="P153" s="168">
        <f t="shared" si="166"/>
        <v>35.731489561448619</v>
      </c>
      <c r="Q153" s="168">
        <f t="shared" si="166"/>
        <v>19.236479325205579</v>
      </c>
      <c r="R153" s="168">
        <f t="shared" si="166"/>
        <v>23.485602286675235</v>
      </c>
      <c r="S153" s="168">
        <f t="shared" si="166"/>
        <v>8.9987402955027598</v>
      </c>
      <c r="T153" s="168">
        <f t="shared" si="166"/>
        <v>41.568989462658138</v>
      </c>
      <c r="U153" s="168">
        <f t="shared" si="166"/>
        <v>34.921016269351526</v>
      </c>
      <c r="V153" s="168">
        <f t="shared" si="166"/>
        <v>12.351577536452471</v>
      </c>
      <c r="W153" s="168">
        <f t="shared" si="166"/>
        <v>15.403038777505088</v>
      </c>
      <c r="X153" s="168">
        <f t="shared" si="166"/>
        <v>19.740291100071325</v>
      </c>
      <c r="Y153" s="168">
        <f t="shared" si="166"/>
        <v>39.106006081966363</v>
      </c>
      <c r="Z153" s="168">
        <f t="shared" si="166"/>
        <v>26.156884154347491</v>
      </c>
      <c r="AA153" s="168">
        <f t="shared" si="166"/>
        <v>65.471426640473211</v>
      </c>
      <c r="AB153" s="168">
        <f t="shared" si="166"/>
        <v>48.402892552594174</v>
      </c>
      <c r="AC153" s="168">
        <f t="shared" si="166"/>
        <v>78.087516508852076</v>
      </c>
      <c r="AD153" s="168">
        <f t="shared" si="166"/>
        <v>78.084204444512551</v>
      </c>
      <c r="AE153" s="168">
        <f t="shared" si="166"/>
        <v>41.990310603229773</v>
      </c>
      <c r="AF153" s="168">
        <f t="shared" si="166"/>
        <v>74.857350901455078</v>
      </c>
      <c r="AG153" s="168">
        <f t="shared" si="166"/>
        <v>42.795562545278486</v>
      </c>
      <c r="AH153" s="168">
        <f t="shared" si="166"/>
        <v>11.716934489759167</v>
      </c>
      <c r="AI153" s="168">
        <f t="shared" si="166"/>
        <v>68.85285261863595</v>
      </c>
      <c r="AJ153" s="168">
        <f t="shared" si="166"/>
        <v>30.290167409050856</v>
      </c>
      <c r="AK153" s="168">
        <f t="shared" si="166"/>
        <v>72.870386414857208</v>
      </c>
      <c r="AL153" s="168">
        <f t="shared" si="166"/>
        <v>48.433888644725748</v>
      </c>
      <c r="AM153" s="168">
        <f t="shared" si="166"/>
        <v>74.505224959116745</v>
      </c>
      <c r="AN153" s="168">
        <f t="shared" si="166"/>
        <v>30.802496926471122</v>
      </c>
      <c r="AO153" s="168">
        <f t="shared" si="166"/>
        <v>12.531225549345496</v>
      </c>
      <c r="AP153" s="168">
        <f t="shared" si="166"/>
        <v>53.931175347368274</v>
      </c>
      <c r="AQ153" s="168">
        <f t="shared" si="166"/>
        <v>17.351425530301118</v>
      </c>
      <c r="AR153" s="168">
        <f t="shared" si="166"/>
        <v>67.092777826194592</v>
      </c>
      <c r="AS153" s="168">
        <f t="shared" si="166"/>
        <v>7.4916629309075304</v>
      </c>
      <c r="AT153" s="168">
        <f t="shared" si="166"/>
        <v>16.070741003958666</v>
      </c>
      <c r="AU153" s="168">
        <f t="shared" si="166"/>
        <v>69.738438636587162</v>
      </c>
      <c r="AV153" s="168">
        <f t="shared" si="166"/>
        <v>41.320065014721102</v>
      </c>
      <c r="AW153" s="168">
        <f t="shared" si="166"/>
        <v>46.445625092236504</v>
      </c>
      <c r="AX153" s="168">
        <f t="shared" si="166"/>
        <v>4.9651977759799291</v>
      </c>
      <c r="AY153" s="168">
        <f t="shared" si="166"/>
        <v>27.400307179177187</v>
      </c>
      <c r="AZ153" s="168">
        <f t="shared" si="166"/>
        <v>36.39682132528516</v>
      </c>
      <c r="BA153" s="168">
        <f t="shared" si="166"/>
        <v>37.872767453094816</v>
      </c>
      <c r="BB153" s="168">
        <f t="shared" si="166"/>
        <v>55.757821552318497</v>
      </c>
      <c r="BC153" s="168">
        <f t="shared" si="166"/>
        <v>15.455026327467834</v>
      </c>
      <c r="BD153" s="168">
        <f t="shared" si="166"/>
        <v>21.228876841154154</v>
      </c>
      <c r="BE153" s="168">
        <f t="shared" si="166"/>
        <v>23.988594745854474</v>
      </c>
      <c r="BF153" s="168">
        <f t="shared" si="166"/>
        <v>11.140911524812832</v>
      </c>
      <c r="BG153" s="168">
        <f t="shared" si="166"/>
        <v>18.045967866838041</v>
      </c>
      <c r="BH153" s="168">
        <f t="shared" si="166"/>
        <v>70.467304987920414</v>
      </c>
      <c r="BI153" s="168">
        <f t="shared" si="166"/>
        <v>62.015145524650265</v>
      </c>
      <c r="BJ153" s="168">
        <f t="shared" si="166"/>
        <v>42.525792189137356</v>
      </c>
      <c r="BK153" s="168">
        <f t="shared" si="166"/>
        <v>25.569850643562212</v>
      </c>
      <c r="BL153" s="168">
        <f t="shared" si="166"/>
        <v>21.866031431271587</v>
      </c>
      <c r="BM153" s="168">
        <f t="shared" si="166"/>
        <v>67.854683325021895</v>
      </c>
      <c r="BN153" s="168">
        <f t="shared" si="166"/>
        <v>69.107796642834316</v>
      </c>
      <c r="BO153" s="168">
        <f t="shared" si="166"/>
        <v>47.173428359865881</v>
      </c>
      <c r="BP153" s="168">
        <f t="shared" si="166"/>
        <v>32.701327700726139</v>
      </c>
      <c r="BQ153" s="168">
        <f t="shared" si="166"/>
        <v>7.0267818023330957</v>
      </c>
      <c r="BR153" s="168">
        <f t="shared" si="166"/>
        <v>24.055195149792635</v>
      </c>
      <c r="BS153" s="168">
        <f t="shared" ref="BS153:DA153" si="167">($F$49*(BS137/BS150)+1-$F$49)*BS147</f>
        <v>10.736172378646289</v>
      </c>
      <c r="BT153" s="168">
        <f t="shared" si="167"/>
        <v>11.894771128545159</v>
      </c>
      <c r="BU153" s="168">
        <f t="shared" si="167"/>
        <v>13.914718753017482</v>
      </c>
      <c r="BV153" s="168">
        <f t="shared" si="167"/>
        <v>27.990240080124224</v>
      </c>
      <c r="BW153" s="168">
        <f t="shared" si="167"/>
        <v>17.32939106905371</v>
      </c>
      <c r="BX153" s="168">
        <f t="shared" si="167"/>
        <v>38.32595136237147</v>
      </c>
      <c r="BY153" s="168">
        <f t="shared" si="167"/>
        <v>6.4997437378496858</v>
      </c>
      <c r="BZ153" s="168">
        <f t="shared" si="167"/>
        <v>46.164467702626936</v>
      </c>
      <c r="CA153" s="168">
        <f t="shared" si="167"/>
        <v>20.674239104625276</v>
      </c>
      <c r="CB153" s="168">
        <f t="shared" si="167"/>
        <v>4.7362580154916527</v>
      </c>
      <c r="CC153" s="168">
        <f t="shared" si="167"/>
        <v>5.8097643110135682</v>
      </c>
      <c r="CD153" s="168">
        <f t="shared" si="167"/>
        <v>11.159778922766193</v>
      </c>
      <c r="CE153" s="168">
        <f t="shared" si="167"/>
        <v>10.788269818155376</v>
      </c>
      <c r="CF153" s="168">
        <f t="shared" si="167"/>
        <v>9.7964596150185645</v>
      </c>
      <c r="CG153" s="168">
        <f t="shared" si="167"/>
        <v>38.978287482967374</v>
      </c>
      <c r="CH153" s="168">
        <f t="shared" si="167"/>
        <v>27.956057839521034</v>
      </c>
      <c r="CI153" s="168">
        <f t="shared" si="167"/>
        <v>8.9421877912033771</v>
      </c>
      <c r="CJ153" s="168">
        <f t="shared" si="167"/>
        <v>65.188747185652886</v>
      </c>
      <c r="CK153" s="168">
        <f t="shared" si="167"/>
        <v>38.910643734836128</v>
      </c>
      <c r="CL153" s="168">
        <f t="shared" si="167"/>
        <v>4.0254509261160116</v>
      </c>
      <c r="CM153" s="168">
        <f t="shared" si="167"/>
        <v>9.324887955290178</v>
      </c>
      <c r="CN153" s="168">
        <f t="shared" si="167"/>
        <v>25.753827826564688</v>
      </c>
      <c r="CO153" s="168">
        <f t="shared" si="167"/>
        <v>6.4627970773978225</v>
      </c>
      <c r="CP153" s="168">
        <f t="shared" si="167"/>
        <v>21.44338957721774</v>
      </c>
      <c r="CQ153" s="168">
        <f t="shared" si="167"/>
        <v>6.8001090338599273</v>
      </c>
      <c r="CR153" s="168">
        <f t="shared" si="167"/>
        <v>8.6758892263626031</v>
      </c>
      <c r="CS153" s="168">
        <f t="shared" si="167"/>
        <v>51.768872460000253</v>
      </c>
      <c r="CT153" s="168">
        <f t="shared" si="167"/>
        <v>17.35598547104561</v>
      </c>
      <c r="CU153" s="168">
        <f t="shared" si="167"/>
        <v>29.682822173415882</v>
      </c>
      <c r="CV153" s="168">
        <f t="shared" si="167"/>
        <v>6.6354859319019397</v>
      </c>
      <c r="CW153" s="168">
        <f t="shared" si="167"/>
        <v>31.001949335345085</v>
      </c>
      <c r="CX153" s="168">
        <f t="shared" si="167"/>
        <v>43.706636858377472</v>
      </c>
      <c r="CY153" s="168">
        <f t="shared" si="167"/>
        <v>16.00274217546578</v>
      </c>
      <c r="CZ153" s="168">
        <f t="shared" si="167"/>
        <v>22.812594683154099</v>
      </c>
      <c r="DA153" s="168">
        <f t="shared" si="167"/>
        <v>11.09639477075074</v>
      </c>
    </row>
    <row r="154" spans="5:105">
      <c r="E154" s="172" t="s">
        <v>298</v>
      </c>
      <c r="F154" s="168">
        <f>($F$49*(F137/F151)+1-$F$49)*F148</f>
        <v>100</v>
      </c>
      <c r="G154" s="168">
        <f t="shared" ref="G154:BR154" si="168">($F$49*(G137/G151)+1-$F$49)*G148</f>
        <v>62.904897600531349</v>
      </c>
      <c r="H154" s="168">
        <f t="shared" si="168"/>
        <v>24.476674561052583</v>
      </c>
      <c r="I154" s="168">
        <f t="shared" si="168"/>
        <v>5.0275657516827668</v>
      </c>
      <c r="J154" s="168">
        <f t="shared" si="168"/>
        <v>31.968511467560717</v>
      </c>
      <c r="K154" s="168">
        <f t="shared" si="168"/>
        <v>11.146461710983413</v>
      </c>
      <c r="L154" s="168">
        <f t="shared" si="168"/>
        <v>13.360954111708624</v>
      </c>
      <c r="M154" s="168">
        <f t="shared" si="168"/>
        <v>5.8229938679313955</v>
      </c>
      <c r="N154" s="168">
        <f t="shared" si="168"/>
        <v>5.905944779945691</v>
      </c>
      <c r="O154" s="168">
        <f t="shared" si="168"/>
        <v>4.6769086967822977</v>
      </c>
      <c r="P154" s="168">
        <f t="shared" si="168"/>
        <v>19.90420457474983</v>
      </c>
      <c r="Q154" s="168">
        <f t="shared" si="168"/>
        <v>8.5601368592833715</v>
      </c>
      <c r="R154" s="168">
        <f t="shared" si="168"/>
        <v>10.228255239226414</v>
      </c>
      <c r="S154" s="168">
        <f t="shared" si="168"/>
        <v>4.9861635683314898</v>
      </c>
      <c r="T154" s="168">
        <f t="shared" si="168"/>
        <v>35.803481198825615</v>
      </c>
      <c r="U154" s="168">
        <f t="shared" si="168"/>
        <v>24.772223618193745</v>
      </c>
      <c r="V154" s="168">
        <f t="shared" si="168"/>
        <v>5.4415732905795178</v>
      </c>
      <c r="W154" s="168">
        <f t="shared" si="168"/>
        <v>6.1871719253541126</v>
      </c>
      <c r="X154" s="168">
        <f t="shared" si="168"/>
        <v>11.106791940078267</v>
      </c>
      <c r="Y154" s="168">
        <f t="shared" si="168"/>
        <v>13.736604366024222</v>
      </c>
      <c r="Z154" s="168">
        <f t="shared" si="168"/>
        <v>5.0318921273718482</v>
      </c>
      <c r="AA154" s="168">
        <f t="shared" si="168"/>
        <v>19.761823744702127</v>
      </c>
      <c r="AB154" s="168">
        <f t="shared" si="168"/>
        <v>11.652181145479808</v>
      </c>
      <c r="AC154" s="168">
        <f t="shared" si="168"/>
        <v>53.667336274797748</v>
      </c>
      <c r="AD154" s="168">
        <f t="shared" si="168"/>
        <v>31.107312094003095</v>
      </c>
      <c r="AE154" s="168">
        <f t="shared" si="168"/>
        <v>7.3560676185404175</v>
      </c>
      <c r="AF154" s="168">
        <f t="shared" si="168"/>
        <v>21.439965590438078</v>
      </c>
      <c r="AG154" s="168">
        <f t="shared" si="168"/>
        <v>23.359513459659674</v>
      </c>
      <c r="AH154" s="168">
        <f t="shared" si="168"/>
        <v>5.044556575793405</v>
      </c>
      <c r="AI154" s="168">
        <f t="shared" si="168"/>
        <v>16.168042503107571</v>
      </c>
      <c r="AJ154" s="168">
        <f t="shared" si="168"/>
        <v>11.122605484095393</v>
      </c>
      <c r="AK154" s="168">
        <f t="shared" si="168"/>
        <v>18.357532921958995</v>
      </c>
      <c r="AL154" s="168">
        <f t="shared" si="168"/>
        <v>8.4239647366033843</v>
      </c>
      <c r="AM154" s="168">
        <f t="shared" si="168"/>
        <v>32.882366158440135</v>
      </c>
      <c r="AN154" s="168">
        <f t="shared" si="168"/>
        <v>6.173640711209555</v>
      </c>
      <c r="AO154" s="168">
        <f t="shared" si="168"/>
        <v>5.3831273890910465</v>
      </c>
      <c r="AP154" s="168">
        <f t="shared" si="168"/>
        <v>40.424786758731017</v>
      </c>
      <c r="AQ154" s="168">
        <f t="shared" si="168"/>
        <v>5.9839233030017818</v>
      </c>
      <c r="AR154" s="168">
        <f t="shared" si="168"/>
        <v>31.587649678963164</v>
      </c>
      <c r="AS154" s="168">
        <f t="shared" si="168"/>
        <v>5.3450575054395184</v>
      </c>
      <c r="AT154" s="168">
        <f t="shared" si="168"/>
        <v>9.0267792277754335</v>
      </c>
      <c r="AU154" s="168">
        <f t="shared" si="168"/>
        <v>52.467047316391998</v>
      </c>
      <c r="AV154" s="168">
        <f t="shared" si="168"/>
        <v>8.9773844448203661</v>
      </c>
      <c r="AW154" s="168">
        <f t="shared" si="168"/>
        <v>8.9612232358103157</v>
      </c>
      <c r="AX154" s="168">
        <f t="shared" si="168"/>
        <v>4.6806431683525354</v>
      </c>
      <c r="AY154" s="168">
        <f t="shared" si="168"/>
        <v>8.6663595737300465</v>
      </c>
      <c r="AZ154" s="168">
        <f t="shared" si="168"/>
        <v>16.412661681614388</v>
      </c>
      <c r="BA154" s="168">
        <f t="shared" si="168"/>
        <v>22.01635410632651</v>
      </c>
      <c r="BB154" s="168">
        <f t="shared" si="168"/>
        <v>24.835998176620532</v>
      </c>
      <c r="BC154" s="168">
        <f t="shared" si="168"/>
        <v>6.3653058644506029</v>
      </c>
      <c r="BD154" s="168">
        <f t="shared" si="168"/>
        <v>14.168229236320796</v>
      </c>
      <c r="BE154" s="168">
        <f t="shared" si="168"/>
        <v>17.868155682756324</v>
      </c>
      <c r="BF154" s="168">
        <f t="shared" si="168"/>
        <v>6.8442329204992589</v>
      </c>
      <c r="BG154" s="168">
        <f t="shared" si="168"/>
        <v>11.51385715589303</v>
      </c>
      <c r="BH154" s="168">
        <f t="shared" si="168"/>
        <v>63.512644359350055</v>
      </c>
      <c r="BI154" s="168">
        <f t="shared" si="168"/>
        <v>57.497732841052951</v>
      </c>
      <c r="BJ154" s="168">
        <f t="shared" si="168"/>
        <v>37.504928407520076</v>
      </c>
      <c r="BK154" s="168">
        <f t="shared" si="168"/>
        <v>21.742488582595527</v>
      </c>
      <c r="BL154" s="168">
        <f t="shared" si="168"/>
        <v>20.374164288857415</v>
      </c>
      <c r="BM154" s="168">
        <f t="shared" si="168"/>
        <v>68.354700111372281</v>
      </c>
      <c r="BN154" s="168">
        <f t="shared" si="168"/>
        <v>69.834669261157529</v>
      </c>
      <c r="BO154" s="168">
        <f t="shared" si="168"/>
        <v>50.786647116115454</v>
      </c>
      <c r="BP154" s="168">
        <f t="shared" si="168"/>
        <v>32.237316004959659</v>
      </c>
      <c r="BQ154" s="168">
        <f t="shared" si="168"/>
        <v>7.0642130210287233</v>
      </c>
      <c r="BR154" s="168">
        <f t="shared" si="168"/>
        <v>33.62810148197363</v>
      </c>
      <c r="BS154" s="168">
        <f t="shared" ref="BS154:DA154" si="169">($F$49*(BS137/BS151)+1-$F$49)*BS148</f>
        <v>12.900416089624443</v>
      </c>
      <c r="BT154" s="168">
        <f t="shared" si="169"/>
        <v>20.016059670348699</v>
      </c>
      <c r="BU154" s="168">
        <f t="shared" si="169"/>
        <v>24.379001189817739</v>
      </c>
      <c r="BV154" s="168">
        <f t="shared" si="169"/>
        <v>40.731608086954608</v>
      </c>
      <c r="BW154" s="168">
        <f t="shared" si="169"/>
        <v>23.050166002177992</v>
      </c>
      <c r="BX154" s="168">
        <f t="shared" si="169"/>
        <v>64.094593815715299</v>
      </c>
      <c r="BY154" s="168">
        <f t="shared" si="169"/>
        <v>13.681298395164056</v>
      </c>
      <c r="BZ154" s="168">
        <f t="shared" si="169"/>
        <v>52.701089028471451</v>
      </c>
      <c r="CA154" s="168">
        <f t="shared" si="169"/>
        <v>48.755833345509913</v>
      </c>
      <c r="CB154" s="168">
        <f t="shared" si="169"/>
        <v>4.9760695183800046</v>
      </c>
      <c r="CC154" s="168">
        <f t="shared" si="169"/>
        <v>13.359221718283113</v>
      </c>
      <c r="CD154" s="168">
        <f t="shared" si="169"/>
        <v>42.389215133187029</v>
      </c>
      <c r="CE154" s="168">
        <f t="shared" si="169"/>
        <v>25.671596691556346</v>
      </c>
      <c r="CF154" s="168">
        <f t="shared" si="169"/>
        <v>36.195063604993024</v>
      </c>
      <c r="CG154" s="168">
        <f t="shared" si="169"/>
        <v>63.404727841482419</v>
      </c>
      <c r="CH154" s="168">
        <f t="shared" si="169"/>
        <v>53.97611176790295</v>
      </c>
      <c r="CI154" s="168">
        <f t="shared" si="169"/>
        <v>32.194166330863581</v>
      </c>
      <c r="CJ154" s="168">
        <f t="shared" si="169"/>
        <v>77.242618707746487</v>
      </c>
      <c r="CK154" s="168">
        <f t="shared" si="169"/>
        <v>58.386545351018889</v>
      </c>
      <c r="CL154" s="168">
        <f t="shared" si="169"/>
        <v>5.7850569756747934</v>
      </c>
      <c r="CM154" s="168">
        <f t="shared" si="169"/>
        <v>14.826397024882365</v>
      </c>
      <c r="CN154" s="168">
        <f t="shared" si="169"/>
        <v>55.158097660953082</v>
      </c>
      <c r="CO154" s="168">
        <f t="shared" si="169"/>
        <v>20.899688175767022</v>
      </c>
      <c r="CP154" s="168">
        <f t="shared" si="169"/>
        <v>45.659569815058447</v>
      </c>
      <c r="CQ154" s="168">
        <f t="shared" si="169"/>
        <v>16.335040294282386</v>
      </c>
      <c r="CR154" s="168">
        <f t="shared" si="169"/>
        <v>23.082052850118359</v>
      </c>
      <c r="CS154" s="168">
        <f t="shared" si="169"/>
        <v>52.061142690034757</v>
      </c>
      <c r="CT154" s="168">
        <f t="shared" si="169"/>
        <v>26.384256003618393</v>
      </c>
      <c r="CU154" s="168">
        <f t="shared" si="169"/>
        <v>38.202440224967248</v>
      </c>
      <c r="CV154" s="168">
        <f t="shared" si="169"/>
        <v>13.404679885544764</v>
      </c>
      <c r="CW154" s="168">
        <f t="shared" si="169"/>
        <v>41.915624887860375</v>
      </c>
      <c r="CX154" s="168">
        <f t="shared" si="169"/>
        <v>55.420433407499544</v>
      </c>
      <c r="CY154" s="168">
        <f t="shared" si="169"/>
        <v>21.936142061814401</v>
      </c>
      <c r="CZ154" s="168">
        <f t="shared" si="169"/>
        <v>32.914231814450162</v>
      </c>
      <c r="DA154" s="168">
        <f t="shared" si="169"/>
        <v>19.889770834161542</v>
      </c>
    </row>
    <row r="155" spans="5:105">
      <c r="E155" s="172" t="s">
        <v>299</v>
      </c>
      <c r="F155" s="168">
        <f>($F$49*(F137/F149)+1-$F$49)*F149</f>
        <v>100.00000000000001</v>
      </c>
      <c r="G155" s="168">
        <f t="shared" ref="G155:BR155" si="170">($F$49*(G137/G149)+1-$F$49)*G149</f>
        <v>100.00000000000001</v>
      </c>
      <c r="H155" s="168">
        <f t="shared" si="170"/>
        <v>100.00000000000001</v>
      </c>
      <c r="I155" s="168">
        <f t="shared" si="170"/>
        <v>100.00000000000001</v>
      </c>
      <c r="J155" s="168">
        <f t="shared" si="170"/>
        <v>100.00000000000001</v>
      </c>
      <c r="K155" s="168">
        <f t="shared" si="170"/>
        <v>100.00000000000001</v>
      </c>
      <c r="L155" s="168">
        <f t="shared" si="170"/>
        <v>100.00000000000001</v>
      </c>
      <c r="M155" s="168">
        <f t="shared" si="170"/>
        <v>100.00000000000001</v>
      </c>
      <c r="N155" s="168">
        <f t="shared" si="170"/>
        <v>100.00000000000001</v>
      </c>
      <c r="O155" s="168">
        <f t="shared" si="170"/>
        <v>100.00000000000001</v>
      </c>
      <c r="P155" s="168">
        <f t="shared" si="170"/>
        <v>100.00000000000001</v>
      </c>
      <c r="Q155" s="168">
        <f t="shared" si="170"/>
        <v>100.00000000000001</v>
      </c>
      <c r="R155" s="168">
        <f t="shared" si="170"/>
        <v>100.00000000000001</v>
      </c>
      <c r="S155" s="168">
        <f t="shared" si="170"/>
        <v>100.00000000000001</v>
      </c>
      <c r="T155" s="168">
        <f t="shared" si="170"/>
        <v>100.00000000000001</v>
      </c>
      <c r="U155" s="168">
        <f t="shared" si="170"/>
        <v>100.00000000000001</v>
      </c>
      <c r="V155" s="168">
        <f t="shared" si="170"/>
        <v>100.00000000000001</v>
      </c>
      <c r="W155" s="168">
        <f t="shared" si="170"/>
        <v>100.00000000000001</v>
      </c>
      <c r="X155" s="168">
        <f t="shared" si="170"/>
        <v>100.00000000000001</v>
      </c>
      <c r="Y155" s="168">
        <f t="shared" si="170"/>
        <v>100.00000000000001</v>
      </c>
      <c r="Z155" s="168">
        <f t="shared" si="170"/>
        <v>100.00000000000001</v>
      </c>
      <c r="AA155" s="168">
        <f t="shared" si="170"/>
        <v>100.00000000000001</v>
      </c>
      <c r="AB155" s="168">
        <f t="shared" si="170"/>
        <v>100.00000000000001</v>
      </c>
      <c r="AC155" s="168">
        <f t="shared" si="170"/>
        <v>100.00000000000001</v>
      </c>
      <c r="AD155" s="168">
        <f t="shared" si="170"/>
        <v>100.00000000000001</v>
      </c>
      <c r="AE155" s="168">
        <f t="shared" si="170"/>
        <v>100.00000000000001</v>
      </c>
      <c r="AF155" s="168">
        <f t="shared" si="170"/>
        <v>100.00000000000001</v>
      </c>
      <c r="AG155" s="168">
        <f t="shared" si="170"/>
        <v>100.00000000000001</v>
      </c>
      <c r="AH155" s="168">
        <f t="shared" si="170"/>
        <v>100.00000000000001</v>
      </c>
      <c r="AI155" s="168">
        <f t="shared" si="170"/>
        <v>100.00000000000001</v>
      </c>
      <c r="AJ155" s="168">
        <f t="shared" si="170"/>
        <v>100.00000000000001</v>
      </c>
      <c r="AK155" s="168">
        <f t="shared" si="170"/>
        <v>100.00000000000001</v>
      </c>
      <c r="AL155" s="168">
        <f t="shared" si="170"/>
        <v>100.00000000000001</v>
      </c>
      <c r="AM155" s="168">
        <f t="shared" si="170"/>
        <v>100.00000000000001</v>
      </c>
      <c r="AN155" s="168">
        <f t="shared" si="170"/>
        <v>100.00000000000001</v>
      </c>
      <c r="AO155" s="168">
        <f t="shared" si="170"/>
        <v>100.00000000000001</v>
      </c>
      <c r="AP155" s="168">
        <f t="shared" si="170"/>
        <v>100.00000000000001</v>
      </c>
      <c r="AQ155" s="168">
        <f t="shared" si="170"/>
        <v>100.00000000000001</v>
      </c>
      <c r="AR155" s="168">
        <f t="shared" si="170"/>
        <v>100.00000000000001</v>
      </c>
      <c r="AS155" s="168">
        <f t="shared" si="170"/>
        <v>100.00000000000001</v>
      </c>
      <c r="AT155" s="168">
        <f t="shared" si="170"/>
        <v>100.00000000000001</v>
      </c>
      <c r="AU155" s="168">
        <f t="shared" si="170"/>
        <v>100.00000000000001</v>
      </c>
      <c r="AV155" s="168">
        <f t="shared" si="170"/>
        <v>100.00000000000001</v>
      </c>
      <c r="AW155" s="168">
        <f t="shared" si="170"/>
        <v>100.00000000000001</v>
      </c>
      <c r="AX155" s="168">
        <f t="shared" si="170"/>
        <v>100.00000000000001</v>
      </c>
      <c r="AY155" s="168">
        <f t="shared" si="170"/>
        <v>100.00000000000001</v>
      </c>
      <c r="AZ155" s="168">
        <f t="shared" si="170"/>
        <v>100.00000000000001</v>
      </c>
      <c r="BA155" s="168">
        <f t="shared" si="170"/>
        <v>100.00000000000001</v>
      </c>
      <c r="BB155" s="168">
        <f t="shared" si="170"/>
        <v>100.00000000000001</v>
      </c>
      <c r="BC155" s="168">
        <f t="shared" si="170"/>
        <v>100.00000000000001</v>
      </c>
      <c r="BD155" s="168">
        <f t="shared" si="170"/>
        <v>100.00000000000001</v>
      </c>
      <c r="BE155" s="168">
        <f t="shared" si="170"/>
        <v>100.00000000000001</v>
      </c>
      <c r="BF155" s="168">
        <f t="shared" si="170"/>
        <v>100.00000000000001</v>
      </c>
      <c r="BG155" s="168">
        <f t="shared" si="170"/>
        <v>100.00000000000001</v>
      </c>
      <c r="BH155" s="168">
        <f t="shared" si="170"/>
        <v>100.00000000000001</v>
      </c>
      <c r="BI155" s="168">
        <f t="shared" si="170"/>
        <v>100.00000000000001</v>
      </c>
      <c r="BJ155" s="168">
        <f t="shared" si="170"/>
        <v>100.00000000000001</v>
      </c>
      <c r="BK155" s="168">
        <f t="shared" si="170"/>
        <v>100.00000000000001</v>
      </c>
      <c r="BL155" s="168">
        <f t="shared" si="170"/>
        <v>100.00000000000001</v>
      </c>
      <c r="BM155" s="168">
        <f t="shared" si="170"/>
        <v>100.00000000000001</v>
      </c>
      <c r="BN155" s="168">
        <f t="shared" si="170"/>
        <v>100.00000000000001</v>
      </c>
      <c r="BO155" s="168">
        <f t="shared" si="170"/>
        <v>100.00000000000001</v>
      </c>
      <c r="BP155" s="168">
        <f t="shared" si="170"/>
        <v>100.00000000000001</v>
      </c>
      <c r="BQ155" s="168">
        <f t="shared" si="170"/>
        <v>100.00000000000001</v>
      </c>
      <c r="BR155" s="168">
        <f t="shared" si="170"/>
        <v>100.00000000000001</v>
      </c>
      <c r="BS155" s="168">
        <f t="shared" ref="BS155:DA155" si="171">($F$49*(BS137/BS149)+1-$F$49)*BS149</f>
        <v>100.00000000000001</v>
      </c>
      <c r="BT155" s="168">
        <f t="shared" si="171"/>
        <v>100.00000000000001</v>
      </c>
      <c r="BU155" s="168">
        <f t="shared" si="171"/>
        <v>100.00000000000001</v>
      </c>
      <c r="BV155" s="168">
        <f t="shared" si="171"/>
        <v>100.00000000000001</v>
      </c>
      <c r="BW155" s="168">
        <f t="shared" si="171"/>
        <v>100.00000000000001</v>
      </c>
      <c r="BX155" s="168">
        <f t="shared" si="171"/>
        <v>100.00000000000001</v>
      </c>
      <c r="BY155" s="168">
        <f t="shared" si="171"/>
        <v>100.00000000000001</v>
      </c>
      <c r="BZ155" s="168">
        <f t="shared" si="171"/>
        <v>100.00000000000001</v>
      </c>
      <c r="CA155" s="168">
        <f t="shared" si="171"/>
        <v>100.00000000000001</v>
      </c>
      <c r="CB155" s="168">
        <f t="shared" si="171"/>
        <v>100.00000000000001</v>
      </c>
      <c r="CC155" s="168">
        <f t="shared" si="171"/>
        <v>100.00000000000001</v>
      </c>
      <c r="CD155" s="168">
        <f t="shared" si="171"/>
        <v>100.00000000000001</v>
      </c>
      <c r="CE155" s="168">
        <f t="shared" si="171"/>
        <v>100.00000000000001</v>
      </c>
      <c r="CF155" s="168">
        <f t="shared" si="171"/>
        <v>100.00000000000001</v>
      </c>
      <c r="CG155" s="168">
        <f t="shared" si="171"/>
        <v>100.00000000000001</v>
      </c>
      <c r="CH155" s="168">
        <f t="shared" si="171"/>
        <v>100.00000000000001</v>
      </c>
      <c r="CI155" s="168">
        <f t="shared" si="171"/>
        <v>100.00000000000001</v>
      </c>
      <c r="CJ155" s="168">
        <f t="shared" si="171"/>
        <v>100.00000000000001</v>
      </c>
      <c r="CK155" s="168">
        <f t="shared" si="171"/>
        <v>100.00000000000001</v>
      </c>
      <c r="CL155" s="168">
        <f t="shared" si="171"/>
        <v>100.00000000000001</v>
      </c>
      <c r="CM155" s="168">
        <f t="shared" si="171"/>
        <v>100.00000000000001</v>
      </c>
      <c r="CN155" s="168">
        <f t="shared" si="171"/>
        <v>100.00000000000001</v>
      </c>
      <c r="CO155" s="168">
        <f t="shared" si="171"/>
        <v>100.00000000000001</v>
      </c>
      <c r="CP155" s="168">
        <f t="shared" si="171"/>
        <v>100.00000000000001</v>
      </c>
      <c r="CQ155" s="168">
        <f t="shared" si="171"/>
        <v>100.00000000000001</v>
      </c>
      <c r="CR155" s="168">
        <f t="shared" si="171"/>
        <v>100.00000000000001</v>
      </c>
      <c r="CS155" s="168">
        <f t="shared" si="171"/>
        <v>100.00000000000001</v>
      </c>
      <c r="CT155" s="168">
        <f t="shared" si="171"/>
        <v>100.00000000000001</v>
      </c>
      <c r="CU155" s="168">
        <f t="shared" si="171"/>
        <v>100.00000000000001</v>
      </c>
      <c r="CV155" s="168">
        <f t="shared" si="171"/>
        <v>100.00000000000001</v>
      </c>
      <c r="CW155" s="168">
        <f t="shared" si="171"/>
        <v>100.00000000000001</v>
      </c>
      <c r="CX155" s="168">
        <f t="shared" si="171"/>
        <v>100.00000000000001</v>
      </c>
      <c r="CY155" s="168">
        <f t="shared" si="171"/>
        <v>100.00000000000001</v>
      </c>
      <c r="CZ155" s="168">
        <f t="shared" si="171"/>
        <v>100.00000000000001</v>
      </c>
      <c r="DA155" s="168">
        <f t="shared" si="171"/>
        <v>100.00000000000001</v>
      </c>
    </row>
    <row r="156" spans="5:105">
      <c r="E156" s="172" t="s">
        <v>300</v>
      </c>
      <c r="F156" s="168">
        <f>($F$49*(F137/F150)+1-$F$49)*F150</f>
        <v>100.00000000000001</v>
      </c>
      <c r="G156" s="168">
        <f t="shared" ref="G156:BR156" si="172">($F$49*(G137/G150)+1-$F$49)*G150</f>
        <v>100.00000000000001</v>
      </c>
      <c r="H156" s="168">
        <f t="shared" si="172"/>
        <v>100.00000000000001</v>
      </c>
      <c r="I156" s="168">
        <f t="shared" si="172"/>
        <v>100.00000000000001</v>
      </c>
      <c r="J156" s="168">
        <f t="shared" si="172"/>
        <v>100.00000000000001</v>
      </c>
      <c r="K156" s="168">
        <f t="shared" si="172"/>
        <v>100.00000000000001</v>
      </c>
      <c r="L156" s="168">
        <f t="shared" si="172"/>
        <v>100.00000000000001</v>
      </c>
      <c r="M156" s="168">
        <f t="shared" si="172"/>
        <v>100.00000000000001</v>
      </c>
      <c r="N156" s="168">
        <f t="shared" si="172"/>
        <v>100.00000000000001</v>
      </c>
      <c r="O156" s="168">
        <f t="shared" si="172"/>
        <v>100.00000000000001</v>
      </c>
      <c r="P156" s="168">
        <f t="shared" si="172"/>
        <v>100.00000000000001</v>
      </c>
      <c r="Q156" s="168">
        <f t="shared" si="172"/>
        <v>100.00000000000001</v>
      </c>
      <c r="R156" s="168">
        <f t="shared" si="172"/>
        <v>100.00000000000001</v>
      </c>
      <c r="S156" s="168">
        <f t="shared" si="172"/>
        <v>100.00000000000001</v>
      </c>
      <c r="T156" s="168">
        <f t="shared" si="172"/>
        <v>100.00000000000001</v>
      </c>
      <c r="U156" s="168">
        <f t="shared" si="172"/>
        <v>100.00000000000001</v>
      </c>
      <c r="V156" s="168">
        <f t="shared" si="172"/>
        <v>100.00000000000001</v>
      </c>
      <c r="W156" s="168">
        <f t="shared" si="172"/>
        <v>100.00000000000001</v>
      </c>
      <c r="X156" s="168">
        <f t="shared" si="172"/>
        <v>100.00000000000001</v>
      </c>
      <c r="Y156" s="168">
        <f t="shared" si="172"/>
        <v>100.00000000000001</v>
      </c>
      <c r="Z156" s="168">
        <f t="shared" si="172"/>
        <v>100.00000000000001</v>
      </c>
      <c r="AA156" s="168">
        <f t="shared" si="172"/>
        <v>100.00000000000001</v>
      </c>
      <c r="AB156" s="168">
        <f t="shared" si="172"/>
        <v>100.00000000000001</v>
      </c>
      <c r="AC156" s="168">
        <f t="shared" si="172"/>
        <v>100.00000000000001</v>
      </c>
      <c r="AD156" s="168">
        <f t="shared" si="172"/>
        <v>100.00000000000001</v>
      </c>
      <c r="AE156" s="168">
        <f t="shared" si="172"/>
        <v>100.00000000000001</v>
      </c>
      <c r="AF156" s="168">
        <f t="shared" si="172"/>
        <v>100.00000000000001</v>
      </c>
      <c r="AG156" s="168">
        <f t="shared" si="172"/>
        <v>100.00000000000001</v>
      </c>
      <c r="AH156" s="168">
        <f t="shared" si="172"/>
        <v>100.00000000000001</v>
      </c>
      <c r="AI156" s="168">
        <f t="shared" si="172"/>
        <v>100.00000000000001</v>
      </c>
      <c r="AJ156" s="168">
        <f t="shared" si="172"/>
        <v>100.00000000000001</v>
      </c>
      <c r="AK156" s="168">
        <f t="shared" si="172"/>
        <v>100.00000000000001</v>
      </c>
      <c r="AL156" s="168">
        <f t="shared" si="172"/>
        <v>100.00000000000001</v>
      </c>
      <c r="AM156" s="168">
        <f t="shared" si="172"/>
        <v>100.00000000000001</v>
      </c>
      <c r="AN156" s="168">
        <f t="shared" si="172"/>
        <v>100.00000000000001</v>
      </c>
      <c r="AO156" s="168">
        <f t="shared" si="172"/>
        <v>100.00000000000001</v>
      </c>
      <c r="AP156" s="168">
        <f t="shared" si="172"/>
        <v>100.00000000000001</v>
      </c>
      <c r="AQ156" s="168">
        <f t="shared" si="172"/>
        <v>100.00000000000001</v>
      </c>
      <c r="AR156" s="168">
        <f t="shared" si="172"/>
        <v>100.00000000000001</v>
      </c>
      <c r="AS156" s="168">
        <f t="shared" si="172"/>
        <v>100.00000000000001</v>
      </c>
      <c r="AT156" s="168">
        <f t="shared" si="172"/>
        <v>100.00000000000001</v>
      </c>
      <c r="AU156" s="168">
        <f t="shared" si="172"/>
        <v>100.00000000000001</v>
      </c>
      <c r="AV156" s="168">
        <f t="shared" si="172"/>
        <v>100.00000000000001</v>
      </c>
      <c r="AW156" s="168">
        <f t="shared" si="172"/>
        <v>100.00000000000001</v>
      </c>
      <c r="AX156" s="168">
        <f t="shared" si="172"/>
        <v>100.00000000000001</v>
      </c>
      <c r="AY156" s="168">
        <f t="shared" si="172"/>
        <v>100.00000000000001</v>
      </c>
      <c r="AZ156" s="168">
        <f t="shared" si="172"/>
        <v>100.00000000000001</v>
      </c>
      <c r="BA156" s="168">
        <f t="shared" si="172"/>
        <v>100.00000000000001</v>
      </c>
      <c r="BB156" s="168">
        <f t="shared" si="172"/>
        <v>100.00000000000001</v>
      </c>
      <c r="BC156" s="168">
        <f t="shared" si="172"/>
        <v>100.00000000000001</v>
      </c>
      <c r="BD156" s="168">
        <f t="shared" si="172"/>
        <v>100.00000000000001</v>
      </c>
      <c r="BE156" s="168">
        <f t="shared" si="172"/>
        <v>100.00000000000001</v>
      </c>
      <c r="BF156" s="168">
        <f t="shared" si="172"/>
        <v>100.00000000000001</v>
      </c>
      <c r="BG156" s="168">
        <f t="shared" si="172"/>
        <v>100.00000000000001</v>
      </c>
      <c r="BH156" s="168">
        <f t="shared" si="172"/>
        <v>100.00000000000001</v>
      </c>
      <c r="BI156" s="168">
        <f t="shared" si="172"/>
        <v>100.00000000000001</v>
      </c>
      <c r="BJ156" s="168">
        <f t="shared" si="172"/>
        <v>100.00000000000001</v>
      </c>
      <c r="BK156" s="168">
        <f t="shared" si="172"/>
        <v>100.00000000000001</v>
      </c>
      <c r="BL156" s="168">
        <f t="shared" si="172"/>
        <v>100.00000000000001</v>
      </c>
      <c r="BM156" s="168">
        <f t="shared" si="172"/>
        <v>100.00000000000001</v>
      </c>
      <c r="BN156" s="168">
        <f t="shared" si="172"/>
        <v>100.00000000000001</v>
      </c>
      <c r="BO156" s="168">
        <f t="shared" si="172"/>
        <v>100.00000000000001</v>
      </c>
      <c r="BP156" s="168">
        <f t="shared" si="172"/>
        <v>100.00000000000001</v>
      </c>
      <c r="BQ156" s="168">
        <f t="shared" si="172"/>
        <v>100.00000000000001</v>
      </c>
      <c r="BR156" s="168">
        <f t="shared" si="172"/>
        <v>100.00000000000001</v>
      </c>
      <c r="BS156" s="168">
        <f t="shared" ref="BS156:DA156" si="173">($F$49*(BS137/BS150)+1-$F$49)*BS150</f>
        <v>100.00000000000001</v>
      </c>
      <c r="BT156" s="168">
        <f t="shared" si="173"/>
        <v>100.00000000000001</v>
      </c>
      <c r="BU156" s="168">
        <f t="shared" si="173"/>
        <v>100.00000000000001</v>
      </c>
      <c r="BV156" s="168">
        <f t="shared" si="173"/>
        <v>100.00000000000001</v>
      </c>
      <c r="BW156" s="168">
        <f t="shared" si="173"/>
        <v>100.00000000000001</v>
      </c>
      <c r="BX156" s="168">
        <f t="shared" si="173"/>
        <v>100.00000000000001</v>
      </c>
      <c r="BY156" s="168">
        <f t="shared" si="173"/>
        <v>100.00000000000001</v>
      </c>
      <c r="BZ156" s="168">
        <f t="shared" si="173"/>
        <v>100.00000000000001</v>
      </c>
      <c r="CA156" s="168">
        <f t="shared" si="173"/>
        <v>100.00000000000001</v>
      </c>
      <c r="CB156" s="168">
        <f t="shared" si="173"/>
        <v>100.00000000000001</v>
      </c>
      <c r="CC156" s="168">
        <f t="shared" si="173"/>
        <v>100.00000000000001</v>
      </c>
      <c r="CD156" s="168">
        <f t="shared" si="173"/>
        <v>100.00000000000001</v>
      </c>
      <c r="CE156" s="168">
        <f t="shared" si="173"/>
        <v>100.00000000000001</v>
      </c>
      <c r="CF156" s="168">
        <f t="shared" si="173"/>
        <v>100.00000000000001</v>
      </c>
      <c r="CG156" s="168">
        <f t="shared" si="173"/>
        <v>100.00000000000001</v>
      </c>
      <c r="CH156" s="168">
        <f t="shared" si="173"/>
        <v>100.00000000000001</v>
      </c>
      <c r="CI156" s="168">
        <f t="shared" si="173"/>
        <v>100.00000000000001</v>
      </c>
      <c r="CJ156" s="168">
        <f t="shared" si="173"/>
        <v>100.00000000000001</v>
      </c>
      <c r="CK156" s="168">
        <f t="shared" si="173"/>
        <v>100.00000000000001</v>
      </c>
      <c r="CL156" s="168">
        <f t="shared" si="173"/>
        <v>100.00000000000001</v>
      </c>
      <c r="CM156" s="168">
        <f t="shared" si="173"/>
        <v>100.00000000000001</v>
      </c>
      <c r="CN156" s="168">
        <f t="shared" si="173"/>
        <v>100.00000000000001</v>
      </c>
      <c r="CO156" s="168">
        <f t="shared" si="173"/>
        <v>100.00000000000001</v>
      </c>
      <c r="CP156" s="168">
        <f t="shared" si="173"/>
        <v>100.00000000000001</v>
      </c>
      <c r="CQ156" s="168">
        <f t="shared" si="173"/>
        <v>100.00000000000001</v>
      </c>
      <c r="CR156" s="168">
        <f t="shared" si="173"/>
        <v>100.00000000000001</v>
      </c>
      <c r="CS156" s="168">
        <f t="shared" si="173"/>
        <v>100.00000000000001</v>
      </c>
      <c r="CT156" s="168">
        <f t="shared" si="173"/>
        <v>100.00000000000001</v>
      </c>
      <c r="CU156" s="168">
        <f t="shared" si="173"/>
        <v>100.00000000000001</v>
      </c>
      <c r="CV156" s="168">
        <f t="shared" si="173"/>
        <v>100.00000000000001</v>
      </c>
      <c r="CW156" s="168">
        <f t="shared" si="173"/>
        <v>100.00000000000001</v>
      </c>
      <c r="CX156" s="168">
        <f t="shared" si="173"/>
        <v>100.00000000000001</v>
      </c>
      <c r="CY156" s="168">
        <f t="shared" si="173"/>
        <v>100.00000000000001</v>
      </c>
      <c r="CZ156" s="168">
        <f t="shared" si="173"/>
        <v>100.00000000000001</v>
      </c>
      <c r="DA156" s="168">
        <f t="shared" si="173"/>
        <v>100.00000000000001</v>
      </c>
    </row>
    <row r="157" spans="5:105">
      <c r="E157" s="172" t="s">
        <v>301</v>
      </c>
      <c r="F157" s="168">
        <f>($F$49*(F137/F151)+1-$F$49)*F151</f>
        <v>100</v>
      </c>
      <c r="G157" s="168">
        <f t="shared" ref="G157:BR157" si="174">($F$49*(G137/G151)+1-$F$49)*G151</f>
        <v>100</v>
      </c>
      <c r="H157" s="168">
        <f t="shared" si="174"/>
        <v>100</v>
      </c>
      <c r="I157" s="168">
        <f t="shared" si="174"/>
        <v>100</v>
      </c>
      <c r="J157" s="168">
        <f t="shared" si="174"/>
        <v>100</v>
      </c>
      <c r="K157" s="168">
        <f t="shared" si="174"/>
        <v>100</v>
      </c>
      <c r="L157" s="168">
        <f t="shared" si="174"/>
        <v>100</v>
      </c>
      <c r="M157" s="168">
        <f t="shared" si="174"/>
        <v>100</v>
      </c>
      <c r="N157" s="168">
        <f t="shared" si="174"/>
        <v>100</v>
      </c>
      <c r="O157" s="168">
        <f t="shared" si="174"/>
        <v>100</v>
      </c>
      <c r="P157" s="168">
        <f t="shared" si="174"/>
        <v>100</v>
      </c>
      <c r="Q157" s="168">
        <f t="shared" si="174"/>
        <v>100</v>
      </c>
      <c r="R157" s="168">
        <f t="shared" si="174"/>
        <v>100</v>
      </c>
      <c r="S157" s="168">
        <f t="shared" si="174"/>
        <v>100</v>
      </c>
      <c r="T157" s="168">
        <f t="shared" si="174"/>
        <v>100</v>
      </c>
      <c r="U157" s="168">
        <f t="shared" si="174"/>
        <v>100</v>
      </c>
      <c r="V157" s="168">
        <f t="shared" si="174"/>
        <v>100</v>
      </c>
      <c r="W157" s="168">
        <f t="shared" si="174"/>
        <v>100</v>
      </c>
      <c r="X157" s="168">
        <f t="shared" si="174"/>
        <v>100</v>
      </c>
      <c r="Y157" s="168">
        <f t="shared" si="174"/>
        <v>100</v>
      </c>
      <c r="Z157" s="168">
        <f t="shared" si="174"/>
        <v>100</v>
      </c>
      <c r="AA157" s="168">
        <f t="shared" si="174"/>
        <v>100</v>
      </c>
      <c r="AB157" s="168">
        <f t="shared" si="174"/>
        <v>100</v>
      </c>
      <c r="AC157" s="168">
        <f t="shared" si="174"/>
        <v>100</v>
      </c>
      <c r="AD157" s="168">
        <f t="shared" si="174"/>
        <v>100</v>
      </c>
      <c r="AE157" s="168">
        <f t="shared" si="174"/>
        <v>100</v>
      </c>
      <c r="AF157" s="168">
        <f t="shared" si="174"/>
        <v>100</v>
      </c>
      <c r="AG157" s="168">
        <f t="shared" si="174"/>
        <v>100</v>
      </c>
      <c r="AH157" s="168">
        <f t="shared" si="174"/>
        <v>100</v>
      </c>
      <c r="AI157" s="168">
        <f t="shared" si="174"/>
        <v>100</v>
      </c>
      <c r="AJ157" s="168">
        <f t="shared" si="174"/>
        <v>100</v>
      </c>
      <c r="AK157" s="168">
        <f t="shared" si="174"/>
        <v>100</v>
      </c>
      <c r="AL157" s="168">
        <f t="shared" si="174"/>
        <v>100</v>
      </c>
      <c r="AM157" s="168">
        <f t="shared" si="174"/>
        <v>100</v>
      </c>
      <c r="AN157" s="168">
        <f t="shared" si="174"/>
        <v>100</v>
      </c>
      <c r="AO157" s="168">
        <f t="shared" si="174"/>
        <v>100</v>
      </c>
      <c r="AP157" s="168">
        <f t="shared" si="174"/>
        <v>100</v>
      </c>
      <c r="AQ157" s="168">
        <f t="shared" si="174"/>
        <v>100</v>
      </c>
      <c r="AR157" s="168">
        <f t="shared" si="174"/>
        <v>100</v>
      </c>
      <c r="AS157" s="168">
        <f t="shared" si="174"/>
        <v>100</v>
      </c>
      <c r="AT157" s="168">
        <f t="shared" si="174"/>
        <v>100</v>
      </c>
      <c r="AU157" s="168">
        <f t="shared" si="174"/>
        <v>100</v>
      </c>
      <c r="AV157" s="168">
        <f t="shared" si="174"/>
        <v>100</v>
      </c>
      <c r="AW157" s="168">
        <f t="shared" si="174"/>
        <v>100</v>
      </c>
      <c r="AX157" s="168">
        <f t="shared" si="174"/>
        <v>100</v>
      </c>
      <c r="AY157" s="168">
        <f t="shared" si="174"/>
        <v>100</v>
      </c>
      <c r="AZ157" s="168">
        <f t="shared" si="174"/>
        <v>100</v>
      </c>
      <c r="BA157" s="168">
        <f t="shared" si="174"/>
        <v>100</v>
      </c>
      <c r="BB157" s="168">
        <f t="shared" si="174"/>
        <v>100</v>
      </c>
      <c r="BC157" s="168">
        <f t="shared" si="174"/>
        <v>100</v>
      </c>
      <c r="BD157" s="168">
        <f t="shared" si="174"/>
        <v>100</v>
      </c>
      <c r="BE157" s="168">
        <f t="shared" si="174"/>
        <v>100</v>
      </c>
      <c r="BF157" s="168">
        <f t="shared" si="174"/>
        <v>100</v>
      </c>
      <c r="BG157" s="168">
        <f t="shared" si="174"/>
        <v>100</v>
      </c>
      <c r="BH157" s="168">
        <f t="shared" si="174"/>
        <v>100</v>
      </c>
      <c r="BI157" s="168">
        <f t="shared" si="174"/>
        <v>100</v>
      </c>
      <c r="BJ157" s="168">
        <f t="shared" si="174"/>
        <v>100</v>
      </c>
      <c r="BK157" s="168">
        <f t="shared" si="174"/>
        <v>100</v>
      </c>
      <c r="BL157" s="168">
        <f t="shared" si="174"/>
        <v>100</v>
      </c>
      <c r="BM157" s="168">
        <f t="shared" si="174"/>
        <v>100</v>
      </c>
      <c r="BN157" s="168">
        <f t="shared" si="174"/>
        <v>100</v>
      </c>
      <c r="BO157" s="168">
        <f t="shared" si="174"/>
        <v>100</v>
      </c>
      <c r="BP157" s="168">
        <f t="shared" si="174"/>
        <v>100</v>
      </c>
      <c r="BQ157" s="168">
        <f t="shared" si="174"/>
        <v>100</v>
      </c>
      <c r="BR157" s="168">
        <f t="shared" si="174"/>
        <v>100</v>
      </c>
      <c r="BS157" s="168">
        <f t="shared" ref="BS157:DA157" si="175">($F$49*(BS137/BS151)+1-$F$49)*BS151</f>
        <v>100</v>
      </c>
      <c r="BT157" s="168">
        <f t="shared" si="175"/>
        <v>100</v>
      </c>
      <c r="BU157" s="168">
        <f t="shared" si="175"/>
        <v>100</v>
      </c>
      <c r="BV157" s="168">
        <f t="shared" si="175"/>
        <v>100</v>
      </c>
      <c r="BW157" s="168">
        <f t="shared" si="175"/>
        <v>100</v>
      </c>
      <c r="BX157" s="168">
        <f t="shared" si="175"/>
        <v>100</v>
      </c>
      <c r="BY157" s="168">
        <f t="shared" si="175"/>
        <v>100</v>
      </c>
      <c r="BZ157" s="168">
        <f t="shared" si="175"/>
        <v>100</v>
      </c>
      <c r="CA157" s="168">
        <f t="shared" si="175"/>
        <v>100</v>
      </c>
      <c r="CB157" s="168">
        <f t="shared" si="175"/>
        <v>100</v>
      </c>
      <c r="CC157" s="168">
        <f t="shared" si="175"/>
        <v>100</v>
      </c>
      <c r="CD157" s="168">
        <f t="shared" si="175"/>
        <v>100</v>
      </c>
      <c r="CE157" s="168">
        <f t="shared" si="175"/>
        <v>100</v>
      </c>
      <c r="CF157" s="168">
        <f t="shared" si="175"/>
        <v>100</v>
      </c>
      <c r="CG157" s="168">
        <f t="shared" si="175"/>
        <v>100</v>
      </c>
      <c r="CH157" s="168">
        <f t="shared" si="175"/>
        <v>100</v>
      </c>
      <c r="CI157" s="168">
        <f t="shared" si="175"/>
        <v>100</v>
      </c>
      <c r="CJ157" s="168">
        <f t="shared" si="175"/>
        <v>100</v>
      </c>
      <c r="CK157" s="168">
        <f t="shared" si="175"/>
        <v>100</v>
      </c>
      <c r="CL157" s="168">
        <f t="shared" si="175"/>
        <v>100</v>
      </c>
      <c r="CM157" s="168">
        <f t="shared" si="175"/>
        <v>100</v>
      </c>
      <c r="CN157" s="168">
        <f t="shared" si="175"/>
        <v>100</v>
      </c>
      <c r="CO157" s="168">
        <f t="shared" si="175"/>
        <v>100</v>
      </c>
      <c r="CP157" s="168">
        <f t="shared" si="175"/>
        <v>100</v>
      </c>
      <c r="CQ157" s="168">
        <f t="shared" si="175"/>
        <v>100</v>
      </c>
      <c r="CR157" s="168">
        <f t="shared" si="175"/>
        <v>100</v>
      </c>
      <c r="CS157" s="168">
        <f t="shared" si="175"/>
        <v>100</v>
      </c>
      <c r="CT157" s="168">
        <f t="shared" si="175"/>
        <v>100</v>
      </c>
      <c r="CU157" s="168">
        <f t="shared" si="175"/>
        <v>100</v>
      </c>
      <c r="CV157" s="168">
        <f t="shared" si="175"/>
        <v>100</v>
      </c>
      <c r="CW157" s="168">
        <f t="shared" si="175"/>
        <v>100</v>
      </c>
      <c r="CX157" s="168">
        <f t="shared" si="175"/>
        <v>100</v>
      </c>
      <c r="CY157" s="168">
        <f t="shared" si="175"/>
        <v>100</v>
      </c>
      <c r="CZ157" s="168">
        <f t="shared" si="175"/>
        <v>100</v>
      </c>
      <c r="DA157" s="168">
        <f t="shared" si="175"/>
        <v>100</v>
      </c>
    </row>
    <row r="158" spans="5:105">
      <c r="E158" s="172" t="s">
        <v>302</v>
      </c>
      <c r="F158" s="168">
        <f t="array" ref="F158:F160">MMULT($M$43:$O$45,F152:F154)</f>
        <v>100.00000000000003</v>
      </c>
      <c r="G158" s="168">
        <f t="array" ref="G158:G160">MMULT($M$43:$O$45,G152:G154)</f>
        <v>69.333245224107387</v>
      </c>
      <c r="H158" s="168">
        <f t="array" ref="H158:H160">MMULT($M$43:$O$45,H152:H154)</f>
        <v>33.671944871728996</v>
      </c>
      <c r="I158" s="168">
        <f t="array" ref="I158:I160">MMULT($M$43:$O$45,I152:I154)</f>
        <v>6.151676025394524</v>
      </c>
      <c r="J158" s="168">
        <f t="array" ref="J158:J160">MMULT($M$43:$O$45,J152:J154)</f>
        <v>42.691576393664619</v>
      </c>
      <c r="K158" s="168">
        <f t="array" ref="K158:K160">MMULT($M$43:$O$45,K152:K154)</f>
        <v>19.08662355952233</v>
      </c>
      <c r="L158" s="168">
        <f t="array" ref="L158:L160">MMULT($M$43:$O$45,L152:L154)</f>
        <v>19.138459386196459</v>
      </c>
      <c r="M158" s="168">
        <f t="array" ref="M158:M160">MMULT($M$43:$O$45,M152:M154)</f>
        <v>12.768565856936471</v>
      </c>
      <c r="N158" s="168">
        <f t="array" ref="N158:N160">MMULT($M$43:$O$45,N152:N154)</f>
        <v>11.493185719269665</v>
      </c>
      <c r="O158" s="168">
        <f t="array" ref="O158:O160">MMULT($M$43:$O$45,O152:O154)</f>
        <v>4.9741928155184745</v>
      </c>
      <c r="P158" s="168">
        <f t="array" ref="P158:P160">MMULT($M$43:$O$45,P152:P154)</f>
        <v>53.70710034220199</v>
      </c>
      <c r="Q158" s="168">
        <f t="array" ref="Q158:Q160">MMULT($M$43:$O$45,Q152:Q154)</f>
        <v>29.223443433354223</v>
      </c>
      <c r="R158" s="168">
        <f t="array" ref="R158:R160">MMULT($M$43:$O$45,R152:R154)</f>
        <v>36.726459361107501</v>
      </c>
      <c r="S158" s="168">
        <f t="array" ref="S158:S160">MMULT($M$43:$O$45,S152:S154)</f>
        <v>12.695716315118025</v>
      </c>
      <c r="T158" s="168">
        <f t="array" ref="T158:T160">MMULT($M$43:$O$45,T152:T154)</f>
        <v>43.4885594623508</v>
      </c>
      <c r="U158" s="168">
        <f t="array" ref="U158:U160">MMULT($M$43:$O$45,U152:U154)</f>
        <v>39.46395864189234</v>
      </c>
      <c r="V158" s="168">
        <f t="array" ref="V158:V160">MMULT($M$43:$O$45,V152:V154)</f>
        <v>15.028031316394722</v>
      </c>
      <c r="W158" s="168">
        <f t="array" ref="W158:W160">MMULT($M$43:$O$45,W152:W154)</f>
        <v>17.565776014708408</v>
      </c>
      <c r="X158" s="168">
        <f t="array" ref="X158:X160">MMULT($M$43:$O$45,X152:X154)</f>
        <v>22.055516135486236</v>
      </c>
      <c r="Y158" s="168">
        <f t="array" ref="Y158:Y160">MMULT($M$43:$O$45,Y152:Y154)</f>
        <v>42.988536889566305</v>
      </c>
      <c r="Z158" s="168">
        <f t="array" ref="Z158:Z160">MMULT($M$43:$O$45,Z152:Z154)</f>
        <v>34.101984719888151</v>
      </c>
      <c r="AA158" s="168">
        <f t="array" ref="AA158:AA160">MMULT($M$43:$O$45,AA152:AA154)</f>
        <v>69.5057661368607</v>
      </c>
      <c r="AB158" s="168">
        <f t="array" ref="AB158:AB160">MMULT($M$43:$O$45,AB152:AB154)</f>
        <v>53.767544402350133</v>
      </c>
      <c r="AC158" s="168">
        <f t="array" ref="AC158:AC160">MMULT($M$43:$O$45,AC152:AC154)</f>
        <v>76.171759427032129</v>
      </c>
      <c r="AD158" s="168">
        <f t="array" ref="AD158:AD160">MMULT($M$43:$O$45,AD152:AD154)</f>
        <v>75.304595130209464</v>
      </c>
      <c r="AE158" s="168">
        <f t="array" ref="AE158:AE160">MMULT($M$43:$O$45,AE152:AE154)</f>
        <v>41.247077067428116</v>
      </c>
      <c r="AF158" s="168">
        <f t="array" ref="AF158:AF160">MMULT($M$43:$O$45,AF152:AF154)</f>
        <v>72.526354885072578</v>
      </c>
      <c r="AG158" s="168">
        <f t="array" ref="AG158:AG160">MMULT($M$43:$O$45,AG152:AG154)</f>
        <v>40.215133472006578</v>
      </c>
      <c r="AH158" s="168">
        <f t="array" ref="AH158:AH160">MMULT($M$43:$O$45,AH152:AH154)</f>
        <v>10.701063274120976</v>
      </c>
      <c r="AI158" s="168">
        <f t="array" ref="AI158:AI160">MMULT($M$43:$O$45,AI152:AI154)</f>
        <v>62.577802291745918</v>
      </c>
      <c r="AJ158" s="168">
        <f t="array" ref="AJ158:AJ160">MMULT($M$43:$O$45,AJ152:AJ154)</f>
        <v>28.086588605627931</v>
      </c>
      <c r="AK158" s="168">
        <f t="array" ref="AK158:AK160">MMULT($M$43:$O$45,AK152:AK154)</f>
        <v>65.586246116943741</v>
      </c>
      <c r="AL158" s="168">
        <f t="array" ref="AL158:AL160">MMULT($M$43:$O$45,AL152:AL154)</f>
        <v>41.746906484245415</v>
      </c>
      <c r="AM158" s="168">
        <f t="array" ref="AM158:AM160">MMULT($M$43:$O$45,AM152:AM154)</f>
        <v>68.05142054856762</v>
      </c>
      <c r="AN158" s="168">
        <f t="array" ref="AN158:AN160">MMULT($M$43:$O$45,AN152:AN154)</f>
        <v>25.913219353170557</v>
      </c>
      <c r="AO158" s="168">
        <f t="array" ref="AO158:AO160">MMULT($M$43:$O$45,AO152:AO154)</f>
        <v>10.805526001252256</v>
      </c>
      <c r="AP158" s="168">
        <f t="array" ref="AP158:AP160">MMULT($M$43:$O$45,AP152:AP154)</f>
        <v>51.671189805934453</v>
      </c>
      <c r="AQ158" s="168">
        <f t="array" ref="AQ158:AQ160">MMULT($M$43:$O$45,AQ152:AQ154)</f>
        <v>13.883362026802404</v>
      </c>
      <c r="AR158" s="168">
        <f t="array" ref="AR158:AR160">MMULT($M$43:$O$45,AR152:AR154)</f>
        <v>59.770894074421165</v>
      </c>
      <c r="AS158" s="168">
        <f t="array" ref="AS158:AS160">MMULT($M$43:$O$45,AS152:AS154)</f>
        <v>7.0422878120905121</v>
      </c>
      <c r="AT158" s="168">
        <f t="array" ref="AT158:AT160">MMULT($M$43:$O$45,AT152:AT154)</f>
        <v>14.469911021946036</v>
      </c>
      <c r="AU158" s="168">
        <f t="array" ref="AU158:AU160">MMULT($M$43:$O$45,AU152:AU154)</f>
        <v>65.006385082861684</v>
      </c>
      <c r="AV158" s="168">
        <f t="array" ref="AV158:AV160">MMULT($M$43:$O$45,AV152:AV154)</f>
        <v>28.478548810721527</v>
      </c>
      <c r="AW158" s="168">
        <f t="array" ref="AW158:AW160">MMULT($M$43:$O$45,AW152:AW154)</f>
        <v>32.732406970893265</v>
      </c>
      <c r="AX158" s="168">
        <f t="array" ref="AX158:AX160">MMULT($M$43:$O$45,AX152:AX154)</f>
        <v>4.8620963723186783</v>
      </c>
      <c r="AY158" s="168">
        <f t="array" ref="AY158:AY160">MMULT($M$43:$O$45,AY152:AY154)</f>
        <v>18.772322814281271</v>
      </c>
      <c r="AZ158" s="168">
        <f t="array" ref="AZ158:AZ160">MMULT($M$43:$O$45,AZ152:AZ154)</f>
        <v>28.161529094542331</v>
      </c>
      <c r="BA158" s="168">
        <f t="array" ref="BA158:BA160">MMULT($M$43:$O$45,BA152:BA154)</f>
        <v>31.820367472706295</v>
      </c>
      <c r="BB158" s="168">
        <f t="array" ref="BB158:BB160">MMULT($M$43:$O$45,BB152:BB154)</f>
        <v>41.021446769644783</v>
      </c>
      <c r="BC158" s="168">
        <f t="array" ref="BC158:BC160">MMULT($M$43:$O$45,BC152:BC154)</f>
        <v>10.747331094787345</v>
      </c>
      <c r="BD158" s="168">
        <f t="array" ref="BD158:BD160">MMULT($M$43:$O$45,BD152:BD154)</f>
        <v>16.037102004971548</v>
      </c>
      <c r="BE158" s="168">
        <f t="array" ref="BE158:BE160">MMULT($M$43:$O$45,BE152:BE154)</f>
        <v>19.467142314412403</v>
      </c>
      <c r="BF158" s="168">
        <f t="array" ref="BF158:BF160">MMULT($M$43:$O$45,BF152:BF154)</f>
        <v>7.5273901650336192</v>
      </c>
      <c r="BG158" s="168">
        <f t="array" ref="BG158:BG160">MMULT($M$43:$O$45,BG152:BG154)</f>
        <v>10.088372528682388</v>
      </c>
      <c r="BH158" s="168">
        <f t="array" ref="BH158:BH160">MMULT($M$43:$O$45,BH152:BH154)</f>
        <v>61.281393645565011</v>
      </c>
      <c r="BI158" s="168">
        <f t="array" ref="BI158:BI160">MMULT($M$43:$O$45,BI152:BI154)</f>
        <v>53.151657285480155</v>
      </c>
      <c r="BJ158" s="168">
        <f t="array" ref="BJ158:BJ160">MMULT($M$43:$O$45,BJ152:BJ154)</f>
        <v>29.270745434467351</v>
      </c>
      <c r="BK158" s="168">
        <f t="array" ref="BK158:BK160">MMULT($M$43:$O$45,BK152:BK154)</f>
        <v>15.631236364568903</v>
      </c>
      <c r="BL158" s="168">
        <f t="array" ref="BL158:BL160">MMULT($M$43:$O$45,BL152:BL154)</f>
        <v>13.263314422032847</v>
      </c>
      <c r="BM158" s="168">
        <f t="array" ref="BM158:BM160">MMULT($M$43:$O$45,BM152:BM154)</f>
        <v>60.90268742652944</v>
      </c>
      <c r="BN158" s="168">
        <f t="array" ref="BN158:BN160">MMULT($M$43:$O$45,BN152:BN154)</f>
        <v>66.858544709442896</v>
      </c>
      <c r="BO158" s="168">
        <f t="array" ref="BO158:BO160">MMULT($M$43:$O$45,BO152:BO154)</f>
        <v>43.142870669178194</v>
      </c>
      <c r="BP158" s="168">
        <f t="array" ref="BP158:BP160">MMULT($M$43:$O$45,BP152:BP154)</f>
        <v>31.343058445866475</v>
      </c>
      <c r="BQ158" s="168">
        <f t="array" ref="BQ158:BQ160">MMULT($M$43:$O$45,BQ152:BQ154)</f>
        <v>7.2851841742034233</v>
      </c>
      <c r="BR158" s="168">
        <f t="array" ref="BR158:BR160">MMULT($M$43:$O$45,BR152:BR154)</f>
        <v>17.776331332684361</v>
      </c>
      <c r="BS158" s="168">
        <f t="array" ref="BS158:BS160">MMULT($M$43:$O$45,BS152:BS154)</f>
        <v>9.2056187583033946</v>
      </c>
      <c r="BT158" s="168">
        <f t="array" ref="BT158:BT160">MMULT($M$43:$O$45,BT152:BT154)</f>
        <v>9.394204567380342</v>
      </c>
      <c r="BU158" s="168">
        <f t="array" ref="BU158:BU160">MMULT($M$43:$O$45,BU152:BU154)</f>
        <v>11.220946456148958</v>
      </c>
      <c r="BV158" s="168">
        <f t="array" ref="BV158:BV160">MMULT($M$43:$O$45,BV152:BV154)</f>
        <v>26.145296677654382</v>
      </c>
      <c r="BW158" s="168">
        <f t="array" ref="BW158:BW160">MMULT($M$43:$O$45,BW152:BW154)</f>
        <v>17.668381597517065</v>
      </c>
      <c r="BX158" s="168">
        <f t="array" ref="BX158:BX160">MMULT($M$43:$O$45,BX152:BX154)</f>
        <v>37.214463379225272</v>
      </c>
      <c r="BY158" s="168">
        <f t="array" ref="BY158:BY160">MMULT($M$43:$O$45,BY152:BY154)</f>
        <v>6.6593425692687909</v>
      </c>
      <c r="BZ158" s="168">
        <f t="array" ref="BZ158:BZ160">MMULT($M$43:$O$45,BZ152:BZ154)</f>
        <v>45.74777306071487</v>
      </c>
      <c r="CA158" s="168">
        <f t="array" ref="CA158:CA160">MMULT($M$43:$O$45,CA152:CA154)</f>
        <v>20.747249656109624</v>
      </c>
      <c r="CB158" s="168">
        <f t="array" ref="CB158:CB160">MMULT($M$43:$O$45,CB152:CB154)</f>
        <v>4.6804669314037239</v>
      </c>
      <c r="CC158" s="168">
        <f t="array" ref="CC158:CC160">MMULT($M$43:$O$45,CC152:CC154)</f>
        <v>6.3925632564867865</v>
      </c>
      <c r="CD158" s="168">
        <f t="array" ref="CD158:CD160">MMULT($M$43:$O$45,CD152:CD154)</f>
        <v>15.322893497726218</v>
      </c>
      <c r="CE158" s="168">
        <f t="array" ref="CE158:CE160">MMULT($M$43:$O$45,CE152:CE154)</f>
        <v>12.080284912561535</v>
      </c>
      <c r="CF158" s="168">
        <f t="array" ref="CF158:CF160">MMULT($M$43:$O$45,CF152:CF154)</f>
        <v>13.374594008852675</v>
      </c>
      <c r="CG158" s="168">
        <f t="array" ref="CG158:CG160">MMULT($M$43:$O$45,CG152:CG154)</f>
        <v>42.072003074525284</v>
      </c>
      <c r="CH158" s="168">
        <f t="array" ref="CH158:CH160">MMULT($M$43:$O$45,CH152:CH154)</f>
        <v>33.229673214094653</v>
      </c>
      <c r="CI158" s="168">
        <f t="array" ref="CI158:CI160">MMULT($M$43:$O$45,CI152:CI154)</f>
        <v>13.933776315806544</v>
      </c>
      <c r="CJ158" s="168">
        <f t="array" ref="CJ158:CJ160">MMULT($M$43:$O$45,CJ152:CJ154)</f>
        <v>67.824627649909331</v>
      </c>
      <c r="CK158" s="168">
        <f t="array" ref="CK158:CK160">MMULT($M$43:$O$45,CK152:CK154)</f>
        <v>43.54673110471311</v>
      </c>
      <c r="CL158" s="168">
        <f t="array" ref="CL158:CL160">MMULT($M$43:$O$45,CL152:CL154)</f>
        <v>4.7729255491183187</v>
      </c>
      <c r="CM158" s="168">
        <f t="array" ref="CM158:CM160">MMULT($M$43:$O$45,CM152:CM154)</f>
        <v>10.929998356417311</v>
      </c>
      <c r="CN158" s="168">
        <f t="array" ref="CN158:CN160">MMULT($M$43:$O$45,CN152:CN154)</f>
        <v>33.325114292693328</v>
      </c>
      <c r="CO158" s="168">
        <f t="array" ref="CO158:CO160">MMULT($M$43:$O$45,CO152:CO154)</f>
        <v>11.721398620586811</v>
      </c>
      <c r="CP158" s="168">
        <f t="array" ref="CP158:CP160">MMULT($M$43:$O$45,CP152:CP154)</f>
        <v>32.119207804575524</v>
      </c>
      <c r="CQ158" s="168">
        <f t="array" ref="CQ158:CQ160">MMULT($M$43:$O$45,CQ152:CQ154)</f>
        <v>10.886236505768615</v>
      </c>
      <c r="CR158" s="168">
        <f t="array" ref="CR158:CR160">MMULT($M$43:$O$45,CR152:CR154)</f>
        <v>15.494736551985348</v>
      </c>
      <c r="CS158" s="168">
        <f t="array" ref="CS158:CS160">MMULT($M$43:$O$45,CS152:CS154)</f>
        <v>53.077822338052634</v>
      </c>
      <c r="CT158" s="168">
        <f t="array" ref="CT158:CT160">MMULT($M$43:$O$45,CT152:CT154)</f>
        <v>22.106408787752816</v>
      </c>
      <c r="CU158" s="168">
        <f t="array" ref="CU158:CU160">MMULT($M$43:$O$45,CU152:CU154)</f>
        <v>34.98227257207153</v>
      </c>
      <c r="CV158" s="168">
        <f t="array" ref="CV158:CV160">MMULT($M$43:$O$45,CV152:CV154)</f>
        <v>10.753936739780501</v>
      </c>
      <c r="CW158" s="168">
        <f t="array" ref="CW158:CW160">MMULT($M$43:$O$45,CW152:CW154)</f>
        <v>39.423971851286566</v>
      </c>
      <c r="CX158" s="168">
        <f t="array" ref="CX158:CX160">MMULT($M$43:$O$45,CX152:CX154)</f>
        <v>53.498549173228071</v>
      </c>
      <c r="CY158" s="168">
        <f t="array" ref="CY158:CY160">MMULT($M$43:$O$45,CY152:CY154)</f>
        <v>23.847860301064692</v>
      </c>
      <c r="CZ158" s="168">
        <f t="array" ref="CZ158:CZ160">MMULT($M$43:$O$45,CZ152:CZ154)</f>
        <v>38.378948846985281</v>
      </c>
      <c r="DA158" s="168">
        <f t="array" ref="DA158:DA160">MMULT($M$43:$O$45,DA152:DA154)</f>
        <v>22.324069892329355</v>
      </c>
    </row>
    <row r="159" spans="5:105">
      <c r="E159" s="172" t="s">
        <v>303</v>
      </c>
      <c r="F159" s="168">
        <v>100.00000000000001</v>
      </c>
      <c r="G159" s="168">
        <v>62.885431154136818</v>
      </c>
      <c r="H159" s="168">
        <v>25.514708876309193</v>
      </c>
      <c r="I159" s="168">
        <v>5.3266572630665605</v>
      </c>
      <c r="J159" s="168">
        <v>37.795881188955235</v>
      </c>
      <c r="K159" s="168">
        <v>13.981376030757563</v>
      </c>
      <c r="L159" s="168">
        <v>16.905028874095503</v>
      </c>
      <c r="M159" s="168">
        <v>8.9925340164360232</v>
      </c>
      <c r="N159" s="168">
        <v>8.518564204647781</v>
      </c>
      <c r="O159" s="168">
        <v>4.7518764245492022</v>
      </c>
      <c r="P159" s="168">
        <v>43.240640600857056</v>
      </c>
      <c r="Q159" s="168">
        <v>23.415325479253106</v>
      </c>
      <c r="R159" s="168">
        <v>29.022695343142029</v>
      </c>
      <c r="S159" s="168">
        <v>10.545887000768349</v>
      </c>
      <c r="T159" s="168">
        <v>42.385765513985419</v>
      </c>
      <c r="U159" s="168">
        <v>36.841259824075649</v>
      </c>
      <c r="V159" s="168">
        <v>13.486282074708908</v>
      </c>
      <c r="W159" s="168">
        <v>16.333222209593963</v>
      </c>
      <c r="X159" s="168">
        <v>20.731556120619199</v>
      </c>
      <c r="Y159" s="168">
        <v>40.808115146008809</v>
      </c>
      <c r="Z159" s="168">
        <v>29.527513098032156</v>
      </c>
      <c r="AA159" s="168">
        <v>67.310794403129179</v>
      </c>
      <c r="AB159" s="168">
        <v>50.760966976224388</v>
      </c>
      <c r="AC159" s="168">
        <v>77.382630400266649</v>
      </c>
      <c r="AD159" s="168">
        <v>77.103661683157938</v>
      </c>
      <c r="AE159" s="168">
        <v>41.808788886486383</v>
      </c>
      <c r="AF159" s="168">
        <v>74.086304763301385</v>
      </c>
      <c r="AG159" s="168">
        <v>41.796940487276494</v>
      </c>
      <c r="AH159" s="168">
        <v>11.320215312342185</v>
      </c>
      <c r="AI159" s="168">
        <v>66.444226335714092</v>
      </c>
      <c r="AJ159" s="168">
        <v>29.446777480926396</v>
      </c>
      <c r="AK159" s="168">
        <v>70.050148992956608</v>
      </c>
      <c r="AL159" s="168">
        <v>45.808188343503815</v>
      </c>
      <c r="AM159" s="168">
        <v>71.982076552420608</v>
      </c>
      <c r="AN159" s="168">
        <v>28.865779384105224</v>
      </c>
      <c r="AO159" s="168">
        <v>11.842004326949839</v>
      </c>
      <c r="AP159" s="168">
        <v>53.043715532565457</v>
      </c>
      <c r="AQ159" s="168">
        <v>15.955372792594943</v>
      </c>
      <c r="AR159" s="168">
        <v>64.187433769404649</v>
      </c>
      <c r="AS159" s="168">
        <v>7.3132308713822223</v>
      </c>
      <c r="AT159" s="168">
        <v>15.432900594578156</v>
      </c>
      <c r="AU159" s="168">
        <v>67.840007307465427</v>
      </c>
      <c r="AV159" s="168">
        <v>36.115147075248288</v>
      </c>
      <c r="AW159" s="168">
        <v>40.8981559604373</v>
      </c>
      <c r="AX159" s="168">
        <v>4.9234996903277795</v>
      </c>
      <c r="AY159" s="168">
        <v>23.892265827462605</v>
      </c>
      <c r="AZ159" s="168">
        <v>33.056128802820908</v>
      </c>
      <c r="BA159" s="168">
        <v>35.421850710835336</v>
      </c>
      <c r="BB159" s="168">
        <v>49.762247948186214</v>
      </c>
      <c r="BC159" s="168">
        <v>13.536793316120342</v>
      </c>
      <c r="BD159" s="168">
        <v>19.102566511794372</v>
      </c>
      <c r="BE159" s="168">
        <v>22.13671291966169</v>
      </c>
      <c r="BF159" s="168">
        <v>9.6587237516632083</v>
      </c>
      <c r="BG159" s="168">
        <v>14.771228580709733</v>
      </c>
      <c r="BH159" s="168">
        <v>66.684944048084617</v>
      </c>
      <c r="BI159" s="168">
        <v>58.357529942548631</v>
      </c>
      <c r="BJ159" s="168">
        <v>37.049612355672551</v>
      </c>
      <c r="BK159" s="168">
        <v>21.46404839839126</v>
      </c>
      <c r="BL159" s="168">
        <v>18.305455207194537</v>
      </c>
      <c r="BM159" s="168">
        <v>64.971090669363718</v>
      </c>
      <c r="BN159" s="168">
        <v>68.172772687627301</v>
      </c>
      <c r="BO159" s="168">
        <v>45.48946362329005</v>
      </c>
      <c r="BP159" s="168">
        <v>32.139988891840076</v>
      </c>
      <c r="BQ159" s="168">
        <v>7.1337588611604401</v>
      </c>
      <c r="BR159" s="168">
        <v>21.417475922979776</v>
      </c>
      <c r="BS159" s="168">
        <v>10.093813064267685</v>
      </c>
      <c r="BT159" s="168">
        <v>10.828549499364344</v>
      </c>
      <c r="BU159" s="168">
        <v>12.759846668017495</v>
      </c>
      <c r="BV159" s="168">
        <v>27.178906195436134</v>
      </c>
      <c r="BW159" s="168">
        <v>17.449004820750762</v>
      </c>
      <c r="BX159" s="168">
        <v>37.771045596026582</v>
      </c>
      <c r="BY159" s="168">
        <v>6.5396572058122846</v>
      </c>
      <c r="BZ159" s="168">
        <v>45.967850823509039</v>
      </c>
      <c r="CA159" s="168">
        <v>20.601883412148446</v>
      </c>
      <c r="CB159" s="168">
        <v>4.7122549443449504</v>
      </c>
      <c r="CC159" s="168">
        <v>6.0237597063391135</v>
      </c>
      <c r="CD159" s="168">
        <v>12.771363963192467</v>
      </c>
      <c r="CE159" s="168">
        <v>11.269451341889914</v>
      </c>
      <c r="CF159" s="168">
        <v>11.183210249265553</v>
      </c>
      <c r="CG159" s="168">
        <v>40.171442155403156</v>
      </c>
      <c r="CH159" s="168">
        <v>30.047008479709881</v>
      </c>
      <c r="CI159" s="168">
        <v>10.926347231293192</v>
      </c>
      <c r="CJ159" s="168">
        <v>66.237332287077251</v>
      </c>
      <c r="CK159" s="168">
        <v>40.761238752949247</v>
      </c>
      <c r="CL159" s="168">
        <v>4.3288664597790181</v>
      </c>
      <c r="CM159" s="168">
        <v>9.970139377636448</v>
      </c>
      <c r="CN159" s="168">
        <v>28.784849898044687</v>
      </c>
      <c r="CO159" s="168">
        <v>8.5898531891839092</v>
      </c>
      <c r="CP159" s="168">
        <v>25.780272056634079</v>
      </c>
      <c r="CQ159" s="168">
        <v>8.4590606636718135</v>
      </c>
      <c r="CR159" s="168">
        <v>11.449816112132567</v>
      </c>
      <c r="CS159" s="168">
        <v>52.310394835316089</v>
      </c>
      <c r="CT159" s="168">
        <v>19.292154835967924</v>
      </c>
      <c r="CU159" s="168">
        <v>31.848434945293139</v>
      </c>
      <c r="CV159" s="168">
        <v>8.3179433450575768</v>
      </c>
      <c r="CW159" s="168">
        <v>34.453192764374307</v>
      </c>
      <c r="CX159" s="168">
        <v>47.722807819776499</v>
      </c>
      <c r="CY159" s="168">
        <v>19.233044923356879</v>
      </c>
      <c r="CZ159" s="168">
        <v>29.228298688372771</v>
      </c>
      <c r="DA159" s="168">
        <v>15.718395373032918</v>
      </c>
    </row>
    <row r="160" spans="5:105">
      <c r="E160" s="172" t="s">
        <v>304</v>
      </c>
      <c r="F160" s="168">
        <v>99.999999999999986</v>
      </c>
      <c r="G160" s="168">
        <v>62.885556234658083</v>
      </c>
      <c r="H160" s="168">
        <v>24.434267526662182</v>
      </c>
      <c r="I160" s="168">
        <v>5.0200001879488285</v>
      </c>
      <c r="J160" s="168">
        <v>31.855209227384517</v>
      </c>
      <c r="K160" s="168">
        <v>11.083033482089222</v>
      </c>
      <c r="L160" s="168">
        <v>13.294315986233817</v>
      </c>
      <c r="M160" s="168">
        <v>5.7579720436618427</v>
      </c>
      <c r="N160" s="168">
        <v>5.8527687101938906</v>
      </c>
      <c r="O160" s="168">
        <v>4.6749650182650733</v>
      </c>
      <c r="P160" s="168">
        <v>19.478351191327604</v>
      </c>
      <c r="Q160" s="168">
        <v>8.2916596527002913</v>
      </c>
      <c r="R160" s="168">
        <v>9.8874996994878579</v>
      </c>
      <c r="S160" s="168">
        <v>4.8857559041851593</v>
      </c>
      <c r="T160" s="168">
        <v>35.689006619329227</v>
      </c>
      <c r="U160" s="168">
        <v>24.560494822717754</v>
      </c>
      <c r="V160" s="168">
        <v>5.3010735818733901</v>
      </c>
      <c r="W160" s="168">
        <v>6.0121443718319192</v>
      </c>
      <c r="X160" s="168">
        <v>10.940284958746579</v>
      </c>
      <c r="Y160" s="168">
        <v>13.272979854962175</v>
      </c>
      <c r="Z160" s="168">
        <v>4.6044457952806042</v>
      </c>
      <c r="AA160" s="168">
        <v>18.952490992890976</v>
      </c>
      <c r="AB160" s="168">
        <v>10.982844581448145</v>
      </c>
      <c r="AC160" s="168">
        <v>53.27071102610639</v>
      </c>
      <c r="AD160" s="168">
        <v>30.336372289731052</v>
      </c>
      <c r="AE160" s="168">
        <v>6.7762119773051843</v>
      </c>
      <c r="AF160" s="168">
        <v>20.556043096402238</v>
      </c>
      <c r="AG160" s="168">
        <v>23.053111316470098</v>
      </c>
      <c r="AH160" s="168">
        <v>4.9405109393158311</v>
      </c>
      <c r="AI160" s="168">
        <v>15.331164956341897</v>
      </c>
      <c r="AJ160" s="168">
        <v>10.817439032477028</v>
      </c>
      <c r="AK160" s="168">
        <v>17.498568392621468</v>
      </c>
      <c r="AL160" s="168">
        <v>7.8053006464093908</v>
      </c>
      <c r="AM160" s="168">
        <v>32.23434579589334</v>
      </c>
      <c r="AN160" s="168">
        <v>5.7995998103784947</v>
      </c>
      <c r="AO160" s="168">
        <v>5.2772621031531131</v>
      </c>
      <c r="AP160" s="168">
        <v>40.215963654738985</v>
      </c>
      <c r="AQ160" s="168">
        <v>5.8219240867826754</v>
      </c>
      <c r="AR160" s="168">
        <v>31.050831703758387</v>
      </c>
      <c r="AS160" s="168">
        <v>5.3126608726382436</v>
      </c>
      <c r="AT160" s="168">
        <v>8.9215802792590324</v>
      </c>
      <c r="AU160" s="168">
        <v>52.216192863292534</v>
      </c>
      <c r="AV160" s="168">
        <v>8.542589788656521</v>
      </c>
      <c r="AW160" s="168">
        <v>8.4470318220822538</v>
      </c>
      <c r="AX160" s="168">
        <v>4.6767310183517603</v>
      </c>
      <c r="AY160" s="168">
        <v>8.4249621619216093</v>
      </c>
      <c r="AZ160" s="168">
        <v>16.146648101090499</v>
      </c>
      <c r="BA160" s="168">
        <v>21.80105331934211</v>
      </c>
      <c r="BB160" s="168">
        <v>24.44190285155203</v>
      </c>
      <c r="BC160" s="168">
        <v>6.2527592862182262</v>
      </c>
      <c r="BD160" s="168">
        <v>14.094288210032008</v>
      </c>
      <c r="BE160" s="168">
        <v>17.80424543431532</v>
      </c>
      <c r="BF160" s="168">
        <v>6.8032256528183224</v>
      </c>
      <c r="BG160" s="168">
        <v>11.473157748229948</v>
      </c>
      <c r="BH160" s="168">
        <v>63.475579560056346</v>
      </c>
      <c r="BI160" s="168">
        <v>57.499100530788944</v>
      </c>
      <c r="BJ160" s="168">
        <v>37.536344766300111</v>
      </c>
      <c r="BK160" s="168">
        <v>21.764982525202054</v>
      </c>
      <c r="BL160" s="168">
        <v>20.424466295275035</v>
      </c>
      <c r="BM160" s="168">
        <v>68.424227390674531</v>
      </c>
      <c r="BN160" s="168">
        <v>69.86673166410155</v>
      </c>
      <c r="BO160" s="168">
        <v>50.883223305705883</v>
      </c>
      <c r="BP160" s="168">
        <v>32.241390055616264</v>
      </c>
      <c r="BQ160" s="168">
        <v>7.0625771283245173</v>
      </c>
      <c r="BR160" s="168">
        <v>33.845327247735455</v>
      </c>
      <c r="BS160" s="168">
        <v>12.950501703961248</v>
      </c>
      <c r="BT160" s="168">
        <v>20.175522456228595</v>
      </c>
      <c r="BU160" s="168">
        <v>24.579829607244513</v>
      </c>
      <c r="BV160" s="168">
        <v>40.963533732625287</v>
      </c>
      <c r="BW160" s="168">
        <v>23.14404554791868</v>
      </c>
      <c r="BX160" s="168">
        <v>64.540638809712888</v>
      </c>
      <c r="BY160" s="168">
        <v>13.801485691943462</v>
      </c>
      <c r="BZ160" s="168">
        <v>52.815418891691664</v>
      </c>
      <c r="CA160" s="168">
        <v>49.230634515086805</v>
      </c>
      <c r="CB160" s="168">
        <v>4.9806197379933916</v>
      </c>
      <c r="CC160" s="168">
        <v>13.481920781480007</v>
      </c>
      <c r="CD160" s="168">
        <v>42.881386925762079</v>
      </c>
      <c r="CE160" s="168">
        <v>25.912234389433557</v>
      </c>
      <c r="CF160" s="168">
        <v>36.610583855579065</v>
      </c>
      <c r="CG160" s="168">
        <v>63.791112689592595</v>
      </c>
      <c r="CH160" s="168">
        <v>54.370330926313414</v>
      </c>
      <c r="CI160" s="168">
        <v>32.543997030273111</v>
      </c>
      <c r="CJ160" s="168">
        <v>77.423548002534588</v>
      </c>
      <c r="CK160" s="168">
        <v>58.675566718186531</v>
      </c>
      <c r="CL160" s="168">
        <v>5.8082831148814762</v>
      </c>
      <c r="CM160" s="168">
        <v>14.905443496316103</v>
      </c>
      <c r="CN160" s="168">
        <v>55.589432946371353</v>
      </c>
      <c r="CO160" s="168">
        <v>21.09792757426516</v>
      </c>
      <c r="CP160" s="168">
        <v>45.9757987509401</v>
      </c>
      <c r="CQ160" s="168">
        <v>16.460584055053022</v>
      </c>
      <c r="CR160" s="168">
        <v>23.266067867945292</v>
      </c>
      <c r="CS160" s="168">
        <v>52.054594115578908</v>
      </c>
      <c r="CT160" s="168">
        <v>26.495386893925126</v>
      </c>
      <c r="CU160" s="168">
        <v>38.300136965624411</v>
      </c>
      <c r="CV160" s="168">
        <v>13.483113733813951</v>
      </c>
      <c r="CW160" s="168">
        <v>42.026428259824101</v>
      </c>
      <c r="CX160" s="168">
        <v>55.532751244286047</v>
      </c>
      <c r="CY160" s="168">
        <v>21.967692769934462</v>
      </c>
      <c r="CZ160" s="168">
        <v>32.948535800027798</v>
      </c>
      <c r="DA160" s="168">
        <v>19.940032995130473</v>
      </c>
    </row>
    <row r="161" spans="5:105">
      <c r="E161" s="172" t="s">
        <v>305</v>
      </c>
      <c r="F161" s="168">
        <f t="array" ref="F161:F163">MMULT($M$43:$O$45,F155:F157)</f>
        <v>100.00000000000003</v>
      </c>
      <c r="G161" s="168">
        <f t="array" ref="G161:G163">MMULT($M$43:$O$45,G155:G157)</f>
        <v>100.00000000000003</v>
      </c>
      <c r="H161" s="168">
        <f t="array" ref="H161:H163">MMULT($M$43:$O$45,H155:H157)</f>
        <v>100.00000000000003</v>
      </c>
      <c r="I161" s="168">
        <f t="array" ref="I161:I163">MMULT($M$43:$O$45,I155:I157)</f>
        <v>100.00000000000003</v>
      </c>
      <c r="J161" s="168">
        <f t="array" ref="J161:J163">MMULT($M$43:$O$45,J155:J157)</f>
        <v>100.00000000000003</v>
      </c>
      <c r="K161" s="168">
        <f t="array" ref="K161:K163">MMULT($M$43:$O$45,K155:K157)</f>
        <v>100.00000000000003</v>
      </c>
      <c r="L161" s="168">
        <f t="array" ref="L161:L163">MMULT($M$43:$O$45,L155:L157)</f>
        <v>100.00000000000003</v>
      </c>
      <c r="M161" s="168">
        <f t="array" ref="M161:M163">MMULT($M$43:$O$45,M155:M157)</f>
        <v>100.00000000000003</v>
      </c>
      <c r="N161" s="168">
        <f t="array" ref="N161:N163">MMULT($M$43:$O$45,N155:N157)</f>
        <v>100.00000000000003</v>
      </c>
      <c r="O161" s="168">
        <f t="array" ref="O161:O163">MMULT($M$43:$O$45,O155:O157)</f>
        <v>100.00000000000003</v>
      </c>
      <c r="P161" s="168">
        <f t="array" ref="P161:P163">MMULT($M$43:$O$45,P155:P157)</f>
        <v>100.00000000000003</v>
      </c>
      <c r="Q161" s="168">
        <f t="array" ref="Q161:Q163">MMULT($M$43:$O$45,Q155:Q157)</f>
        <v>100.00000000000003</v>
      </c>
      <c r="R161" s="168">
        <f t="array" ref="R161:R163">MMULT($M$43:$O$45,R155:R157)</f>
        <v>100.00000000000003</v>
      </c>
      <c r="S161" s="168">
        <f t="array" ref="S161:S163">MMULT($M$43:$O$45,S155:S157)</f>
        <v>100.00000000000003</v>
      </c>
      <c r="T161" s="168">
        <f t="array" ref="T161:T163">MMULT($M$43:$O$45,T155:T157)</f>
        <v>100.00000000000003</v>
      </c>
      <c r="U161" s="168">
        <f t="array" ref="U161:U163">MMULT($M$43:$O$45,U155:U157)</f>
        <v>100.00000000000003</v>
      </c>
      <c r="V161" s="168">
        <f t="array" ref="V161:V163">MMULT($M$43:$O$45,V155:V157)</f>
        <v>100.00000000000003</v>
      </c>
      <c r="W161" s="168">
        <f t="array" ref="W161:W163">MMULT($M$43:$O$45,W155:W157)</f>
        <v>100.00000000000003</v>
      </c>
      <c r="X161" s="168">
        <f t="array" ref="X161:X163">MMULT($M$43:$O$45,X155:X157)</f>
        <v>100.00000000000003</v>
      </c>
      <c r="Y161" s="168">
        <f t="array" ref="Y161:Y163">MMULT($M$43:$O$45,Y155:Y157)</f>
        <v>100.00000000000003</v>
      </c>
      <c r="Z161" s="168">
        <f t="array" ref="Z161:Z163">MMULT($M$43:$O$45,Z155:Z157)</f>
        <v>100.00000000000003</v>
      </c>
      <c r="AA161" s="168">
        <f t="array" ref="AA161:AA163">MMULT($M$43:$O$45,AA155:AA157)</f>
        <v>100.00000000000003</v>
      </c>
      <c r="AB161" s="168">
        <f t="array" ref="AB161:AB163">MMULT($M$43:$O$45,AB155:AB157)</f>
        <v>100.00000000000003</v>
      </c>
      <c r="AC161" s="168">
        <f t="array" ref="AC161:AC163">MMULT($M$43:$O$45,AC155:AC157)</f>
        <v>100.00000000000003</v>
      </c>
      <c r="AD161" s="168">
        <f t="array" ref="AD161:AD163">MMULT($M$43:$O$45,AD155:AD157)</f>
        <v>100.00000000000003</v>
      </c>
      <c r="AE161" s="168">
        <f t="array" ref="AE161:AE163">MMULT($M$43:$O$45,AE155:AE157)</f>
        <v>100.00000000000003</v>
      </c>
      <c r="AF161" s="168">
        <f t="array" ref="AF161:AF163">MMULT($M$43:$O$45,AF155:AF157)</f>
        <v>100.00000000000003</v>
      </c>
      <c r="AG161" s="168">
        <f t="array" ref="AG161:AG163">MMULT($M$43:$O$45,AG155:AG157)</f>
        <v>100.00000000000003</v>
      </c>
      <c r="AH161" s="168">
        <f t="array" ref="AH161:AH163">MMULT($M$43:$O$45,AH155:AH157)</f>
        <v>100.00000000000003</v>
      </c>
      <c r="AI161" s="168">
        <f t="array" ref="AI161:AI163">MMULT($M$43:$O$45,AI155:AI157)</f>
        <v>100.00000000000003</v>
      </c>
      <c r="AJ161" s="168">
        <f t="array" ref="AJ161:AJ163">MMULT($M$43:$O$45,AJ155:AJ157)</f>
        <v>100.00000000000003</v>
      </c>
      <c r="AK161" s="168">
        <f t="array" ref="AK161:AK163">MMULT($M$43:$O$45,AK155:AK157)</f>
        <v>100.00000000000003</v>
      </c>
      <c r="AL161" s="168">
        <f t="array" ref="AL161:AL163">MMULT($M$43:$O$45,AL155:AL157)</f>
        <v>100.00000000000003</v>
      </c>
      <c r="AM161" s="168">
        <f t="array" ref="AM161:AM163">MMULT($M$43:$O$45,AM155:AM157)</f>
        <v>100.00000000000003</v>
      </c>
      <c r="AN161" s="168">
        <f t="array" ref="AN161:AN163">MMULT($M$43:$O$45,AN155:AN157)</f>
        <v>100.00000000000003</v>
      </c>
      <c r="AO161" s="168">
        <f t="array" ref="AO161:AO163">MMULT($M$43:$O$45,AO155:AO157)</f>
        <v>100.00000000000003</v>
      </c>
      <c r="AP161" s="168">
        <f t="array" ref="AP161:AP163">MMULT($M$43:$O$45,AP155:AP157)</f>
        <v>100.00000000000003</v>
      </c>
      <c r="AQ161" s="168">
        <f t="array" ref="AQ161:AQ163">MMULT($M$43:$O$45,AQ155:AQ157)</f>
        <v>100.00000000000003</v>
      </c>
      <c r="AR161" s="168">
        <f t="array" ref="AR161:AR163">MMULT($M$43:$O$45,AR155:AR157)</f>
        <v>100.00000000000003</v>
      </c>
      <c r="AS161" s="168">
        <f t="array" ref="AS161:AS163">MMULT($M$43:$O$45,AS155:AS157)</f>
        <v>100.00000000000003</v>
      </c>
      <c r="AT161" s="168">
        <f t="array" ref="AT161:AT163">MMULT($M$43:$O$45,AT155:AT157)</f>
        <v>100.00000000000003</v>
      </c>
      <c r="AU161" s="168">
        <f t="array" ref="AU161:AU163">MMULT($M$43:$O$45,AU155:AU157)</f>
        <v>100.00000000000003</v>
      </c>
      <c r="AV161" s="168">
        <f t="array" ref="AV161:AV163">MMULT($M$43:$O$45,AV155:AV157)</f>
        <v>100.00000000000003</v>
      </c>
      <c r="AW161" s="168">
        <f t="array" ref="AW161:AW163">MMULT($M$43:$O$45,AW155:AW157)</f>
        <v>100.00000000000003</v>
      </c>
      <c r="AX161" s="168">
        <f t="array" ref="AX161:AX163">MMULT($M$43:$O$45,AX155:AX157)</f>
        <v>100.00000000000003</v>
      </c>
      <c r="AY161" s="168">
        <f t="array" ref="AY161:AY163">MMULT($M$43:$O$45,AY155:AY157)</f>
        <v>100.00000000000003</v>
      </c>
      <c r="AZ161" s="168">
        <f t="array" ref="AZ161:AZ163">MMULT($M$43:$O$45,AZ155:AZ157)</f>
        <v>100.00000000000003</v>
      </c>
      <c r="BA161" s="168">
        <f t="array" ref="BA161:BA163">MMULT($M$43:$O$45,BA155:BA157)</f>
        <v>100.00000000000003</v>
      </c>
      <c r="BB161" s="168">
        <f t="array" ref="BB161:BB163">MMULT($M$43:$O$45,BB155:BB157)</f>
        <v>100.00000000000003</v>
      </c>
      <c r="BC161" s="168">
        <f t="array" ref="BC161:BC163">MMULT($M$43:$O$45,BC155:BC157)</f>
        <v>100.00000000000003</v>
      </c>
      <c r="BD161" s="168">
        <f t="array" ref="BD161:BD163">MMULT($M$43:$O$45,BD155:BD157)</f>
        <v>100.00000000000003</v>
      </c>
      <c r="BE161" s="168">
        <f t="array" ref="BE161:BE163">MMULT($M$43:$O$45,BE155:BE157)</f>
        <v>100.00000000000003</v>
      </c>
      <c r="BF161" s="168">
        <f t="array" ref="BF161:BF163">MMULT($M$43:$O$45,BF155:BF157)</f>
        <v>100.00000000000003</v>
      </c>
      <c r="BG161" s="168">
        <f t="array" ref="BG161:BG163">MMULT($M$43:$O$45,BG155:BG157)</f>
        <v>100.00000000000003</v>
      </c>
      <c r="BH161" s="168">
        <f t="array" ref="BH161:BH163">MMULT($M$43:$O$45,BH155:BH157)</f>
        <v>100.00000000000003</v>
      </c>
      <c r="BI161" s="168">
        <f t="array" ref="BI161:BI163">MMULT($M$43:$O$45,BI155:BI157)</f>
        <v>100.00000000000003</v>
      </c>
      <c r="BJ161" s="168">
        <f t="array" ref="BJ161:BJ163">MMULT($M$43:$O$45,BJ155:BJ157)</f>
        <v>100.00000000000003</v>
      </c>
      <c r="BK161" s="168">
        <f t="array" ref="BK161:BK163">MMULT($M$43:$O$45,BK155:BK157)</f>
        <v>100.00000000000003</v>
      </c>
      <c r="BL161" s="168">
        <f t="array" ref="BL161:BL163">MMULT($M$43:$O$45,BL155:BL157)</f>
        <v>100.00000000000003</v>
      </c>
      <c r="BM161" s="168">
        <f t="array" ref="BM161:BM163">MMULT($M$43:$O$45,BM155:BM157)</f>
        <v>100.00000000000003</v>
      </c>
      <c r="BN161" s="168">
        <f t="array" ref="BN161:BN163">MMULT($M$43:$O$45,BN155:BN157)</f>
        <v>100.00000000000003</v>
      </c>
      <c r="BO161" s="168">
        <f t="array" ref="BO161:BO163">MMULT($M$43:$O$45,BO155:BO157)</f>
        <v>100.00000000000003</v>
      </c>
      <c r="BP161" s="168">
        <f t="array" ref="BP161:BP163">MMULT($M$43:$O$45,BP155:BP157)</f>
        <v>100.00000000000003</v>
      </c>
      <c r="BQ161" s="168">
        <f t="array" ref="BQ161:BQ163">MMULT($M$43:$O$45,BQ155:BQ157)</f>
        <v>100.00000000000003</v>
      </c>
      <c r="BR161" s="168">
        <f t="array" ref="BR161:BR163">MMULT($M$43:$O$45,BR155:BR157)</f>
        <v>100.00000000000003</v>
      </c>
      <c r="BS161" s="168">
        <f t="array" ref="BS161:BS163">MMULT($M$43:$O$45,BS155:BS157)</f>
        <v>100.00000000000003</v>
      </c>
      <c r="BT161" s="168">
        <f t="array" ref="BT161:BT163">MMULT($M$43:$O$45,BT155:BT157)</f>
        <v>100.00000000000003</v>
      </c>
      <c r="BU161" s="168">
        <f t="array" ref="BU161:BU163">MMULT($M$43:$O$45,BU155:BU157)</f>
        <v>100.00000000000003</v>
      </c>
      <c r="BV161" s="168">
        <f t="array" ref="BV161:BV163">MMULT($M$43:$O$45,BV155:BV157)</f>
        <v>100.00000000000003</v>
      </c>
      <c r="BW161" s="168">
        <f t="array" ref="BW161:BW163">MMULT($M$43:$O$45,BW155:BW157)</f>
        <v>100.00000000000003</v>
      </c>
      <c r="BX161" s="168">
        <f t="array" ref="BX161:BX163">MMULT($M$43:$O$45,BX155:BX157)</f>
        <v>100.00000000000003</v>
      </c>
      <c r="BY161" s="168">
        <f t="array" ref="BY161:BY163">MMULT($M$43:$O$45,BY155:BY157)</f>
        <v>100.00000000000003</v>
      </c>
      <c r="BZ161" s="168">
        <f t="array" ref="BZ161:BZ163">MMULT($M$43:$O$45,BZ155:BZ157)</f>
        <v>100.00000000000003</v>
      </c>
      <c r="CA161" s="168">
        <f t="array" ref="CA161:CA163">MMULT($M$43:$O$45,CA155:CA157)</f>
        <v>100.00000000000003</v>
      </c>
      <c r="CB161" s="168">
        <f t="array" ref="CB161:CB163">MMULT($M$43:$O$45,CB155:CB157)</f>
        <v>100.00000000000003</v>
      </c>
      <c r="CC161" s="168">
        <f t="array" ref="CC161:CC163">MMULT($M$43:$O$45,CC155:CC157)</f>
        <v>100.00000000000003</v>
      </c>
      <c r="CD161" s="168">
        <f t="array" ref="CD161:CD163">MMULT($M$43:$O$45,CD155:CD157)</f>
        <v>100.00000000000003</v>
      </c>
      <c r="CE161" s="168">
        <f t="array" ref="CE161:CE163">MMULT($M$43:$O$45,CE155:CE157)</f>
        <v>100.00000000000003</v>
      </c>
      <c r="CF161" s="168">
        <f t="array" ref="CF161:CF163">MMULT($M$43:$O$45,CF155:CF157)</f>
        <v>100.00000000000003</v>
      </c>
      <c r="CG161" s="168">
        <f t="array" ref="CG161:CG163">MMULT($M$43:$O$45,CG155:CG157)</f>
        <v>100.00000000000003</v>
      </c>
      <c r="CH161" s="168">
        <f t="array" ref="CH161:CH163">MMULT($M$43:$O$45,CH155:CH157)</f>
        <v>100.00000000000003</v>
      </c>
      <c r="CI161" s="168">
        <f t="array" ref="CI161:CI163">MMULT($M$43:$O$45,CI155:CI157)</f>
        <v>100.00000000000003</v>
      </c>
      <c r="CJ161" s="168">
        <f t="array" ref="CJ161:CJ163">MMULT($M$43:$O$45,CJ155:CJ157)</f>
        <v>100.00000000000003</v>
      </c>
      <c r="CK161" s="168">
        <f t="array" ref="CK161:CK163">MMULT($M$43:$O$45,CK155:CK157)</f>
        <v>100.00000000000003</v>
      </c>
      <c r="CL161" s="168">
        <f t="array" ref="CL161:CL163">MMULT($M$43:$O$45,CL155:CL157)</f>
        <v>100.00000000000003</v>
      </c>
      <c r="CM161" s="168">
        <f t="array" ref="CM161:CM163">MMULT($M$43:$O$45,CM155:CM157)</f>
        <v>100.00000000000003</v>
      </c>
      <c r="CN161" s="168">
        <f t="array" ref="CN161:CN163">MMULT($M$43:$O$45,CN155:CN157)</f>
        <v>100.00000000000003</v>
      </c>
      <c r="CO161" s="168">
        <f t="array" ref="CO161:CO163">MMULT($M$43:$O$45,CO155:CO157)</f>
        <v>100.00000000000003</v>
      </c>
      <c r="CP161" s="168">
        <f t="array" ref="CP161:CP163">MMULT($M$43:$O$45,CP155:CP157)</f>
        <v>100.00000000000003</v>
      </c>
      <c r="CQ161" s="168">
        <f t="array" ref="CQ161:CQ163">MMULT($M$43:$O$45,CQ155:CQ157)</f>
        <v>100.00000000000003</v>
      </c>
      <c r="CR161" s="168">
        <f t="array" ref="CR161:CR163">MMULT($M$43:$O$45,CR155:CR157)</f>
        <v>100.00000000000003</v>
      </c>
      <c r="CS161" s="168">
        <f t="array" ref="CS161:CS163">MMULT($M$43:$O$45,CS155:CS157)</f>
        <v>100.00000000000003</v>
      </c>
      <c r="CT161" s="168">
        <f t="array" ref="CT161:CT163">MMULT($M$43:$O$45,CT155:CT157)</f>
        <v>100.00000000000003</v>
      </c>
      <c r="CU161" s="168">
        <f t="array" ref="CU161:CU163">MMULT($M$43:$O$45,CU155:CU157)</f>
        <v>100.00000000000003</v>
      </c>
      <c r="CV161" s="168">
        <f t="array" ref="CV161:CV163">MMULT($M$43:$O$45,CV155:CV157)</f>
        <v>100.00000000000003</v>
      </c>
      <c r="CW161" s="168">
        <f t="array" ref="CW161:CW163">MMULT($M$43:$O$45,CW155:CW157)</f>
        <v>100.00000000000003</v>
      </c>
      <c r="CX161" s="168">
        <f t="array" ref="CX161:CX163">MMULT($M$43:$O$45,CX155:CX157)</f>
        <v>100.00000000000003</v>
      </c>
      <c r="CY161" s="168">
        <f t="array" ref="CY161:CY163">MMULT($M$43:$O$45,CY155:CY157)</f>
        <v>100.00000000000003</v>
      </c>
      <c r="CZ161" s="168">
        <f t="array" ref="CZ161:CZ163">MMULT($M$43:$O$45,CZ155:CZ157)</f>
        <v>100.00000000000003</v>
      </c>
      <c r="DA161" s="168">
        <f t="array" ref="DA161:DA163">MMULT($M$43:$O$45,DA155:DA157)</f>
        <v>100.00000000000003</v>
      </c>
    </row>
    <row r="162" spans="5:105">
      <c r="E162" s="172" t="s">
        <v>306</v>
      </c>
      <c r="F162" s="168">
        <v>100.00000000000001</v>
      </c>
      <c r="G162" s="168">
        <v>100.00000000000001</v>
      </c>
      <c r="H162" s="168">
        <v>100.00000000000001</v>
      </c>
      <c r="I162" s="168">
        <v>100.00000000000001</v>
      </c>
      <c r="J162" s="168">
        <v>100.00000000000001</v>
      </c>
      <c r="K162" s="168">
        <v>100.00000000000001</v>
      </c>
      <c r="L162" s="168">
        <v>100.00000000000001</v>
      </c>
      <c r="M162" s="168">
        <v>100.00000000000001</v>
      </c>
      <c r="N162" s="168">
        <v>100.00000000000001</v>
      </c>
      <c r="O162" s="168">
        <v>100.00000000000001</v>
      </c>
      <c r="P162" s="168">
        <v>100.00000000000001</v>
      </c>
      <c r="Q162" s="168">
        <v>100.00000000000001</v>
      </c>
      <c r="R162" s="168">
        <v>100.00000000000001</v>
      </c>
      <c r="S162" s="168">
        <v>100.00000000000001</v>
      </c>
      <c r="T162" s="168">
        <v>100.00000000000001</v>
      </c>
      <c r="U162" s="168">
        <v>100.00000000000001</v>
      </c>
      <c r="V162" s="168">
        <v>100.00000000000001</v>
      </c>
      <c r="W162" s="168">
        <v>100.00000000000001</v>
      </c>
      <c r="X162" s="168">
        <v>100.00000000000001</v>
      </c>
      <c r="Y162" s="168">
        <v>100.00000000000001</v>
      </c>
      <c r="Z162" s="168">
        <v>100.00000000000001</v>
      </c>
      <c r="AA162" s="168">
        <v>100.00000000000001</v>
      </c>
      <c r="AB162" s="168">
        <v>100.00000000000001</v>
      </c>
      <c r="AC162" s="168">
        <v>100.00000000000001</v>
      </c>
      <c r="AD162" s="168">
        <v>100.00000000000001</v>
      </c>
      <c r="AE162" s="168">
        <v>100.00000000000001</v>
      </c>
      <c r="AF162" s="168">
        <v>100.00000000000001</v>
      </c>
      <c r="AG162" s="168">
        <v>100.00000000000001</v>
      </c>
      <c r="AH162" s="168">
        <v>100.00000000000001</v>
      </c>
      <c r="AI162" s="168">
        <v>100.00000000000001</v>
      </c>
      <c r="AJ162" s="168">
        <v>100.00000000000001</v>
      </c>
      <c r="AK162" s="168">
        <v>100.00000000000001</v>
      </c>
      <c r="AL162" s="168">
        <v>100.00000000000001</v>
      </c>
      <c r="AM162" s="168">
        <v>100.00000000000001</v>
      </c>
      <c r="AN162" s="168">
        <v>100.00000000000001</v>
      </c>
      <c r="AO162" s="168">
        <v>100.00000000000001</v>
      </c>
      <c r="AP162" s="168">
        <v>100.00000000000001</v>
      </c>
      <c r="AQ162" s="168">
        <v>100.00000000000001</v>
      </c>
      <c r="AR162" s="168">
        <v>100.00000000000001</v>
      </c>
      <c r="AS162" s="168">
        <v>100.00000000000001</v>
      </c>
      <c r="AT162" s="168">
        <v>100.00000000000001</v>
      </c>
      <c r="AU162" s="168">
        <v>100.00000000000001</v>
      </c>
      <c r="AV162" s="168">
        <v>100.00000000000001</v>
      </c>
      <c r="AW162" s="168">
        <v>100.00000000000001</v>
      </c>
      <c r="AX162" s="168">
        <v>100.00000000000001</v>
      </c>
      <c r="AY162" s="168">
        <v>100.00000000000001</v>
      </c>
      <c r="AZ162" s="168">
        <v>100.00000000000001</v>
      </c>
      <c r="BA162" s="168">
        <v>100.00000000000001</v>
      </c>
      <c r="BB162" s="168">
        <v>100.00000000000001</v>
      </c>
      <c r="BC162" s="168">
        <v>100.00000000000001</v>
      </c>
      <c r="BD162" s="168">
        <v>100.00000000000001</v>
      </c>
      <c r="BE162" s="168">
        <v>100.00000000000001</v>
      </c>
      <c r="BF162" s="168">
        <v>100.00000000000001</v>
      </c>
      <c r="BG162" s="168">
        <v>100.00000000000001</v>
      </c>
      <c r="BH162" s="168">
        <v>100.00000000000001</v>
      </c>
      <c r="BI162" s="168">
        <v>100.00000000000001</v>
      </c>
      <c r="BJ162" s="168">
        <v>100.00000000000001</v>
      </c>
      <c r="BK162" s="168">
        <v>100.00000000000001</v>
      </c>
      <c r="BL162" s="168">
        <v>100.00000000000001</v>
      </c>
      <c r="BM162" s="168">
        <v>100.00000000000001</v>
      </c>
      <c r="BN162" s="168">
        <v>100.00000000000001</v>
      </c>
      <c r="BO162" s="168">
        <v>100.00000000000001</v>
      </c>
      <c r="BP162" s="168">
        <v>100.00000000000001</v>
      </c>
      <c r="BQ162" s="168">
        <v>100.00000000000001</v>
      </c>
      <c r="BR162" s="168">
        <v>100.00000000000001</v>
      </c>
      <c r="BS162" s="168">
        <v>100.00000000000001</v>
      </c>
      <c r="BT162" s="168">
        <v>100.00000000000001</v>
      </c>
      <c r="BU162" s="168">
        <v>100.00000000000001</v>
      </c>
      <c r="BV162" s="168">
        <v>100.00000000000001</v>
      </c>
      <c r="BW162" s="168">
        <v>100.00000000000001</v>
      </c>
      <c r="BX162" s="168">
        <v>100.00000000000001</v>
      </c>
      <c r="BY162" s="168">
        <v>100.00000000000001</v>
      </c>
      <c r="BZ162" s="168">
        <v>100.00000000000001</v>
      </c>
      <c r="CA162" s="168">
        <v>100.00000000000001</v>
      </c>
      <c r="CB162" s="168">
        <v>100.00000000000001</v>
      </c>
      <c r="CC162" s="168">
        <v>100.00000000000001</v>
      </c>
      <c r="CD162" s="168">
        <v>100.00000000000001</v>
      </c>
      <c r="CE162" s="168">
        <v>100.00000000000001</v>
      </c>
      <c r="CF162" s="168">
        <v>100.00000000000001</v>
      </c>
      <c r="CG162" s="168">
        <v>100.00000000000001</v>
      </c>
      <c r="CH162" s="168">
        <v>100.00000000000001</v>
      </c>
      <c r="CI162" s="168">
        <v>100.00000000000001</v>
      </c>
      <c r="CJ162" s="168">
        <v>100.00000000000001</v>
      </c>
      <c r="CK162" s="168">
        <v>100.00000000000001</v>
      </c>
      <c r="CL162" s="168">
        <v>100.00000000000001</v>
      </c>
      <c r="CM162" s="168">
        <v>100.00000000000001</v>
      </c>
      <c r="CN162" s="168">
        <v>100.00000000000001</v>
      </c>
      <c r="CO162" s="168">
        <v>100.00000000000001</v>
      </c>
      <c r="CP162" s="168">
        <v>100.00000000000001</v>
      </c>
      <c r="CQ162" s="168">
        <v>100.00000000000001</v>
      </c>
      <c r="CR162" s="168">
        <v>100.00000000000001</v>
      </c>
      <c r="CS162" s="168">
        <v>100.00000000000001</v>
      </c>
      <c r="CT162" s="168">
        <v>100.00000000000001</v>
      </c>
      <c r="CU162" s="168">
        <v>100.00000000000001</v>
      </c>
      <c r="CV162" s="168">
        <v>100.00000000000001</v>
      </c>
      <c r="CW162" s="168">
        <v>100.00000000000001</v>
      </c>
      <c r="CX162" s="168">
        <v>100.00000000000001</v>
      </c>
      <c r="CY162" s="168">
        <v>100.00000000000001</v>
      </c>
      <c r="CZ162" s="168">
        <v>100.00000000000001</v>
      </c>
      <c r="DA162" s="168">
        <v>100.00000000000001</v>
      </c>
    </row>
    <row r="163" spans="5:105">
      <c r="E163" s="172" t="s">
        <v>307</v>
      </c>
      <c r="F163" s="168">
        <v>99.999999999999986</v>
      </c>
      <c r="G163" s="168">
        <v>99.999999999999986</v>
      </c>
      <c r="H163" s="168">
        <v>99.999999999999986</v>
      </c>
      <c r="I163" s="168">
        <v>99.999999999999986</v>
      </c>
      <c r="J163" s="168">
        <v>99.999999999999986</v>
      </c>
      <c r="K163" s="168">
        <v>99.999999999999986</v>
      </c>
      <c r="L163" s="168">
        <v>99.999999999999986</v>
      </c>
      <c r="M163" s="168">
        <v>99.999999999999986</v>
      </c>
      <c r="N163" s="168">
        <v>99.999999999999986</v>
      </c>
      <c r="O163" s="168">
        <v>99.999999999999986</v>
      </c>
      <c r="P163" s="168">
        <v>99.999999999999986</v>
      </c>
      <c r="Q163" s="168">
        <v>99.999999999999986</v>
      </c>
      <c r="R163" s="168">
        <v>99.999999999999986</v>
      </c>
      <c r="S163" s="168">
        <v>99.999999999999986</v>
      </c>
      <c r="T163" s="168">
        <v>99.999999999999986</v>
      </c>
      <c r="U163" s="168">
        <v>99.999999999999986</v>
      </c>
      <c r="V163" s="168">
        <v>99.999999999999986</v>
      </c>
      <c r="W163" s="168">
        <v>99.999999999999986</v>
      </c>
      <c r="X163" s="168">
        <v>99.999999999999986</v>
      </c>
      <c r="Y163" s="168">
        <v>99.999999999999986</v>
      </c>
      <c r="Z163" s="168">
        <v>99.999999999999986</v>
      </c>
      <c r="AA163" s="168">
        <v>99.999999999999986</v>
      </c>
      <c r="AB163" s="168">
        <v>99.999999999999986</v>
      </c>
      <c r="AC163" s="168">
        <v>99.999999999999986</v>
      </c>
      <c r="AD163" s="168">
        <v>99.999999999999986</v>
      </c>
      <c r="AE163" s="168">
        <v>99.999999999999986</v>
      </c>
      <c r="AF163" s="168">
        <v>99.999999999999986</v>
      </c>
      <c r="AG163" s="168">
        <v>99.999999999999986</v>
      </c>
      <c r="AH163" s="168">
        <v>99.999999999999986</v>
      </c>
      <c r="AI163" s="168">
        <v>99.999999999999986</v>
      </c>
      <c r="AJ163" s="168">
        <v>99.999999999999986</v>
      </c>
      <c r="AK163" s="168">
        <v>99.999999999999986</v>
      </c>
      <c r="AL163" s="168">
        <v>99.999999999999986</v>
      </c>
      <c r="AM163" s="168">
        <v>99.999999999999986</v>
      </c>
      <c r="AN163" s="168">
        <v>99.999999999999986</v>
      </c>
      <c r="AO163" s="168">
        <v>99.999999999999986</v>
      </c>
      <c r="AP163" s="168">
        <v>99.999999999999986</v>
      </c>
      <c r="AQ163" s="168">
        <v>99.999999999999986</v>
      </c>
      <c r="AR163" s="168">
        <v>99.999999999999986</v>
      </c>
      <c r="AS163" s="168">
        <v>99.999999999999986</v>
      </c>
      <c r="AT163" s="168">
        <v>99.999999999999986</v>
      </c>
      <c r="AU163" s="168">
        <v>99.999999999999986</v>
      </c>
      <c r="AV163" s="168">
        <v>99.999999999999986</v>
      </c>
      <c r="AW163" s="168">
        <v>99.999999999999986</v>
      </c>
      <c r="AX163" s="168">
        <v>99.999999999999986</v>
      </c>
      <c r="AY163" s="168">
        <v>99.999999999999986</v>
      </c>
      <c r="AZ163" s="168">
        <v>99.999999999999986</v>
      </c>
      <c r="BA163" s="168">
        <v>99.999999999999986</v>
      </c>
      <c r="BB163" s="168">
        <v>99.999999999999986</v>
      </c>
      <c r="BC163" s="168">
        <v>99.999999999999986</v>
      </c>
      <c r="BD163" s="168">
        <v>99.999999999999986</v>
      </c>
      <c r="BE163" s="168">
        <v>99.999999999999986</v>
      </c>
      <c r="BF163" s="168">
        <v>99.999999999999986</v>
      </c>
      <c r="BG163" s="168">
        <v>99.999999999999986</v>
      </c>
      <c r="BH163" s="168">
        <v>99.999999999999986</v>
      </c>
      <c r="BI163" s="168">
        <v>99.999999999999986</v>
      </c>
      <c r="BJ163" s="168">
        <v>99.999999999999986</v>
      </c>
      <c r="BK163" s="168">
        <v>99.999999999999986</v>
      </c>
      <c r="BL163" s="168">
        <v>99.999999999999986</v>
      </c>
      <c r="BM163" s="168">
        <v>99.999999999999986</v>
      </c>
      <c r="BN163" s="168">
        <v>99.999999999999986</v>
      </c>
      <c r="BO163" s="168">
        <v>99.999999999999986</v>
      </c>
      <c r="BP163" s="168">
        <v>99.999999999999986</v>
      </c>
      <c r="BQ163" s="168">
        <v>99.999999999999986</v>
      </c>
      <c r="BR163" s="168">
        <v>99.999999999999986</v>
      </c>
      <c r="BS163" s="168">
        <v>99.999999999999986</v>
      </c>
      <c r="BT163" s="168">
        <v>99.999999999999986</v>
      </c>
      <c r="BU163" s="168">
        <v>99.999999999999986</v>
      </c>
      <c r="BV163" s="168">
        <v>99.999999999999986</v>
      </c>
      <c r="BW163" s="168">
        <v>99.999999999999986</v>
      </c>
      <c r="BX163" s="168">
        <v>99.999999999999986</v>
      </c>
      <c r="BY163" s="168">
        <v>99.999999999999986</v>
      </c>
      <c r="BZ163" s="168">
        <v>99.999999999999986</v>
      </c>
      <c r="CA163" s="168">
        <v>99.999999999999986</v>
      </c>
      <c r="CB163" s="168">
        <v>99.999999999999986</v>
      </c>
      <c r="CC163" s="168">
        <v>99.999999999999986</v>
      </c>
      <c r="CD163" s="168">
        <v>99.999999999999986</v>
      </c>
      <c r="CE163" s="168">
        <v>99.999999999999986</v>
      </c>
      <c r="CF163" s="168">
        <v>99.999999999999986</v>
      </c>
      <c r="CG163" s="168">
        <v>99.999999999999986</v>
      </c>
      <c r="CH163" s="168">
        <v>99.999999999999986</v>
      </c>
      <c r="CI163" s="168">
        <v>99.999999999999986</v>
      </c>
      <c r="CJ163" s="168">
        <v>99.999999999999986</v>
      </c>
      <c r="CK163" s="168">
        <v>99.999999999999986</v>
      </c>
      <c r="CL163" s="168">
        <v>99.999999999999986</v>
      </c>
      <c r="CM163" s="168">
        <v>99.999999999999986</v>
      </c>
      <c r="CN163" s="168">
        <v>99.999999999999986</v>
      </c>
      <c r="CO163" s="168">
        <v>99.999999999999986</v>
      </c>
      <c r="CP163" s="168">
        <v>99.999999999999986</v>
      </c>
      <c r="CQ163" s="168">
        <v>99.999999999999986</v>
      </c>
      <c r="CR163" s="168">
        <v>99.999999999999986</v>
      </c>
      <c r="CS163" s="168">
        <v>99.999999999999986</v>
      </c>
      <c r="CT163" s="168">
        <v>99.999999999999986</v>
      </c>
      <c r="CU163" s="168">
        <v>99.999999999999986</v>
      </c>
      <c r="CV163" s="168">
        <v>99.999999999999986</v>
      </c>
      <c r="CW163" s="168">
        <v>99.999999999999986</v>
      </c>
      <c r="CX163" s="168">
        <v>99.999999999999986</v>
      </c>
      <c r="CY163" s="168">
        <v>99.999999999999986</v>
      </c>
      <c r="CZ163" s="168">
        <v>99.999999999999986</v>
      </c>
      <c r="DA163" s="168">
        <v>99.999999999999986</v>
      </c>
    </row>
    <row r="164" spans="5:105">
      <c r="E164" s="172" t="s">
        <v>308</v>
      </c>
      <c r="F164" s="168">
        <f t="array" ref="F164:F166">MMULT($Q$43:$S$45,F158:F160)</f>
        <v>100.00100000000003</v>
      </c>
      <c r="G164" s="168">
        <f t="array" ref="G164:G166">MMULT($Q$43:$S$45,G158:G160)</f>
        <v>65.398827788321171</v>
      </c>
      <c r="H164" s="168">
        <f t="array" ref="H164:H166">MMULT($Q$43:$S$45,H158:H160)</f>
        <v>28.778929588563237</v>
      </c>
      <c r="I164" s="168">
        <f t="array" ref="I164:I166">MMULT($Q$43:$S$45,I158:I160)</f>
        <v>5.6723563701762849</v>
      </c>
      <c r="J164" s="168">
        <f t="array" ref="J164:J166">MMULT($Q$43:$S$45,J158:J160)</f>
        <v>40.171572595930805</v>
      </c>
      <c r="K164" s="168">
        <f t="array" ref="K164:K166">MMULT($Q$43:$S$45,K158:K160)</f>
        <v>16.199123450682013</v>
      </c>
      <c r="L164" s="168">
        <f t="array" ref="L164:L166">MMULT($Q$43:$S$45,L158:L160)</f>
        <v>18.059679019272064</v>
      </c>
      <c r="M164" s="168">
        <f t="array" ref="M164:M166">MMULT($Q$43:$S$45,M158:M160)</f>
        <v>10.71867664635549</v>
      </c>
      <c r="N164" s="168">
        <f t="array" ref="N164:N166">MMULT($Q$43:$S$45,N158:N160)</f>
        <v>9.8876339302567544</v>
      </c>
      <c r="O164" s="168">
        <f t="array" ref="O164:O166">MMULT($Q$43:$S$45,O158:O160)</f>
        <v>4.8446142534845187</v>
      </c>
      <c r="P164" s="168">
        <f t="array" ref="P164:P166">MMULT($Q$43:$S$45,P158:P160)</f>
        <v>49.189573963804378</v>
      </c>
      <c r="Q164" s="168">
        <f t="array" ref="Q164:Q166">MMULT($Q$43:$S$45,Q158:Q160)</f>
        <v>26.868971307633821</v>
      </c>
      <c r="R164" s="168">
        <f t="array" ref="R164:R166">MMULT($Q$43:$S$45,R158:R160)</f>
        <v>33.5307766387795</v>
      </c>
      <c r="S164" s="168">
        <f t="array" ref="S164:S166">MMULT($Q$43:$S$45,S158:S160)</f>
        <v>11.829141556412734</v>
      </c>
      <c r="T164" s="168">
        <f t="array" ref="T164:T166">MMULT($Q$43:$S$45,T158:T160)</f>
        <v>43.342860191089585</v>
      </c>
      <c r="U164" s="168">
        <f t="array" ref="U164:U166">MMULT($Q$43:$S$45,U158:U160)</f>
        <v>38.829970783272074</v>
      </c>
      <c r="V164" s="168">
        <f t="array" ref="V164:V166">MMULT($Q$43:$S$45,V158:V160)</f>
        <v>14.731264238723332</v>
      </c>
      <c r="W164" s="168">
        <f t="array" ref="W164:W166">MMULT($Q$43:$S$45,W158:W160)</f>
        <v>17.62578648948233</v>
      </c>
      <c r="X164" s="168">
        <f t="array" ref="X164:X166">MMULT($Q$43:$S$45,X158:X160)</f>
        <v>22.018101108590376</v>
      </c>
      <c r="Y164" s="168">
        <f t="array" ref="Y164:Y166">MMULT($Q$43:$S$45,Y158:Y160)</f>
        <v>43.824719829541614</v>
      </c>
      <c r="Z164" s="168">
        <f t="array" ref="Z164:Z166">MMULT($Q$43:$S$45,Z158:Z160)</f>
        <v>33.271472644297127</v>
      </c>
      <c r="AA164" s="168">
        <f t="array" ref="AA164:AA166">MMULT($Q$43:$S$45,AA158:AA160)</f>
        <v>71.971701257743263</v>
      </c>
      <c r="AB164" s="168">
        <f t="array" ref="AB164:AB166">MMULT($Q$43:$S$45,AB158:AB160)</f>
        <v>55.062910544650613</v>
      </c>
      <c r="AC164" s="168">
        <f t="array" ref="AC164:AC166">MMULT($Q$43:$S$45,AC158:AC160)</f>
        <v>78.808641515950356</v>
      </c>
      <c r="AD164" s="168">
        <f t="array" ref="AD164:AD166">MMULT($Q$43:$S$45,AD158:AD160)</f>
        <v>80.082968822900057</v>
      </c>
      <c r="AE164" s="168">
        <f t="array" ref="AE164:AE166">MMULT($Q$43:$S$45,AE158:AE160)</f>
        <v>44.346665412584422</v>
      </c>
      <c r="AF164" s="168">
        <f t="array" ref="AF164:AF166">MMULT($Q$43:$S$45,AF158:AF160)</f>
        <v>77.690878547256091</v>
      </c>
      <c r="AG164" s="168">
        <f t="array" ref="AG164:AG166">MMULT($Q$43:$S$45,AG158:AG160)</f>
        <v>42.655676923919572</v>
      </c>
      <c r="AH164" s="168">
        <f t="array" ref="AH164:AH166">MMULT($Q$43:$S$45,AH158:AH160)</f>
        <v>11.580993913749836</v>
      </c>
      <c r="AI164" s="168">
        <f t="array" ref="AI164:AI166">MMULT($Q$43:$S$45,AI158:AI160)</f>
        <v>68.959682333131624</v>
      </c>
      <c r="AJ164" s="168">
        <f t="array" ref="AJ164:AJ166">MMULT($Q$43:$S$45,AJ158:AJ160)</f>
        <v>30.38274909123264</v>
      </c>
      <c r="AK164" s="168">
        <f t="array" ref="AK164:AK166">MMULT($Q$43:$S$45,AK158:AK160)</f>
        <v>72.445980266269927</v>
      </c>
      <c r="AL164" s="168">
        <f t="array" ref="AL164:AL166">MMULT($Q$43:$S$45,AL158:AL160)</f>
        <v>47.215991476023056</v>
      </c>
      <c r="AM164" s="168">
        <f t="array" ref="AM164:AM166">MMULT($Q$43:$S$45,AM158:AM160)</f>
        <v>73.578331877848157</v>
      </c>
      <c r="AN164" s="168">
        <f t="array" ref="AN164:AN166">MMULT($Q$43:$S$45,AN158:AN160)</f>
        <v>29.530272881104338</v>
      </c>
      <c r="AO164" s="168">
        <f t="array" ref="AO164:AO166">MMULT($Q$43:$S$45,AO158:AO160)</f>
        <v>11.95471069685383</v>
      </c>
      <c r="AP164" s="168">
        <f t="array" ref="AP164:AP166">MMULT($Q$43:$S$45,AP158:AP160)</f>
        <v>53.518646486542806</v>
      </c>
      <c r="AQ164" s="168">
        <f t="array" ref="AQ164:AQ166">MMULT($Q$43:$S$45,AQ158:AQ160)</f>
        <v>15.945348774959172</v>
      </c>
      <c r="AR164" s="168">
        <f t="array" ref="AR164:AR166">MMULT($Q$43:$S$45,AR158:AR160)</f>
        <v>65.074093809735388</v>
      </c>
      <c r="AS164" s="168">
        <f t="array" ref="AS164:AS166">MMULT($Q$43:$S$45,AS158:AS160)</f>
        <v>7.3651196315555403</v>
      </c>
      <c r="AT164" s="168">
        <f t="array" ref="AT164:AT166">MMULT($Q$43:$S$45,AT158:AT160)</f>
        <v>15.570078939642949</v>
      </c>
      <c r="AU164" s="168">
        <f t="array" ref="AU164:AU166">MMULT($Q$43:$S$45,AU158:AU160)</f>
        <v>67.965676510855701</v>
      </c>
      <c r="AV164" s="168">
        <f t="array" ref="AV164:AV166">MMULT($Q$43:$S$45,AV158:AV160)</f>
        <v>35.308858324359363</v>
      </c>
      <c r="AW164" s="168">
        <f t="array" ref="AW164:AW166">MMULT($Q$43:$S$45,AW158:AW160)</f>
        <v>40.269545350487476</v>
      </c>
      <c r="AX164" s="168">
        <f t="array" ref="AX164:AX166">MMULT($Q$43:$S$45,AX158:AX160)</f>
        <v>4.9190351973744297</v>
      </c>
      <c r="AY164" s="168">
        <f t="array" ref="AY164:AY166">MMULT($Q$43:$S$45,AY158:AY160)</f>
        <v>23.114179210858744</v>
      </c>
      <c r="AZ164" s="168">
        <f t="array" ref="AZ164:AZ166">MMULT($Q$43:$S$45,AZ158:AZ160)</f>
        <v>32.47942285340784</v>
      </c>
      <c r="BA164" s="168">
        <f t="array" ref="BA164:BA166">MMULT($Q$43:$S$45,BA158:BA160)</f>
        <v>35.090355235373863</v>
      </c>
      <c r="BB164" s="168">
        <f t="array" ref="BB164:BB166">MMULT($Q$43:$S$45,BB158:BB160)</f>
        <v>48.348572695579492</v>
      </c>
      <c r="BC164" s="168">
        <f t="array" ref="BC164:BC166">MMULT($Q$43:$S$45,BC158:BC160)</f>
        <v>13.02295515925052</v>
      </c>
      <c r="BD164" s="168">
        <f t="array" ref="BD164:BD166">MMULT($Q$43:$S$45,BD158:BD160)</f>
        <v>18.302166701288229</v>
      </c>
      <c r="BE164" s="168">
        <f t="array" ref="BE164:BE166">MMULT($Q$43:$S$45,BE158:BE160)</f>
        <v>21.437454467966241</v>
      </c>
      <c r="BF164" s="168">
        <f t="array" ref="BF164:BF166">MMULT($Q$43:$S$45,BF158:BF160)</f>
        <v>9.0528889172724245</v>
      </c>
      <c r="BG164" s="168">
        <f t="array" ref="BG164:BG166">MMULT($Q$43:$S$45,BG158:BG160)</f>
        <v>13.205912674059473</v>
      </c>
      <c r="BH164" s="168">
        <f t="array" ref="BH164:BH166">MMULT($Q$43:$S$45,BH158:BH160)</f>
        <v>64.832306068077258</v>
      </c>
      <c r="BI164" s="168">
        <f t="array" ref="BI164:BI166">MMULT($Q$43:$S$45,BI158:BI160)</f>
        <v>56.396874110779152</v>
      </c>
      <c r="BJ164" s="168">
        <f t="array" ref="BJ164:BJ166">MMULT($Q$43:$S$45,BJ158:BJ160)</f>
        <v>33.980184517865055</v>
      </c>
      <c r="BK164" s="168">
        <f t="array" ref="BK164:BK166">MMULT($Q$43:$S$45,BK158:BK160)</f>
        <v>19.167480364076862</v>
      </c>
      <c r="BL164" s="168">
        <f t="array" ref="BL164:BL166">MMULT($Q$43:$S$45,BL158:BL160)</f>
        <v>16.173941783951072</v>
      </c>
      <c r="BM164" s="168">
        <f t="array" ref="BM164:BM166">MMULT($Q$43:$S$45,BM158:BM160)</f>
        <v>63.114550155272731</v>
      </c>
      <c r="BN164" s="168">
        <f t="array" ref="BN164:BN166">MMULT($Q$43:$S$45,BN158:BN160)</f>
        <v>67.528005937706936</v>
      </c>
      <c r="BO164" s="168">
        <f t="array" ref="BO164:BO166">MMULT($Q$43:$S$45,BO158:BO160)</f>
        <v>44.151046765966875</v>
      </c>
      <c r="BP164" s="168">
        <f t="array" ref="BP164:BP166">MMULT($Q$43:$S$45,BP158:BP160)</f>
        <v>31.821760284062712</v>
      </c>
      <c r="BQ164" s="168">
        <f t="array" ref="BQ164:BQ166">MMULT($Q$43:$S$45,BQ158:BQ160)</f>
        <v>7.1984427362345631</v>
      </c>
      <c r="BR164" s="168">
        <f t="array" ref="BR164:BR166">MMULT($Q$43:$S$45,BR158:BR160)</f>
        <v>19.020876297223204</v>
      </c>
      <c r="BS164" s="168">
        <f t="array" ref="BS164:BS166">MMULT($Q$43:$S$45,BS158:BS160)</f>
        <v>9.5230115372498965</v>
      </c>
      <c r="BT164" s="168">
        <f t="array" ref="BT164:BT166">MMULT($Q$43:$S$45,BT158:BT160)</f>
        <v>9.5342593891697742</v>
      </c>
      <c r="BU164" s="168">
        <f t="array" ref="BU164:BU166">MMULT($Q$43:$S$45,BU158:BU160)</f>
        <v>11.230253207258507</v>
      </c>
      <c r="BV164" s="168">
        <f t="array" ref="BV164:BV166">MMULT($Q$43:$S$45,BV158:BV160)</f>
        <v>25.691795524697319</v>
      </c>
      <c r="BW164" s="168">
        <f t="array" ref="BW164:BW166">MMULT($Q$43:$S$45,BW158:BW160)</f>
        <v>17.086586830058994</v>
      </c>
      <c r="BX164" s="168">
        <f t="array" ref="BX164:BX166">MMULT($Q$43:$S$45,BX158:BX160)</f>
        <v>35.448286056720065</v>
      </c>
      <c r="BY164" s="168">
        <f t="array" ref="BY164:BY166">MMULT($Q$43:$S$45,BY158:BY160)</f>
        <v>6.0150045200881763</v>
      </c>
      <c r="BZ164" s="168">
        <f t="array" ref="BZ164:BZ166">MMULT($Q$43:$S$45,BZ158:BZ160)</f>
        <v>45.343777341474151</v>
      </c>
      <c r="CA164" s="168">
        <f t="array" ref="CA164:CA166">MMULT($Q$43:$S$45,CA158:CA160)</f>
        <v>18.406229973137489</v>
      </c>
      <c r="CB164" s="168">
        <f t="array" ref="CB164:CB166">MMULT($Q$43:$S$45,CB158:CB160)</f>
        <v>4.67879901840681</v>
      </c>
      <c r="CC164" s="168">
        <f t="array" ref="CC164:CC166">MMULT($Q$43:$S$45,CC158:CC160)</f>
        <v>5.5807382620721411</v>
      </c>
      <c r="CD164" s="168">
        <f t="array" ref="CD164:CD166">MMULT($Q$43:$S$45,CD158:CD160)</f>
        <v>11.396791645040272</v>
      </c>
      <c r="CE164" s="168">
        <f t="array" ref="CE164:CE166">MMULT($Q$43:$S$45,CE158:CE160)</f>
        <v>10.433459817049037</v>
      </c>
      <c r="CF164" s="168">
        <f t="array" ref="CF164:CF166">MMULT($Q$43:$S$45,CF158:CF160)</f>
        <v>10.036700490971995</v>
      </c>
      <c r="CG164" s="168">
        <f t="array" ref="CG164:CG166">MMULT($Q$43:$S$45,CG158:CG160)</f>
        <v>39.054115787985772</v>
      </c>
      <c r="CH164" s="168">
        <f t="array" ref="CH164:CH166">MMULT($Q$43:$S$45,CH158:CH160)</f>
        <v>29.373866213333002</v>
      </c>
      <c r="CI164" s="168">
        <f t="array" ref="CI164:CI166">MMULT($Q$43:$S$45,CI158:CI160)</f>
        <v>10.397604997107464</v>
      </c>
      <c r="CJ164" s="168">
        <f t="array" ref="CJ164:CJ166">MMULT($Q$43:$S$45,CJ158:CJ160)</f>
        <v>65.976448083757234</v>
      </c>
      <c r="CK164" s="168">
        <f t="array" ref="CK164:CK166">MMULT($Q$43:$S$45,CK158:CK160)</f>
        <v>40.43768126543781</v>
      </c>
      <c r="CL164" s="168">
        <f t="array" ref="CL164:CL166">MMULT($Q$43:$S$45,CL158:CL160)</f>
        <v>4.3855635137265736</v>
      </c>
      <c r="CM164" s="168">
        <f t="array" ref="CM164:CM166">MMULT($Q$43:$S$45,CM158:CM160)</f>
        <v>9.9559959935931985</v>
      </c>
      <c r="CN164" s="168">
        <f t="array" ref="CN164:CN166">MMULT($Q$43:$S$45,CN158:CN160)</f>
        <v>28.445539589539845</v>
      </c>
      <c r="CO164" s="168">
        <f t="array" ref="CO164:CO166">MMULT($Q$43:$S$45,CO158:CO160)</f>
        <v>8.8261983651696347</v>
      </c>
      <c r="CP164" s="168">
        <f t="array" ref="CP164:CP166">MMULT($Q$43:$S$45,CP158:CP160)</f>
        <v>26.661892469376912</v>
      </c>
      <c r="CQ164" s="168">
        <f t="array" ref="CQ164:CQ166">MMULT($Q$43:$S$45,CQ158:CQ160)</f>
        <v>8.7754800912681219</v>
      </c>
      <c r="CR164" s="168">
        <f t="array" ref="CR164:CR166">MMULT($Q$43:$S$45,CR158:CR160)</f>
        <v>12.09657386676137</v>
      </c>
      <c r="CS164" s="168">
        <f t="array" ref="CS164:CS166">MMULT($Q$43:$S$45,CS158:CS160)</f>
        <v>52.630118511984826</v>
      </c>
      <c r="CT164" s="168">
        <f t="array" ref="CT164:CT166">MMULT($Q$43:$S$45,CT158:CT160)</f>
        <v>19.822340366746303</v>
      </c>
      <c r="CU164" s="168">
        <f t="array" ref="CU164:CU166">MMULT($Q$43:$S$45,CU158:CU160)</f>
        <v>32.562421376214736</v>
      </c>
      <c r="CV164" s="168">
        <f t="array" ref="CV164:CV166">MMULT($Q$43:$S$45,CV158:CV160)</f>
        <v>8.8609619041611474</v>
      </c>
      <c r="CW164" s="168">
        <f t="array" ref="CW164:CW166">MMULT($Q$43:$S$45,CW158:CW160)</f>
        <v>35.794837445480539</v>
      </c>
      <c r="CX164" s="168">
        <f t="array" ref="CX164:CX166">MMULT($Q$43:$S$45,CX158:CX160)</f>
        <v>49.359662862067907</v>
      </c>
      <c r="CY164" s="168">
        <f t="array" ref="CY164:CY166">MMULT($Q$43:$S$45,CY158:CY160)</f>
        <v>20.816514862083899</v>
      </c>
      <c r="CZ164" s="168">
        <f t="array" ref="CZ164:CZ166">MMULT($Q$43:$S$45,CZ158:CZ160)</f>
        <v>32.501982588727515</v>
      </c>
      <c r="DA164" s="168">
        <f t="array" ref="DA164:DA166">MMULT($Q$43:$S$45,DA158:DA160)</f>
        <v>17.960691525795028</v>
      </c>
    </row>
    <row r="165" spans="5:105">
      <c r="E165" s="172" t="s">
        <v>309</v>
      </c>
      <c r="F165" s="168">
        <v>100.00000000000001</v>
      </c>
      <c r="G165" s="168">
        <v>61.403664807703869</v>
      </c>
      <c r="H165" s="168">
        <v>23.589951189164651</v>
      </c>
      <c r="I165" s="168">
        <v>5.1228277464397571</v>
      </c>
      <c r="J165" s="168">
        <v>36.395094888224477</v>
      </c>
      <c r="K165" s="168">
        <v>12.673627018488434</v>
      </c>
      <c r="L165" s="168">
        <v>16.22419102298392</v>
      </c>
      <c r="M165" s="168">
        <v>7.9746481180141657</v>
      </c>
      <c r="N165" s="168">
        <v>7.7112468654749202</v>
      </c>
      <c r="O165" s="168">
        <v>4.6972164363749069</v>
      </c>
      <c r="P165" s="168">
        <v>39.732535636202314</v>
      </c>
      <c r="Q165" s="168">
        <v>21.378672561210813</v>
      </c>
      <c r="R165" s="168">
        <v>26.364228904351396</v>
      </c>
      <c r="S165" s="168">
        <v>9.7891480418452268</v>
      </c>
      <c r="T165" s="168">
        <v>41.821535856410584</v>
      </c>
      <c r="U165" s="168">
        <v>35.668587105040181</v>
      </c>
      <c r="V165" s="168">
        <v>12.752097155324597</v>
      </c>
      <c r="W165" s="168">
        <v>15.570967797190075</v>
      </c>
      <c r="X165" s="168">
        <v>19.972883974980096</v>
      </c>
      <c r="Y165" s="168">
        <v>39.029126796264379</v>
      </c>
      <c r="Z165" s="168">
        <v>27.319574221092729</v>
      </c>
      <c r="AA165" s="168">
        <v>64.562059087731186</v>
      </c>
      <c r="AB165" s="168">
        <v>48.223922757584866</v>
      </c>
      <c r="AC165" s="168">
        <v>76.541866480470901</v>
      </c>
      <c r="AD165" s="168">
        <v>75.346635266942073</v>
      </c>
      <c r="AE165" s="168">
        <v>40.312013985269061</v>
      </c>
      <c r="AF165" s="168">
        <v>71.960457400856356</v>
      </c>
      <c r="AG165" s="168">
        <v>41.290554445638548</v>
      </c>
      <c r="AH165" s="168">
        <v>11.166420562293649</v>
      </c>
      <c r="AI165" s="168">
        <v>64.960612066641758</v>
      </c>
      <c r="AJ165" s="168">
        <v>28.894774888966204</v>
      </c>
      <c r="AK165" s="168">
        <v>68.637079657231567</v>
      </c>
      <c r="AL165" s="168">
        <v>44.977797509557838</v>
      </c>
      <c r="AM165" s="168">
        <v>71.040688424255634</v>
      </c>
      <c r="AN165" s="168">
        <v>28.473805810797661</v>
      </c>
      <c r="AO165" s="168">
        <v>11.775527724371994</v>
      </c>
      <c r="AP165" s="168">
        <v>52.763799705152607</v>
      </c>
      <c r="AQ165" s="168">
        <v>15.96124823224498</v>
      </c>
      <c r="AR165" s="168">
        <v>63.664529054842163</v>
      </c>
      <c r="AS165" s="168">
        <v>7.282649842196343</v>
      </c>
      <c r="AT165" s="168">
        <v>15.352014852430782</v>
      </c>
      <c r="AU165" s="168">
        <v>67.766100802547555</v>
      </c>
      <c r="AV165" s="168">
        <v>36.590471338748458</v>
      </c>
      <c r="AW165" s="168">
        <v>41.268670064463365</v>
      </c>
      <c r="AX165" s="168">
        <v>4.9261582527730434</v>
      </c>
      <c r="AY165" s="168">
        <v>24.351042368204052</v>
      </c>
      <c r="AZ165" s="168">
        <v>33.396187762413099</v>
      </c>
      <c r="BA165" s="168">
        <v>35.617366366850568</v>
      </c>
      <c r="BB165" s="168">
        <v>50.595854251092028</v>
      </c>
      <c r="BC165" s="168">
        <v>13.839787609877119</v>
      </c>
      <c r="BD165" s="168">
        <v>19.574606714122535</v>
      </c>
      <c r="BE165" s="168">
        <v>22.549137124459104</v>
      </c>
      <c r="BF165" s="168">
        <v>10.016001856439164</v>
      </c>
      <c r="BG165" s="168">
        <v>15.694332262690752</v>
      </c>
      <c r="BH165" s="168">
        <v>67.777787360198261</v>
      </c>
      <c r="BI165" s="168">
        <v>59.514051828869768</v>
      </c>
      <c r="BJ165" s="168">
        <v>38.859863014011943</v>
      </c>
      <c r="BK165" s="168">
        <v>22.81845328470926</v>
      </c>
      <c r="BL165" s="168">
        <v>19.562532885630358</v>
      </c>
      <c r="BM165" s="168">
        <v>66.066310493835502</v>
      </c>
      <c r="BN165" s="168">
        <v>68.55341205539203</v>
      </c>
      <c r="BO165" s="168">
        <v>46.279058536935423</v>
      </c>
      <c r="BP165" s="168">
        <v>32.327837505640119</v>
      </c>
      <c r="BQ165" s="168">
        <v>7.0956562657491169</v>
      </c>
      <c r="BR165" s="168">
        <v>22.831023941257477</v>
      </c>
      <c r="BS165" s="168">
        <v>10.430507917489516</v>
      </c>
      <c r="BT165" s="168">
        <v>11.591969323111659</v>
      </c>
      <c r="BU165" s="168">
        <v>13.66206673391653</v>
      </c>
      <c r="BV165" s="168">
        <v>28.05618456271851</v>
      </c>
      <c r="BW165" s="168">
        <v>17.662896683829963</v>
      </c>
      <c r="BX165" s="168">
        <v>39.141330576316882</v>
      </c>
      <c r="BY165" s="168">
        <v>6.8491737724776929</v>
      </c>
      <c r="BZ165" s="168">
        <v>46.336222528221121</v>
      </c>
      <c r="CA165" s="168">
        <v>21.897137134311098</v>
      </c>
      <c r="CB165" s="168">
        <v>4.7320149576721979</v>
      </c>
      <c r="CC165" s="168">
        <v>6.2851382179769653</v>
      </c>
      <c r="CD165" s="168">
        <v>13.582403126554123</v>
      </c>
      <c r="CE165" s="168">
        <v>11.762685240250368</v>
      </c>
      <c r="CF165" s="168">
        <v>11.859692756543847</v>
      </c>
      <c r="CG165" s="168">
        <v>40.830863160071438</v>
      </c>
      <c r="CH165" s="168">
        <v>30.444445691847786</v>
      </c>
      <c r="CI165" s="168">
        <v>11.23848508055184</v>
      </c>
      <c r="CJ165" s="168">
        <v>66.391708211099186</v>
      </c>
      <c r="CK165" s="168">
        <v>40.952508716457061</v>
      </c>
      <c r="CL165" s="168">
        <v>4.2954769674212585</v>
      </c>
      <c r="CM165" s="168">
        <v>9.9786016498707415</v>
      </c>
      <c r="CN165" s="168">
        <v>28.985452436783326</v>
      </c>
      <c r="CO165" s="168">
        <v>8.4506924658048295</v>
      </c>
      <c r="CP165" s="168">
        <v>25.260795626282402</v>
      </c>
      <c r="CQ165" s="168">
        <v>8.2726220839935483</v>
      </c>
      <c r="CR165" s="168">
        <v>11.068645189837268</v>
      </c>
      <c r="CS165" s="168">
        <v>52.122160609509201</v>
      </c>
      <c r="CT165" s="168">
        <v>18.979713135118033</v>
      </c>
      <c r="CU165" s="168">
        <v>31.427671211046768</v>
      </c>
      <c r="CV165" s="168">
        <v>7.9978432607584855</v>
      </c>
      <c r="CW165" s="168">
        <v>33.662331881754831</v>
      </c>
      <c r="CX165" s="168">
        <v>46.757944173671277</v>
      </c>
      <c r="CY165" s="168">
        <v>18.299429207965513</v>
      </c>
      <c r="CZ165" s="168">
        <v>27.298043979773944</v>
      </c>
      <c r="DA165" s="168">
        <v>14.39627151379495</v>
      </c>
    </row>
    <row r="166" spans="5:105">
      <c r="E166" s="172" t="s">
        <v>310</v>
      </c>
      <c r="F166" s="168">
        <v>99.999999999999986</v>
      </c>
      <c r="G166" s="168">
        <v>62.885556234658083</v>
      </c>
      <c r="H166" s="168">
        <v>24.434267526662182</v>
      </c>
      <c r="I166" s="168">
        <v>5.0200001879488285</v>
      </c>
      <c r="J166" s="168">
        <v>31.855209227384517</v>
      </c>
      <c r="K166" s="168">
        <v>11.083033482089222</v>
      </c>
      <c r="L166" s="168">
        <v>13.294315986233817</v>
      </c>
      <c r="M166" s="168">
        <v>5.7579720436618427</v>
      </c>
      <c r="N166" s="168">
        <v>5.8527687101938906</v>
      </c>
      <c r="O166" s="168">
        <v>4.6749650182650733</v>
      </c>
      <c r="P166" s="168">
        <v>19.478351191327604</v>
      </c>
      <c r="Q166" s="168">
        <v>8.2916596527002913</v>
      </c>
      <c r="R166" s="168">
        <v>9.8874996994878579</v>
      </c>
      <c r="S166" s="168">
        <v>4.8857559041851593</v>
      </c>
      <c r="T166" s="168">
        <v>35.689006619329227</v>
      </c>
      <c r="U166" s="168">
        <v>24.560494822717754</v>
      </c>
      <c r="V166" s="168">
        <v>5.3010735818733901</v>
      </c>
      <c r="W166" s="168">
        <v>6.0121443718319192</v>
      </c>
      <c r="X166" s="168">
        <v>10.940284958746579</v>
      </c>
      <c r="Y166" s="168">
        <v>13.272979854962175</v>
      </c>
      <c r="Z166" s="168">
        <v>4.6044457952806042</v>
      </c>
      <c r="AA166" s="168">
        <v>18.952490992890976</v>
      </c>
      <c r="AB166" s="168">
        <v>10.982844581448145</v>
      </c>
      <c r="AC166" s="168">
        <v>53.27071102610639</v>
      </c>
      <c r="AD166" s="168">
        <v>30.336372289731052</v>
      </c>
      <c r="AE166" s="168">
        <v>6.7762119773051843</v>
      </c>
      <c r="AF166" s="168">
        <v>20.556043096402238</v>
      </c>
      <c r="AG166" s="168">
        <v>23.053111316470098</v>
      </c>
      <c r="AH166" s="168">
        <v>4.9405109393158311</v>
      </c>
      <c r="AI166" s="168">
        <v>15.331164956341897</v>
      </c>
      <c r="AJ166" s="168">
        <v>10.817439032477028</v>
      </c>
      <c r="AK166" s="168">
        <v>17.498568392621468</v>
      </c>
      <c r="AL166" s="168">
        <v>7.8053006464093908</v>
      </c>
      <c r="AM166" s="168">
        <v>32.23434579589334</v>
      </c>
      <c r="AN166" s="168">
        <v>5.7995998103784947</v>
      </c>
      <c r="AO166" s="168">
        <v>5.2772621031531131</v>
      </c>
      <c r="AP166" s="168">
        <v>40.215963654738985</v>
      </c>
      <c r="AQ166" s="168">
        <v>5.8219240867826754</v>
      </c>
      <c r="AR166" s="168">
        <v>31.050831703758387</v>
      </c>
      <c r="AS166" s="168">
        <v>5.3126608726382436</v>
      </c>
      <c r="AT166" s="168">
        <v>8.9215802792590324</v>
      </c>
      <c r="AU166" s="168">
        <v>52.216192863292534</v>
      </c>
      <c r="AV166" s="168">
        <v>8.542589788656521</v>
      </c>
      <c r="AW166" s="168">
        <v>8.4470318220822538</v>
      </c>
      <c r="AX166" s="168">
        <v>4.6767310183517603</v>
      </c>
      <c r="AY166" s="168">
        <v>8.4249621619216093</v>
      </c>
      <c r="AZ166" s="168">
        <v>16.146648101090499</v>
      </c>
      <c r="BA166" s="168">
        <v>21.80105331934211</v>
      </c>
      <c r="BB166" s="168">
        <v>24.44190285155203</v>
      </c>
      <c r="BC166" s="168">
        <v>6.2527592862182262</v>
      </c>
      <c r="BD166" s="168">
        <v>14.094288210032008</v>
      </c>
      <c r="BE166" s="168">
        <v>17.80424543431532</v>
      </c>
      <c r="BF166" s="168">
        <v>6.8032256528183224</v>
      </c>
      <c r="BG166" s="168">
        <v>11.473157748229948</v>
      </c>
      <c r="BH166" s="168">
        <v>63.475579560056346</v>
      </c>
      <c r="BI166" s="168">
        <v>57.499100530788944</v>
      </c>
      <c r="BJ166" s="168">
        <v>37.536344766300111</v>
      </c>
      <c r="BK166" s="168">
        <v>21.764982525202054</v>
      </c>
      <c r="BL166" s="168">
        <v>20.424466295275035</v>
      </c>
      <c r="BM166" s="168">
        <v>68.424227390674531</v>
      </c>
      <c r="BN166" s="168">
        <v>69.86673166410155</v>
      </c>
      <c r="BO166" s="168">
        <v>50.883223305705883</v>
      </c>
      <c r="BP166" s="168">
        <v>32.241390055616264</v>
      </c>
      <c r="BQ166" s="168">
        <v>7.0625771283245173</v>
      </c>
      <c r="BR166" s="168">
        <v>33.845327247735455</v>
      </c>
      <c r="BS166" s="168">
        <v>12.950501703961248</v>
      </c>
      <c r="BT166" s="168">
        <v>20.175522456228595</v>
      </c>
      <c r="BU166" s="168">
        <v>24.579829607244513</v>
      </c>
      <c r="BV166" s="168">
        <v>40.963533732625287</v>
      </c>
      <c r="BW166" s="168">
        <v>23.14404554791868</v>
      </c>
      <c r="BX166" s="168">
        <v>64.540638809712888</v>
      </c>
      <c r="BY166" s="168">
        <v>13.801485691943462</v>
      </c>
      <c r="BZ166" s="168">
        <v>52.815418891691664</v>
      </c>
      <c r="CA166" s="168">
        <v>49.230634515086805</v>
      </c>
      <c r="CB166" s="168">
        <v>4.9806197379933916</v>
      </c>
      <c r="CC166" s="168">
        <v>13.481920781480007</v>
      </c>
      <c r="CD166" s="168">
        <v>42.881386925762079</v>
      </c>
      <c r="CE166" s="168">
        <v>25.912234389433557</v>
      </c>
      <c r="CF166" s="168">
        <v>36.610583855579065</v>
      </c>
      <c r="CG166" s="168">
        <v>63.791112689592595</v>
      </c>
      <c r="CH166" s="168">
        <v>54.370330926313414</v>
      </c>
      <c r="CI166" s="168">
        <v>32.543997030273111</v>
      </c>
      <c r="CJ166" s="168">
        <v>77.423548002534588</v>
      </c>
      <c r="CK166" s="168">
        <v>58.675566718186531</v>
      </c>
      <c r="CL166" s="168">
        <v>5.8082831148814762</v>
      </c>
      <c r="CM166" s="168">
        <v>14.905443496316103</v>
      </c>
      <c r="CN166" s="168">
        <v>55.589432946371353</v>
      </c>
      <c r="CO166" s="168">
        <v>21.09792757426516</v>
      </c>
      <c r="CP166" s="168">
        <v>45.9757987509401</v>
      </c>
      <c r="CQ166" s="168">
        <v>16.460584055053022</v>
      </c>
      <c r="CR166" s="168">
        <v>23.266067867945292</v>
      </c>
      <c r="CS166" s="168">
        <v>52.054594115578908</v>
      </c>
      <c r="CT166" s="168">
        <v>26.495386893925126</v>
      </c>
      <c r="CU166" s="168">
        <v>38.300136965624411</v>
      </c>
      <c r="CV166" s="168">
        <v>13.483113733813951</v>
      </c>
      <c r="CW166" s="168">
        <v>42.026428259824101</v>
      </c>
      <c r="CX166" s="168">
        <v>55.532751244286047</v>
      </c>
      <c r="CY166" s="168">
        <v>21.967692769934462</v>
      </c>
      <c r="CZ166" s="168">
        <v>32.948535800027798</v>
      </c>
      <c r="DA166" s="168">
        <v>19.940032995130473</v>
      </c>
    </row>
    <row r="167" spans="5:105">
      <c r="E167" s="172" t="s">
        <v>311</v>
      </c>
      <c r="F167" s="168">
        <f t="array" ref="F167:F169">MMULT($Q$43:$S$45,F161:F163)</f>
        <v>100.00100000000003</v>
      </c>
      <c r="G167" s="168">
        <f t="array" ref="G167:G169">MMULT($Q$43:$S$45,G161:G163)</f>
        <v>100.00100000000003</v>
      </c>
      <c r="H167" s="168">
        <f t="array" ref="H167:H169">MMULT($Q$43:$S$45,H161:H163)</f>
        <v>100.00100000000003</v>
      </c>
      <c r="I167" s="168">
        <f t="array" ref="I167:I169">MMULT($Q$43:$S$45,I161:I163)</f>
        <v>100.00100000000003</v>
      </c>
      <c r="J167" s="168">
        <f t="array" ref="J167:J169">MMULT($Q$43:$S$45,J161:J163)</f>
        <v>100.00100000000003</v>
      </c>
      <c r="K167" s="168">
        <f t="array" ref="K167:K169">MMULT($Q$43:$S$45,K161:K163)</f>
        <v>100.00100000000003</v>
      </c>
      <c r="L167" s="168">
        <f t="array" ref="L167:L169">MMULT($Q$43:$S$45,L161:L163)</f>
        <v>100.00100000000003</v>
      </c>
      <c r="M167" s="168">
        <f t="array" ref="M167:M169">MMULT($Q$43:$S$45,M161:M163)</f>
        <v>100.00100000000003</v>
      </c>
      <c r="N167" s="168">
        <f t="array" ref="N167:N169">MMULT($Q$43:$S$45,N161:N163)</f>
        <v>100.00100000000003</v>
      </c>
      <c r="O167" s="168">
        <f t="array" ref="O167:O169">MMULT($Q$43:$S$45,O161:O163)</f>
        <v>100.00100000000003</v>
      </c>
      <c r="P167" s="168">
        <f t="array" ref="P167:P169">MMULT($Q$43:$S$45,P161:P163)</f>
        <v>100.00100000000003</v>
      </c>
      <c r="Q167" s="168">
        <f t="array" ref="Q167:Q169">MMULT($Q$43:$S$45,Q161:Q163)</f>
        <v>100.00100000000003</v>
      </c>
      <c r="R167" s="168">
        <f t="array" ref="R167:R169">MMULT($Q$43:$S$45,R161:R163)</f>
        <v>100.00100000000003</v>
      </c>
      <c r="S167" s="168">
        <f t="array" ref="S167:S169">MMULT($Q$43:$S$45,S161:S163)</f>
        <v>100.00100000000003</v>
      </c>
      <c r="T167" s="168">
        <f t="array" ref="T167:T169">MMULT($Q$43:$S$45,T161:T163)</f>
        <v>100.00100000000003</v>
      </c>
      <c r="U167" s="168">
        <f t="array" ref="U167:U169">MMULT($Q$43:$S$45,U161:U163)</f>
        <v>100.00100000000003</v>
      </c>
      <c r="V167" s="168">
        <f t="array" ref="V167:V169">MMULT($Q$43:$S$45,V161:V163)</f>
        <v>100.00100000000003</v>
      </c>
      <c r="W167" s="168">
        <f t="array" ref="W167:W169">MMULT($Q$43:$S$45,W161:W163)</f>
        <v>100.00100000000003</v>
      </c>
      <c r="X167" s="168">
        <f t="array" ref="X167:X169">MMULT($Q$43:$S$45,X161:X163)</f>
        <v>100.00100000000003</v>
      </c>
      <c r="Y167" s="168">
        <f t="array" ref="Y167:Y169">MMULT($Q$43:$S$45,Y161:Y163)</f>
        <v>100.00100000000003</v>
      </c>
      <c r="Z167" s="168">
        <f t="array" ref="Z167:Z169">MMULT($Q$43:$S$45,Z161:Z163)</f>
        <v>100.00100000000003</v>
      </c>
      <c r="AA167" s="168">
        <f t="array" ref="AA167:AA169">MMULT($Q$43:$S$45,AA161:AA163)</f>
        <v>100.00100000000003</v>
      </c>
      <c r="AB167" s="168">
        <f t="array" ref="AB167:AB169">MMULT($Q$43:$S$45,AB161:AB163)</f>
        <v>100.00100000000003</v>
      </c>
      <c r="AC167" s="168">
        <f t="array" ref="AC167:AC169">MMULT($Q$43:$S$45,AC161:AC163)</f>
        <v>100.00100000000003</v>
      </c>
      <c r="AD167" s="168">
        <f t="array" ref="AD167:AD169">MMULT($Q$43:$S$45,AD161:AD163)</f>
        <v>100.00100000000003</v>
      </c>
      <c r="AE167" s="168">
        <f t="array" ref="AE167:AE169">MMULT($Q$43:$S$45,AE161:AE163)</f>
        <v>100.00100000000003</v>
      </c>
      <c r="AF167" s="168">
        <f t="array" ref="AF167:AF169">MMULT($Q$43:$S$45,AF161:AF163)</f>
        <v>100.00100000000003</v>
      </c>
      <c r="AG167" s="168">
        <f t="array" ref="AG167:AG169">MMULT($Q$43:$S$45,AG161:AG163)</f>
        <v>100.00100000000003</v>
      </c>
      <c r="AH167" s="168">
        <f t="array" ref="AH167:AH169">MMULT($Q$43:$S$45,AH161:AH163)</f>
        <v>100.00100000000003</v>
      </c>
      <c r="AI167" s="168">
        <f t="array" ref="AI167:AI169">MMULT($Q$43:$S$45,AI161:AI163)</f>
        <v>100.00100000000003</v>
      </c>
      <c r="AJ167" s="168">
        <f t="array" ref="AJ167:AJ169">MMULT($Q$43:$S$45,AJ161:AJ163)</f>
        <v>100.00100000000003</v>
      </c>
      <c r="AK167" s="168">
        <f t="array" ref="AK167:AK169">MMULT($Q$43:$S$45,AK161:AK163)</f>
        <v>100.00100000000003</v>
      </c>
      <c r="AL167" s="168">
        <f t="array" ref="AL167:AL169">MMULT($Q$43:$S$45,AL161:AL163)</f>
        <v>100.00100000000003</v>
      </c>
      <c r="AM167" s="168">
        <f t="array" ref="AM167:AM169">MMULT($Q$43:$S$45,AM161:AM163)</f>
        <v>100.00100000000003</v>
      </c>
      <c r="AN167" s="168">
        <f t="array" ref="AN167:AN169">MMULT($Q$43:$S$45,AN161:AN163)</f>
        <v>100.00100000000003</v>
      </c>
      <c r="AO167" s="168">
        <f t="array" ref="AO167:AO169">MMULT($Q$43:$S$45,AO161:AO163)</f>
        <v>100.00100000000003</v>
      </c>
      <c r="AP167" s="168">
        <f t="array" ref="AP167:AP169">MMULT($Q$43:$S$45,AP161:AP163)</f>
        <v>100.00100000000003</v>
      </c>
      <c r="AQ167" s="168">
        <f t="array" ref="AQ167:AQ169">MMULT($Q$43:$S$45,AQ161:AQ163)</f>
        <v>100.00100000000003</v>
      </c>
      <c r="AR167" s="168">
        <f t="array" ref="AR167:AR169">MMULT($Q$43:$S$45,AR161:AR163)</f>
        <v>100.00100000000003</v>
      </c>
      <c r="AS167" s="168">
        <f t="array" ref="AS167:AS169">MMULT($Q$43:$S$45,AS161:AS163)</f>
        <v>100.00100000000003</v>
      </c>
      <c r="AT167" s="168">
        <f t="array" ref="AT167:AT169">MMULT($Q$43:$S$45,AT161:AT163)</f>
        <v>100.00100000000003</v>
      </c>
      <c r="AU167" s="168">
        <f t="array" ref="AU167:AU169">MMULT($Q$43:$S$45,AU161:AU163)</f>
        <v>100.00100000000003</v>
      </c>
      <c r="AV167" s="168">
        <f t="array" ref="AV167:AV169">MMULT($Q$43:$S$45,AV161:AV163)</f>
        <v>100.00100000000003</v>
      </c>
      <c r="AW167" s="168">
        <f t="array" ref="AW167:AW169">MMULT($Q$43:$S$45,AW161:AW163)</f>
        <v>100.00100000000003</v>
      </c>
      <c r="AX167" s="168">
        <f t="array" ref="AX167:AX169">MMULT($Q$43:$S$45,AX161:AX163)</f>
        <v>100.00100000000003</v>
      </c>
      <c r="AY167" s="168">
        <f t="array" ref="AY167:AY169">MMULT($Q$43:$S$45,AY161:AY163)</f>
        <v>100.00100000000003</v>
      </c>
      <c r="AZ167" s="168">
        <f t="array" ref="AZ167:AZ169">MMULT($Q$43:$S$45,AZ161:AZ163)</f>
        <v>100.00100000000003</v>
      </c>
      <c r="BA167" s="168">
        <f t="array" ref="BA167:BA169">MMULT($Q$43:$S$45,BA161:BA163)</f>
        <v>100.00100000000003</v>
      </c>
      <c r="BB167" s="168">
        <f t="array" ref="BB167:BB169">MMULT($Q$43:$S$45,BB161:BB163)</f>
        <v>100.00100000000003</v>
      </c>
      <c r="BC167" s="168">
        <f t="array" ref="BC167:BC169">MMULT($Q$43:$S$45,BC161:BC163)</f>
        <v>100.00100000000003</v>
      </c>
      <c r="BD167" s="168">
        <f t="array" ref="BD167:BD169">MMULT($Q$43:$S$45,BD161:BD163)</f>
        <v>100.00100000000003</v>
      </c>
      <c r="BE167" s="168">
        <f t="array" ref="BE167:BE169">MMULT($Q$43:$S$45,BE161:BE163)</f>
        <v>100.00100000000003</v>
      </c>
      <c r="BF167" s="168">
        <f t="array" ref="BF167:BF169">MMULT($Q$43:$S$45,BF161:BF163)</f>
        <v>100.00100000000003</v>
      </c>
      <c r="BG167" s="168">
        <f t="array" ref="BG167:BG169">MMULT($Q$43:$S$45,BG161:BG163)</f>
        <v>100.00100000000003</v>
      </c>
      <c r="BH167" s="168">
        <f t="array" ref="BH167:BH169">MMULT($Q$43:$S$45,BH161:BH163)</f>
        <v>100.00100000000003</v>
      </c>
      <c r="BI167" s="168">
        <f t="array" ref="BI167:BI169">MMULT($Q$43:$S$45,BI161:BI163)</f>
        <v>100.00100000000003</v>
      </c>
      <c r="BJ167" s="168">
        <f t="array" ref="BJ167:BJ169">MMULT($Q$43:$S$45,BJ161:BJ163)</f>
        <v>100.00100000000003</v>
      </c>
      <c r="BK167" s="168">
        <f t="array" ref="BK167:BK169">MMULT($Q$43:$S$45,BK161:BK163)</f>
        <v>100.00100000000003</v>
      </c>
      <c r="BL167" s="168">
        <f t="array" ref="BL167:BL169">MMULT($Q$43:$S$45,BL161:BL163)</f>
        <v>100.00100000000003</v>
      </c>
      <c r="BM167" s="168">
        <f t="array" ref="BM167:BM169">MMULT($Q$43:$S$45,BM161:BM163)</f>
        <v>100.00100000000003</v>
      </c>
      <c r="BN167" s="168">
        <f t="array" ref="BN167:BN169">MMULT($Q$43:$S$45,BN161:BN163)</f>
        <v>100.00100000000003</v>
      </c>
      <c r="BO167" s="168">
        <f t="array" ref="BO167:BO169">MMULT($Q$43:$S$45,BO161:BO163)</f>
        <v>100.00100000000003</v>
      </c>
      <c r="BP167" s="168">
        <f t="array" ref="BP167:BP169">MMULT($Q$43:$S$45,BP161:BP163)</f>
        <v>100.00100000000003</v>
      </c>
      <c r="BQ167" s="168">
        <f t="array" ref="BQ167:BQ169">MMULT($Q$43:$S$45,BQ161:BQ163)</f>
        <v>100.00100000000003</v>
      </c>
      <c r="BR167" s="168">
        <f t="array" ref="BR167:BR169">MMULT($Q$43:$S$45,BR161:BR163)</f>
        <v>100.00100000000003</v>
      </c>
      <c r="BS167" s="168">
        <f t="array" ref="BS167:BS169">MMULT($Q$43:$S$45,BS161:BS163)</f>
        <v>100.00100000000003</v>
      </c>
      <c r="BT167" s="168">
        <f t="array" ref="BT167:BT169">MMULT($Q$43:$S$45,BT161:BT163)</f>
        <v>100.00100000000003</v>
      </c>
      <c r="BU167" s="168">
        <f t="array" ref="BU167:BU169">MMULT($Q$43:$S$45,BU161:BU163)</f>
        <v>100.00100000000003</v>
      </c>
      <c r="BV167" s="168">
        <f t="array" ref="BV167:BV169">MMULT($Q$43:$S$45,BV161:BV163)</f>
        <v>100.00100000000003</v>
      </c>
      <c r="BW167" s="168">
        <f t="array" ref="BW167:BW169">MMULT($Q$43:$S$45,BW161:BW163)</f>
        <v>100.00100000000003</v>
      </c>
      <c r="BX167" s="168">
        <f t="array" ref="BX167:BX169">MMULT($Q$43:$S$45,BX161:BX163)</f>
        <v>100.00100000000003</v>
      </c>
      <c r="BY167" s="168">
        <f t="array" ref="BY167:BY169">MMULT($Q$43:$S$45,BY161:BY163)</f>
        <v>100.00100000000003</v>
      </c>
      <c r="BZ167" s="168">
        <f t="array" ref="BZ167:BZ169">MMULT($Q$43:$S$45,BZ161:BZ163)</f>
        <v>100.00100000000003</v>
      </c>
      <c r="CA167" s="168">
        <f t="array" ref="CA167:CA169">MMULT($Q$43:$S$45,CA161:CA163)</f>
        <v>100.00100000000003</v>
      </c>
      <c r="CB167" s="168">
        <f t="array" ref="CB167:CB169">MMULT($Q$43:$S$45,CB161:CB163)</f>
        <v>100.00100000000003</v>
      </c>
      <c r="CC167" s="168">
        <f t="array" ref="CC167:CC169">MMULT($Q$43:$S$45,CC161:CC163)</f>
        <v>100.00100000000003</v>
      </c>
      <c r="CD167" s="168">
        <f t="array" ref="CD167:CD169">MMULT($Q$43:$S$45,CD161:CD163)</f>
        <v>100.00100000000003</v>
      </c>
      <c r="CE167" s="168">
        <f t="array" ref="CE167:CE169">MMULT($Q$43:$S$45,CE161:CE163)</f>
        <v>100.00100000000003</v>
      </c>
      <c r="CF167" s="168">
        <f t="array" ref="CF167:CF169">MMULT($Q$43:$S$45,CF161:CF163)</f>
        <v>100.00100000000003</v>
      </c>
      <c r="CG167" s="168">
        <f t="array" ref="CG167:CG169">MMULT($Q$43:$S$45,CG161:CG163)</f>
        <v>100.00100000000003</v>
      </c>
      <c r="CH167" s="168">
        <f t="array" ref="CH167:CH169">MMULT($Q$43:$S$45,CH161:CH163)</f>
        <v>100.00100000000003</v>
      </c>
      <c r="CI167" s="168">
        <f t="array" ref="CI167:CI169">MMULT($Q$43:$S$45,CI161:CI163)</f>
        <v>100.00100000000003</v>
      </c>
      <c r="CJ167" s="168">
        <f t="array" ref="CJ167:CJ169">MMULT($Q$43:$S$45,CJ161:CJ163)</f>
        <v>100.00100000000003</v>
      </c>
      <c r="CK167" s="168">
        <f t="array" ref="CK167:CK169">MMULT($Q$43:$S$45,CK161:CK163)</f>
        <v>100.00100000000003</v>
      </c>
      <c r="CL167" s="168">
        <f t="array" ref="CL167:CL169">MMULT($Q$43:$S$45,CL161:CL163)</f>
        <v>100.00100000000003</v>
      </c>
      <c r="CM167" s="168">
        <f t="array" ref="CM167:CM169">MMULT($Q$43:$S$45,CM161:CM163)</f>
        <v>100.00100000000003</v>
      </c>
      <c r="CN167" s="168">
        <f t="array" ref="CN167:CN169">MMULT($Q$43:$S$45,CN161:CN163)</f>
        <v>100.00100000000003</v>
      </c>
      <c r="CO167" s="168">
        <f t="array" ref="CO167:CO169">MMULT($Q$43:$S$45,CO161:CO163)</f>
        <v>100.00100000000003</v>
      </c>
      <c r="CP167" s="168">
        <f t="array" ref="CP167:CP169">MMULT($Q$43:$S$45,CP161:CP163)</f>
        <v>100.00100000000003</v>
      </c>
      <c r="CQ167" s="168">
        <f t="array" ref="CQ167:CQ169">MMULT($Q$43:$S$45,CQ161:CQ163)</f>
        <v>100.00100000000003</v>
      </c>
      <c r="CR167" s="168">
        <f t="array" ref="CR167:CR169">MMULT($Q$43:$S$45,CR161:CR163)</f>
        <v>100.00100000000003</v>
      </c>
      <c r="CS167" s="168">
        <f t="array" ref="CS167:CS169">MMULT($Q$43:$S$45,CS161:CS163)</f>
        <v>100.00100000000003</v>
      </c>
      <c r="CT167" s="168">
        <f t="array" ref="CT167:CT169">MMULT($Q$43:$S$45,CT161:CT163)</f>
        <v>100.00100000000003</v>
      </c>
      <c r="CU167" s="168">
        <f t="array" ref="CU167:CU169">MMULT($Q$43:$S$45,CU161:CU163)</f>
        <v>100.00100000000003</v>
      </c>
      <c r="CV167" s="168">
        <f t="array" ref="CV167:CV169">MMULT($Q$43:$S$45,CV161:CV163)</f>
        <v>100.00100000000003</v>
      </c>
      <c r="CW167" s="168">
        <f t="array" ref="CW167:CW169">MMULT($Q$43:$S$45,CW161:CW163)</f>
        <v>100.00100000000003</v>
      </c>
      <c r="CX167" s="168">
        <f t="array" ref="CX167:CX169">MMULT($Q$43:$S$45,CX161:CX163)</f>
        <v>100.00100000000003</v>
      </c>
      <c r="CY167" s="168">
        <f t="array" ref="CY167:CY169">MMULT($Q$43:$S$45,CY161:CY163)</f>
        <v>100.00100000000003</v>
      </c>
      <c r="CZ167" s="168">
        <f t="array" ref="CZ167:CZ169">MMULT($Q$43:$S$45,CZ161:CZ163)</f>
        <v>100.00100000000003</v>
      </c>
      <c r="DA167" s="168">
        <f t="array" ref="DA167:DA169">MMULT($Q$43:$S$45,DA161:DA163)</f>
        <v>100.00100000000003</v>
      </c>
    </row>
    <row r="168" spans="5:105">
      <c r="E168" s="172" t="s">
        <v>312</v>
      </c>
      <c r="F168" s="168">
        <v>100.00000000000001</v>
      </c>
      <c r="G168" s="168">
        <v>100.00000000000001</v>
      </c>
      <c r="H168" s="168">
        <v>100.00000000000001</v>
      </c>
      <c r="I168" s="168">
        <v>100.00000000000001</v>
      </c>
      <c r="J168" s="168">
        <v>100.00000000000001</v>
      </c>
      <c r="K168" s="168">
        <v>100.00000000000001</v>
      </c>
      <c r="L168" s="168">
        <v>100.00000000000001</v>
      </c>
      <c r="M168" s="168">
        <v>100.00000000000001</v>
      </c>
      <c r="N168" s="168">
        <v>100.00000000000001</v>
      </c>
      <c r="O168" s="168">
        <v>100.00000000000001</v>
      </c>
      <c r="P168" s="168">
        <v>100.00000000000001</v>
      </c>
      <c r="Q168" s="168">
        <v>100.00000000000001</v>
      </c>
      <c r="R168" s="168">
        <v>100.00000000000001</v>
      </c>
      <c r="S168" s="168">
        <v>100.00000000000001</v>
      </c>
      <c r="T168" s="168">
        <v>100.00000000000001</v>
      </c>
      <c r="U168" s="168">
        <v>100.00000000000001</v>
      </c>
      <c r="V168" s="168">
        <v>100.00000000000001</v>
      </c>
      <c r="W168" s="168">
        <v>100.00000000000001</v>
      </c>
      <c r="X168" s="168">
        <v>100.00000000000001</v>
      </c>
      <c r="Y168" s="168">
        <v>100.00000000000001</v>
      </c>
      <c r="Z168" s="168">
        <v>100.00000000000001</v>
      </c>
      <c r="AA168" s="168">
        <v>100.00000000000001</v>
      </c>
      <c r="AB168" s="168">
        <v>100.00000000000001</v>
      </c>
      <c r="AC168" s="168">
        <v>100.00000000000001</v>
      </c>
      <c r="AD168" s="168">
        <v>100.00000000000001</v>
      </c>
      <c r="AE168" s="168">
        <v>100.00000000000001</v>
      </c>
      <c r="AF168" s="168">
        <v>100.00000000000001</v>
      </c>
      <c r="AG168" s="168">
        <v>100.00000000000001</v>
      </c>
      <c r="AH168" s="168">
        <v>100.00000000000001</v>
      </c>
      <c r="AI168" s="168">
        <v>100.00000000000001</v>
      </c>
      <c r="AJ168" s="168">
        <v>100.00000000000001</v>
      </c>
      <c r="AK168" s="168">
        <v>100.00000000000001</v>
      </c>
      <c r="AL168" s="168">
        <v>100.00000000000001</v>
      </c>
      <c r="AM168" s="168">
        <v>100.00000000000001</v>
      </c>
      <c r="AN168" s="168">
        <v>100.00000000000001</v>
      </c>
      <c r="AO168" s="168">
        <v>100.00000000000001</v>
      </c>
      <c r="AP168" s="168">
        <v>100.00000000000001</v>
      </c>
      <c r="AQ168" s="168">
        <v>100.00000000000001</v>
      </c>
      <c r="AR168" s="168">
        <v>100.00000000000001</v>
      </c>
      <c r="AS168" s="168">
        <v>100.00000000000001</v>
      </c>
      <c r="AT168" s="168">
        <v>100.00000000000001</v>
      </c>
      <c r="AU168" s="168">
        <v>100.00000000000001</v>
      </c>
      <c r="AV168" s="168">
        <v>100.00000000000001</v>
      </c>
      <c r="AW168" s="168">
        <v>100.00000000000001</v>
      </c>
      <c r="AX168" s="168">
        <v>100.00000000000001</v>
      </c>
      <c r="AY168" s="168">
        <v>100.00000000000001</v>
      </c>
      <c r="AZ168" s="168">
        <v>100.00000000000001</v>
      </c>
      <c r="BA168" s="168">
        <v>100.00000000000001</v>
      </c>
      <c r="BB168" s="168">
        <v>100.00000000000001</v>
      </c>
      <c r="BC168" s="168">
        <v>100.00000000000001</v>
      </c>
      <c r="BD168" s="168">
        <v>100.00000000000001</v>
      </c>
      <c r="BE168" s="168">
        <v>100.00000000000001</v>
      </c>
      <c r="BF168" s="168">
        <v>100.00000000000001</v>
      </c>
      <c r="BG168" s="168">
        <v>100.00000000000001</v>
      </c>
      <c r="BH168" s="168">
        <v>100.00000000000001</v>
      </c>
      <c r="BI168" s="168">
        <v>100.00000000000001</v>
      </c>
      <c r="BJ168" s="168">
        <v>100.00000000000001</v>
      </c>
      <c r="BK168" s="168">
        <v>100.00000000000001</v>
      </c>
      <c r="BL168" s="168">
        <v>100.00000000000001</v>
      </c>
      <c r="BM168" s="168">
        <v>100.00000000000001</v>
      </c>
      <c r="BN168" s="168">
        <v>100.00000000000001</v>
      </c>
      <c r="BO168" s="168">
        <v>100.00000000000001</v>
      </c>
      <c r="BP168" s="168">
        <v>100.00000000000001</v>
      </c>
      <c r="BQ168" s="168">
        <v>100.00000000000001</v>
      </c>
      <c r="BR168" s="168">
        <v>100.00000000000001</v>
      </c>
      <c r="BS168" s="168">
        <v>100.00000000000001</v>
      </c>
      <c r="BT168" s="168">
        <v>100.00000000000001</v>
      </c>
      <c r="BU168" s="168">
        <v>100.00000000000001</v>
      </c>
      <c r="BV168" s="168">
        <v>100.00000000000001</v>
      </c>
      <c r="BW168" s="168">
        <v>100.00000000000001</v>
      </c>
      <c r="BX168" s="168">
        <v>100.00000000000001</v>
      </c>
      <c r="BY168" s="168">
        <v>100.00000000000001</v>
      </c>
      <c r="BZ168" s="168">
        <v>100.00000000000001</v>
      </c>
      <c r="CA168" s="168">
        <v>100.00000000000001</v>
      </c>
      <c r="CB168" s="168">
        <v>100.00000000000001</v>
      </c>
      <c r="CC168" s="168">
        <v>100.00000000000001</v>
      </c>
      <c r="CD168" s="168">
        <v>100.00000000000001</v>
      </c>
      <c r="CE168" s="168">
        <v>100.00000000000001</v>
      </c>
      <c r="CF168" s="168">
        <v>100.00000000000001</v>
      </c>
      <c r="CG168" s="168">
        <v>100.00000000000001</v>
      </c>
      <c r="CH168" s="168">
        <v>100.00000000000001</v>
      </c>
      <c r="CI168" s="168">
        <v>100.00000000000001</v>
      </c>
      <c r="CJ168" s="168">
        <v>100.00000000000001</v>
      </c>
      <c r="CK168" s="168">
        <v>100.00000000000001</v>
      </c>
      <c r="CL168" s="168">
        <v>100.00000000000001</v>
      </c>
      <c r="CM168" s="168">
        <v>100.00000000000001</v>
      </c>
      <c r="CN168" s="168">
        <v>100.00000000000001</v>
      </c>
      <c r="CO168" s="168">
        <v>100.00000000000001</v>
      </c>
      <c r="CP168" s="168">
        <v>100.00000000000001</v>
      </c>
      <c r="CQ168" s="168">
        <v>100.00000000000001</v>
      </c>
      <c r="CR168" s="168">
        <v>100.00000000000001</v>
      </c>
      <c r="CS168" s="168">
        <v>100.00000000000001</v>
      </c>
      <c r="CT168" s="168">
        <v>100.00000000000001</v>
      </c>
      <c r="CU168" s="168">
        <v>100.00000000000001</v>
      </c>
      <c r="CV168" s="168">
        <v>100.00000000000001</v>
      </c>
      <c r="CW168" s="168">
        <v>100.00000000000001</v>
      </c>
      <c r="CX168" s="168">
        <v>100.00000000000001</v>
      </c>
      <c r="CY168" s="168">
        <v>100.00000000000001</v>
      </c>
      <c r="CZ168" s="168">
        <v>100.00000000000001</v>
      </c>
      <c r="DA168" s="168">
        <v>100.00000000000001</v>
      </c>
    </row>
    <row r="169" spans="5:105">
      <c r="E169" s="172" t="s">
        <v>313</v>
      </c>
      <c r="F169" s="168">
        <v>99.999999999999986</v>
      </c>
      <c r="G169" s="168">
        <v>99.999999999999986</v>
      </c>
      <c r="H169" s="168">
        <v>99.999999999999986</v>
      </c>
      <c r="I169" s="168">
        <v>99.999999999999986</v>
      </c>
      <c r="J169" s="168">
        <v>99.999999999999986</v>
      </c>
      <c r="K169" s="168">
        <v>99.999999999999986</v>
      </c>
      <c r="L169" s="168">
        <v>99.999999999999986</v>
      </c>
      <c r="M169" s="168">
        <v>99.999999999999986</v>
      </c>
      <c r="N169" s="168">
        <v>99.999999999999986</v>
      </c>
      <c r="O169" s="168">
        <v>99.999999999999986</v>
      </c>
      <c r="P169" s="168">
        <v>99.999999999999986</v>
      </c>
      <c r="Q169" s="168">
        <v>99.999999999999986</v>
      </c>
      <c r="R169" s="168">
        <v>99.999999999999986</v>
      </c>
      <c r="S169" s="168">
        <v>99.999999999999986</v>
      </c>
      <c r="T169" s="168">
        <v>99.999999999999986</v>
      </c>
      <c r="U169" s="168">
        <v>99.999999999999986</v>
      </c>
      <c r="V169" s="168">
        <v>99.999999999999986</v>
      </c>
      <c r="W169" s="168">
        <v>99.999999999999986</v>
      </c>
      <c r="X169" s="168">
        <v>99.999999999999986</v>
      </c>
      <c r="Y169" s="168">
        <v>99.999999999999986</v>
      </c>
      <c r="Z169" s="168">
        <v>99.999999999999986</v>
      </c>
      <c r="AA169" s="168">
        <v>99.999999999999986</v>
      </c>
      <c r="AB169" s="168">
        <v>99.999999999999986</v>
      </c>
      <c r="AC169" s="168">
        <v>99.999999999999986</v>
      </c>
      <c r="AD169" s="168">
        <v>99.999999999999986</v>
      </c>
      <c r="AE169" s="168">
        <v>99.999999999999986</v>
      </c>
      <c r="AF169" s="168">
        <v>99.999999999999986</v>
      </c>
      <c r="AG169" s="168">
        <v>99.999999999999986</v>
      </c>
      <c r="AH169" s="168">
        <v>99.999999999999986</v>
      </c>
      <c r="AI169" s="168">
        <v>99.999999999999986</v>
      </c>
      <c r="AJ169" s="168">
        <v>99.999999999999986</v>
      </c>
      <c r="AK169" s="168">
        <v>99.999999999999986</v>
      </c>
      <c r="AL169" s="168">
        <v>99.999999999999986</v>
      </c>
      <c r="AM169" s="168">
        <v>99.999999999999986</v>
      </c>
      <c r="AN169" s="168">
        <v>99.999999999999986</v>
      </c>
      <c r="AO169" s="168">
        <v>99.999999999999986</v>
      </c>
      <c r="AP169" s="168">
        <v>99.999999999999986</v>
      </c>
      <c r="AQ169" s="168">
        <v>99.999999999999986</v>
      </c>
      <c r="AR169" s="168">
        <v>99.999999999999986</v>
      </c>
      <c r="AS169" s="168">
        <v>99.999999999999986</v>
      </c>
      <c r="AT169" s="168">
        <v>99.999999999999986</v>
      </c>
      <c r="AU169" s="168">
        <v>99.999999999999986</v>
      </c>
      <c r="AV169" s="168">
        <v>99.999999999999986</v>
      </c>
      <c r="AW169" s="168">
        <v>99.999999999999986</v>
      </c>
      <c r="AX169" s="168">
        <v>99.999999999999986</v>
      </c>
      <c r="AY169" s="168">
        <v>99.999999999999986</v>
      </c>
      <c r="AZ169" s="168">
        <v>99.999999999999986</v>
      </c>
      <c r="BA169" s="168">
        <v>99.999999999999986</v>
      </c>
      <c r="BB169" s="168">
        <v>99.999999999999986</v>
      </c>
      <c r="BC169" s="168">
        <v>99.999999999999986</v>
      </c>
      <c r="BD169" s="168">
        <v>99.999999999999986</v>
      </c>
      <c r="BE169" s="168">
        <v>99.999999999999986</v>
      </c>
      <c r="BF169" s="168">
        <v>99.999999999999986</v>
      </c>
      <c r="BG169" s="168">
        <v>99.999999999999986</v>
      </c>
      <c r="BH169" s="168">
        <v>99.999999999999986</v>
      </c>
      <c r="BI169" s="168">
        <v>99.999999999999986</v>
      </c>
      <c r="BJ169" s="168">
        <v>99.999999999999986</v>
      </c>
      <c r="BK169" s="168">
        <v>99.999999999999986</v>
      </c>
      <c r="BL169" s="168">
        <v>99.999999999999986</v>
      </c>
      <c r="BM169" s="168">
        <v>99.999999999999986</v>
      </c>
      <c r="BN169" s="168">
        <v>99.999999999999986</v>
      </c>
      <c r="BO169" s="168">
        <v>99.999999999999986</v>
      </c>
      <c r="BP169" s="168">
        <v>99.999999999999986</v>
      </c>
      <c r="BQ169" s="168">
        <v>99.999999999999986</v>
      </c>
      <c r="BR169" s="168">
        <v>99.999999999999986</v>
      </c>
      <c r="BS169" s="168">
        <v>99.999999999999986</v>
      </c>
      <c r="BT169" s="168">
        <v>99.999999999999986</v>
      </c>
      <c r="BU169" s="168">
        <v>99.999999999999986</v>
      </c>
      <c r="BV169" s="168">
        <v>99.999999999999986</v>
      </c>
      <c r="BW169" s="168">
        <v>99.999999999999986</v>
      </c>
      <c r="BX169" s="168">
        <v>99.999999999999986</v>
      </c>
      <c r="BY169" s="168">
        <v>99.999999999999986</v>
      </c>
      <c r="BZ169" s="168">
        <v>99.999999999999986</v>
      </c>
      <c r="CA169" s="168">
        <v>99.999999999999986</v>
      </c>
      <c r="CB169" s="168">
        <v>99.999999999999986</v>
      </c>
      <c r="CC169" s="168">
        <v>99.999999999999986</v>
      </c>
      <c r="CD169" s="168">
        <v>99.999999999999986</v>
      </c>
      <c r="CE169" s="168">
        <v>99.999999999999986</v>
      </c>
      <c r="CF169" s="168">
        <v>99.999999999999986</v>
      </c>
      <c r="CG169" s="168">
        <v>99.999999999999986</v>
      </c>
      <c r="CH169" s="168">
        <v>99.999999999999986</v>
      </c>
      <c r="CI169" s="168">
        <v>99.999999999999986</v>
      </c>
      <c r="CJ169" s="168">
        <v>99.999999999999986</v>
      </c>
      <c r="CK169" s="168">
        <v>99.999999999999986</v>
      </c>
      <c r="CL169" s="168">
        <v>99.999999999999986</v>
      </c>
      <c r="CM169" s="168">
        <v>99.999999999999986</v>
      </c>
      <c r="CN169" s="168">
        <v>99.999999999999986</v>
      </c>
      <c r="CO169" s="168">
        <v>99.999999999999986</v>
      </c>
      <c r="CP169" s="168">
        <v>99.999999999999986</v>
      </c>
      <c r="CQ169" s="168">
        <v>99.999999999999986</v>
      </c>
      <c r="CR169" s="168">
        <v>99.999999999999986</v>
      </c>
      <c r="CS169" s="168">
        <v>99.999999999999986</v>
      </c>
      <c r="CT169" s="168">
        <v>99.999999999999986</v>
      </c>
      <c r="CU169" s="168">
        <v>99.999999999999986</v>
      </c>
      <c r="CV169" s="168">
        <v>99.999999999999986</v>
      </c>
      <c r="CW169" s="168">
        <v>99.999999999999986</v>
      </c>
      <c r="CX169" s="168">
        <v>99.999999999999986</v>
      </c>
      <c r="CY169" s="168">
        <v>99.999999999999986</v>
      </c>
      <c r="CZ169" s="168">
        <v>99.999999999999986</v>
      </c>
      <c r="DA169" s="168">
        <v>99.999999999999986</v>
      </c>
    </row>
    <row r="170" spans="5:105">
      <c r="E170" s="172" t="s">
        <v>314</v>
      </c>
      <c r="F170" s="168">
        <f t="shared" ref="F170:BQ170" si="176">((400*(F141*F164/100)^0.42)/(((F141*F164/100)^0.42)+27.13))+0.1</f>
        <v>13.047263118560837</v>
      </c>
      <c r="G170" s="168">
        <f t="shared" si="176"/>
        <v>10.989753749284501</v>
      </c>
      <c r="H170" s="168">
        <f t="shared" si="176"/>
        <v>7.8759169055267391</v>
      </c>
      <c r="I170" s="168">
        <f t="shared" si="176"/>
        <v>4.0693145668743442</v>
      </c>
      <c r="J170" s="168">
        <f t="shared" si="176"/>
        <v>9.0190496011445305</v>
      </c>
      <c r="K170" s="168">
        <f t="shared" si="176"/>
        <v>6.2339605640012996</v>
      </c>
      <c r="L170" s="168">
        <f t="shared" si="176"/>
        <v>6.5159607299647293</v>
      </c>
      <c r="M170" s="168">
        <f t="shared" si="176"/>
        <v>5.2698225609988976</v>
      </c>
      <c r="N170" s="168">
        <f t="shared" si="176"/>
        <v>5.099680515133552</v>
      </c>
      <c r="O170" s="168">
        <f t="shared" si="176"/>
        <v>3.8172353324471819</v>
      </c>
      <c r="P170" s="168">
        <f t="shared" si="176"/>
        <v>9.791711263089125</v>
      </c>
      <c r="Q170" s="168">
        <f t="shared" si="176"/>
        <v>7.6590251393198887</v>
      </c>
      <c r="R170" s="168">
        <f t="shared" si="176"/>
        <v>8.3807045434347351</v>
      </c>
      <c r="S170" s="168">
        <f t="shared" si="176"/>
        <v>5.4854189206512602</v>
      </c>
      <c r="T170" s="168">
        <f t="shared" si="176"/>
        <v>9.3016168095428604</v>
      </c>
      <c r="U170" s="168">
        <f t="shared" si="176"/>
        <v>8.895489756803979</v>
      </c>
      <c r="V170" s="168">
        <f t="shared" si="176"/>
        <v>5.9976077808593118</v>
      </c>
      <c r="W170" s="168">
        <f t="shared" si="176"/>
        <v>6.4517976146533798</v>
      </c>
      <c r="X170" s="168">
        <f t="shared" si="176"/>
        <v>7.0631668374569756</v>
      </c>
      <c r="Y170" s="168">
        <f t="shared" si="176"/>
        <v>9.3434545679038283</v>
      </c>
      <c r="Z170" s="168">
        <f t="shared" si="176"/>
        <v>8.3543045828664138</v>
      </c>
      <c r="AA170" s="168">
        <f t="shared" si="176"/>
        <v>11.424045958394833</v>
      </c>
      <c r="AB170" s="168">
        <f t="shared" si="176"/>
        <v>10.249962468934275</v>
      </c>
      <c r="AC170" s="168">
        <f t="shared" si="176"/>
        <v>11.851066710052448</v>
      </c>
      <c r="AD170" s="168">
        <f t="shared" si="176"/>
        <v>11.928152389593079</v>
      </c>
      <c r="AE170" s="168">
        <f t="shared" si="176"/>
        <v>9.3884628779762327</v>
      </c>
      <c r="AF170" s="168">
        <f t="shared" si="176"/>
        <v>11.78282889295523</v>
      </c>
      <c r="AG170" s="168">
        <f t="shared" si="176"/>
        <v>9.2414666124801776</v>
      </c>
      <c r="AH170" s="168">
        <f t="shared" si="176"/>
        <v>5.438315317734439</v>
      </c>
      <c r="AI170" s="168">
        <f t="shared" si="176"/>
        <v>11.228138748003992</v>
      </c>
      <c r="AJ170" s="168">
        <f t="shared" si="176"/>
        <v>8.0515019501983929</v>
      </c>
      <c r="AK170" s="168">
        <f t="shared" si="176"/>
        <v>11.454440030713361</v>
      </c>
      <c r="AL170" s="168">
        <f t="shared" si="176"/>
        <v>9.630390012119328</v>
      </c>
      <c r="AM170" s="168">
        <f t="shared" si="176"/>
        <v>11.526523928127432</v>
      </c>
      <c r="AN170" s="168">
        <f t="shared" si="176"/>
        <v>7.9588812054316351</v>
      </c>
      <c r="AO170" s="168">
        <f t="shared" si="176"/>
        <v>5.5090320783578033</v>
      </c>
      <c r="AP170" s="168">
        <f t="shared" si="176"/>
        <v>10.132441536850704</v>
      </c>
      <c r="AQ170" s="168">
        <f t="shared" si="176"/>
        <v>6.1940337588164622</v>
      </c>
      <c r="AR170" s="168">
        <f t="shared" si="176"/>
        <v>10.967628455232825</v>
      </c>
      <c r="AS170" s="168">
        <f t="shared" si="176"/>
        <v>4.524366121691707</v>
      </c>
      <c r="AT170" s="168">
        <f t="shared" si="176"/>
        <v>6.1342954005777166</v>
      </c>
      <c r="AU170" s="168">
        <f t="shared" si="176"/>
        <v>11.162356157710548</v>
      </c>
      <c r="AV170" s="168">
        <f t="shared" si="176"/>
        <v>8.5585304552201151</v>
      </c>
      <c r="AW170" s="168">
        <f t="shared" si="176"/>
        <v>9.0279753412239856</v>
      </c>
      <c r="AX170" s="168">
        <f t="shared" si="176"/>
        <v>3.8408891429370082</v>
      </c>
      <c r="AY170" s="168">
        <f t="shared" si="176"/>
        <v>7.2041545954218593</v>
      </c>
      <c r="AZ170" s="168">
        <f t="shared" si="176"/>
        <v>8.2728959332251897</v>
      </c>
      <c r="BA170" s="168">
        <f t="shared" si="176"/>
        <v>8.5369708382229881</v>
      </c>
      <c r="BB170" s="168">
        <f t="shared" si="176"/>
        <v>9.7234515323959894</v>
      </c>
      <c r="BC170" s="168">
        <f t="shared" si="176"/>
        <v>5.7042339944539187</v>
      </c>
      <c r="BD170" s="168">
        <f t="shared" si="176"/>
        <v>6.5514213666477152</v>
      </c>
      <c r="BE170" s="168">
        <f t="shared" si="176"/>
        <v>6.9867830683457646</v>
      </c>
      <c r="BF170" s="168">
        <f t="shared" si="176"/>
        <v>4.9200498487319351</v>
      </c>
      <c r="BG170" s="168">
        <f t="shared" si="176"/>
        <v>5.7367040311462958</v>
      </c>
      <c r="BH170" s="168">
        <f t="shared" si="176"/>
        <v>10.951111322819873</v>
      </c>
      <c r="BI170" s="168">
        <f t="shared" si="176"/>
        <v>10.349893746623948</v>
      </c>
      <c r="BJ170" s="168">
        <f t="shared" si="176"/>
        <v>8.4261718004031714</v>
      </c>
      <c r="BK170" s="168">
        <f t="shared" si="176"/>
        <v>6.6757373490163099</v>
      </c>
      <c r="BL170" s="168">
        <f t="shared" si="176"/>
        <v>6.2300153367806965</v>
      </c>
      <c r="BM170" s="168">
        <f t="shared" si="176"/>
        <v>10.832683793541086</v>
      </c>
      <c r="BN170" s="168">
        <f t="shared" si="176"/>
        <v>11.133207389852636</v>
      </c>
      <c r="BO170" s="168">
        <f t="shared" si="176"/>
        <v>9.3716317248282692</v>
      </c>
      <c r="BP170" s="168">
        <f t="shared" si="176"/>
        <v>8.2043943456488737</v>
      </c>
      <c r="BQ170" s="168">
        <f t="shared" si="176"/>
        <v>4.4824976985611862</v>
      </c>
      <c r="BR170" s="168">
        <f t="shared" ref="BR170:DA170" si="177">((400*(BR141*BR164/100)^0.42)/(((BR141*BR164/100)^0.42)+27.13))+0.1</f>
        <v>6.6549133083849084</v>
      </c>
      <c r="BS170" s="168">
        <f t="shared" si="177"/>
        <v>5.0223633081625003</v>
      </c>
      <c r="BT170" s="168">
        <f t="shared" si="177"/>
        <v>5.0247742645280704</v>
      </c>
      <c r="BU170" s="168">
        <f t="shared" si="177"/>
        <v>5.3707081965973522</v>
      </c>
      <c r="BV170" s="168">
        <f t="shared" si="177"/>
        <v>7.5207369084240643</v>
      </c>
      <c r="BW170" s="168">
        <f t="shared" si="177"/>
        <v>6.3707419480723209</v>
      </c>
      <c r="BX170" s="168">
        <f t="shared" si="177"/>
        <v>8.572246082428288</v>
      </c>
      <c r="BY170" s="168">
        <f t="shared" si="177"/>
        <v>4.1673025436110214</v>
      </c>
      <c r="BZ170" s="168">
        <f t="shared" si="177"/>
        <v>9.4735707821604951</v>
      </c>
      <c r="CA170" s="168">
        <f t="shared" si="177"/>
        <v>6.5665537302810142</v>
      </c>
      <c r="CB170" s="168">
        <f t="shared" si="177"/>
        <v>3.7637534732958331</v>
      </c>
      <c r="CC170" s="168">
        <f t="shared" si="177"/>
        <v>4.0425273418394392</v>
      </c>
      <c r="CD170" s="168">
        <f t="shared" si="177"/>
        <v>5.4029626628520049</v>
      </c>
      <c r="CE170" s="168">
        <f t="shared" si="177"/>
        <v>5.2123370550176213</v>
      </c>
      <c r="CF170" s="168">
        <f t="shared" si="177"/>
        <v>5.1308044647370163</v>
      </c>
      <c r="CG170" s="168">
        <f t="shared" si="177"/>
        <v>8.9163090819160704</v>
      </c>
      <c r="CH170" s="168">
        <f t="shared" si="177"/>
        <v>7.9417152634111146</v>
      </c>
      <c r="CI170" s="168">
        <f t="shared" si="177"/>
        <v>5.2050451174024621</v>
      </c>
      <c r="CJ170" s="168">
        <f t="shared" si="177"/>
        <v>11.028945991194105</v>
      </c>
      <c r="CK170" s="168">
        <f t="shared" si="177"/>
        <v>9.0432629936225375</v>
      </c>
      <c r="CL170" s="168">
        <f t="shared" si="177"/>
        <v>3.6663762552211381</v>
      </c>
      <c r="CM170" s="168">
        <f t="shared" si="177"/>
        <v>5.1139881407272272</v>
      </c>
      <c r="CN170" s="168">
        <f t="shared" si="177"/>
        <v>7.8386897523826073</v>
      </c>
      <c r="CO170" s="168">
        <f t="shared" si="177"/>
        <v>4.8695928121617857</v>
      </c>
      <c r="CP170" s="168">
        <f t="shared" si="177"/>
        <v>7.6349641063296696</v>
      </c>
      <c r="CQ170" s="168">
        <f t="shared" si="177"/>
        <v>4.8581995111967364</v>
      </c>
      <c r="CR170" s="168">
        <f t="shared" si="177"/>
        <v>5.5355335250381632</v>
      </c>
      <c r="CS170" s="168">
        <f t="shared" si="177"/>
        <v>10.063897279330465</v>
      </c>
      <c r="CT170" s="168">
        <f t="shared" si="177"/>
        <v>6.7676190455009664</v>
      </c>
      <c r="CU170" s="168">
        <f t="shared" si="177"/>
        <v>8.281481930683249</v>
      </c>
      <c r="CV170" s="168">
        <f t="shared" si="177"/>
        <v>4.8773797620604968</v>
      </c>
      <c r="CW170" s="168">
        <f t="shared" si="177"/>
        <v>8.6061975419808476</v>
      </c>
      <c r="CX170" s="168">
        <f t="shared" si="177"/>
        <v>9.8054311413429041</v>
      </c>
      <c r="CY170" s="168">
        <f t="shared" si="177"/>
        <v>6.9037252969638638</v>
      </c>
      <c r="CZ170" s="168">
        <f t="shared" si="177"/>
        <v>8.2752309789766763</v>
      </c>
      <c r="DA170" s="168">
        <f t="shared" si="177"/>
        <v>6.5014039067054537</v>
      </c>
    </row>
    <row r="171" spans="5:105">
      <c r="E171" s="172" t="s">
        <v>315</v>
      </c>
      <c r="F171" s="168">
        <f t="shared" ref="F171:BQ171" si="178">((400*(F141*F165/100)^0.42)/(((F141*F165/100)^0.42)+27.13))+0.1</f>
        <v>13.047210500554204</v>
      </c>
      <c r="G171" s="168">
        <f t="shared" si="178"/>
        <v>10.712783377291656</v>
      </c>
      <c r="H171" s="168">
        <f t="shared" si="178"/>
        <v>7.2641145049604408</v>
      </c>
      <c r="I171" s="168">
        <f t="shared" si="178"/>
        <v>3.9046045886250327</v>
      </c>
      <c r="J171" s="168">
        <f t="shared" si="178"/>
        <v>8.6645425158585549</v>
      </c>
      <c r="K171" s="168">
        <f t="shared" si="178"/>
        <v>5.641479561407083</v>
      </c>
      <c r="L171" s="168">
        <f t="shared" si="178"/>
        <v>6.2378843062261318</v>
      </c>
      <c r="M171" s="168">
        <f t="shared" si="178"/>
        <v>4.6728955729697912</v>
      </c>
      <c r="N171" s="168">
        <f t="shared" si="178"/>
        <v>4.6095616670571529</v>
      </c>
      <c r="O171" s="168">
        <f t="shared" si="178"/>
        <v>3.7697482373800741</v>
      </c>
      <c r="P171" s="168">
        <f t="shared" si="178"/>
        <v>8.9788905333051687</v>
      </c>
      <c r="Q171" s="168">
        <f t="shared" si="178"/>
        <v>6.9789821069818396</v>
      </c>
      <c r="R171" s="168">
        <f t="shared" si="178"/>
        <v>7.6001819273828444</v>
      </c>
      <c r="S171" s="168">
        <f t="shared" si="178"/>
        <v>5.0789651458779295</v>
      </c>
      <c r="T171" s="168">
        <f t="shared" si="178"/>
        <v>9.1676675390504911</v>
      </c>
      <c r="U171" s="168">
        <f t="shared" si="178"/>
        <v>8.5938517109477264</v>
      </c>
      <c r="V171" s="168">
        <f t="shared" si="178"/>
        <v>5.6556644614060865</v>
      </c>
      <c r="W171" s="168">
        <f t="shared" si="178"/>
        <v>6.1344378984192947</v>
      </c>
      <c r="X171" s="168">
        <f t="shared" si="178"/>
        <v>6.7884855825420019</v>
      </c>
      <c r="Y171" s="168">
        <f t="shared" si="178"/>
        <v>8.9139915701407606</v>
      </c>
      <c r="Z171" s="168">
        <f t="shared" si="178"/>
        <v>7.7110027253831745</v>
      </c>
      <c r="AA171" s="168">
        <f t="shared" si="178"/>
        <v>10.932606063621222</v>
      </c>
      <c r="AB171" s="168">
        <f t="shared" si="178"/>
        <v>9.7132738559515808</v>
      </c>
      <c r="AC171" s="168">
        <f t="shared" si="178"/>
        <v>11.712061877044285</v>
      </c>
      <c r="AD171" s="168">
        <f t="shared" si="178"/>
        <v>11.637763583937165</v>
      </c>
      <c r="AE171" s="168">
        <f t="shared" si="178"/>
        <v>9.0318403772181721</v>
      </c>
      <c r="AF171" s="168">
        <f t="shared" si="178"/>
        <v>11.423323932754927</v>
      </c>
      <c r="AG171" s="168">
        <f t="shared" si="178"/>
        <v>9.1202296486768528</v>
      </c>
      <c r="AH171" s="168">
        <f t="shared" si="178"/>
        <v>5.3582704405644517</v>
      </c>
      <c r="AI171" s="168">
        <f t="shared" si="178"/>
        <v>10.959880845457539</v>
      </c>
      <c r="AJ171" s="168">
        <f t="shared" si="178"/>
        <v>7.8887922392923819</v>
      </c>
      <c r="AK171" s="168">
        <f t="shared" si="178"/>
        <v>11.206852207792396</v>
      </c>
      <c r="AL171" s="168">
        <f t="shared" si="178"/>
        <v>9.4424643855405535</v>
      </c>
      <c r="AM171" s="168">
        <f t="shared" si="178"/>
        <v>11.364028602213493</v>
      </c>
      <c r="AN171" s="168">
        <f t="shared" si="178"/>
        <v>7.8418560896878109</v>
      </c>
      <c r="AO171" s="168">
        <f t="shared" si="178"/>
        <v>5.4752917412355711</v>
      </c>
      <c r="AP171" s="168">
        <f t="shared" si="178"/>
        <v>10.07425414131</v>
      </c>
      <c r="AQ171" s="168">
        <f t="shared" si="178"/>
        <v>6.1965462623753549</v>
      </c>
      <c r="AR171" s="168">
        <f t="shared" si="178"/>
        <v>10.870810186423478</v>
      </c>
      <c r="AS171" s="168">
        <f t="shared" si="178"/>
        <v>4.5037206906439708</v>
      </c>
      <c r="AT171" s="168">
        <f t="shared" si="178"/>
        <v>6.0991895318121951</v>
      </c>
      <c r="AU171" s="168">
        <f t="shared" si="178"/>
        <v>11.149078544310827</v>
      </c>
      <c r="AV171" s="168">
        <f t="shared" si="178"/>
        <v>8.6834088420228177</v>
      </c>
      <c r="AW171" s="168">
        <f t="shared" si="178"/>
        <v>9.1182666785837228</v>
      </c>
      <c r="AX171" s="168">
        <f t="shared" si="178"/>
        <v>3.8431420591758161</v>
      </c>
      <c r="AY171" s="168">
        <f t="shared" si="178"/>
        <v>7.3585540578764999</v>
      </c>
      <c r="AZ171" s="168">
        <f t="shared" si="178"/>
        <v>8.3670172181127231</v>
      </c>
      <c r="BA171" s="168">
        <f t="shared" si="178"/>
        <v>8.5888354628204038</v>
      </c>
      <c r="BB171" s="168">
        <f t="shared" si="178"/>
        <v>9.9043036651785687</v>
      </c>
      <c r="BC171" s="168">
        <f t="shared" si="178"/>
        <v>5.8471848904973083</v>
      </c>
      <c r="BD171" s="168">
        <f t="shared" si="178"/>
        <v>6.7330752873758382</v>
      </c>
      <c r="BE171" s="168">
        <f t="shared" si="178"/>
        <v>7.1319825224621383</v>
      </c>
      <c r="BF171" s="168">
        <f t="shared" si="178"/>
        <v>5.1264991454037272</v>
      </c>
      <c r="BG171" s="168">
        <f t="shared" si="178"/>
        <v>6.1541685886771731</v>
      </c>
      <c r="BH171" s="168">
        <f t="shared" si="178"/>
        <v>11.149856691379377</v>
      </c>
      <c r="BI171" s="168">
        <f t="shared" si="178"/>
        <v>10.577995358450128</v>
      </c>
      <c r="BJ171" s="168">
        <f t="shared" si="178"/>
        <v>8.898270394636711</v>
      </c>
      <c r="BK171" s="168">
        <f t="shared" si="178"/>
        <v>7.1665144791866098</v>
      </c>
      <c r="BL171" s="168">
        <f t="shared" si="178"/>
        <v>6.7313851049082292</v>
      </c>
      <c r="BM171" s="168">
        <f t="shared" si="178"/>
        <v>11.035024644758805</v>
      </c>
      <c r="BN171" s="168">
        <f t="shared" si="178"/>
        <v>11.201321650694863</v>
      </c>
      <c r="BO171" s="168">
        <f t="shared" si="178"/>
        <v>9.552386941246235</v>
      </c>
      <c r="BP171" s="168">
        <f t="shared" si="178"/>
        <v>8.2571809133919096</v>
      </c>
      <c r="BQ171" s="168">
        <f t="shared" si="178"/>
        <v>4.4563928726812723</v>
      </c>
      <c r="BR171" s="168">
        <f t="shared" ref="BR171:DA171" si="179">((400*(BR141*BR165/100)^0.42)/(((BR141*BR165/100)^0.42)+27.13))+0.1</f>
        <v>7.1681203633201642</v>
      </c>
      <c r="BS171" s="168">
        <f t="shared" si="179"/>
        <v>5.2117372751706972</v>
      </c>
      <c r="BT171" s="168">
        <f t="shared" si="179"/>
        <v>5.4404112235297983</v>
      </c>
      <c r="BU171" s="168">
        <f t="shared" si="179"/>
        <v>5.8165167559780544</v>
      </c>
      <c r="BV171" s="168">
        <f t="shared" si="179"/>
        <v>7.794882571963333</v>
      </c>
      <c r="BW171" s="168">
        <f t="shared" si="179"/>
        <v>6.4573217955776849</v>
      </c>
      <c r="BX171" s="168">
        <f t="shared" si="179"/>
        <v>8.9243905484107735</v>
      </c>
      <c r="BY171" s="168">
        <f t="shared" si="179"/>
        <v>4.3928717940885571</v>
      </c>
      <c r="BZ171" s="168">
        <f t="shared" si="179"/>
        <v>9.5571730436917388</v>
      </c>
      <c r="CA171" s="168">
        <f t="shared" si="179"/>
        <v>7.047353760316148</v>
      </c>
      <c r="CB171" s="168">
        <f t="shared" si="179"/>
        <v>3.7810373608336931</v>
      </c>
      <c r="CC171" s="168">
        <f t="shared" si="179"/>
        <v>4.2422602152904716</v>
      </c>
      <c r="CD171" s="168">
        <f t="shared" si="179"/>
        <v>5.8026930596437012</v>
      </c>
      <c r="CE171" s="168">
        <f t="shared" si="179"/>
        <v>5.4728618638464592</v>
      </c>
      <c r="CF171" s="168">
        <f t="shared" si="179"/>
        <v>5.4911776367412362</v>
      </c>
      <c r="CG171" s="168">
        <f t="shared" si="179"/>
        <v>9.0788648572773134</v>
      </c>
      <c r="CH171" s="168">
        <f t="shared" si="179"/>
        <v>8.0581447248651497</v>
      </c>
      <c r="CI171" s="168">
        <f t="shared" si="179"/>
        <v>5.3723091279188013</v>
      </c>
      <c r="CJ171" s="168">
        <f t="shared" si="179"/>
        <v>11.056994235486995</v>
      </c>
      <c r="CK171" s="168">
        <f t="shared" si="179"/>
        <v>9.0898380162010692</v>
      </c>
      <c r="CL171" s="168">
        <f t="shared" si="179"/>
        <v>3.6356957345618253</v>
      </c>
      <c r="CM171" s="168">
        <f t="shared" si="179"/>
        <v>5.1187065522638795</v>
      </c>
      <c r="CN171" s="168">
        <f t="shared" si="179"/>
        <v>7.8988489038661847</v>
      </c>
      <c r="CO171" s="168">
        <f t="shared" si="179"/>
        <v>4.7843014250532905</v>
      </c>
      <c r="CP171" s="168">
        <f t="shared" si="179"/>
        <v>7.4691630124591804</v>
      </c>
      <c r="CQ171" s="168">
        <f t="shared" si="179"/>
        <v>4.7430728466248278</v>
      </c>
      <c r="CR171" s="168">
        <f t="shared" si="179"/>
        <v>5.3391372096888512</v>
      </c>
      <c r="CS171" s="168">
        <f t="shared" si="179"/>
        <v>10.024398765003454</v>
      </c>
      <c r="CT171" s="168">
        <f t="shared" si="179"/>
        <v>6.649049255975684</v>
      </c>
      <c r="CU171" s="168">
        <f t="shared" si="179"/>
        <v>8.1629406215539575</v>
      </c>
      <c r="CV171" s="168">
        <f t="shared" si="179"/>
        <v>4.6784133044024836</v>
      </c>
      <c r="CW171" s="168">
        <f t="shared" si="179"/>
        <v>8.3940516738886348</v>
      </c>
      <c r="CX171" s="168">
        <f t="shared" si="179"/>
        <v>9.5923730799958999</v>
      </c>
      <c r="CY171" s="168">
        <f t="shared" si="179"/>
        <v>6.5510226054457901</v>
      </c>
      <c r="CZ171" s="168">
        <f t="shared" si="179"/>
        <v>7.7085308590041777</v>
      </c>
      <c r="DA171" s="168">
        <f t="shared" si="179"/>
        <v>5.9417324132532752</v>
      </c>
    </row>
    <row r="172" spans="5:105">
      <c r="E172" s="172" t="s">
        <v>316</v>
      </c>
      <c r="F172" s="168">
        <f t="shared" ref="F172:BQ172" si="180">((400*(F141*F166/100)^0.42)/(((F141*F166/100)^0.42)+27.13))+0.1</f>
        <v>13.047210500554202</v>
      </c>
      <c r="G172" s="168">
        <f t="shared" si="180"/>
        <v>10.816750138710951</v>
      </c>
      <c r="H172" s="168">
        <f t="shared" si="180"/>
        <v>7.368773849391971</v>
      </c>
      <c r="I172" s="168">
        <f t="shared" si="180"/>
        <v>3.8726457734397624</v>
      </c>
      <c r="J172" s="168">
        <f t="shared" si="180"/>
        <v>8.2078986534427738</v>
      </c>
      <c r="K172" s="168">
        <f t="shared" si="180"/>
        <v>5.341959042012288</v>
      </c>
      <c r="L172" s="168">
        <f t="shared" si="180"/>
        <v>5.7522978685173687</v>
      </c>
      <c r="M172" s="168">
        <f t="shared" si="180"/>
        <v>4.0941176761165305</v>
      </c>
      <c r="N172" s="168">
        <f t="shared" si="180"/>
        <v>4.1213286987875355</v>
      </c>
      <c r="O172" s="168">
        <f t="shared" si="180"/>
        <v>3.7625037850778811</v>
      </c>
      <c r="P172" s="168">
        <f t="shared" si="180"/>
        <v>6.7195834822729728</v>
      </c>
      <c r="Q172" s="168">
        <f t="shared" si="180"/>
        <v>4.7475054410720148</v>
      </c>
      <c r="R172" s="168">
        <f t="shared" si="180"/>
        <v>5.0996523643531591</v>
      </c>
      <c r="S172" s="168">
        <f t="shared" si="180"/>
        <v>3.83033790523998</v>
      </c>
      <c r="T172" s="168">
        <f t="shared" si="180"/>
        <v>8.5958502735616555</v>
      </c>
      <c r="U172" s="168">
        <f t="shared" si="180"/>
        <v>7.3842347003153712</v>
      </c>
      <c r="V172" s="168">
        <f t="shared" si="180"/>
        <v>3.9591217215059724</v>
      </c>
      <c r="W172" s="168">
        <f t="shared" si="180"/>
        <v>4.1664984057437211</v>
      </c>
      <c r="X172" s="168">
        <f t="shared" si="180"/>
        <v>5.313866697228578</v>
      </c>
      <c r="Y172" s="168">
        <f t="shared" si="180"/>
        <v>5.7485399295296045</v>
      </c>
      <c r="Z172" s="168">
        <f t="shared" si="180"/>
        <v>3.7394098549377004</v>
      </c>
      <c r="AA172" s="168">
        <f t="shared" si="180"/>
        <v>6.6451670744895095</v>
      </c>
      <c r="AB172" s="168">
        <f t="shared" si="180"/>
        <v>5.3222648116020856</v>
      </c>
      <c r="AC172" s="168">
        <f t="shared" si="180"/>
        <v>10.113384136226575</v>
      </c>
      <c r="AD172" s="168">
        <f t="shared" si="180"/>
        <v>8.0465033329441233</v>
      </c>
      <c r="AE172" s="168">
        <f t="shared" si="180"/>
        <v>4.3738111981444376</v>
      </c>
      <c r="AF172" s="168">
        <f t="shared" si="180"/>
        <v>6.8684459477913027</v>
      </c>
      <c r="AG172" s="168">
        <f t="shared" si="180"/>
        <v>7.1964054241535793</v>
      </c>
      <c r="AH172" s="168">
        <f t="shared" si="180"/>
        <v>3.8476757899740544</v>
      </c>
      <c r="AI172" s="168">
        <f t="shared" si="180"/>
        <v>6.0958174945526551</v>
      </c>
      <c r="AJ172" s="168">
        <f t="shared" si="180"/>
        <v>5.2895171811697761</v>
      </c>
      <c r="AK172" s="168">
        <f t="shared" si="180"/>
        <v>6.4328075205383088</v>
      </c>
      <c r="AL172" s="168">
        <f t="shared" si="180"/>
        <v>4.6323208793867812</v>
      </c>
      <c r="AM172" s="168">
        <f t="shared" si="180"/>
        <v>8.2474665770689644</v>
      </c>
      <c r="AN172" s="168">
        <f t="shared" si="180"/>
        <v>4.1060989827002317</v>
      </c>
      <c r="AO172" s="168">
        <f t="shared" si="180"/>
        <v>3.9519019312360286</v>
      </c>
      <c r="AP172" s="168">
        <f t="shared" si="180"/>
        <v>9.0230954308811757</v>
      </c>
      <c r="AQ172" s="168">
        <f t="shared" si="180"/>
        <v>4.112503519472603</v>
      </c>
      <c r="AR172" s="168">
        <f t="shared" si="180"/>
        <v>8.1230101268229475</v>
      </c>
      <c r="AS172" s="168">
        <f t="shared" si="180"/>
        <v>3.9626281630049949</v>
      </c>
      <c r="AT172" s="168">
        <f t="shared" si="180"/>
        <v>4.8909151293840072</v>
      </c>
      <c r="AU172" s="168">
        <f t="shared" si="180"/>
        <v>10.031728048292372</v>
      </c>
      <c r="AV172" s="168">
        <f t="shared" si="180"/>
        <v>4.8053780784203433</v>
      </c>
      <c r="AW172" s="168">
        <f t="shared" si="180"/>
        <v>4.7834590628927476</v>
      </c>
      <c r="AX172" s="168">
        <f t="shared" si="180"/>
        <v>3.7630794856977849</v>
      </c>
      <c r="AY172" s="168">
        <f t="shared" si="180"/>
        <v>4.7783759763779798</v>
      </c>
      <c r="AZ172" s="168">
        <f t="shared" si="180"/>
        <v>6.2257351038672573</v>
      </c>
      <c r="BA172" s="168">
        <f t="shared" si="180"/>
        <v>7.0347561019051312</v>
      </c>
      <c r="BB172" s="168">
        <f t="shared" si="180"/>
        <v>7.3697104052819453</v>
      </c>
      <c r="BC172" s="168">
        <f t="shared" si="180"/>
        <v>4.233376935217386</v>
      </c>
      <c r="BD172" s="168">
        <f t="shared" si="180"/>
        <v>5.8906990693070744</v>
      </c>
      <c r="BE172" s="168">
        <f t="shared" si="180"/>
        <v>6.4782999727254156</v>
      </c>
      <c r="BF172" s="168">
        <f t="shared" si="180"/>
        <v>4.3808822990459619</v>
      </c>
      <c r="BG172" s="168">
        <f t="shared" si="180"/>
        <v>5.4176597685122632</v>
      </c>
      <c r="BH172" s="168">
        <f t="shared" si="180"/>
        <v>10.85773403068667</v>
      </c>
      <c r="BI172" s="168">
        <f t="shared" si="180"/>
        <v>10.431397297783349</v>
      </c>
      <c r="BJ172" s="168">
        <f t="shared" si="180"/>
        <v>8.7739047346966785</v>
      </c>
      <c r="BK172" s="168">
        <f t="shared" si="180"/>
        <v>7.0300182976934149</v>
      </c>
      <c r="BL172" s="168">
        <f t="shared" si="180"/>
        <v>6.8505236223368566</v>
      </c>
      <c r="BM172" s="168">
        <f t="shared" si="180"/>
        <v>11.192774341956129</v>
      </c>
      <c r="BN172" s="168">
        <f t="shared" si="180"/>
        <v>11.287669198620199</v>
      </c>
      <c r="BO172" s="168">
        <f t="shared" si="180"/>
        <v>9.9270795080534686</v>
      </c>
      <c r="BP172" s="168">
        <f t="shared" si="180"/>
        <v>8.2481991025096306</v>
      </c>
      <c r="BQ172" s="168">
        <f t="shared" si="180"/>
        <v>4.4479443735776751</v>
      </c>
      <c r="BR172" s="168">
        <f t="shared" ref="BR172:DA172" si="181">((400*(BR141*BR166/100)^0.42)/(((BR141*BR166/100)^0.42)+27.13))+0.1</f>
        <v>8.4125660175383814</v>
      </c>
      <c r="BS172" s="168">
        <f t="shared" si="181"/>
        <v>5.6913008599829595</v>
      </c>
      <c r="BT172" s="168">
        <f t="shared" si="181"/>
        <v>6.8164258888699436</v>
      </c>
      <c r="BU172" s="168">
        <f t="shared" si="181"/>
        <v>7.386598725272469</v>
      </c>
      <c r="BV172" s="168">
        <f t="shared" si="181"/>
        <v>9.0908315735206333</v>
      </c>
      <c r="BW172" s="168">
        <f t="shared" si="181"/>
        <v>7.2079400303426828</v>
      </c>
      <c r="BX172" s="168">
        <f t="shared" si="181"/>
        <v>10.931137306937829</v>
      </c>
      <c r="BY172" s="168">
        <f t="shared" si="181"/>
        <v>5.8405951767217728</v>
      </c>
      <c r="BZ172" s="168">
        <f t="shared" si="181"/>
        <v>10.078249083346114</v>
      </c>
      <c r="CA172" s="168">
        <f t="shared" si="181"/>
        <v>9.7950259343945199</v>
      </c>
      <c r="CB172" s="168">
        <f t="shared" si="181"/>
        <v>3.8603044644124691</v>
      </c>
      <c r="CC172" s="168">
        <f t="shared" si="181"/>
        <v>5.785188148271792</v>
      </c>
      <c r="CD172" s="168">
        <f t="shared" si="181"/>
        <v>9.2612869764887797</v>
      </c>
      <c r="CE172" s="168">
        <f t="shared" si="181"/>
        <v>7.5469158045926656</v>
      </c>
      <c r="CF172" s="168">
        <f t="shared" si="181"/>
        <v>8.6853475633187909</v>
      </c>
      <c r="CG172" s="168">
        <f t="shared" si="181"/>
        <v>10.879557266826668</v>
      </c>
      <c r="CH172" s="168">
        <f t="shared" si="181"/>
        <v>10.197504425327773</v>
      </c>
      <c r="CI172" s="168">
        <f t="shared" si="181"/>
        <v>8.2795771060073555</v>
      </c>
      <c r="CJ172" s="168">
        <f t="shared" si="181"/>
        <v>11.76642092672261</v>
      </c>
      <c r="CK172" s="168">
        <f t="shared" si="181"/>
        <v>10.517359856310737</v>
      </c>
      <c r="CL172" s="168">
        <f t="shared" si="181"/>
        <v>4.1085918277296356</v>
      </c>
      <c r="CM172" s="168">
        <f t="shared" si="181"/>
        <v>6.0263629885001944</v>
      </c>
      <c r="CN172" s="168">
        <f t="shared" si="181"/>
        <v>10.289577949495799</v>
      </c>
      <c r="CO172" s="168">
        <f t="shared" si="181"/>
        <v>6.9415473827321392</v>
      </c>
      <c r="CP172" s="168">
        <f t="shared" si="181"/>
        <v>9.5269367669831997</v>
      </c>
      <c r="CQ172" s="168">
        <f t="shared" si="181"/>
        <v>6.2747106213007298</v>
      </c>
      <c r="CR172" s="168">
        <f t="shared" si="181"/>
        <v>7.2233757384284321</v>
      </c>
      <c r="CS172" s="168">
        <f t="shared" si="181"/>
        <v>10.019127431676683</v>
      </c>
      <c r="CT172" s="168">
        <f t="shared" si="181"/>
        <v>7.6155365049099348</v>
      </c>
      <c r="CU172" s="168">
        <f t="shared" si="181"/>
        <v>8.845989405648103</v>
      </c>
      <c r="CV172" s="168">
        <f t="shared" si="181"/>
        <v>5.7853964232889865</v>
      </c>
      <c r="CW172" s="168">
        <f t="shared" si="181"/>
        <v>9.1858761260892869</v>
      </c>
      <c r="CX172" s="168">
        <f t="shared" si="181"/>
        <v>10.285324093440099</v>
      </c>
      <c r="CY172" s="168">
        <f t="shared" si="181"/>
        <v>7.0565834753840466</v>
      </c>
      <c r="CZ172" s="168">
        <f t="shared" si="181"/>
        <v>8.321253687510568</v>
      </c>
      <c r="DA172" s="168">
        <f t="shared" si="181"/>
        <v>6.7839401668662864</v>
      </c>
    </row>
    <row r="173" spans="5:105">
      <c r="E173" s="172" t="s">
        <v>317</v>
      </c>
      <c r="F173" s="168">
        <f t="shared" ref="F173:BQ173" si="182">((400*(F141*F167/100)^0.42)/(((F141*F167/100)^0.42)+27.13))+0.1</f>
        <v>13.047263118560837</v>
      </c>
      <c r="G173" s="168">
        <f t="shared" si="182"/>
        <v>13.047263118560837</v>
      </c>
      <c r="H173" s="168">
        <f t="shared" si="182"/>
        <v>13.047263118560837</v>
      </c>
      <c r="I173" s="168">
        <f t="shared" si="182"/>
        <v>13.047263118560837</v>
      </c>
      <c r="J173" s="168">
        <f t="shared" si="182"/>
        <v>13.047263118560837</v>
      </c>
      <c r="K173" s="168">
        <f t="shared" si="182"/>
        <v>13.047263118560837</v>
      </c>
      <c r="L173" s="168">
        <f t="shared" si="182"/>
        <v>13.047263118560837</v>
      </c>
      <c r="M173" s="168">
        <f t="shared" si="182"/>
        <v>13.047263118560837</v>
      </c>
      <c r="N173" s="168">
        <f t="shared" si="182"/>
        <v>13.047263118560837</v>
      </c>
      <c r="O173" s="168">
        <f t="shared" si="182"/>
        <v>13.047263118560837</v>
      </c>
      <c r="P173" s="168">
        <f t="shared" si="182"/>
        <v>13.047263118560837</v>
      </c>
      <c r="Q173" s="168">
        <f t="shared" si="182"/>
        <v>13.047263118560837</v>
      </c>
      <c r="R173" s="168">
        <f t="shared" si="182"/>
        <v>13.047263118560837</v>
      </c>
      <c r="S173" s="168">
        <f t="shared" si="182"/>
        <v>13.047263118560837</v>
      </c>
      <c r="T173" s="168">
        <f t="shared" si="182"/>
        <v>13.047263118560837</v>
      </c>
      <c r="U173" s="168">
        <f t="shared" si="182"/>
        <v>13.047263118560837</v>
      </c>
      <c r="V173" s="168">
        <f t="shared" si="182"/>
        <v>13.047263118560837</v>
      </c>
      <c r="W173" s="168">
        <f t="shared" si="182"/>
        <v>13.047263118560837</v>
      </c>
      <c r="X173" s="168">
        <f t="shared" si="182"/>
        <v>13.047263118560837</v>
      </c>
      <c r="Y173" s="168">
        <f t="shared" si="182"/>
        <v>13.047263118560837</v>
      </c>
      <c r="Z173" s="168">
        <f t="shared" si="182"/>
        <v>13.047263118560837</v>
      </c>
      <c r="AA173" s="168">
        <f t="shared" si="182"/>
        <v>13.047263118560837</v>
      </c>
      <c r="AB173" s="168">
        <f t="shared" si="182"/>
        <v>13.047263118560837</v>
      </c>
      <c r="AC173" s="168">
        <f t="shared" si="182"/>
        <v>13.047263118560837</v>
      </c>
      <c r="AD173" s="168">
        <f t="shared" si="182"/>
        <v>13.047263118560837</v>
      </c>
      <c r="AE173" s="168">
        <f t="shared" si="182"/>
        <v>13.047263118560837</v>
      </c>
      <c r="AF173" s="168">
        <f t="shared" si="182"/>
        <v>13.047263118560837</v>
      </c>
      <c r="AG173" s="168">
        <f t="shared" si="182"/>
        <v>13.047263118560837</v>
      </c>
      <c r="AH173" s="168">
        <f t="shared" si="182"/>
        <v>13.047263118560837</v>
      </c>
      <c r="AI173" s="168">
        <f t="shared" si="182"/>
        <v>13.047263118560837</v>
      </c>
      <c r="AJ173" s="168">
        <f t="shared" si="182"/>
        <v>13.047263118560837</v>
      </c>
      <c r="AK173" s="168">
        <f t="shared" si="182"/>
        <v>13.047263118560837</v>
      </c>
      <c r="AL173" s="168">
        <f t="shared" si="182"/>
        <v>13.047263118560837</v>
      </c>
      <c r="AM173" s="168">
        <f t="shared" si="182"/>
        <v>13.047263118560837</v>
      </c>
      <c r="AN173" s="168">
        <f t="shared" si="182"/>
        <v>13.047263118560837</v>
      </c>
      <c r="AO173" s="168">
        <f t="shared" si="182"/>
        <v>13.047263118560837</v>
      </c>
      <c r="AP173" s="168">
        <f t="shared" si="182"/>
        <v>13.047263118560837</v>
      </c>
      <c r="AQ173" s="168">
        <f t="shared" si="182"/>
        <v>13.047263118560837</v>
      </c>
      <c r="AR173" s="168">
        <f t="shared" si="182"/>
        <v>13.047263118560837</v>
      </c>
      <c r="AS173" s="168">
        <f t="shared" si="182"/>
        <v>13.047263118560837</v>
      </c>
      <c r="AT173" s="168">
        <f t="shared" si="182"/>
        <v>13.047263118560837</v>
      </c>
      <c r="AU173" s="168">
        <f t="shared" si="182"/>
        <v>13.047263118560837</v>
      </c>
      <c r="AV173" s="168">
        <f t="shared" si="182"/>
        <v>13.047263118560837</v>
      </c>
      <c r="AW173" s="168">
        <f t="shared" si="182"/>
        <v>13.047263118560837</v>
      </c>
      <c r="AX173" s="168">
        <f t="shared" si="182"/>
        <v>13.047263118560837</v>
      </c>
      <c r="AY173" s="168">
        <f t="shared" si="182"/>
        <v>13.047263118560837</v>
      </c>
      <c r="AZ173" s="168">
        <f t="shared" si="182"/>
        <v>13.047263118560837</v>
      </c>
      <c r="BA173" s="168">
        <f t="shared" si="182"/>
        <v>13.047263118560837</v>
      </c>
      <c r="BB173" s="168">
        <f t="shared" si="182"/>
        <v>13.047263118560837</v>
      </c>
      <c r="BC173" s="168">
        <f t="shared" si="182"/>
        <v>13.047263118560837</v>
      </c>
      <c r="BD173" s="168">
        <f t="shared" si="182"/>
        <v>13.047263118560837</v>
      </c>
      <c r="BE173" s="168">
        <f t="shared" si="182"/>
        <v>13.047263118560837</v>
      </c>
      <c r="BF173" s="168">
        <f t="shared" si="182"/>
        <v>13.047263118560837</v>
      </c>
      <c r="BG173" s="168">
        <f t="shared" si="182"/>
        <v>13.047263118560837</v>
      </c>
      <c r="BH173" s="168">
        <f t="shared" si="182"/>
        <v>13.047263118560837</v>
      </c>
      <c r="BI173" s="168">
        <f t="shared" si="182"/>
        <v>13.047263118560837</v>
      </c>
      <c r="BJ173" s="168">
        <f t="shared" si="182"/>
        <v>13.047263118560837</v>
      </c>
      <c r="BK173" s="168">
        <f t="shared" si="182"/>
        <v>13.047263118560837</v>
      </c>
      <c r="BL173" s="168">
        <f t="shared" si="182"/>
        <v>13.047263118560837</v>
      </c>
      <c r="BM173" s="168">
        <f t="shared" si="182"/>
        <v>13.047263118560837</v>
      </c>
      <c r="BN173" s="168">
        <f t="shared" si="182"/>
        <v>13.047263118560837</v>
      </c>
      <c r="BO173" s="168">
        <f t="shared" si="182"/>
        <v>13.047263118560837</v>
      </c>
      <c r="BP173" s="168">
        <f t="shared" si="182"/>
        <v>13.047263118560837</v>
      </c>
      <c r="BQ173" s="168">
        <f t="shared" si="182"/>
        <v>13.047263118560837</v>
      </c>
      <c r="BR173" s="168">
        <f t="shared" ref="BR173:DA173" si="183">((400*(BR141*BR167/100)^0.42)/(((BR141*BR167/100)^0.42)+27.13))+0.1</f>
        <v>13.047263118560837</v>
      </c>
      <c r="BS173" s="168">
        <f t="shared" si="183"/>
        <v>13.047263118560837</v>
      </c>
      <c r="BT173" s="168">
        <f t="shared" si="183"/>
        <v>13.047263118560837</v>
      </c>
      <c r="BU173" s="168">
        <f t="shared" si="183"/>
        <v>13.047263118560837</v>
      </c>
      <c r="BV173" s="168">
        <f t="shared" si="183"/>
        <v>13.047263118560837</v>
      </c>
      <c r="BW173" s="168">
        <f t="shared" si="183"/>
        <v>13.047263118560837</v>
      </c>
      <c r="BX173" s="168">
        <f t="shared" si="183"/>
        <v>13.047263118560837</v>
      </c>
      <c r="BY173" s="168">
        <f t="shared" si="183"/>
        <v>13.047263118560837</v>
      </c>
      <c r="BZ173" s="168">
        <f t="shared" si="183"/>
        <v>13.047263118560837</v>
      </c>
      <c r="CA173" s="168">
        <f t="shared" si="183"/>
        <v>13.047263118560837</v>
      </c>
      <c r="CB173" s="168">
        <f t="shared" si="183"/>
        <v>13.047263118560837</v>
      </c>
      <c r="CC173" s="168">
        <f t="shared" si="183"/>
        <v>13.047263118560837</v>
      </c>
      <c r="CD173" s="168">
        <f t="shared" si="183"/>
        <v>13.047263118560837</v>
      </c>
      <c r="CE173" s="168">
        <f t="shared" si="183"/>
        <v>13.047263118560837</v>
      </c>
      <c r="CF173" s="168">
        <f t="shared" si="183"/>
        <v>13.047263118560837</v>
      </c>
      <c r="CG173" s="168">
        <f t="shared" si="183"/>
        <v>13.047263118560837</v>
      </c>
      <c r="CH173" s="168">
        <f t="shared" si="183"/>
        <v>13.047263118560837</v>
      </c>
      <c r="CI173" s="168">
        <f t="shared" si="183"/>
        <v>13.047263118560837</v>
      </c>
      <c r="CJ173" s="168">
        <f t="shared" si="183"/>
        <v>13.047263118560837</v>
      </c>
      <c r="CK173" s="168">
        <f t="shared" si="183"/>
        <v>13.047263118560837</v>
      </c>
      <c r="CL173" s="168">
        <f t="shared" si="183"/>
        <v>13.047263118560837</v>
      </c>
      <c r="CM173" s="168">
        <f t="shared" si="183"/>
        <v>13.047263118560837</v>
      </c>
      <c r="CN173" s="168">
        <f t="shared" si="183"/>
        <v>13.047263118560837</v>
      </c>
      <c r="CO173" s="168">
        <f t="shared" si="183"/>
        <v>13.047263118560837</v>
      </c>
      <c r="CP173" s="168">
        <f t="shared" si="183"/>
        <v>13.047263118560837</v>
      </c>
      <c r="CQ173" s="168">
        <f t="shared" si="183"/>
        <v>13.047263118560837</v>
      </c>
      <c r="CR173" s="168">
        <f t="shared" si="183"/>
        <v>13.047263118560837</v>
      </c>
      <c r="CS173" s="168">
        <f t="shared" si="183"/>
        <v>13.047263118560837</v>
      </c>
      <c r="CT173" s="168">
        <f t="shared" si="183"/>
        <v>13.047263118560837</v>
      </c>
      <c r="CU173" s="168">
        <f t="shared" si="183"/>
        <v>13.047263118560837</v>
      </c>
      <c r="CV173" s="168">
        <f t="shared" si="183"/>
        <v>13.047263118560837</v>
      </c>
      <c r="CW173" s="168">
        <f t="shared" si="183"/>
        <v>13.047263118560837</v>
      </c>
      <c r="CX173" s="168">
        <f t="shared" si="183"/>
        <v>13.047263118560837</v>
      </c>
      <c r="CY173" s="168">
        <f t="shared" si="183"/>
        <v>13.047263118560837</v>
      </c>
      <c r="CZ173" s="168">
        <f t="shared" si="183"/>
        <v>13.047263118560837</v>
      </c>
      <c r="DA173" s="168">
        <f t="shared" si="183"/>
        <v>13.047263118560837</v>
      </c>
    </row>
    <row r="174" spans="5:105">
      <c r="E174" s="172" t="s">
        <v>318</v>
      </c>
      <c r="F174" s="168">
        <f t="shared" ref="F174:BQ174" si="184">((400*(F141*F168/100)^0.42)/(((F141*F168/100)^0.42)+27.13))+0.1</f>
        <v>13.047210500554204</v>
      </c>
      <c r="G174" s="168">
        <f t="shared" si="184"/>
        <v>13.047210500554204</v>
      </c>
      <c r="H174" s="168">
        <f t="shared" si="184"/>
        <v>13.047210500554204</v>
      </c>
      <c r="I174" s="168">
        <f t="shared" si="184"/>
        <v>13.047210500554204</v>
      </c>
      <c r="J174" s="168">
        <f t="shared" si="184"/>
        <v>13.047210500554204</v>
      </c>
      <c r="K174" s="168">
        <f t="shared" si="184"/>
        <v>13.047210500554204</v>
      </c>
      <c r="L174" s="168">
        <f t="shared" si="184"/>
        <v>13.047210500554204</v>
      </c>
      <c r="M174" s="168">
        <f t="shared" si="184"/>
        <v>13.047210500554204</v>
      </c>
      <c r="N174" s="168">
        <f t="shared" si="184"/>
        <v>13.047210500554204</v>
      </c>
      <c r="O174" s="168">
        <f t="shared" si="184"/>
        <v>13.047210500554204</v>
      </c>
      <c r="P174" s="168">
        <f t="shared" si="184"/>
        <v>13.047210500554204</v>
      </c>
      <c r="Q174" s="168">
        <f t="shared" si="184"/>
        <v>13.047210500554204</v>
      </c>
      <c r="R174" s="168">
        <f t="shared" si="184"/>
        <v>13.047210500554204</v>
      </c>
      <c r="S174" s="168">
        <f t="shared" si="184"/>
        <v>13.047210500554204</v>
      </c>
      <c r="T174" s="168">
        <f t="shared" si="184"/>
        <v>13.047210500554204</v>
      </c>
      <c r="U174" s="168">
        <f t="shared" si="184"/>
        <v>13.047210500554204</v>
      </c>
      <c r="V174" s="168">
        <f t="shared" si="184"/>
        <v>13.047210500554204</v>
      </c>
      <c r="W174" s="168">
        <f t="shared" si="184"/>
        <v>13.047210500554204</v>
      </c>
      <c r="X174" s="168">
        <f t="shared" si="184"/>
        <v>13.047210500554204</v>
      </c>
      <c r="Y174" s="168">
        <f t="shared" si="184"/>
        <v>13.047210500554204</v>
      </c>
      <c r="Z174" s="168">
        <f t="shared" si="184"/>
        <v>13.047210500554204</v>
      </c>
      <c r="AA174" s="168">
        <f t="shared" si="184"/>
        <v>13.047210500554204</v>
      </c>
      <c r="AB174" s="168">
        <f t="shared" si="184"/>
        <v>13.047210500554204</v>
      </c>
      <c r="AC174" s="168">
        <f t="shared" si="184"/>
        <v>13.047210500554204</v>
      </c>
      <c r="AD174" s="168">
        <f t="shared" si="184"/>
        <v>13.047210500554204</v>
      </c>
      <c r="AE174" s="168">
        <f t="shared" si="184"/>
        <v>13.047210500554204</v>
      </c>
      <c r="AF174" s="168">
        <f t="shared" si="184"/>
        <v>13.047210500554204</v>
      </c>
      <c r="AG174" s="168">
        <f t="shared" si="184"/>
        <v>13.047210500554204</v>
      </c>
      <c r="AH174" s="168">
        <f t="shared" si="184"/>
        <v>13.047210500554204</v>
      </c>
      <c r="AI174" s="168">
        <f t="shared" si="184"/>
        <v>13.047210500554204</v>
      </c>
      <c r="AJ174" s="168">
        <f t="shared" si="184"/>
        <v>13.047210500554204</v>
      </c>
      <c r="AK174" s="168">
        <f t="shared" si="184"/>
        <v>13.047210500554204</v>
      </c>
      <c r="AL174" s="168">
        <f t="shared" si="184"/>
        <v>13.047210500554204</v>
      </c>
      <c r="AM174" s="168">
        <f t="shared" si="184"/>
        <v>13.047210500554204</v>
      </c>
      <c r="AN174" s="168">
        <f t="shared" si="184"/>
        <v>13.047210500554204</v>
      </c>
      <c r="AO174" s="168">
        <f t="shared" si="184"/>
        <v>13.047210500554204</v>
      </c>
      <c r="AP174" s="168">
        <f t="shared" si="184"/>
        <v>13.047210500554204</v>
      </c>
      <c r="AQ174" s="168">
        <f t="shared" si="184"/>
        <v>13.047210500554204</v>
      </c>
      <c r="AR174" s="168">
        <f t="shared" si="184"/>
        <v>13.047210500554204</v>
      </c>
      <c r="AS174" s="168">
        <f t="shared" si="184"/>
        <v>13.047210500554204</v>
      </c>
      <c r="AT174" s="168">
        <f t="shared" si="184"/>
        <v>13.047210500554204</v>
      </c>
      <c r="AU174" s="168">
        <f t="shared" si="184"/>
        <v>13.047210500554204</v>
      </c>
      <c r="AV174" s="168">
        <f t="shared" si="184"/>
        <v>13.047210500554204</v>
      </c>
      <c r="AW174" s="168">
        <f t="shared" si="184"/>
        <v>13.047210500554204</v>
      </c>
      <c r="AX174" s="168">
        <f t="shared" si="184"/>
        <v>13.047210500554204</v>
      </c>
      <c r="AY174" s="168">
        <f t="shared" si="184"/>
        <v>13.047210500554204</v>
      </c>
      <c r="AZ174" s="168">
        <f t="shared" si="184"/>
        <v>13.047210500554204</v>
      </c>
      <c r="BA174" s="168">
        <f t="shared" si="184"/>
        <v>13.047210500554204</v>
      </c>
      <c r="BB174" s="168">
        <f t="shared" si="184"/>
        <v>13.047210500554204</v>
      </c>
      <c r="BC174" s="168">
        <f t="shared" si="184"/>
        <v>13.047210500554204</v>
      </c>
      <c r="BD174" s="168">
        <f t="shared" si="184"/>
        <v>13.047210500554204</v>
      </c>
      <c r="BE174" s="168">
        <f t="shared" si="184"/>
        <v>13.047210500554204</v>
      </c>
      <c r="BF174" s="168">
        <f t="shared" si="184"/>
        <v>13.047210500554204</v>
      </c>
      <c r="BG174" s="168">
        <f t="shared" si="184"/>
        <v>13.047210500554204</v>
      </c>
      <c r="BH174" s="168">
        <f t="shared" si="184"/>
        <v>13.047210500554204</v>
      </c>
      <c r="BI174" s="168">
        <f t="shared" si="184"/>
        <v>13.047210500554204</v>
      </c>
      <c r="BJ174" s="168">
        <f t="shared" si="184"/>
        <v>13.047210500554204</v>
      </c>
      <c r="BK174" s="168">
        <f t="shared" si="184"/>
        <v>13.047210500554204</v>
      </c>
      <c r="BL174" s="168">
        <f t="shared" si="184"/>
        <v>13.047210500554204</v>
      </c>
      <c r="BM174" s="168">
        <f t="shared" si="184"/>
        <v>13.047210500554204</v>
      </c>
      <c r="BN174" s="168">
        <f t="shared" si="184"/>
        <v>13.047210500554204</v>
      </c>
      <c r="BO174" s="168">
        <f t="shared" si="184"/>
        <v>13.047210500554204</v>
      </c>
      <c r="BP174" s="168">
        <f t="shared" si="184"/>
        <v>13.047210500554204</v>
      </c>
      <c r="BQ174" s="168">
        <f t="shared" si="184"/>
        <v>13.047210500554204</v>
      </c>
      <c r="BR174" s="168">
        <f t="shared" ref="BR174:DA174" si="185">((400*(BR141*BR168/100)^0.42)/(((BR141*BR168/100)^0.42)+27.13))+0.1</f>
        <v>13.047210500554204</v>
      </c>
      <c r="BS174" s="168">
        <f t="shared" si="185"/>
        <v>13.047210500554204</v>
      </c>
      <c r="BT174" s="168">
        <f t="shared" si="185"/>
        <v>13.047210500554204</v>
      </c>
      <c r="BU174" s="168">
        <f t="shared" si="185"/>
        <v>13.047210500554204</v>
      </c>
      <c r="BV174" s="168">
        <f t="shared" si="185"/>
        <v>13.047210500554204</v>
      </c>
      <c r="BW174" s="168">
        <f t="shared" si="185"/>
        <v>13.047210500554204</v>
      </c>
      <c r="BX174" s="168">
        <f t="shared" si="185"/>
        <v>13.047210500554204</v>
      </c>
      <c r="BY174" s="168">
        <f t="shared" si="185"/>
        <v>13.047210500554204</v>
      </c>
      <c r="BZ174" s="168">
        <f t="shared" si="185"/>
        <v>13.047210500554204</v>
      </c>
      <c r="CA174" s="168">
        <f t="shared" si="185"/>
        <v>13.047210500554204</v>
      </c>
      <c r="CB174" s="168">
        <f t="shared" si="185"/>
        <v>13.047210500554204</v>
      </c>
      <c r="CC174" s="168">
        <f t="shared" si="185"/>
        <v>13.047210500554204</v>
      </c>
      <c r="CD174" s="168">
        <f t="shared" si="185"/>
        <v>13.047210500554204</v>
      </c>
      <c r="CE174" s="168">
        <f t="shared" si="185"/>
        <v>13.047210500554204</v>
      </c>
      <c r="CF174" s="168">
        <f t="shared" si="185"/>
        <v>13.047210500554204</v>
      </c>
      <c r="CG174" s="168">
        <f t="shared" si="185"/>
        <v>13.047210500554204</v>
      </c>
      <c r="CH174" s="168">
        <f t="shared" si="185"/>
        <v>13.047210500554204</v>
      </c>
      <c r="CI174" s="168">
        <f t="shared" si="185"/>
        <v>13.047210500554204</v>
      </c>
      <c r="CJ174" s="168">
        <f t="shared" si="185"/>
        <v>13.047210500554204</v>
      </c>
      <c r="CK174" s="168">
        <f t="shared" si="185"/>
        <v>13.047210500554204</v>
      </c>
      <c r="CL174" s="168">
        <f t="shared" si="185"/>
        <v>13.047210500554204</v>
      </c>
      <c r="CM174" s="168">
        <f t="shared" si="185"/>
        <v>13.047210500554204</v>
      </c>
      <c r="CN174" s="168">
        <f t="shared" si="185"/>
        <v>13.047210500554204</v>
      </c>
      <c r="CO174" s="168">
        <f t="shared" si="185"/>
        <v>13.047210500554204</v>
      </c>
      <c r="CP174" s="168">
        <f t="shared" si="185"/>
        <v>13.047210500554204</v>
      </c>
      <c r="CQ174" s="168">
        <f t="shared" si="185"/>
        <v>13.047210500554204</v>
      </c>
      <c r="CR174" s="168">
        <f t="shared" si="185"/>
        <v>13.047210500554204</v>
      </c>
      <c r="CS174" s="168">
        <f t="shared" si="185"/>
        <v>13.047210500554204</v>
      </c>
      <c r="CT174" s="168">
        <f t="shared" si="185"/>
        <v>13.047210500554204</v>
      </c>
      <c r="CU174" s="168">
        <f t="shared" si="185"/>
        <v>13.047210500554204</v>
      </c>
      <c r="CV174" s="168">
        <f t="shared" si="185"/>
        <v>13.047210500554204</v>
      </c>
      <c r="CW174" s="168">
        <f t="shared" si="185"/>
        <v>13.047210500554204</v>
      </c>
      <c r="CX174" s="168">
        <f t="shared" si="185"/>
        <v>13.047210500554204</v>
      </c>
      <c r="CY174" s="168">
        <f t="shared" si="185"/>
        <v>13.047210500554204</v>
      </c>
      <c r="CZ174" s="168">
        <f t="shared" si="185"/>
        <v>13.047210500554204</v>
      </c>
      <c r="DA174" s="168">
        <f t="shared" si="185"/>
        <v>13.047210500554204</v>
      </c>
    </row>
    <row r="175" spans="5:105">
      <c r="E175" s="172" t="s">
        <v>319</v>
      </c>
      <c r="F175" s="168">
        <f t="shared" ref="F175:BQ175" si="186">((400*(F141*F169/100)^0.42)/(((F141*F169/100)^0.42)+27.13))+0.1</f>
        <v>13.047210500554202</v>
      </c>
      <c r="G175" s="168">
        <f t="shared" si="186"/>
        <v>13.047210500554202</v>
      </c>
      <c r="H175" s="168">
        <f t="shared" si="186"/>
        <v>13.047210500554202</v>
      </c>
      <c r="I175" s="168">
        <f t="shared" si="186"/>
        <v>13.047210500554202</v>
      </c>
      <c r="J175" s="168">
        <f t="shared" si="186"/>
        <v>13.047210500554202</v>
      </c>
      <c r="K175" s="168">
        <f t="shared" si="186"/>
        <v>13.047210500554202</v>
      </c>
      <c r="L175" s="168">
        <f t="shared" si="186"/>
        <v>13.047210500554202</v>
      </c>
      <c r="M175" s="168">
        <f t="shared" si="186"/>
        <v>13.047210500554202</v>
      </c>
      <c r="N175" s="168">
        <f t="shared" si="186"/>
        <v>13.047210500554202</v>
      </c>
      <c r="O175" s="168">
        <f t="shared" si="186"/>
        <v>13.047210500554202</v>
      </c>
      <c r="P175" s="168">
        <f t="shared" si="186"/>
        <v>13.047210500554202</v>
      </c>
      <c r="Q175" s="168">
        <f t="shared" si="186"/>
        <v>13.047210500554202</v>
      </c>
      <c r="R175" s="168">
        <f t="shared" si="186"/>
        <v>13.047210500554202</v>
      </c>
      <c r="S175" s="168">
        <f t="shared" si="186"/>
        <v>13.047210500554202</v>
      </c>
      <c r="T175" s="168">
        <f t="shared" si="186"/>
        <v>13.047210500554202</v>
      </c>
      <c r="U175" s="168">
        <f t="shared" si="186"/>
        <v>13.047210500554202</v>
      </c>
      <c r="V175" s="168">
        <f t="shared" si="186"/>
        <v>13.047210500554202</v>
      </c>
      <c r="W175" s="168">
        <f t="shared" si="186"/>
        <v>13.047210500554202</v>
      </c>
      <c r="X175" s="168">
        <f t="shared" si="186"/>
        <v>13.047210500554202</v>
      </c>
      <c r="Y175" s="168">
        <f t="shared" si="186"/>
        <v>13.047210500554202</v>
      </c>
      <c r="Z175" s="168">
        <f t="shared" si="186"/>
        <v>13.047210500554202</v>
      </c>
      <c r="AA175" s="168">
        <f t="shared" si="186"/>
        <v>13.047210500554202</v>
      </c>
      <c r="AB175" s="168">
        <f t="shared" si="186"/>
        <v>13.047210500554202</v>
      </c>
      <c r="AC175" s="168">
        <f t="shared" si="186"/>
        <v>13.047210500554202</v>
      </c>
      <c r="AD175" s="168">
        <f t="shared" si="186"/>
        <v>13.047210500554202</v>
      </c>
      <c r="AE175" s="168">
        <f t="shared" si="186"/>
        <v>13.047210500554202</v>
      </c>
      <c r="AF175" s="168">
        <f t="shared" si="186"/>
        <v>13.047210500554202</v>
      </c>
      <c r="AG175" s="168">
        <f t="shared" si="186"/>
        <v>13.047210500554202</v>
      </c>
      <c r="AH175" s="168">
        <f t="shared" si="186"/>
        <v>13.047210500554202</v>
      </c>
      <c r="AI175" s="168">
        <f t="shared" si="186"/>
        <v>13.047210500554202</v>
      </c>
      <c r="AJ175" s="168">
        <f t="shared" si="186"/>
        <v>13.047210500554202</v>
      </c>
      <c r="AK175" s="168">
        <f t="shared" si="186"/>
        <v>13.047210500554202</v>
      </c>
      <c r="AL175" s="168">
        <f t="shared" si="186"/>
        <v>13.047210500554202</v>
      </c>
      <c r="AM175" s="168">
        <f t="shared" si="186"/>
        <v>13.047210500554202</v>
      </c>
      <c r="AN175" s="168">
        <f t="shared" si="186"/>
        <v>13.047210500554202</v>
      </c>
      <c r="AO175" s="168">
        <f t="shared" si="186"/>
        <v>13.047210500554202</v>
      </c>
      <c r="AP175" s="168">
        <f t="shared" si="186"/>
        <v>13.047210500554202</v>
      </c>
      <c r="AQ175" s="168">
        <f t="shared" si="186"/>
        <v>13.047210500554202</v>
      </c>
      <c r="AR175" s="168">
        <f t="shared" si="186"/>
        <v>13.047210500554202</v>
      </c>
      <c r="AS175" s="168">
        <f t="shared" si="186"/>
        <v>13.047210500554202</v>
      </c>
      <c r="AT175" s="168">
        <f t="shared" si="186"/>
        <v>13.047210500554202</v>
      </c>
      <c r="AU175" s="168">
        <f t="shared" si="186"/>
        <v>13.047210500554202</v>
      </c>
      <c r="AV175" s="168">
        <f t="shared" si="186"/>
        <v>13.047210500554202</v>
      </c>
      <c r="AW175" s="168">
        <f t="shared" si="186"/>
        <v>13.047210500554202</v>
      </c>
      <c r="AX175" s="168">
        <f t="shared" si="186"/>
        <v>13.047210500554202</v>
      </c>
      <c r="AY175" s="168">
        <f t="shared" si="186"/>
        <v>13.047210500554202</v>
      </c>
      <c r="AZ175" s="168">
        <f t="shared" si="186"/>
        <v>13.047210500554202</v>
      </c>
      <c r="BA175" s="168">
        <f t="shared" si="186"/>
        <v>13.047210500554202</v>
      </c>
      <c r="BB175" s="168">
        <f t="shared" si="186"/>
        <v>13.047210500554202</v>
      </c>
      <c r="BC175" s="168">
        <f t="shared" si="186"/>
        <v>13.047210500554202</v>
      </c>
      <c r="BD175" s="168">
        <f t="shared" si="186"/>
        <v>13.047210500554202</v>
      </c>
      <c r="BE175" s="168">
        <f t="shared" si="186"/>
        <v>13.047210500554202</v>
      </c>
      <c r="BF175" s="168">
        <f t="shared" si="186"/>
        <v>13.047210500554202</v>
      </c>
      <c r="BG175" s="168">
        <f t="shared" si="186"/>
        <v>13.047210500554202</v>
      </c>
      <c r="BH175" s="168">
        <f t="shared" si="186"/>
        <v>13.047210500554202</v>
      </c>
      <c r="BI175" s="168">
        <f t="shared" si="186"/>
        <v>13.047210500554202</v>
      </c>
      <c r="BJ175" s="168">
        <f t="shared" si="186"/>
        <v>13.047210500554202</v>
      </c>
      <c r="BK175" s="168">
        <f t="shared" si="186"/>
        <v>13.047210500554202</v>
      </c>
      <c r="BL175" s="168">
        <f t="shared" si="186"/>
        <v>13.047210500554202</v>
      </c>
      <c r="BM175" s="168">
        <f t="shared" si="186"/>
        <v>13.047210500554202</v>
      </c>
      <c r="BN175" s="168">
        <f t="shared" si="186"/>
        <v>13.047210500554202</v>
      </c>
      <c r="BO175" s="168">
        <f t="shared" si="186"/>
        <v>13.047210500554202</v>
      </c>
      <c r="BP175" s="168">
        <f t="shared" si="186"/>
        <v>13.047210500554202</v>
      </c>
      <c r="BQ175" s="168">
        <f t="shared" si="186"/>
        <v>13.047210500554202</v>
      </c>
      <c r="BR175" s="168">
        <f t="shared" ref="BR175:DA175" si="187">((400*(BR141*BR169/100)^0.42)/(((BR141*BR169/100)^0.42)+27.13))+0.1</f>
        <v>13.047210500554202</v>
      </c>
      <c r="BS175" s="168">
        <f t="shared" si="187"/>
        <v>13.047210500554202</v>
      </c>
      <c r="BT175" s="168">
        <f t="shared" si="187"/>
        <v>13.047210500554202</v>
      </c>
      <c r="BU175" s="168">
        <f t="shared" si="187"/>
        <v>13.047210500554202</v>
      </c>
      <c r="BV175" s="168">
        <f t="shared" si="187"/>
        <v>13.047210500554202</v>
      </c>
      <c r="BW175" s="168">
        <f t="shared" si="187"/>
        <v>13.047210500554202</v>
      </c>
      <c r="BX175" s="168">
        <f t="shared" si="187"/>
        <v>13.047210500554202</v>
      </c>
      <c r="BY175" s="168">
        <f t="shared" si="187"/>
        <v>13.047210500554202</v>
      </c>
      <c r="BZ175" s="168">
        <f t="shared" si="187"/>
        <v>13.047210500554202</v>
      </c>
      <c r="CA175" s="168">
        <f t="shared" si="187"/>
        <v>13.047210500554202</v>
      </c>
      <c r="CB175" s="168">
        <f t="shared" si="187"/>
        <v>13.047210500554202</v>
      </c>
      <c r="CC175" s="168">
        <f t="shared" si="187"/>
        <v>13.047210500554202</v>
      </c>
      <c r="CD175" s="168">
        <f t="shared" si="187"/>
        <v>13.047210500554202</v>
      </c>
      <c r="CE175" s="168">
        <f t="shared" si="187"/>
        <v>13.047210500554202</v>
      </c>
      <c r="CF175" s="168">
        <f t="shared" si="187"/>
        <v>13.047210500554202</v>
      </c>
      <c r="CG175" s="168">
        <f t="shared" si="187"/>
        <v>13.047210500554202</v>
      </c>
      <c r="CH175" s="168">
        <f t="shared" si="187"/>
        <v>13.047210500554202</v>
      </c>
      <c r="CI175" s="168">
        <f t="shared" si="187"/>
        <v>13.047210500554202</v>
      </c>
      <c r="CJ175" s="168">
        <f t="shared" si="187"/>
        <v>13.047210500554202</v>
      </c>
      <c r="CK175" s="168">
        <f t="shared" si="187"/>
        <v>13.047210500554202</v>
      </c>
      <c r="CL175" s="168">
        <f t="shared" si="187"/>
        <v>13.047210500554202</v>
      </c>
      <c r="CM175" s="168">
        <f t="shared" si="187"/>
        <v>13.047210500554202</v>
      </c>
      <c r="CN175" s="168">
        <f t="shared" si="187"/>
        <v>13.047210500554202</v>
      </c>
      <c r="CO175" s="168">
        <f t="shared" si="187"/>
        <v>13.047210500554202</v>
      </c>
      <c r="CP175" s="168">
        <f t="shared" si="187"/>
        <v>13.047210500554202</v>
      </c>
      <c r="CQ175" s="168">
        <f t="shared" si="187"/>
        <v>13.047210500554202</v>
      </c>
      <c r="CR175" s="168">
        <f t="shared" si="187"/>
        <v>13.047210500554202</v>
      </c>
      <c r="CS175" s="168">
        <f t="shared" si="187"/>
        <v>13.047210500554202</v>
      </c>
      <c r="CT175" s="168">
        <f t="shared" si="187"/>
        <v>13.047210500554202</v>
      </c>
      <c r="CU175" s="168">
        <f t="shared" si="187"/>
        <v>13.047210500554202</v>
      </c>
      <c r="CV175" s="168">
        <f t="shared" si="187"/>
        <v>13.047210500554202</v>
      </c>
      <c r="CW175" s="168">
        <f t="shared" si="187"/>
        <v>13.047210500554202</v>
      </c>
      <c r="CX175" s="168">
        <f t="shared" si="187"/>
        <v>13.047210500554202</v>
      </c>
      <c r="CY175" s="168">
        <f t="shared" si="187"/>
        <v>13.047210500554202</v>
      </c>
      <c r="CZ175" s="168">
        <f t="shared" si="187"/>
        <v>13.047210500554202</v>
      </c>
      <c r="DA175" s="168">
        <f t="shared" si="187"/>
        <v>13.047210500554202</v>
      </c>
    </row>
    <row r="176" spans="5:105">
      <c r="E176" s="172" t="s">
        <v>51</v>
      </c>
      <c r="F176" s="168">
        <f>F170-12*F171/11+F172/11</f>
        <v>5.2618006631144354E-5</v>
      </c>
      <c r="G176" s="168">
        <f t="shared" ref="G176:BR176" si="188">G170-12*G171/11+G172/11</f>
        <v>0.28642189575823707</v>
      </c>
      <c r="H176" s="168">
        <f t="shared" si="188"/>
        <v>0.6213168864237093</v>
      </c>
      <c r="I176" s="168">
        <f t="shared" si="188"/>
        <v>0.16180463141428642</v>
      </c>
      <c r="J176" s="168">
        <f t="shared" si="188"/>
        <v>0.31299400688454149</v>
      </c>
      <c r="K176" s="168">
        <f t="shared" si="188"/>
        <v>0.56525186446741615</v>
      </c>
      <c r="L176" s="168">
        <f t="shared" si="188"/>
        <v>0.23393220212871002</v>
      </c>
      <c r="M176" s="168">
        <f t="shared" si="188"/>
        <v>0.54431081558790084</v>
      </c>
      <c r="N176" s="168">
        <f t="shared" si="188"/>
        <v>0.44573403277916163</v>
      </c>
      <c r="O176" s="168">
        <f t="shared" si="188"/>
        <v>4.6828508494181742E-2</v>
      </c>
      <c r="P176" s="168">
        <f t="shared" si="188"/>
        <v>0.60742917969011978</v>
      </c>
      <c r="Q176" s="168">
        <f t="shared" si="188"/>
        <v>0.47718151725533775</v>
      </c>
      <c r="R176" s="168">
        <f t="shared" si="188"/>
        <v>0.55320174668555622</v>
      </c>
      <c r="S176" s="168">
        <f t="shared" si="188"/>
        <v>0.29294220744260868</v>
      </c>
      <c r="T176" s="168">
        <f t="shared" si="188"/>
        <v>8.1965882720656413E-2</v>
      </c>
      <c r="U176" s="168">
        <f t="shared" si="188"/>
        <v>0.19167286307149212</v>
      </c>
      <c r="V176" s="168">
        <f t="shared" si="188"/>
        <v>0.1877121612804879</v>
      </c>
      <c r="W176" s="168">
        <f t="shared" si="188"/>
        <v>0.13845612599085033</v>
      </c>
      <c r="X176" s="168">
        <f t="shared" si="188"/>
        <v>0.14062499261375305</v>
      </c>
      <c r="Y176" s="168">
        <f t="shared" si="188"/>
        <v>0.14169466679841625</v>
      </c>
      <c r="Z176" s="168">
        <f t="shared" si="188"/>
        <v>0.28224796017001458</v>
      </c>
      <c r="AA176" s="168">
        <f t="shared" si="188"/>
        <v>0.10167271394345656</v>
      </c>
      <c r="AB176" s="168">
        <f t="shared" si="188"/>
        <v>0.13750597258728497</v>
      </c>
      <c r="AC176" s="168">
        <f t="shared" si="188"/>
        <v>-6.3295070661741892E-3</v>
      </c>
      <c r="AD176" s="168">
        <f t="shared" si="188"/>
        <v>-3.6089398979816778E-2</v>
      </c>
      <c r="AE176" s="168">
        <f t="shared" si="188"/>
        <v>-6.683469733955022E-2</v>
      </c>
      <c r="AF176" s="168">
        <f t="shared" si="188"/>
        <v>-5.4574856614572953E-2</v>
      </c>
      <c r="AG176" s="168">
        <f t="shared" si="188"/>
        <v>-5.3656147516971342E-2</v>
      </c>
      <c r="AH176" s="168">
        <f t="shared" si="188"/>
        <v>-5.7281909247320462E-2</v>
      </c>
      <c r="AI176" s="168">
        <f t="shared" si="188"/>
        <v>-0.17392967480853483</v>
      </c>
      <c r="AJ176" s="168">
        <f t="shared" si="188"/>
        <v>-7.358802165058892E-2</v>
      </c>
      <c r="AK176" s="168">
        <f t="shared" si="188"/>
        <v>-0.18641623955668063</v>
      </c>
      <c r="AL176" s="168">
        <f t="shared" si="188"/>
        <v>-0.24936014670793172</v>
      </c>
      <c r="AM176" s="168">
        <f t="shared" si="188"/>
        <v>-0.12082849455374423</v>
      </c>
      <c r="AN176" s="168">
        <f t="shared" si="188"/>
        <v>-0.22258916670959239</v>
      </c>
      <c r="AO176" s="168">
        <f t="shared" si="188"/>
        <v>-0.10474964560499783</v>
      </c>
      <c r="AP176" s="168">
        <f t="shared" si="188"/>
        <v>-3.7372487225552198E-2</v>
      </c>
      <c r="AQ176" s="168">
        <f t="shared" si="188"/>
        <v>-0.1919709347318696</v>
      </c>
      <c r="AR176" s="168">
        <f t="shared" si="188"/>
        <v>-0.15298173660888381</v>
      </c>
      <c r="AS176" s="168">
        <f t="shared" si="188"/>
        <v>-2.8544798737625665E-2</v>
      </c>
      <c r="AT176" s="168">
        <f t="shared" si="188"/>
        <v>-7.4737258727950673E-2</v>
      </c>
      <c r="AU176" s="168">
        <f t="shared" si="188"/>
        <v>-8.8299704420138903E-2</v>
      </c>
      <c r="AV176" s="168">
        <f t="shared" si="188"/>
        <v>-0.47742663803929036</v>
      </c>
      <c r="AW176" s="168">
        <f t="shared" si="188"/>
        <v>-0.48436475696800713</v>
      </c>
      <c r="AX176" s="168">
        <f t="shared" si="188"/>
        <v>-9.5313320095377074E-3</v>
      </c>
      <c r="AY176" s="168">
        <f t="shared" si="188"/>
        <v>-0.38896110622723312</v>
      </c>
      <c r="AZ176" s="168">
        <f t="shared" si="188"/>
        <v>-0.28878329527348523</v>
      </c>
      <c r="BA176" s="168">
        <f t="shared" si="188"/>
        <v>-0.19314456649880285</v>
      </c>
      <c r="BB176" s="168">
        <f t="shared" si="188"/>
        <v>-0.41126970186409106</v>
      </c>
      <c r="BC176" s="168">
        <f t="shared" si="188"/>
        <v>-0.2896607101597457</v>
      </c>
      <c r="BD176" s="168">
        <f t="shared" si="188"/>
        <v>-0.25823357691619198</v>
      </c>
      <c r="BE176" s="168">
        <f t="shared" si="188"/>
        <v>-0.20462514045607605</v>
      </c>
      <c r="BF176" s="168">
        <f t="shared" si="188"/>
        <v>-0.27423264634068006</v>
      </c>
      <c r="BG176" s="168">
        <f t="shared" si="188"/>
        <v>-0.48441990481859604</v>
      </c>
      <c r="BH176" s="168">
        <f t="shared" si="188"/>
        <v>-0.22530197407702235</v>
      </c>
      <c r="BI176" s="168">
        <f t="shared" si="188"/>
        <v>-0.24142870825043272</v>
      </c>
      <c r="BJ176" s="168">
        <f t="shared" si="188"/>
        <v>-0.48340456331899795</v>
      </c>
      <c r="BK176" s="168">
        <f t="shared" si="188"/>
        <v>-0.50318587394240855</v>
      </c>
      <c r="BL176" s="168">
        <f t="shared" si="188"/>
        <v>-0.49053899381584021</v>
      </c>
      <c r="BM176" s="168">
        <f t="shared" si="188"/>
        <v>-0.18799996965432508</v>
      </c>
      <c r="BN176" s="168">
        <f t="shared" si="188"/>
        <v>-6.0264483758105891E-2</v>
      </c>
      <c r="BO176" s="168">
        <f t="shared" si="188"/>
        <v>-0.14669225579912681</v>
      </c>
      <c r="BP176" s="168">
        <f t="shared" si="188"/>
        <v>-5.3603096005061968E-2</v>
      </c>
      <c r="BQ176" s="168">
        <f t="shared" si="188"/>
        <v>2.5336780506859946E-2</v>
      </c>
      <c r="BR176" s="168">
        <f t="shared" si="188"/>
        <v>-0.40007563182450923</v>
      </c>
      <c r="BS176" s="168">
        <f t="shared" ref="BS176:DA176" si="189">BS170-12*BS171/11+BS172/11</f>
        <v>-0.14577727747980895</v>
      </c>
      <c r="BT176" s="168">
        <f t="shared" si="189"/>
        <v>-0.29054471669807791</v>
      </c>
      <c r="BU176" s="168">
        <f t="shared" si="189"/>
        <v>-0.30307383489939232</v>
      </c>
      <c r="BV176" s="168">
        <f t="shared" si="189"/>
        <v>-0.15633211794314927</v>
      </c>
      <c r="BW176" s="168">
        <f t="shared" si="189"/>
        <v>-1.8341826163092212E-2</v>
      </c>
      <c r="BX176" s="168">
        <f t="shared" si="189"/>
        <v>-0.16971294248002555</v>
      </c>
      <c r="BY176" s="168">
        <f t="shared" si="189"/>
        <v>-9.3958033874516844E-2</v>
      </c>
      <c r="BZ176" s="168">
        <f t="shared" si="189"/>
        <v>-3.6231712471754163E-2</v>
      </c>
      <c r="CA176" s="168">
        <f t="shared" si="189"/>
        <v>-0.23101165057346329</v>
      </c>
      <c r="CB176" s="168">
        <f t="shared" si="189"/>
        <v>-1.0077787212517064E-2</v>
      </c>
      <c r="CC176" s="168">
        <f t="shared" si="189"/>
        <v>-5.9466697725457873E-2</v>
      </c>
      <c r="CD176" s="168">
        <f t="shared" si="189"/>
        <v>-8.5312767987598459E-2</v>
      </c>
      <c r="CE176" s="168">
        <f t="shared" si="189"/>
        <v>-7.197445057918217E-2</v>
      </c>
      <c r="CF176" s="168">
        <f t="shared" si="189"/>
        <v>-6.9994087769897018E-2</v>
      </c>
      <c r="CG176" s="168">
        <f t="shared" si="189"/>
        <v>1.1435345977891531E-3</v>
      </c>
      <c r="CH176" s="168">
        <f t="shared" si="189"/>
        <v>7.8057784042568468E-2</v>
      </c>
      <c r="CI176" s="168">
        <f t="shared" si="189"/>
        <v>9.7033078400801664E-2</v>
      </c>
      <c r="CJ176" s="168">
        <f t="shared" si="189"/>
        <v>3.6445091273984875E-2</v>
      </c>
      <c r="CK176" s="168">
        <f t="shared" si="189"/>
        <v>8.3199690158712092E-2</v>
      </c>
      <c r="CL176" s="168">
        <f t="shared" si="189"/>
        <v>7.367107458365918E-2</v>
      </c>
      <c r="CM176" s="168">
        <f t="shared" si="189"/>
        <v>7.779580993937707E-2</v>
      </c>
      <c r="CN176" s="168">
        <f t="shared" si="189"/>
        <v>0.15717985266457013</v>
      </c>
      <c r="CO176" s="168">
        <f t="shared" si="189"/>
        <v>0.28140465598838993</v>
      </c>
      <c r="CP176" s="168">
        <f t="shared" si="189"/>
        <v>0.35287143519085462</v>
      </c>
      <c r="CQ176" s="168">
        <f t="shared" si="189"/>
        <v>0.2543664622697176</v>
      </c>
      <c r="CR176" s="168">
        <f t="shared" si="189"/>
        <v>0.36769072705291006</v>
      </c>
      <c r="CS176" s="168">
        <f t="shared" si="189"/>
        <v>3.9019302206395823E-2</v>
      </c>
      <c r="CT176" s="168">
        <f t="shared" si="189"/>
        <v>0.2064322667011228</v>
      </c>
      <c r="CU176" s="168">
        <f t="shared" si="189"/>
        <v>0.18063665313784938</v>
      </c>
      <c r="CV176" s="168">
        <f t="shared" si="189"/>
        <v>0.29960128664769503</v>
      </c>
      <c r="CW176" s="168">
        <f t="shared" si="189"/>
        <v>0.28412990920136239</v>
      </c>
      <c r="CX176" s="168">
        <f t="shared" si="189"/>
        <v>0.27605360802375045</v>
      </c>
      <c r="CY176" s="168">
        <f t="shared" si="189"/>
        <v>0.39866277060337041</v>
      </c>
      <c r="CZ176" s="168">
        <f t="shared" si="189"/>
        <v>0.62240219529126106</v>
      </c>
      <c r="DA176" s="168">
        <f t="shared" si="189"/>
        <v>0.63623583468972567</v>
      </c>
    </row>
    <row r="177" spans="5:105">
      <c r="E177" s="172" t="s">
        <v>52</v>
      </c>
      <c r="F177" s="168">
        <f>(1/9)*(F170+F171-2*F172)</f>
        <v>5.8464451820030818E-6</v>
      </c>
      <c r="G177" s="168">
        <f t="shared" ref="G177:BR177" si="190">(1/9)*(G170+G171-2*G172)</f>
        <v>7.6707610171394451E-3</v>
      </c>
      <c r="H177" s="168">
        <f t="shared" si="190"/>
        <v>4.4720412411470768E-2</v>
      </c>
      <c r="I177" s="168">
        <f t="shared" si="190"/>
        <v>2.540306762442807E-2</v>
      </c>
      <c r="J177" s="168">
        <f t="shared" si="190"/>
        <v>0.14086609001305994</v>
      </c>
      <c r="K177" s="168">
        <f t="shared" si="190"/>
        <v>0.13239133793153396</v>
      </c>
      <c r="L177" s="168">
        <f t="shared" si="190"/>
        <v>0.13880547768401363</v>
      </c>
      <c r="M177" s="168">
        <f t="shared" si="190"/>
        <v>0.19494253130395872</v>
      </c>
      <c r="N177" s="168">
        <f t="shared" si="190"/>
        <v>0.16295386495729264</v>
      </c>
      <c r="O177" s="168">
        <f t="shared" si="190"/>
        <v>6.8862221857214972E-3</v>
      </c>
      <c r="P177" s="168">
        <f t="shared" si="190"/>
        <v>0.59238164798314996</v>
      </c>
      <c r="Q177" s="168">
        <f t="shared" si="190"/>
        <v>0.57144404046196662</v>
      </c>
      <c r="R177" s="168">
        <f t="shared" si="190"/>
        <v>0.64239797134569576</v>
      </c>
      <c r="S177" s="168">
        <f t="shared" si="190"/>
        <v>0.32263425067213664</v>
      </c>
      <c r="T177" s="168">
        <f t="shared" si="190"/>
        <v>0.14195375571889338</v>
      </c>
      <c r="U177" s="168">
        <f t="shared" si="190"/>
        <v>0.30231911856899607</v>
      </c>
      <c r="V177" s="168">
        <f t="shared" si="190"/>
        <v>0.41500319991705037</v>
      </c>
      <c r="W177" s="168">
        <f t="shared" si="190"/>
        <v>0.47258207795391466</v>
      </c>
      <c r="X177" s="168">
        <f t="shared" si="190"/>
        <v>0.35821322506020237</v>
      </c>
      <c r="Y177" s="168">
        <f t="shared" si="190"/>
        <v>0.75115180877615328</v>
      </c>
      <c r="Z177" s="168">
        <f t="shared" si="190"/>
        <v>0.95405417759713174</v>
      </c>
      <c r="AA177" s="168">
        <f t="shared" si="190"/>
        <v>1.0073686525596708</v>
      </c>
      <c r="AB177" s="168">
        <f t="shared" si="190"/>
        <v>1.0354118557424092</v>
      </c>
      <c r="AC177" s="168">
        <f t="shared" si="190"/>
        <v>0.37070670162706498</v>
      </c>
      <c r="AD177" s="168">
        <f t="shared" si="190"/>
        <v>0.83032325640466642</v>
      </c>
      <c r="AE177" s="168">
        <f t="shared" si="190"/>
        <v>1.0747423176561699</v>
      </c>
      <c r="AF177" s="168">
        <f t="shared" si="190"/>
        <v>1.0521401033475055</v>
      </c>
      <c r="AG177" s="168">
        <f t="shared" si="190"/>
        <v>0.44098726809443001</v>
      </c>
      <c r="AH177" s="168">
        <f t="shared" si="190"/>
        <v>0.3445815753723091</v>
      </c>
      <c r="AI177" s="168">
        <f t="shared" si="190"/>
        <v>1.1107094004840248</v>
      </c>
      <c r="AJ177" s="168">
        <f t="shared" si="190"/>
        <v>0.59569553635013583</v>
      </c>
      <c r="AK177" s="168">
        <f t="shared" si="190"/>
        <v>1.0884085774921268</v>
      </c>
      <c r="AL177" s="168">
        <f t="shared" si="190"/>
        <v>1.089801404320702</v>
      </c>
      <c r="AM177" s="168">
        <f t="shared" si="190"/>
        <v>0.71062437513366639</v>
      </c>
      <c r="AN177" s="168">
        <f t="shared" si="190"/>
        <v>0.84317103663544257</v>
      </c>
      <c r="AO177" s="168">
        <f t="shared" si="190"/>
        <v>0.34227999523570191</v>
      </c>
      <c r="AP177" s="168">
        <f t="shared" si="190"/>
        <v>0.24005609071092829</v>
      </c>
      <c r="AQ177" s="168">
        <f t="shared" si="190"/>
        <v>0.46284144247184555</v>
      </c>
      <c r="AR177" s="168">
        <f t="shared" si="190"/>
        <v>0.62137982089004529</v>
      </c>
      <c r="AS177" s="168">
        <f t="shared" si="190"/>
        <v>0.12253672070285423</v>
      </c>
      <c r="AT177" s="168">
        <f t="shared" si="190"/>
        <v>0.27240607484687746</v>
      </c>
      <c r="AU177" s="168">
        <f t="shared" si="190"/>
        <v>0.24977540060406983</v>
      </c>
      <c r="AV177" s="168">
        <f t="shared" si="190"/>
        <v>0.84790923782247174</v>
      </c>
      <c r="AW177" s="168">
        <f t="shared" si="190"/>
        <v>0.9532582104469125</v>
      </c>
      <c r="AX177" s="168">
        <f t="shared" si="190"/>
        <v>1.7541358968583824E-2</v>
      </c>
      <c r="AY177" s="168">
        <f t="shared" si="190"/>
        <v>0.55621741117137757</v>
      </c>
      <c r="AZ177" s="168">
        <f t="shared" si="190"/>
        <v>0.46538254928926664</v>
      </c>
      <c r="BA177" s="168">
        <f t="shared" si="190"/>
        <v>0.33958823302590307</v>
      </c>
      <c r="BB177" s="168">
        <f t="shared" si="190"/>
        <v>0.54314826522340742</v>
      </c>
      <c r="BC177" s="168">
        <f t="shared" si="190"/>
        <v>0.342740557168495</v>
      </c>
      <c r="BD177" s="168">
        <f t="shared" si="190"/>
        <v>0.16701094615660039</v>
      </c>
      <c r="BE177" s="168">
        <f t="shared" si="190"/>
        <v>0.12912951615078583</v>
      </c>
      <c r="BF177" s="168">
        <f t="shared" si="190"/>
        <v>0.1427538217826376</v>
      </c>
      <c r="BG177" s="168">
        <f t="shared" si="190"/>
        <v>0.11728367586654917</v>
      </c>
      <c r="BH177" s="168">
        <f t="shared" si="190"/>
        <v>4.2833328091767771E-2</v>
      </c>
      <c r="BI177" s="168">
        <f t="shared" si="190"/>
        <v>7.2327232785976345E-3</v>
      </c>
      <c r="BJ177" s="168">
        <f t="shared" si="190"/>
        <v>-2.4818586039274965E-2</v>
      </c>
      <c r="BK177" s="168">
        <f t="shared" si="190"/>
        <v>-2.4198307464879002E-2</v>
      </c>
      <c r="BL177" s="168">
        <f t="shared" si="190"/>
        <v>-8.218297810942074E-2</v>
      </c>
      <c r="BM177" s="168">
        <f t="shared" si="190"/>
        <v>-5.7537805068040626E-2</v>
      </c>
      <c r="BN177" s="168">
        <f t="shared" si="190"/>
        <v>-2.6756595188099572E-2</v>
      </c>
      <c r="BO177" s="168">
        <f t="shared" si="190"/>
        <v>-0.10334892778138163</v>
      </c>
      <c r="BP177" s="168">
        <f t="shared" si="190"/>
        <v>-3.8692162198306805E-3</v>
      </c>
      <c r="BQ177" s="168">
        <f t="shared" si="190"/>
        <v>4.77798045412313E-3</v>
      </c>
      <c r="BR177" s="168">
        <f t="shared" si="190"/>
        <v>-0.33356648481907669</v>
      </c>
      <c r="BS177" s="168">
        <f t="shared" ref="BS177:DA177" si="191">(1/9)*(BS170+BS171-2*BS172)</f>
        <v>-0.12761123740363561</v>
      </c>
      <c r="BT177" s="168">
        <f t="shared" si="191"/>
        <v>-0.3519629210757797</v>
      </c>
      <c r="BU177" s="168">
        <f t="shared" si="191"/>
        <v>-0.39844138866328133</v>
      </c>
      <c r="BV177" s="168">
        <f t="shared" si="191"/>
        <v>-0.31844929629487434</v>
      </c>
      <c r="BW177" s="168">
        <f t="shared" si="191"/>
        <v>-0.17642403522615108</v>
      </c>
      <c r="BX177" s="168">
        <f t="shared" si="191"/>
        <v>-0.48507088700406614</v>
      </c>
      <c r="BY177" s="168">
        <f t="shared" si="191"/>
        <v>-0.34677955730488519</v>
      </c>
      <c r="BZ177" s="168">
        <f t="shared" si="191"/>
        <v>-0.12508381564888812</v>
      </c>
      <c r="CA177" s="168">
        <f t="shared" si="191"/>
        <v>-0.6640160420213197</v>
      </c>
      <c r="CB177" s="168">
        <f t="shared" si="191"/>
        <v>-1.9535343855045774E-2</v>
      </c>
      <c r="CC177" s="168">
        <f t="shared" si="191"/>
        <v>-0.36506541549040822</v>
      </c>
      <c r="CD177" s="168">
        <f t="shared" si="191"/>
        <v>-0.81299091449798366</v>
      </c>
      <c r="CE177" s="168">
        <f t="shared" si="191"/>
        <v>-0.48984807670236108</v>
      </c>
      <c r="CF177" s="168">
        <f t="shared" si="191"/>
        <v>-0.74985700279548095</v>
      </c>
      <c r="CG177" s="168">
        <f t="shared" si="191"/>
        <v>-0.41821562160666104</v>
      </c>
      <c r="CH177" s="168">
        <f t="shared" si="191"/>
        <v>-0.4883498735976981</v>
      </c>
      <c r="CI177" s="168">
        <f t="shared" si="191"/>
        <v>-0.66464444074371631</v>
      </c>
      <c r="CJ177" s="168">
        <f t="shared" si="191"/>
        <v>-0.16076684741823558</v>
      </c>
      <c r="CK177" s="168">
        <f t="shared" si="191"/>
        <v>-0.32240207808865207</v>
      </c>
      <c r="CL177" s="168">
        <f t="shared" si="191"/>
        <v>-0.10167907396403425</v>
      </c>
      <c r="CM177" s="168">
        <f t="shared" si="191"/>
        <v>-0.20222569822325354</v>
      </c>
      <c r="CN177" s="168">
        <f t="shared" si="191"/>
        <v>-0.53795747141586736</v>
      </c>
      <c r="CO177" s="168">
        <f t="shared" si="191"/>
        <v>-0.46991116980546677</v>
      </c>
      <c r="CP177" s="168">
        <f t="shared" si="191"/>
        <v>-0.43886071279750555</v>
      </c>
      <c r="CQ177" s="168">
        <f t="shared" si="191"/>
        <v>-0.32757209830887724</v>
      </c>
      <c r="CR177" s="168">
        <f t="shared" si="191"/>
        <v>-0.39689786023664986</v>
      </c>
      <c r="CS177" s="168">
        <f t="shared" si="191"/>
        <v>5.5601312200614927E-3</v>
      </c>
      <c r="CT177" s="168">
        <f t="shared" si="191"/>
        <v>-0.20160052314924648</v>
      </c>
      <c r="CU177" s="168">
        <f t="shared" si="191"/>
        <v>-0.13861736211766659</v>
      </c>
      <c r="CV177" s="168">
        <f t="shared" si="191"/>
        <v>-0.22388886445722139</v>
      </c>
      <c r="CW177" s="168">
        <f t="shared" si="191"/>
        <v>-0.1523892262565659</v>
      </c>
      <c r="CX177" s="168">
        <f t="shared" si="191"/>
        <v>-0.13031599617126627</v>
      </c>
      <c r="CY177" s="168">
        <f t="shared" si="191"/>
        <v>-7.3157672039826593E-2</v>
      </c>
      <c r="CZ177" s="168">
        <f t="shared" si="191"/>
        <v>-7.3193948560031349E-2</v>
      </c>
      <c r="DA177" s="168">
        <f t="shared" si="191"/>
        <v>-0.12497155708598266</v>
      </c>
    </row>
    <row r="178" spans="5:105">
      <c r="E178" s="172" t="s">
        <v>320</v>
      </c>
      <c r="F178" s="168">
        <f>IF(F176=0,IF(F177=0,0,IF(F176=0 &amp; F177=0,0,IF(F177&gt;=0,(360/(2*PI()))*ATAN2(F176,F177),360+(360/(2*PI()))*ATAN2(F176,F177)))),IF(F176=0 &amp; F177=0,0,IF(F177&gt;=0,(360/(2*PI()))*ATAN2(F176,F177),360+(360/(2*PI()))*ATAN2(F176,F177))))</f>
        <v>6.3401917467325672</v>
      </c>
      <c r="G178" s="168">
        <f t="shared" ref="G178:BR178" si="192">IF(G176=0,IF(G177=0,0,IF(G176=0 &amp; G177=0,0,IF(G177&gt;=0,(360/(2*PI()))*ATAN2(G176,G177),360+(360/(2*PI()))*ATAN2(G176,G177)))),IF(G176=0 &amp; G177=0,0,IF(G177&gt;=0,(360/(2*PI()))*ATAN2(G176,G177),360+(360/(2*PI()))*ATAN2(G176,G177))))</f>
        <v>1.5340908200504846</v>
      </c>
      <c r="H178" s="168">
        <f t="shared" si="192"/>
        <v>4.1168683171292546</v>
      </c>
      <c r="I178" s="168">
        <f t="shared" si="192"/>
        <v>8.9225123830416884</v>
      </c>
      <c r="J178" s="168">
        <f t="shared" si="192"/>
        <v>24.230605194203005</v>
      </c>
      <c r="K178" s="168">
        <f t="shared" si="192"/>
        <v>13.182004272744519</v>
      </c>
      <c r="L178" s="168">
        <f t="shared" si="192"/>
        <v>30.683101989566655</v>
      </c>
      <c r="M178" s="168">
        <f t="shared" si="192"/>
        <v>19.704762314788095</v>
      </c>
      <c r="N178" s="168">
        <f t="shared" si="192"/>
        <v>20.081675515082491</v>
      </c>
      <c r="O178" s="168">
        <f t="shared" si="192"/>
        <v>8.3654990744627185</v>
      </c>
      <c r="P178" s="168">
        <f t="shared" si="192"/>
        <v>44.281457676639228</v>
      </c>
      <c r="Q178" s="168">
        <f t="shared" si="192"/>
        <v>50.136597795469783</v>
      </c>
      <c r="R178" s="168">
        <f t="shared" si="192"/>
        <v>49.26657630739011</v>
      </c>
      <c r="S178" s="168">
        <f t="shared" si="192"/>
        <v>47.761494913772694</v>
      </c>
      <c r="T178" s="168">
        <f t="shared" si="192"/>
        <v>59.99732294965753</v>
      </c>
      <c r="U178" s="168">
        <f t="shared" si="192"/>
        <v>57.624959026911903</v>
      </c>
      <c r="V178" s="168">
        <f t="shared" si="192"/>
        <v>65.662048254867642</v>
      </c>
      <c r="W178" s="168">
        <f t="shared" si="192"/>
        <v>73.670579261587235</v>
      </c>
      <c r="X178" s="168">
        <f t="shared" si="192"/>
        <v>68.566347440051075</v>
      </c>
      <c r="Y178" s="168">
        <f t="shared" si="192"/>
        <v>79.317451179803157</v>
      </c>
      <c r="Z178" s="168">
        <f t="shared" si="192"/>
        <v>73.519643884054531</v>
      </c>
      <c r="AA178" s="168">
        <f t="shared" si="192"/>
        <v>84.236710772195451</v>
      </c>
      <c r="AB178" s="168">
        <f t="shared" si="192"/>
        <v>82.435204459452606</v>
      </c>
      <c r="AC178" s="168">
        <f t="shared" si="192"/>
        <v>90.978182494957437</v>
      </c>
      <c r="AD178" s="168">
        <f t="shared" si="192"/>
        <v>92.48875314517592</v>
      </c>
      <c r="AE178" s="168">
        <f t="shared" si="192"/>
        <v>93.558454128934258</v>
      </c>
      <c r="AF178" s="168">
        <f t="shared" si="192"/>
        <v>92.96929003198106</v>
      </c>
      <c r="AG178" s="168">
        <f t="shared" si="192"/>
        <v>96.937237402458081</v>
      </c>
      <c r="AH178" s="168">
        <f t="shared" si="192"/>
        <v>99.438319573762811</v>
      </c>
      <c r="AI178" s="168">
        <f t="shared" si="192"/>
        <v>98.899860245169933</v>
      </c>
      <c r="AJ178" s="168">
        <f t="shared" si="192"/>
        <v>97.042238354595142</v>
      </c>
      <c r="AK178" s="168">
        <f t="shared" si="192"/>
        <v>99.718982488404777</v>
      </c>
      <c r="AL178" s="168">
        <f t="shared" si="192"/>
        <v>102.88812559630134</v>
      </c>
      <c r="AM178" s="168">
        <f t="shared" si="192"/>
        <v>99.649796774437903</v>
      </c>
      <c r="AN178" s="168">
        <f t="shared" si="192"/>
        <v>104.78817023897966</v>
      </c>
      <c r="AO178" s="168">
        <f t="shared" si="192"/>
        <v>107.01594239667006</v>
      </c>
      <c r="AP178" s="168">
        <f t="shared" si="192"/>
        <v>98.848905450923937</v>
      </c>
      <c r="AQ178" s="168">
        <f t="shared" si="192"/>
        <v>112.52701601896837</v>
      </c>
      <c r="AR178" s="168">
        <f t="shared" si="192"/>
        <v>103.83097256254946</v>
      </c>
      <c r="AS178" s="168">
        <f t="shared" si="192"/>
        <v>103.11313338803303</v>
      </c>
      <c r="AT178" s="168">
        <f t="shared" si="192"/>
        <v>105.34214044113486</v>
      </c>
      <c r="AU178" s="168">
        <f t="shared" si="192"/>
        <v>109.46933751073711</v>
      </c>
      <c r="AV178" s="168">
        <f t="shared" si="192"/>
        <v>119.38226823934679</v>
      </c>
      <c r="AW178" s="168">
        <f t="shared" si="192"/>
        <v>116.93580486791964</v>
      </c>
      <c r="AX178" s="168">
        <f t="shared" si="192"/>
        <v>118.5180368108731</v>
      </c>
      <c r="AY178" s="168">
        <f t="shared" si="192"/>
        <v>124.96497422573266</v>
      </c>
      <c r="AZ178" s="168">
        <f t="shared" si="192"/>
        <v>121.82079475602536</v>
      </c>
      <c r="BA178" s="168">
        <f t="shared" si="192"/>
        <v>119.62953361071067</v>
      </c>
      <c r="BB178" s="168">
        <f t="shared" si="192"/>
        <v>127.13286031405971</v>
      </c>
      <c r="BC178" s="168">
        <f t="shared" si="192"/>
        <v>130.20219257941741</v>
      </c>
      <c r="BD178" s="168">
        <f t="shared" si="192"/>
        <v>147.10748453467266</v>
      </c>
      <c r="BE178" s="168">
        <f t="shared" si="192"/>
        <v>147.74586100782497</v>
      </c>
      <c r="BF178" s="168">
        <f t="shared" si="192"/>
        <v>152.50043695065358</v>
      </c>
      <c r="BG178" s="168">
        <f t="shared" si="192"/>
        <v>166.38992539739343</v>
      </c>
      <c r="BH178" s="168">
        <f t="shared" si="192"/>
        <v>169.23566298190894</v>
      </c>
      <c r="BI178" s="168">
        <f t="shared" si="192"/>
        <v>178.28404577732968</v>
      </c>
      <c r="BJ178" s="168">
        <f t="shared" si="192"/>
        <v>182.93905537175391</v>
      </c>
      <c r="BK178" s="168">
        <f t="shared" si="192"/>
        <v>182.75324414700827</v>
      </c>
      <c r="BL178" s="168">
        <f t="shared" si="192"/>
        <v>189.51078253484067</v>
      </c>
      <c r="BM178" s="168">
        <f t="shared" si="192"/>
        <v>197.01684564567609</v>
      </c>
      <c r="BN178" s="168">
        <f t="shared" si="192"/>
        <v>203.94055743571445</v>
      </c>
      <c r="BO178" s="168">
        <f t="shared" si="192"/>
        <v>215.16580064273583</v>
      </c>
      <c r="BP178" s="168">
        <f t="shared" si="192"/>
        <v>184.1286035437866</v>
      </c>
      <c r="BQ178" s="168">
        <f t="shared" si="192"/>
        <v>10.679356770691761</v>
      </c>
      <c r="BR178" s="168">
        <f t="shared" si="192"/>
        <v>219.81994683937268</v>
      </c>
      <c r="BS178" s="168">
        <f t="shared" ref="BS178:DA178" si="193">IF(BS176=0,IF(BS177=0,0,IF(BS176=0 &amp; BS177=0,0,IF(BS177&gt;=0,(360/(2*PI()))*ATAN2(BS176,BS177),360+(360/(2*PI()))*ATAN2(BS176,BS177)))),IF(BS176=0 &amp; BS177=0,0,IF(BS177&gt;=0,(360/(2*PI()))*ATAN2(BS176,BS177),360+(360/(2*PI()))*ATAN2(BS176,BS177))))</f>
        <v>221.198415271269</v>
      </c>
      <c r="BT178" s="168">
        <f t="shared" si="193"/>
        <v>230.46039225447629</v>
      </c>
      <c r="BU178" s="168">
        <f t="shared" si="193"/>
        <v>232.74162183176003</v>
      </c>
      <c r="BV178" s="168">
        <f t="shared" si="193"/>
        <v>243.85280161760994</v>
      </c>
      <c r="BW178" s="168">
        <f t="shared" si="193"/>
        <v>264.06459950026112</v>
      </c>
      <c r="BX178" s="168">
        <f t="shared" si="193"/>
        <v>250.7164642789449</v>
      </c>
      <c r="BY178" s="168">
        <f t="shared" si="193"/>
        <v>254.83999491096671</v>
      </c>
      <c r="BZ178" s="168">
        <f t="shared" si="193"/>
        <v>253.84583967098365</v>
      </c>
      <c r="CA178" s="168">
        <f t="shared" si="193"/>
        <v>250.81717806907011</v>
      </c>
      <c r="CB178" s="168">
        <f t="shared" si="193"/>
        <v>242.71194149072909</v>
      </c>
      <c r="CC178" s="168">
        <f t="shared" si="193"/>
        <v>260.7481623493664</v>
      </c>
      <c r="CD178" s="168">
        <f t="shared" si="193"/>
        <v>264.00948150118091</v>
      </c>
      <c r="CE178" s="168">
        <f t="shared" si="193"/>
        <v>261.64121599391501</v>
      </c>
      <c r="CF178" s="168">
        <f t="shared" si="193"/>
        <v>264.66727798687327</v>
      </c>
      <c r="CG178" s="168">
        <f t="shared" si="193"/>
        <v>270.15666450393121</v>
      </c>
      <c r="CH178" s="168">
        <f t="shared" si="193"/>
        <v>279.08133136271056</v>
      </c>
      <c r="CI178" s="168">
        <f t="shared" si="193"/>
        <v>278.30607231476597</v>
      </c>
      <c r="CJ178" s="168">
        <f t="shared" si="193"/>
        <v>282.77280382520354</v>
      </c>
      <c r="CK178" s="168">
        <f t="shared" si="193"/>
        <v>284.47015312000184</v>
      </c>
      <c r="CL178" s="168">
        <f t="shared" si="193"/>
        <v>305.92502404554261</v>
      </c>
      <c r="CM178" s="168">
        <f t="shared" si="193"/>
        <v>291.04163154391597</v>
      </c>
      <c r="CN178" s="168">
        <f t="shared" si="193"/>
        <v>286.28725182924626</v>
      </c>
      <c r="CO178" s="168">
        <f t="shared" si="193"/>
        <v>300.91513540969419</v>
      </c>
      <c r="CP178" s="168">
        <f t="shared" si="193"/>
        <v>308.8014560605701</v>
      </c>
      <c r="CQ178" s="168">
        <f t="shared" si="193"/>
        <v>307.83007327019266</v>
      </c>
      <c r="CR178" s="168">
        <f t="shared" si="193"/>
        <v>312.81237619151426</v>
      </c>
      <c r="CS178" s="168">
        <f t="shared" si="193"/>
        <v>8.1098760723440719</v>
      </c>
      <c r="CT178" s="168">
        <f t="shared" si="193"/>
        <v>315.67843953115096</v>
      </c>
      <c r="CU178" s="168">
        <f t="shared" si="193"/>
        <v>322.49800700628577</v>
      </c>
      <c r="CV178" s="168">
        <f t="shared" si="193"/>
        <v>323.22962770397709</v>
      </c>
      <c r="CW178" s="168">
        <f t="shared" si="193"/>
        <v>331.79371888736085</v>
      </c>
      <c r="CX178" s="168">
        <f t="shared" si="193"/>
        <v>334.72951663617147</v>
      </c>
      <c r="CY178" s="168">
        <f t="shared" si="193"/>
        <v>349.60147911532778</v>
      </c>
      <c r="CZ178" s="168">
        <f t="shared" si="193"/>
        <v>353.29287257388989</v>
      </c>
      <c r="DA178" s="168">
        <f t="shared" si="193"/>
        <v>348.88724898596803</v>
      </c>
    </row>
    <row r="179" spans="5:105">
      <c r="E179" s="172" t="s">
        <v>321</v>
      </c>
      <c r="F179" s="168">
        <f t="shared" ref="F179:BQ179" si="194">IF(F178&lt;20.14,385.9+(14.1*(F178)/0.856)/((F178)/0.856+(20.14-F178)/0.8),IF(F178&lt;90,(100*(F178-20.14)/0.8)/((F178-20.14)/0.8+(90-F178)/0.7),IF(F178&lt;164.25,100+(100*(F178-90)/0.7)/((F178-90)/0.7+(164.25-F178)/1),IF(F178&lt;237.53,200+(100*(F178-164.25)/1)/((F178-164.25)/1+(237.53-F178)/1.2),300+(85.9*(F178-237.53)/1.2)/((F178-237.53)/1.2+(360-F178)/0.856)))))</f>
        <v>390.13560885437408</v>
      </c>
      <c r="G179" s="168">
        <f t="shared" si="194"/>
        <v>386.90878011791273</v>
      </c>
      <c r="H179" s="168">
        <f t="shared" si="194"/>
        <v>388.63017039186377</v>
      </c>
      <c r="I179" s="168">
        <f t="shared" si="194"/>
        <v>391.9122378522751</v>
      </c>
      <c r="J179" s="168">
        <f t="shared" si="194"/>
        <v>5.1612804115414628</v>
      </c>
      <c r="K179" s="168">
        <f t="shared" si="194"/>
        <v>394.91079760958451</v>
      </c>
      <c r="L179" s="168">
        <f t="shared" si="194"/>
        <v>13.459191638342443</v>
      </c>
      <c r="M179" s="168">
        <f t="shared" si="194"/>
        <v>399.6744531956225</v>
      </c>
      <c r="N179" s="168">
        <f t="shared" si="194"/>
        <v>399.95631761860562</v>
      </c>
      <c r="O179" s="168">
        <f t="shared" si="194"/>
        <v>391.52642276781654</v>
      </c>
      <c r="P179" s="168">
        <f t="shared" si="194"/>
        <v>31.602398249102613</v>
      </c>
      <c r="Q179" s="168">
        <f t="shared" si="194"/>
        <v>39.701791300889852</v>
      </c>
      <c r="R179" s="168">
        <f t="shared" si="194"/>
        <v>38.486968659977151</v>
      </c>
      <c r="S179" s="168">
        <f t="shared" si="194"/>
        <v>36.394798868213243</v>
      </c>
      <c r="T179" s="168">
        <f t="shared" si="194"/>
        <v>53.755119570727551</v>
      </c>
      <c r="U179" s="168">
        <f t="shared" si="194"/>
        <v>50.325509943223039</v>
      </c>
      <c r="V179" s="168">
        <f t="shared" si="194"/>
        <v>62.072543475916838</v>
      </c>
      <c r="W179" s="168">
        <f t="shared" si="194"/>
        <v>74.149497249562756</v>
      </c>
      <c r="X179" s="168">
        <f t="shared" si="194"/>
        <v>66.408464388556084</v>
      </c>
      <c r="Y179" s="168">
        <f t="shared" si="194"/>
        <v>82.897747717447587</v>
      </c>
      <c r="Z179" s="168">
        <f t="shared" si="194"/>
        <v>73.918346973958748</v>
      </c>
      <c r="AA179" s="168">
        <f t="shared" si="194"/>
        <v>90.68151353810002</v>
      </c>
      <c r="AB179" s="168">
        <f t="shared" si="194"/>
        <v>87.81308552580569</v>
      </c>
      <c r="AC179" s="168">
        <f t="shared" si="194"/>
        <v>101.87145860665748</v>
      </c>
      <c r="AD179" s="168">
        <f t="shared" si="194"/>
        <v>104.72055461233411</v>
      </c>
      <c r="AE179" s="168">
        <f t="shared" si="194"/>
        <v>106.70868020511304</v>
      </c>
      <c r="AF179" s="168">
        <f t="shared" si="194"/>
        <v>105.61665719918665</v>
      </c>
      <c r="AG179" s="168">
        <f t="shared" si="194"/>
        <v>112.83338654180666</v>
      </c>
      <c r="AH179" s="168">
        <f t="shared" si="194"/>
        <v>117.22116954125971</v>
      </c>
      <c r="AI179" s="168">
        <f t="shared" si="194"/>
        <v>116.28669974124769</v>
      </c>
      <c r="AJ179" s="168">
        <f t="shared" si="194"/>
        <v>113.0200434932102</v>
      </c>
      <c r="AK179" s="168">
        <f t="shared" si="194"/>
        <v>117.70606572441078</v>
      </c>
      <c r="AL179" s="168">
        <f t="shared" si="194"/>
        <v>123.07985992483393</v>
      </c>
      <c r="AM179" s="168">
        <f t="shared" si="194"/>
        <v>117.58667303922444</v>
      </c>
      <c r="AN179" s="168">
        <f t="shared" si="194"/>
        <v>126.21483751620788</v>
      </c>
      <c r="AO179" s="168">
        <f t="shared" si="194"/>
        <v>129.81080443217192</v>
      </c>
      <c r="AP179" s="168">
        <f t="shared" si="194"/>
        <v>116.19798396373619</v>
      </c>
      <c r="AQ179" s="168">
        <f t="shared" si="194"/>
        <v>138.35488706666462</v>
      </c>
      <c r="AR179" s="168">
        <f t="shared" si="194"/>
        <v>124.64346921210841</v>
      </c>
      <c r="AS179" s="168">
        <f t="shared" si="194"/>
        <v>123.45444822274251</v>
      </c>
      <c r="AT179" s="168">
        <f t="shared" si="194"/>
        <v>127.11696681393711</v>
      </c>
      <c r="AU179" s="168">
        <f t="shared" si="194"/>
        <v>133.67476898826581</v>
      </c>
      <c r="AV179" s="168">
        <f t="shared" si="194"/>
        <v>148.3343028147271</v>
      </c>
      <c r="AW179" s="168">
        <f t="shared" si="194"/>
        <v>144.85134012655823</v>
      </c>
      <c r="AX179" s="168">
        <f t="shared" si="194"/>
        <v>147.11356873240271</v>
      </c>
      <c r="AY179" s="168">
        <f t="shared" si="194"/>
        <v>155.97575991792982</v>
      </c>
      <c r="AZ179" s="168">
        <f t="shared" si="194"/>
        <v>151.72326755724021</v>
      </c>
      <c r="BA179" s="168">
        <f t="shared" si="194"/>
        <v>148.68165372718903</v>
      </c>
      <c r="BB179" s="168">
        <f t="shared" si="194"/>
        <v>158.83378563353142</v>
      </c>
      <c r="BC179" s="168">
        <f t="shared" si="194"/>
        <v>162.78094733002052</v>
      </c>
      <c r="BD179" s="168">
        <f t="shared" si="194"/>
        <v>182.63603076182667</v>
      </c>
      <c r="BE179" s="168">
        <f t="shared" si="194"/>
        <v>183.32885382430993</v>
      </c>
      <c r="BF179" s="168">
        <f t="shared" si="194"/>
        <v>188.37090294730601</v>
      </c>
      <c r="BG179" s="168">
        <f t="shared" si="194"/>
        <v>203.48389726581613</v>
      </c>
      <c r="BH179" s="168">
        <f t="shared" si="194"/>
        <v>208.05469377877165</v>
      </c>
      <c r="BI179" s="168">
        <f t="shared" si="194"/>
        <v>222.13373792346212</v>
      </c>
      <c r="BJ179" s="168">
        <f t="shared" si="194"/>
        <v>229.11906497115899</v>
      </c>
      <c r="BK179" s="168">
        <f t="shared" si="194"/>
        <v>228.84347341059234</v>
      </c>
      <c r="BL179" s="168">
        <f t="shared" si="194"/>
        <v>238.6979503610529</v>
      </c>
      <c r="BM179" s="168">
        <f t="shared" si="194"/>
        <v>249.2528565482543</v>
      </c>
      <c r="BN179" s="168">
        <f t="shared" si="194"/>
        <v>258.64291603283232</v>
      </c>
      <c r="BO179" s="168">
        <f t="shared" si="194"/>
        <v>273.20470573745399</v>
      </c>
      <c r="BP179" s="168">
        <f t="shared" si="194"/>
        <v>230.87709755821345</v>
      </c>
      <c r="BQ179" s="168">
        <f t="shared" si="194"/>
        <v>393.13859036744242</v>
      </c>
      <c r="BR179" s="168">
        <f t="shared" ref="BR179:DA179" si="195">IF(BR178&lt;20.14,385.9+(14.1*(BR178)/0.856)/((BR178)/0.856+(20.14-BR178)/0.8),IF(BR178&lt;90,(100*(BR178-20.14)/0.8)/((BR178-20.14)/0.8+(90-BR178)/0.7),IF(BR178&lt;164.25,100+(100*(BR178-90)/0.7)/((BR178-90)/0.7+(164.25-BR178)/1),IF(BR178&lt;237.53,200+(100*(BR178-164.25)/1)/((BR178-164.25)/1+(237.53-BR178)/1.2),300+(85.9*(BR178-237.53)/1.2)/((BR178-237.53)/1.2+(360-BR178)/0.856)))))</f>
        <v>279.01503022516334</v>
      </c>
      <c r="BS179" s="168">
        <f t="shared" si="195"/>
        <v>280.71141388557436</v>
      </c>
      <c r="BT179" s="168">
        <f t="shared" si="195"/>
        <v>291.82912862000188</v>
      </c>
      <c r="BU179" s="168">
        <f t="shared" si="195"/>
        <v>294.49474544017266</v>
      </c>
      <c r="BV179" s="168">
        <f t="shared" si="195"/>
        <v>303.21100548084269</v>
      </c>
      <c r="BW179" s="168">
        <f t="shared" si="195"/>
        <v>314.15521584427512</v>
      </c>
      <c r="BX179" s="168">
        <f t="shared" si="195"/>
        <v>306.80769912772973</v>
      </c>
      <c r="BY179" s="168">
        <f t="shared" si="195"/>
        <v>309.02642799030809</v>
      </c>
      <c r="BZ179" s="168">
        <f t="shared" si="195"/>
        <v>308.48743367188035</v>
      </c>
      <c r="CA179" s="168">
        <f t="shared" si="195"/>
        <v>306.8613630747102</v>
      </c>
      <c r="CB179" s="168">
        <f t="shared" si="195"/>
        <v>302.62451112030857</v>
      </c>
      <c r="CC179" s="168">
        <f t="shared" si="195"/>
        <v>312.28434455051848</v>
      </c>
      <c r="CD179" s="168">
        <f t="shared" si="195"/>
        <v>314.1238695894574</v>
      </c>
      <c r="CE179" s="168">
        <f t="shared" si="195"/>
        <v>312.78510607150969</v>
      </c>
      <c r="CF179" s="168">
        <f t="shared" si="195"/>
        <v>314.49852972524479</v>
      </c>
      <c r="CG179" s="168">
        <f t="shared" si="195"/>
        <v>317.67381860661271</v>
      </c>
      <c r="CH179" s="168">
        <f t="shared" si="195"/>
        <v>323.0291560971034</v>
      </c>
      <c r="CI179" s="168">
        <f t="shared" si="195"/>
        <v>322.55414373548979</v>
      </c>
      <c r="CJ179" s="168">
        <f t="shared" si="195"/>
        <v>325.31742332081996</v>
      </c>
      <c r="CK179" s="168">
        <f t="shared" si="195"/>
        <v>326.38448460939179</v>
      </c>
      <c r="CL179" s="168">
        <f t="shared" si="195"/>
        <v>340.74264334530227</v>
      </c>
      <c r="CM179" s="168">
        <f t="shared" si="195"/>
        <v>330.60714171543583</v>
      </c>
      <c r="CN179" s="168">
        <f t="shared" si="195"/>
        <v>327.53743586953698</v>
      </c>
      <c r="CO179" s="168">
        <f t="shared" si="195"/>
        <v>337.2383547475427</v>
      </c>
      <c r="CP179" s="168">
        <f t="shared" si="195"/>
        <v>342.79921087724949</v>
      </c>
      <c r="CQ179" s="168">
        <f t="shared" si="195"/>
        <v>342.10099273453045</v>
      </c>
      <c r="CR179" s="168">
        <f t="shared" si="195"/>
        <v>345.72302540831106</v>
      </c>
      <c r="CS179" s="168">
        <f t="shared" si="195"/>
        <v>391.34984559901011</v>
      </c>
      <c r="CT179" s="168">
        <f t="shared" si="195"/>
        <v>347.85344094717203</v>
      </c>
      <c r="CU179" s="168">
        <f t="shared" si="195"/>
        <v>353.06604871741109</v>
      </c>
      <c r="CV179" s="168">
        <f t="shared" si="195"/>
        <v>353.63763530072026</v>
      </c>
      <c r="CW179" s="168">
        <f t="shared" si="195"/>
        <v>360.51522188014468</v>
      </c>
      <c r="CX179" s="168">
        <f t="shared" si="195"/>
        <v>362.95503518170159</v>
      </c>
      <c r="CY179" s="168">
        <f t="shared" si="195"/>
        <v>376.01285324042556</v>
      </c>
      <c r="CZ179" s="168">
        <f t="shared" si="195"/>
        <v>379.44712943589394</v>
      </c>
      <c r="DA179" s="168">
        <f t="shared" si="195"/>
        <v>375.35763960574326</v>
      </c>
    </row>
    <row r="180" spans="5:105">
      <c r="E180" s="172" t="s">
        <v>322</v>
      </c>
      <c r="F180" s="168">
        <f t="shared" ref="F180:BQ180" si="196">IF(F179&gt;300,F179-300,IF(F179&lt;100,100-F179,0))</f>
        <v>90.135608854374084</v>
      </c>
      <c r="G180" s="168">
        <f t="shared" si="196"/>
        <v>86.908780117912727</v>
      </c>
      <c r="H180" s="168">
        <f t="shared" si="196"/>
        <v>88.630170391863771</v>
      </c>
      <c r="I180" s="168">
        <f t="shared" si="196"/>
        <v>91.912237852275098</v>
      </c>
      <c r="J180" s="168">
        <f t="shared" si="196"/>
        <v>94.838719588458531</v>
      </c>
      <c r="K180" s="168">
        <f t="shared" si="196"/>
        <v>94.910797609584506</v>
      </c>
      <c r="L180" s="168">
        <f t="shared" si="196"/>
        <v>86.540808361657554</v>
      </c>
      <c r="M180" s="168">
        <f t="shared" si="196"/>
        <v>99.674453195622505</v>
      </c>
      <c r="N180" s="168">
        <f t="shared" si="196"/>
        <v>99.956317618605624</v>
      </c>
      <c r="O180" s="168">
        <f t="shared" si="196"/>
        <v>91.526422767816541</v>
      </c>
      <c r="P180" s="168">
        <f t="shared" si="196"/>
        <v>68.397601750897394</v>
      </c>
      <c r="Q180" s="168">
        <f t="shared" si="196"/>
        <v>60.298208699110148</v>
      </c>
      <c r="R180" s="168">
        <f t="shared" si="196"/>
        <v>61.513031340022849</v>
      </c>
      <c r="S180" s="168">
        <f t="shared" si="196"/>
        <v>63.605201131786757</v>
      </c>
      <c r="T180" s="168">
        <f t="shared" si="196"/>
        <v>46.244880429272449</v>
      </c>
      <c r="U180" s="168">
        <f t="shared" si="196"/>
        <v>49.674490056776961</v>
      </c>
      <c r="V180" s="168">
        <f t="shared" si="196"/>
        <v>37.927456524083162</v>
      </c>
      <c r="W180" s="168">
        <f t="shared" si="196"/>
        <v>25.850502750437244</v>
      </c>
      <c r="X180" s="168">
        <f t="shared" si="196"/>
        <v>33.591535611443916</v>
      </c>
      <c r="Y180" s="168">
        <f t="shared" si="196"/>
        <v>17.102252282552413</v>
      </c>
      <c r="Z180" s="168">
        <f t="shared" si="196"/>
        <v>26.081653026041252</v>
      </c>
      <c r="AA180" s="168">
        <f t="shared" si="196"/>
        <v>9.3184864618999796</v>
      </c>
      <c r="AB180" s="168">
        <f t="shared" si="196"/>
        <v>12.18691447419431</v>
      </c>
      <c r="AC180" s="168">
        <f t="shared" si="196"/>
        <v>0</v>
      </c>
      <c r="AD180" s="168">
        <f t="shared" si="196"/>
        <v>0</v>
      </c>
      <c r="AE180" s="168">
        <f t="shared" si="196"/>
        <v>0</v>
      </c>
      <c r="AF180" s="168">
        <f t="shared" si="196"/>
        <v>0</v>
      </c>
      <c r="AG180" s="168">
        <f t="shared" si="196"/>
        <v>0</v>
      </c>
      <c r="AH180" s="168">
        <f t="shared" si="196"/>
        <v>0</v>
      </c>
      <c r="AI180" s="168">
        <f t="shared" si="196"/>
        <v>0</v>
      </c>
      <c r="AJ180" s="168">
        <f t="shared" si="196"/>
        <v>0</v>
      </c>
      <c r="AK180" s="168">
        <f t="shared" si="196"/>
        <v>0</v>
      </c>
      <c r="AL180" s="168">
        <f t="shared" si="196"/>
        <v>0</v>
      </c>
      <c r="AM180" s="168">
        <f t="shared" si="196"/>
        <v>0</v>
      </c>
      <c r="AN180" s="168">
        <f t="shared" si="196"/>
        <v>0</v>
      </c>
      <c r="AO180" s="168">
        <f t="shared" si="196"/>
        <v>0</v>
      </c>
      <c r="AP180" s="168">
        <f t="shared" si="196"/>
        <v>0</v>
      </c>
      <c r="AQ180" s="168">
        <f t="shared" si="196"/>
        <v>0</v>
      </c>
      <c r="AR180" s="168">
        <f t="shared" si="196"/>
        <v>0</v>
      </c>
      <c r="AS180" s="168">
        <f t="shared" si="196"/>
        <v>0</v>
      </c>
      <c r="AT180" s="168">
        <f t="shared" si="196"/>
        <v>0</v>
      </c>
      <c r="AU180" s="168">
        <f t="shared" si="196"/>
        <v>0</v>
      </c>
      <c r="AV180" s="168">
        <f t="shared" si="196"/>
        <v>0</v>
      </c>
      <c r="AW180" s="168">
        <f t="shared" si="196"/>
        <v>0</v>
      </c>
      <c r="AX180" s="168">
        <f t="shared" si="196"/>
        <v>0</v>
      </c>
      <c r="AY180" s="168">
        <f t="shared" si="196"/>
        <v>0</v>
      </c>
      <c r="AZ180" s="168">
        <f t="shared" si="196"/>
        <v>0</v>
      </c>
      <c r="BA180" s="168">
        <f t="shared" si="196"/>
        <v>0</v>
      </c>
      <c r="BB180" s="168">
        <f t="shared" si="196"/>
        <v>0</v>
      </c>
      <c r="BC180" s="168">
        <f t="shared" si="196"/>
        <v>0</v>
      </c>
      <c r="BD180" s="168">
        <f t="shared" si="196"/>
        <v>0</v>
      </c>
      <c r="BE180" s="168">
        <f t="shared" si="196"/>
        <v>0</v>
      </c>
      <c r="BF180" s="168">
        <f t="shared" si="196"/>
        <v>0</v>
      </c>
      <c r="BG180" s="168">
        <f t="shared" si="196"/>
        <v>0</v>
      </c>
      <c r="BH180" s="168">
        <f t="shared" si="196"/>
        <v>0</v>
      </c>
      <c r="BI180" s="168">
        <f t="shared" si="196"/>
        <v>0</v>
      </c>
      <c r="BJ180" s="168">
        <f t="shared" si="196"/>
        <v>0</v>
      </c>
      <c r="BK180" s="168">
        <f t="shared" si="196"/>
        <v>0</v>
      </c>
      <c r="BL180" s="168">
        <f t="shared" si="196"/>
        <v>0</v>
      </c>
      <c r="BM180" s="168">
        <f t="shared" si="196"/>
        <v>0</v>
      </c>
      <c r="BN180" s="168">
        <f t="shared" si="196"/>
        <v>0</v>
      </c>
      <c r="BO180" s="168">
        <f t="shared" si="196"/>
        <v>0</v>
      </c>
      <c r="BP180" s="168">
        <f t="shared" si="196"/>
        <v>0</v>
      </c>
      <c r="BQ180" s="168">
        <f t="shared" si="196"/>
        <v>93.138590367442418</v>
      </c>
      <c r="BR180" s="168">
        <f t="shared" ref="BR180:DA180" si="197">IF(BR179&gt;300,BR179-300,IF(BR179&lt;100,100-BR179,0))</f>
        <v>0</v>
      </c>
      <c r="BS180" s="168">
        <f t="shared" si="197"/>
        <v>0</v>
      </c>
      <c r="BT180" s="168">
        <f t="shared" si="197"/>
        <v>0</v>
      </c>
      <c r="BU180" s="168">
        <f t="shared" si="197"/>
        <v>0</v>
      </c>
      <c r="BV180" s="168">
        <f t="shared" si="197"/>
        <v>3.2110054808426867</v>
      </c>
      <c r="BW180" s="168">
        <f t="shared" si="197"/>
        <v>14.155215844275119</v>
      </c>
      <c r="BX180" s="168">
        <f t="shared" si="197"/>
        <v>6.8076991277297338</v>
      </c>
      <c r="BY180" s="168">
        <f t="shared" si="197"/>
        <v>9.0264279903080933</v>
      </c>
      <c r="BZ180" s="168">
        <f t="shared" si="197"/>
        <v>8.4874336718803534</v>
      </c>
      <c r="CA180" s="168">
        <f t="shared" si="197"/>
        <v>6.8613630747101979</v>
      </c>
      <c r="CB180" s="168">
        <f t="shared" si="197"/>
        <v>2.6245111203085685</v>
      </c>
      <c r="CC180" s="168">
        <f t="shared" si="197"/>
        <v>12.284344550518483</v>
      </c>
      <c r="CD180" s="168">
        <f t="shared" si="197"/>
        <v>14.123869589457399</v>
      </c>
      <c r="CE180" s="168">
        <f t="shared" si="197"/>
        <v>12.785106071509688</v>
      </c>
      <c r="CF180" s="168">
        <f t="shared" si="197"/>
        <v>14.498529725244794</v>
      </c>
      <c r="CG180" s="168">
        <f t="shared" si="197"/>
        <v>17.673818606612713</v>
      </c>
      <c r="CH180" s="168">
        <f t="shared" si="197"/>
        <v>23.029156097103396</v>
      </c>
      <c r="CI180" s="168">
        <f t="shared" si="197"/>
        <v>22.554143735489788</v>
      </c>
      <c r="CJ180" s="168">
        <f t="shared" si="197"/>
        <v>25.317423320819955</v>
      </c>
      <c r="CK180" s="168">
        <f t="shared" si="197"/>
        <v>26.384484609391791</v>
      </c>
      <c r="CL180" s="168">
        <f t="shared" si="197"/>
        <v>40.74264334530227</v>
      </c>
      <c r="CM180" s="168">
        <f t="shared" si="197"/>
        <v>30.60714171543583</v>
      </c>
      <c r="CN180" s="168">
        <f t="shared" si="197"/>
        <v>27.537435869536978</v>
      </c>
      <c r="CO180" s="168">
        <f t="shared" si="197"/>
        <v>37.238354747542701</v>
      </c>
      <c r="CP180" s="168">
        <f t="shared" si="197"/>
        <v>42.799210877249493</v>
      </c>
      <c r="CQ180" s="168">
        <f t="shared" si="197"/>
        <v>42.10099273453045</v>
      </c>
      <c r="CR180" s="168">
        <f t="shared" si="197"/>
        <v>45.723025408311059</v>
      </c>
      <c r="CS180" s="168">
        <f t="shared" si="197"/>
        <v>91.349845599010109</v>
      </c>
      <c r="CT180" s="168">
        <f t="shared" si="197"/>
        <v>47.853440947172032</v>
      </c>
      <c r="CU180" s="168">
        <f t="shared" si="197"/>
        <v>53.066048717411093</v>
      </c>
      <c r="CV180" s="168">
        <f t="shared" si="197"/>
        <v>53.637635300720262</v>
      </c>
      <c r="CW180" s="168">
        <f t="shared" si="197"/>
        <v>60.515221880144679</v>
      </c>
      <c r="CX180" s="168">
        <f t="shared" si="197"/>
        <v>62.955035181701589</v>
      </c>
      <c r="CY180" s="168">
        <f t="shared" si="197"/>
        <v>76.012853240425557</v>
      </c>
      <c r="CZ180" s="168">
        <f t="shared" si="197"/>
        <v>79.447129435893942</v>
      </c>
      <c r="DA180" s="168">
        <f t="shared" si="197"/>
        <v>75.357639605743259</v>
      </c>
    </row>
    <row r="181" spans="5:105">
      <c r="E181" s="172" t="s">
        <v>323</v>
      </c>
      <c r="F181" s="168">
        <f>IF(F179&lt;=100,F179,IF(F179&lt;200,200-F179,0))</f>
        <v>0</v>
      </c>
      <c r="G181" s="168">
        <f t="shared" ref="G181:BR181" si="198">IF(G179&lt;=100,G179,IF(G179&lt;200,200-G179,0))</f>
        <v>0</v>
      </c>
      <c r="H181" s="168">
        <f t="shared" si="198"/>
        <v>0</v>
      </c>
      <c r="I181" s="168">
        <f t="shared" si="198"/>
        <v>0</v>
      </c>
      <c r="J181" s="168">
        <f t="shared" si="198"/>
        <v>5.1612804115414628</v>
      </c>
      <c r="K181" s="168">
        <f t="shared" si="198"/>
        <v>0</v>
      </c>
      <c r="L181" s="168">
        <f t="shared" si="198"/>
        <v>13.459191638342443</v>
      </c>
      <c r="M181" s="168">
        <f t="shared" si="198"/>
        <v>0</v>
      </c>
      <c r="N181" s="168">
        <f t="shared" si="198"/>
        <v>0</v>
      </c>
      <c r="O181" s="168">
        <f t="shared" si="198"/>
        <v>0</v>
      </c>
      <c r="P181" s="168">
        <f t="shared" si="198"/>
        <v>31.602398249102613</v>
      </c>
      <c r="Q181" s="168">
        <f t="shared" si="198"/>
        <v>39.701791300889852</v>
      </c>
      <c r="R181" s="168">
        <f t="shared" si="198"/>
        <v>38.486968659977151</v>
      </c>
      <c r="S181" s="168">
        <f t="shared" si="198"/>
        <v>36.394798868213243</v>
      </c>
      <c r="T181" s="168">
        <f t="shared" si="198"/>
        <v>53.755119570727551</v>
      </c>
      <c r="U181" s="168">
        <f t="shared" si="198"/>
        <v>50.325509943223039</v>
      </c>
      <c r="V181" s="168">
        <f t="shared" si="198"/>
        <v>62.072543475916838</v>
      </c>
      <c r="W181" s="168">
        <f t="shared" si="198"/>
        <v>74.149497249562756</v>
      </c>
      <c r="X181" s="168">
        <f t="shared" si="198"/>
        <v>66.408464388556084</v>
      </c>
      <c r="Y181" s="168">
        <f t="shared" si="198"/>
        <v>82.897747717447587</v>
      </c>
      <c r="Z181" s="168">
        <f t="shared" si="198"/>
        <v>73.918346973958748</v>
      </c>
      <c r="AA181" s="168">
        <f t="shared" si="198"/>
        <v>90.68151353810002</v>
      </c>
      <c r="AB181" s="168">
        <f t="shared" si="198"/>
        <v>87.81308552580569</v>
      </c>
      <c r="AC181" s="168">
        <f t="shared" si="198"/>
        <v>98.128541393342516</v>
      </c>
      <c r="AD181" s="168">
        <f t="shared" si="198"/>
        <v>95.279445387665888</v>
      </c>
      <c r="AE181" s="168">
        <f t="shared" si="198"/>
        <v>93.291319794886959</v>
      </c>
      <c r="AF181" s="168">
        <f t="shared" si="198"/>
        <v>94.383342800813352</v>
      </c>
      <c r="AG181" s="168">
        <f t="shared" si="198"/>
        <v>87.166613458193339</v>
      </c>
      <c r="AH181" s="168">
        <f t="shared" si="198"/>
        <v>82.778830458740288</v>
      </c>
      <c r="AI181" s="168">
        <f t="shared" si="198"/>
        <v>83.713300258752312</v>
      </c>
      <c r="AJ181" s="168">
        <f t="shared" si="198"/>
        <v>86.979956506789804</v>
      </c>
      <c r="AK181" s="168">
        <f t="shared" si="198"/>
        <v>82.293934275589223</v>
      </c>
      <c r="AL181" s="168">
        <f t="shared" si="198"/>
        <v>76.920140075166074</v>
      </c>
      <c r="AM181" s="168">
        <f t="shared" si="198"/>
        <v>82.413326960775564</v>
      </c>
      <c r="AN181" s="168">
        <f t="shared" si="198"/>
        <v>73.785162483792121</v>
      </c>
      <c r="AO181" s="168">
        <f t="shared" si="198"/>
        <v>70.189195567828079</v>
      </c>
      <c r="AP181" s="168">
        <f t="shared" si="198"/>
        <v>83.802016036263808</v>
      </c>
      <c r="AQ181" s="168">
        <f t="shared" si="198"/>
        <v>61.645112933335383</v>
      </c>
      <c r="AR181" s="168">
        <f t="shared" si="198"/>
        <v>75.356530787891586</v>
      </c>
      <c r="AS181" s="168">
        <f t="shared" si="198"/>
        <v>76.545551777257486</v>
      </c>
      <c r="AT181" s="168">
        <f t="shared" si="198"/>
        <v>72.883033186062889</v>
      </c>
      <c r="AU181" s="168">
        <f t="shared" si="198"/>
        <v>66.325231011734189</v>
      </c>
      <c r="AV181" s="168">
        <f t="shared" si="198"/>
        <v>51.665697185272904</v>
      </c>
      <c r="AW181" s="168">
        <f t="shared" si="198"/>
        <v>55.148659873441773</v>
      </c>
      <c r="AX181" s="168">
        <f t="shared" si="198"/>
        <v>52.886431267597288</v>
      </c>
      <c r="AY181" s="168">
        <f t="shared" si="198"/>
        <v>44.024240082070179</v>
      </c>
      <c r="AZ181" s="168">
        <f t="shared" si="198"/>
        <v>48.276732442759794</v>
      </c>
      <c r="BA181" s="168">
        <f t="shared" si="198"/>
        <v>51.31834627281097</v>
      </c>
      <c r="BB181" s="168">
        <f t="shared" si="198"/>
        <v>41.16621436646858</v>
      </c>
      <c r="BC181" s="168">
        <f t="shared" si="198"/>
        <v>37.219052669979476</v>
      </c>
      <c r="BD181" s="168">
        <f t="shared" si="198"/>
        <v>17.363969238173325</v>
      </c>
      <c r="BE181" s="168">
        <f t="shared" si="198"/>
        <v>16.671146175690069</v>
      </c>
      <c r="BF181" s="168">
        <f t="shared" si="198"/>
        <v>11.629097052693993</v>
      </c>
      <c r="BG181" s="168">
        <f t="shared" si="198"/>
        <v>0</v>
      </c>
      <c r="BH181" s="168">
        <f t="shared" si="198"/>
        <v>0</v>
      </c>
      <c r="BI181" s="168">
        <f t="shared" si="198"/>
        <v>0</v>
      </c>
      <c r="BJ181" s="168">
        <f t="shared" si="198"/>
        <v>0</v>
      </c>
      <c r="BK181" s="168">
        <f t="shared" si="198"/>
        <v>0</v>
      </c>
      <c r="BL181" s="168">
        <f t="shared" si="198"/>
        <v>0</v>
      </c>
      <c r="BM181" s="168">
        <f t="shared" si="198"/>
        <v>0</v>
      </c>
      <c r="BN181" s="168">
        <f t="shared" si="198"/>
        <v>0</v>
      </c>
      <c r="BO181" s="168">
        <f t="shared" si="198"/>
        <v>0</v>
      </c>
      <c r="BP181" s="168">
        <f t="shared" si="198"/>
        <v>0</v>
      </c>
      <c r="BQ181" s="168">
        <f t="shared" si="198"/>
        <v>0</v>
      </c>
      <c r="BR181" s="168">
        <f t="shared" si="198"/>
        <v>0</v>
      </c>
      <c r="BS181" s="168">
        <f t="shared" ref="BS181:DA181" si="199">IF(BS179&lt;=100,BS179,IF(BS179&lt;200,200-BS179,0))</f>
        <v>0</v>
      </c>
      <c r="BT181" s="168">
        <f t="shared" si="199"/>
        <v>0</v>
      </c>
      <c r="BU181" s="168">
        <f t="shared" si="199"/>
        <v>0</v>
      </c>
      <c r="BV181" s="168">
        <f t="shared" si="199"/>
        <v>0</v>
      </c>
      <c r="BW181" s="168">
        <f t="shared" si="199"/>
        <v>0</v>
      </c>
      <c r="BX181" s="168">
        <f t="shared" si="199"/>
        <v>0</v>
      </c>
      <c r="BY181" s="168">
        <f t="shared" si="199"/>
        <v>0</v>
      </c>
      <c r="BZ181" s="168">
        <f t="shared" si="199"/>
        <v>0</v>
      </c>
      <c r="CA181" s="168">
        <f t="shared" si="199"/>
        <v>0</v>
      </c>
      <c r="CB181" s="168">
        <f t="shared" si="199"/>
        <v>0</v>
      </c>
      <c r="CC181" s="168">
        <f t="shared" si="199"/>
        <v>0</v>
      </c>
      <c r="CD181" s="168">
        <f t="shared" si="199"/>
        <v>0</v>
      </c>
      <c r="CE181" s="168">
        <f t="shared" si="199"/>
        <v>0</v>
      </c>
      <c r="CF181" s="168">
        <f t="shared" si="199"/>
        <v>0</v>
      </c>
      <c r="CG181" s="168">
        <f t="shared" si="199"/>
        <v>0</v>
      </c>
      <c r="CH181" s="168">
        <f t="shared" si="199"/>
        <v>0</v>
      </c>
      <c r="CI181" s="168">
        <f t="shared" si="199"/>
        <v>0</v>
      </c>
      <c r="CJ181" s="168">
        <f t="shared" si="199"/>
        <v>0</v>
      </c>
      <c r="CK181" s="168">
        <f t="shared" si="199"/>
        <v>0</v>
      </c>
      <c r="CL181" s="168">
        <f t="shared" si="199"/>
        <v>0</v>
      </c>
      <c r="CM181" s="168">
        <f t="shared" si="199"/>
        <v>0</v>
      </c>
      <c r="CN181" s="168">
        <f t="shared" si="199"/>
        <v>0</v>
      </c>
      <c r="CO181" s="168">
        <f t="shared" si="199"/>
        <v>0</v>
      </c>
      <c r="CP181" s="168">
        <f t="shared" si="199"/>
        <v>0</v>
      </c>
      <c r="CQ181" s="168">
        <f t="shared" si="199"/>
        <v>0</v>
      </c>
      <c r="CR181" s="168">
        <f t="shared" si="199"/>
        <v>0</v>
      </c>
      <c r="CS181" s="168">
        <f t="shared" si="199"/>
        <v>0</v>
      </c>
      <c r="CT181" s="168">
        <f t="shared" si="199"/>
        <v>0</v>
      </c>
      <c r="CU181" s="168">
        <f t="shared" si="199"/>
        <v>0</v>
      </c>
      <c r="CV181" s="168">
        <f t="shared" si="199"/>
        <v>0</v>
      </c>
      <c r="CW181" s="168">
        <f t="shared" si="199"/>
        <v>0</v>
      </c>
      <c r="CX181" s="168">
        <f t="shared" si="199"/>
        <v>0</v>
      </c>
      <c r="CY181" s="168">
        <f t="shared" si="199"/>
        <v>0</v>
      </c>
      <c r="CZ181" s="168">
        <f t="shared" si="199"/>
        <v>0</v>
      </c>
      <c r="DA181" s="168">
        <f t="shared" si="199"/>
        <v>0</v>
      </c>
    </row>
    <row r="182" spans="5:105">
      <c r="E182" s="172" t="s">
        <v>324</v>
      </c>
      <c r="F182" s="168">
        <f>IF(F179&gt;100,IF(F179&lt;=200,F179-100,IF(F179&lt;300,300-F179,0)),0)</f>
        <v>0</v>
      </c>
      <c r="G182" s="168">
        <f t="shared" ref="G182:BR182" si="200">IF(G179&gt;100,IF(G179&lt;=200,G179-100,IF(G179&lt;300,300-G179,0)),0)</f>
        <v>0</v>
      </c>
      <c r="H182" s="168">
        <f t="shared" si="200"/>
        <v>0</v>
      </c>
      <c r="I182" s="168">
        <f t="shared" si="200"/>
        <v>0</v>
      </c>
      <c r="J182" s="168">
        <f t="shared" si="200"/>
        <v>0</v>
      </c>
      <c r="K182" s="168">
        <f t="shared" si="200"/>
        <v>0</v>
      </c>
      <c r="L182" s="168">
        <f t="shared" si="200"/>
        <v>0</v>
      </c>
      <c r="M182" s="168">
        <f t="shared" si="200"/>
        <v>0</v>
      </c>
      <c r="N182" s="168">
        <f t="shared" si="200"/>
        <v>0</v>
      </c>
      <c r="O182" s="168">
        <f t="shared" si="200"/>
        <v>0</v>
      </c>
      <c r="P182" s="168">
        <f t="shared" si="200"/>
        <v>0</v>
      </c>
      <c r="Q182" s="168">
        <f t="shared" si="200"/>
        <v>0</v>
      </c>
      <c r="R182" s="168">
        <f t="shared" si="200"/>
        <v>0</v>
      </c>
      <c r="S182" s="168">
        <f t="shared" si="200"/>
        <v>0</v>
      </c>
      <c r="T182" s="168">
        <f t="shared" si="200"/>
        <v>0</v>
      </c>
      <c r="U182" s="168">
        <f t="shared" si="200"/>
        <v>0</v>
      </c>
      <c r="V182" s="168">
        <f t="shared" si="200"/>
        <v>0</v>
      </c>
      <c r="W182" s="168">
        <f t="shared" si="200"/>
        <v>0</v>
      </c>
      <c r="X182" s="168">
        <f t="shared" si="200"/>
        <v>0</v>
      </c>
      <c r="Y182" s="168">
        <f t="shared" si="200"/>
        <v>0</v>
      </c>
      <c r="Z182" s="168">
        <f t="shared" si="200"/>
        <v>0</v>
      </c>
      <c r="AA182" s="168">
        <f t="shared" si="200"/>
        <v>0</v>
      </c>
      <c r="AB182" s="168">
        <f t="shared" si="200"/>
        <v>0</v>
      </c>
      <c r="AC182" s="168">
        <f t="shared" si="200"/>
        <v>1.8714586066574839</v>
      </c>
      <c r="AD182" s="168">
        <f t="shared" si="200"/>
        <v>4.7205546123341122</v>
      </c>
      <c r="AE182" s="168">
        <f t="shared" si="200"/>
        <v>6.7086802051130405</v>
      </c>
      <c r="AF182" s="168">
        <f t="shared" si="200"/>
        <v>5.6166571991866476</v>
      </c>
      <c r="AG182" s="168">
        <f t="shared" si="200"/>
        <v>12.833386541806661</v>
      </c>
      <c r="AH182" s="168">
        <f t="shared" si="200"/>
        <v>17.221169541259712</v>
      </c>
      <c r="AI182" s="168">
        <f t="shared" si="200"/>
        <v>16.286699741247688</v>
      </c>
      <c r="AJ182" s="168">
        <f t="shared" si="200"/>
        <v>13.020043493210196</v>
      </c>
      <c r="AK182" s="168">
        <f t="shared" si="200"/>
        <v>17.706065724410777</v>
      </c>
      <c r="AL182" s="168">
        <f t="shared" si="200"/>
        <v>23.079859924833926</v>
      </c>
      <c r="AM182" s="168">
        <f t="shared" si="200"/>
        <v>17.586673039224436</v>
      </c>
      <c r="AN182" s="168">
        <f t="shared" si="200"/>
        <v>26.214837516207879</v>
      </c>
      <c r="AO182" s="168">
        <f t="shared" si="200"/>
        <v>29.810804432171921</v>
      </c>
      <c r="AP182" s="168">
        <f t="shared" si="200"/>
        <v>16.197983963736192</v>
      </c>
      <c r="AQ182" s="168">
        <f t="shared" si="200"/>
        <v>38.354887066664617</v>
      </c>
      <c r="AR182" s="168">
        <f t="shared" si="200"/>
        <v>24.643469212108414</v>
      </c>
      <c r="AS182" s="168">
        <f t="shared" si="200"/>
        <v>23.454448222742514</v>
      </c>
      <c r="AT182" s="168">
        <f t="shared" si="200"/>
        <v>27.116966813937111</v>
      </c>
      <c r="AU182" s="168">
        <f t="shared" si="200"/>
        <v>33.674768988265811</v>
      </c>
      <c r="AV182" s="168">
        <f t="shared" si="200"/>
        <v>48.334302814727096</v>
      </c>
      <c r="AW182" s="168">
        <f t="shared" si="200"/>
        <v>44.851340126558227</v>
      </c>
      <c r="AX182" s="168">
        <f t="shared" si="200"/>
        <v>47.113568732402712</v>
      </c>
      <c r="AY182" s="168">
        <f t="shared" si="200"/>
        <v>55.975759917929821</v>
      </c>
      <c r="AZ182" s="168">
        <f t="shared" si="200"/>
        <v>51.723267557240206</v>
      </c>
      <c r="BA182" s="168">
        <f t="shared" si="200"/>
        <v>48.68165372718903</v>
      </c>
      <c r="BB182" s="168">
        <f t="shared" si="200"/>
        <v>58.83378563353142</v>
      </c>
      <c r="BC182" s="168">
        <f t="shared" si="200"/>
        <v>62.780947330020524</v>
      </c>
      <c r="BD182" s="168">
        <f t="shared" si="200"/>
        <v>82.636030761826675</v>
      </c>
      <c r="BE182" s="168">
        <f t="shared" si="200"/>
        <v>83.328853824309931</v>
      </c>
      <c r="BF182" s="168">
        <f t="shared" si="200"/>
        <v>88.370902947306007</v>
      </c>
      <c r="BG182" s="168">
        <f t="shared" si="200"/>
        <v>96.516102734183875</v>
      </c>
      <c r="BH182" s="168">
        <f t="shared" si="200"/>
        <v>91.94530622122835</v>
      </c>
      <c r="BI182" s="168">
        <f t="shared" si="200"/>
        <v>77.866262076537879</v>
      </c>
      <c r="BJ182" s="168">
        <f t="shared" si="200"/>
        <v>70.880935028841009</v>
      </c>
      <c r="BK182" s="168">
        <f t="shared" si="200"/>
        <v>71.156526589407662</v>
      </c>
      <c r="BL182" s="168">
        <f t="shared" si="200"/>
        <v>61.302049638947096</v>
      </c>
      <c r="BM182" s="168">
        <f t="shared" si="200"/>
        <v>50.7471434517457</v>
      </c>
      <c r="BN182" s="168">
        <f t="shared" si="200"/>
        <v>41.357083967167682</v>
      </c>
      <c r="BO182" s="168">
        <f t="shared" si="200"/>
        <v>26.795294262546008</v>
      </c>
      <c r="BP182" s="168">
        <f t="shared" si="200"/>
        <v>69.12290244178655</v>
      </c>
      <c r="BQ182" s="168">
        <f t="shared" si="200"/>
        <v>0</v>
      </c>
      <c r="BR182" s="168">
        <f t="shared" si="200"/>
        <v>20.984969774836657</v>
      </c>
      <c r="BS182" s="168">
        <f t="shared" ref="BS182:DA182" si="201">IF(BS179&gt;100,IF(BS179&lt;=200,BS179-100,IF(BS179&lt;300,300-BS179,0)),0)</f>
        <v>19.288586114425641</v>
      </c>
      <c r="BT182" s="168">
        <f t="shared" si="201"/>
        <v>8.1708713799981183</v>
      </c>
      <c r="BU182" s="168">
        <f t="shared" si="201"/>
        <v>5.5052545598273355</v>
      </c>
      <c r="BV182" s="168">
        <f t="shared" si="201"/>
        <v>0</v>
      </c>
      <c r="BW182" s="168">
        <f t="shared" si="201"/>
        <v>0</v>
      </c>
      <c r="BX182" s="168">
        <f t="shared" si="201"/>
        <v>0</v>
      </c>
      <c r="BY182" s="168">
        <f t="shared" si="201"/>
        <v>0</v>
      </c>
      <c r="BZ182" s="168">
        <f t="shared" si="201"/>
        <v>0</v>
      </c>
      <c r="CA182" s="168">
        <f t="shared" si="201"/>
        <v>0</v>
      </c>
      <c r="CB182" s="168">
        <f t="shared" si="201"/>
        <v>0</v>
      </c>
      <c r="CC182" s="168">
        <f t="shared" si="201"/>
        <v>0</v>
      </c>
      <c r="CD182" s="168">
        <f t="shared" si="201"/>
        <v>0</v>
      </c>
      <c r="CE182" s="168">
        <f t="shared" si="201"/>
        <v>0</v>
      </c>
      <c r="CF182" s="168">
        <f t="shared" si="201"/>
        <v>0</v>
      </c>
      <c r="CG182" s="168">
        <f t="shared" si="201"/>
        <v>0</v>
      </c>
      <c r="CH182" s="168">
        <f t="shared" si="201"/>
        <v>0</v>
      </c>
      <c r="CI182" s="168">
        <f t="shared" si="201"/>
        <v>0</v>
      </c>
      <c r="CJ182" s="168">
        <f t="shared" si="201"/>
        <v>0</v>
      </c>
      <c r="CK182" s="168">
        <f t="shared" si="201"/>
        <v>0</v>
      </c>
      <c r="CL182" s="168">
        <f t="shared" si="201"/>
        <v>0</v>
      </c>
      <c r="CM182" s="168">
        <f t="shared" si="201"/>
        <v>0</v>
      </c>
      <c r="CN182" s="168">
        <f t="shared" si="201"/>
        <v>0</v>
      </c>
      <c r="CO182" s="168">
        <f t="shared" si="201"/>
        <v>0</v>
      </c>
      <c r="CP182" s="168">
        <f t="shared" si="201"/>
        <v>0</v>
      </c>
      <c r="CQ182" s="168">
        <f t="shared" si="201"/>
        <v>0</v>
      </c>
      <c r="CR182" s="168">
        <f t="shared" si="201"/>
        <v>0</v>
      </c>
      <c r="CS182" s="168">
        <f t="shared" si="201"/>
        <v>0</v>
      </c>
      <c r="CT182" s="168">
        <f t="shared" si="201"/>
        <v>0</v>
      </c>
      <c r="CU182" s="168">
        <f t="shared" si="201"/>
        <v>0</v>
      </c>
      <c r="CV182" s="168">
        <f t="shared" si="201"/>
        <v>0</v>
      </c>
      <c r="CW182" s="168">
        <f t="shared" si="201"/>
        <v>0</v>
      </c>
      <c r="CX182" s="168">
        <f t="shared" si="201"/>
        <v>0</v>
      </c>
      <c r="CY182" s="168">
        <f t="shared" si="201"/>
        <v>0</v>
      </c>
      <c r="CZ182" s="168">
        <f t="shared" si="201"/>
        <v>0</v>
      </c>
      <c r="DA182" s="168">
        <f t="shared" si="201"/>
        <v>0</v>
      </c>
    </row>
    <row r="183" spans="5:105">
      <c r="E183" s="172" t="s">
        <v>325</v>
      </c>
      <c r="F183" s="168">
        <f>IF(F179&gt;300,400-F179,IF(F179&gt;200,F179-200,0))</f>
        <v>9.8643911456259161</v>
      </c>
      <c r="G183" s="168">
        <f t="shared" ref="G183:BR183" si="202">IF(G179&gt;300,400-G179,IF(G179&gt;200,G179-200,0))</f>
        <v>13.091219882087273</v>
      </c>
      <c r="H183" s="168">
        <f t="shared" si="202"/>
        <v>11.369829608136229</v>
      </c>
      <c r="I183" s="168">
        <f t="shared" si="202"/>
        <v>8.0877621477249022</v>
      </c>
      <c r="J183" s="168">
        <f t="shared" si="202"/>
        <v>0</v>
      </c>
      <c r="K183" s="168">
        <f t="shared" si="202"/>
        <v>5.0892023904154939</v>
      </c>
      <c r="L183" s="168">
        <f t="shared" si="202"/>
        <v>0</v>
      </c>
      <c r="M183" s="168">
        <f t="shared" si="202"/>
        <v>0.32554680437749539</v>
      </c>
      <c r="N183" s="168">
        <f t="shared" si="202"/>
        <v>4.368238139437608E-2</v>
      </c>
      <c r="O183" s="168">
        <f t="shared" si="202"/>
        <v>8.4735772321834588</v>
      </c>
      <c r="P183" s="168">
        <f t="shared" si="202"/>
        <v>0</v>
      </c>
      <c r="Q183" s="168">
        <f t="shared" si="202"/>
        <v>0</v>
      </c>
      <c r="R183" s="168">
        <f t="shared" si="202"/>
        <v>0</v>
      </c>
      <c r="S183" s="168">
        <f t="shared" si="202"/>
        <v>0</v>
      </c>
      <c r="T183" s="168">
        <f t="shared" si="202"/>
        <v>0</v>
      </c>
      <c r="U183" s="168">
        <f t="shared" si="202"/>
        <v>0</v>
      </c>
      <c r="V183" s="168">
        <f t="shared" si="202"/>
        <v>0</v>
      </c>
      <c r="W183" s="168">
        <f t="shared" si="202"/>
        <v>0</v>
      </c>
      <c r="X183" s="168">
        <f t="shared" si="202"/>
        <v>0</v>
      </c>
      <c r="Y183" s="168">
        <f t="shared" si="202"/>
        <v>0</v>
      </c>
      <c r="Z183" s="168">
        <f t="shared" si="202"/>
        <v>0</v>
      </c>
      <c r="AA183" s="168">
        <f t="shared" si="202"/>
        <v>0</v>
      </c>
      <c r="AB183" s="168">
        <f t="shared" si="202"/>
        <v>0</v>
      </c>
      <c r="AC183" s="168">
        <f t="shared" si="202"/>
        <v>0</v>
      </c>
      <c r="AD183" s="168">
        <f t="shared" si="202"/>
        <v>0</v>
      </c>
      <c r="AE183" s="168">
        <f t="shared" si="202"/>
        <v>0</v>
      </c>
      <c r="AF183" s="168">
        <f t="shared" si="202"/>
        <v>0</v>
      </c>
      <c r="AG183" s="168">
        <f t="shared" si="202"/>
        <v>0</v>
      </c>
      <c r="AH183" s="168">
        <f t="shared" si="202"/>
        <v>0</v>
      </c>
      <c r="AI183" s="168">
        <f t="shared" si="202"/>
        <v>0</v>
      </c>
      <c r="AJ183" s="168">
        <f t="shared" si="202"/>
        <v>0</v>
      </c>
      <c r="AK183" s="168">
        <f t="shared" si="202"/>
        <v>0</v>
      </c>
      <c r="AL183" s="168">
        <f t="shared" si="202"/>
        <v>0</v>
      </c>
      <c r="AM183" s="168">
        <f t="shared" si="202"/>
        <v>0</v>
      </c>
      <c r="AN183" s="168">
        <f t="shared" si="202"/>
        <v>0</v>
      </c>
      <c r="AO183" s="168">
        <f t="shared" si="202"/>
        <v>0</v>
      </c>
      <c r="AP183" s="168">
        <f t="shared" si="202"/>
        <v>0</v>
      </c>
      <c r="AQ183" s="168">
        <f t="shared" si="202"/>
        <v>0</v>
      </c>
      <c r="AR183" s="168">
        <f t="shared" si="202"/>
        <v>0</v>
      </c>
      <c r="AS183" s="168">
        <f t="shared" si="202"/>
        <v>0</v>
      </c>
      <c r="AT183" s="168">
        <f t="shared" si="202"/>
        <v>0</v>
      </c>
      <c r="AU183" s="168">
        <f t="shared" si="202"/>
        <v>0</v>
      </c>
      <c r="AV183" s="168">
        <f t="shared" si="202"/>
        <v>0</v>
      </c>
      <c r="AW183" s="168">
        <f t="shared" si="202"/>
        <v>0</v>
      </c>
      <c r="AX183" s="168">
        <f t="shared" si="202"/>
        <v>0</v>
      </c>
      <c r="AY183" s="168">
        <f t="shared" si="202"/>
        <v>0</v>
      </c>
      <c r="AZ183" s="168">
        <f t="shared" si="202"/>
        <v>0</v>
      </c>
      <c r="BA183" s="168">
        <f t="shared" si="202"/>
        <v>0</v>
      </c>
      <c r="BB183" s="168">
        <f t="shared" si="202"/>
        <v>0</v>
      </c>
      <c r="BC183" s="168">
        <f t="shared" si="202"/>
        <v>0</v>
      </c>
      <c r="BD183" s="168">
        <f t="shared" si="202"/>
        <v>0</v>
      </c>
      <c r="BE183" s="168">
        <f t="shared" si="202"/>
        <v>0</v>
      </c>
      <c r="BF183" s="168">
        <f t="shared" si="202"/>
        <v>0</v>
      </c>
      <c r="BG183" s="168">
        <f t="shared" si="202"/>
        <v>3.4838972658161254</v>
      </c>
      <c r="BH183" s="168">
        <f t="shared" si="202"/>
        <v>8.0546937787716502</v>
      </c>
      <c r="BI183" s="168">
        <f t="shared" si="202"/>
        <v>22.133737923462121</v>
      </c>
      <c r="BJ183" s="168">
        <f t="shared" si="202"/>
        <v>29.119064971158991</v>
      </c>
      <c r="BK183" s="168">
        <f t="shared" si="202"/>
        <v>28.843473410592338</v>
      </c>
      <c r="BL183" s="168">
        <f t="shared" si="202"/>
        <v>38.697950361052904</v>
      </c>
      <c r="BM183" s="168">
        <f t="shared" si="202"/>
        <v>49.2528565482543</v>
      </c>
      <c r="BN183" s="168">
        <f t="shared" si="202"/>
        <v>58.642916032832318</v>
      </c>
      <c r="BO183" s="168">
        <f t="shared" si="202"/>
        <v>73.204705737453992</v>
      </c>
      <c r="BP183" s="168">
        <f t="shared" si="202"/>
        <v>30.87709755821345</v>
      </c>
      <c r="BQ183" s="168">
        <f t="shared" si="202"/>
        <v>6.8614096325575815</v>
      </c>
      <c r="BR183" s="168">
        <f t="shared" si="202"/>
        <v>79.015030225163343</v>
      </c>
      <c r="BS183" s="168">
        <f t="shared" ref="BS183:DA183" si="203">IF(BS179&gt;300,400-BS179,IF(BS179&gt;200,BS179-200,0))</f>
        <v>80.711413885574359</v>
      </c>
      <c r="BT183" s="168">
        <f t="shared" si="203"/>
        <v>91.829128620001882</v>
      </c>
      <c r="BU183" s="168">
        <f t="shared" si="203"/>
        <v>94.494745440172665</v>
      </c>
      <c r="BV183" s="168">
        <f t="shared" si="203"/>
        <v>96.788994519157313</v>
      </c>
      <c r="BW183" s="168">
        <f t="shared" si="203"/>
        <v>85.844784155724881</v>
      </c>
      <c r="BX183" s="168">
        <f t="shared" si="203"/>
        <v>93.192300872270266</v>
      </c>
      <c r="BY183" s="168">
        <f t="shared" si="203"/>
        <v>90.973572009691907</v>
      </c>
      <c r="BZ183" s="168">
        <f t="shared" si="203"/>
        <v>91.512566328119647</v>
      </c>
      <c r="CA183" s="168">
        <f t="shared" si="203"/>
        <v>93.138636925289802</v>
      </c>
      <c r="CB183" s="168">
        <f t="shared" si="203"/>
        <v>97.375488879691432</v>
      </c>
      <c r="CC183" s="168">
        <f t="shared" si="203"/>
        <v>87.715655449481517</v>
      </c>
      <c r="CD183" s="168">
        <f t="shared" si="203"/>
        <v>85.876130410542601</v>
      </c>
      <c r="CE183" s="168">
        <f t="shared" si="203"/>
        <v>87.214893928490312</v>
      </c>
      <c r="CF183" s="168">
        <f t="shared" si="203"/>
        <v>85.501470274755206</v>
      </c>
      <c r="CG183" s="168">
        <f t="shared" si="203"/>
        <v>82.326181393387287</v>
      </c>
      <c r="CH183" s="168">
        <f t="shared" si="203"/>
        <v>76.970843902896604</v>
      </c>
      <c r="CI183" s="168">
        <f t="shared" si="203"/>
        <v>77.445856264510212</v>
      </c>
      <c r="CJ183" s="168">
        <f t="shared" si="203"/>
        <v>74.682576679180045</v>
      </c>
      <c r="CK183" s="168">
        <f t="shared" si="203"/>
        <v>73.615515390608209</v>
      </c>
      <c r="CL183" s="168">
        <f t="shared" si="203"/>
        <v>59.25735665469773</v>
      </c>
      <c r="CM183" s="168">
        <f t="shared" si="203"/>
        <v>69.39285828456417</v>
      </c>
      <c r="CN183" s="168">
        <f t="shared" si="203"/>
        <v>72.462564130463022</v>
      </c>
      <c r="CO183" s="168">
        <f t="shared" si="203"/>
        <v>62.761645252457299</v>
      </c>
      <c r="CP183" s="168">
        <f t="shared" si="203"/>
        <v>57.200789122750507</v>
      </c>
      <c r="CQ183" s="168">
        <f t="shared" si="203"/>
        <v>57.89900726546955</v>
      </c>
      <c r="CR183" s="168">
        <f t="shared" si="203"/>
        <v>54.276974591688941</v>
      </c>
      <c r="CS183" s="168">
        <f t="shared" si="203"/>
        <v>8.6501544009898907</v>
      </c>
      <c r="CT183" s="168">
        <f t="shared" si="203"/>
        <v>52.146559052827968</v>
      </c>
      <c r="CU183" s="168">
        <f t="shared" si="203"/>
        <v>46.933951282588907</v>
      </c>
      <c r="CV183" s="168">
        <f t="shared" si="203"/>
        <v>46.362364699279738</v>
      </c>
      <c r="CW183" s="168">
        <f t="shared" si="203"/>
        <v>39.484778119855321</v>
      </c>
      <c r="CX183" s="168">
        <f t="shared" si="203"/>
        <v>37.044964818298411</v>
      </c>
      <c r="CY183" s="168">
        <f t="shared" si="203"/>
        <v>23.987146759574443</v>
      </c>
      <c r="CZ183" s="168">
        <f t="shared" si="203"/>
        <v>20.552870564106058</v>
      </c>
      <c r="DA183" s="168">
        <f t="shared" si="203"/>
        <v>24.642360394256741</v>
      </c>
    </row>
    <row r="184" spans="5:105">
      <c r="E184" s="172" t="s">
        <v>326</v>
      </c>
      <c r="F184" s="168">
        <f t="shared" ref="F184:BQ184" si="204">((12500/13)*$F$48*F144)*(COS((F178*PI()/180)+2)+3.8)</f>
        <v>3160.5598839618074</v>
      </c>
      <c r="G184" s="168">
        <f t="shared" si="204"/>
        <v>3231.4232711653872</v>
      </c>
      <c r="H184" s="168">
        <f t="shared" si="204"/>
        <v>3192.9391161348394</v>
      </c>
      <c r="I184" s="168">
        <f t="shared" si="204"/>
        <v>3123.8899990471646</v>
      </c>
      <c r="J184" s="168">
        <f t="shared" si="204"/>
        <v>2931.0160992333149</v>
      </c>
      <c r="K184" s="168">
        <f t="shared" si="204"/>
        <v>3065.7948044709715</v>
      </c>
      <c r="L184" s="168">
        <f t="shared" si="204"/>
        <v>2864.4357315790458</v>
      </c>
      <c r="M184" s="168">
        <f t="shared" si="204"/>
        <v>2983.2438237681527</v>
      </c>
      <c r="N184" s="168">
        <f t="shared" si="204"/>
        <v>2978.7297151091898</v>
      </c>
      <c r="O184" s="168">
        <f t="shared" si="204"/>
        <v>3131.7110753346201</v>
      </c>
      <c r="P184" s="168">
        <f t="shared" si="204"/>
        <v>2757.7766874535428</v>
      </c>
      <c r="Q184" s="168">
        <f t="shared" si="204"/>
        <v>2727.0913184343781</v>
      </c>
      <c r="R184" s="168">
        <f t="shared" si="204"/>
        <v>2731.0451223987598</v>
      </c>
      <c r="S184" s="168">
        <f t="shared" si="204"/>
        <v>2738.3874243972236</v>
      </c>
      <c r="T184" s="168">
        <f t="shared" si="204"/>
        <v>2697.4123875005075</v>
      </c>
      <c r="U184" s="168">
        <f t="shared" si="204"/>
        <v>2701.9875848492579</v>
      </c>
      <c r="V184" s="168">
        <f t="shared" si="204"/>
        <v>2693.1355881872441</v>
      </c>
      <c r="W184" s="168">
        <f t="shared" si="204"/>
        <v>2703.1090411382606</v>
      </c>
      <c r="X184" s="168">
        <f t="shared" si="204"/>
        <v>2694.5867011920031</v>
      </c>
      <c r="Y184" s="168">
        <f t="shared" si="204"/>
        <v>2721.328302621293</v>
      </c>
      <c r="Z184" s="168">
        <f t="shared" si="204"/>
        <v>2702.7482358639122</v>
      </c>
      <c r="AA184" s="168">
        <f t="shared" si="204"/>
        <v>2744.5935974518993</v>
      </c>
      <c r="AB184" s="168">
        <f t="shared" si="204"/>
        <v>2735.2850540898271</v>
      </c>
      <c r="AC184" s="168">
        <f t="shared" si="204"/>
        <v>2787.3273051144915</v>
      </c>
      <c r="AD184" s="168">
        <f t="shared" si="204"/>
        <v>2798.5723613258542</v>
      </c>
      <c r="AE184" s="168">
        <f t="shared" si="204"/>
        <v>2806.895947476311</v>
      </c>
      <c r="AF184" s="168">
        <f t="shared" si="204"/>
        <v>2802.2747718985161</v>
      </c>
      <c r="AG184" s="168">
        <f t="shared" si="204"/>
        <v>2835.1140748774014</v>
      </c>
      <c r="AH184" s="168">
        <f t="shared" si="204"/>
        <v>2857.8436758162957</v>
      </c>
      <c r="AI184" s="168">
        <f t="shared" si="204"/>
        <v>2852.8203992534632</v>
      </c>
      <c r="AJ184" s="168">
        <f t="shared" si="204"/>
        <v>2836.0371951625639</v>
      </c>
      <c r="AK184" s="168">
        <f t="shared" si="204"/>
        <v>2860.4899139812123</v>
      </c>
      <c r="AL184" s="168">
        <f t="shared" si="204"/>
        <v>2891.677720764184</v>
      </c>
      <c r="AM184" s="168">
        <f t="shared" si="204"/>
        <v>2859.8358216440943</v>
      </c>
      <c r="AN184" s="168">
        <f t="shared" si="204"/>
        <v>2911.5020648334771</v>
      </c>
      <c r="AO184" s="168">
        <f t="shared" si="204"/>
        <v>2935.7853364035054</v>
      </c>
      <c r="AP184" s="168">
        <f t="shared" si="204"/>
        <v>2852.3487053235954</v>
      </c>
      <c r="AQ184" s="168">
        <f t="shared" si="204"/>
        <v>3000.4471166834601</v>
      </c>
      <c r="AR184" s="168">
        <f t="shared" si="204"/>
        <v>2901.411456828745</v>
      </c>
      <c r="AS184" s="168">
        <f t="shared" si="204"/>
        <v>2893.9819707358743</v>
      </c>
      <c r="AT184" s="168">
        <f t="shared" si="204"/>
        <v>2917.4368947152598</v>
      </c>
      <c r="AU184" s="168">
        <f t="shared" si="204"/>
        <v>2963.78430708309</v>
      </c>
      <c r="AV184" s="168">
        <f t="shared" si="204"/>
        <v>3089.251601313932</v>
      </c>
      <c r="AW184" s="168">
        <f t="shared" si="204"/>
        <v>3056.5627729775342</v>
      </c>
      <c r="AX184" s="168">
        <f t="shared" si="204"/>
        <v>3077.5831163454918</v>
      </c>
      <c r="AY184" s="168">
        <f t="shared" si="204"/>
        <v>3167.6088729863172</v>
      </c>
      <c r="AZ184" s="168">
        <f t="shared" si="204"/>
        <v>3122.8606650151905</v>
      </c>
      <c r="BA184" s="168">
        <f t="shared" si="204"/>
        <v>3092.6138699138455</v>
      </c>
      <c r="BB184" s="168">
        <f t="shared" si="204"/>
        <v>3199.3252865668587</v>
      </c>
      <c r="BC184" s="168">
        <f t="shared" si="204"/>
        <v>3245.3344071972051</v>
      </c>
      <c r="BD184" s="168">
        <f t="shared" si="204"/>
        <v>3516.0948155899682</v>
      </c>
      <c r="BE184" s="168">
        <f t="shared" si="204"/>
        <v>3526.7074410500045</v>
      </c>
      <c r="BF184" s="168">
        <f t="shared" si="204"/>
        <v>3606.1609011425066</v>
      </c>
      <c r="BG184" s="168">
        <f t="shared" si="204"/>
        <v>3838.177781400238</v>
      </c>
      <c r="BH184" s="168">
        <f t="shared" si="204"/>
        <v>3884.8295217827363</v>
      </c>
      <c r="BI184" s="168">
        <f t="shared" si="204"/>
        <v>4028.8510474190725</v>
      </c>
      <c r="BJ184" s="168">
        <f t="shared" si="204"/>
        <v>4099.5367613555709</v>
      </c>
      <c r="BK184" s="168">
        <f t="shared" si="204"/>
        <v>4096.768403814558</v>
      </c>
      <c r="BL184" s="168">
        <f t="shared" si="204"/>
        <v>4194.2293265832641</v>
      </c>
      <c r="BM184" s="168">
        <f t="shared" si="204"/>
        <v>4293.6471025732808</v>
      </c>
      <c r="BN184" s="168">
        <f t="shared" si="204"/>
        <v>4375.6827336393953</v>
      </c>
      <c r="BO184" s="168">
        <f t="shared" si="204"/>
        <v>4485.8827451939278</v>
      </c>
      <c r="BP184" s="168">
        <f t="shared" si="204"/>
        <v>4117.1475380368465</v>
      </c>
      <c r="BQ184" s="168">
        <f t="shared" si="204"/>
        <v>3099.55423630428</v>
      </c>
      <c r="BR184" s="168">
        <f t="shared" ref="BR184:DA184" si="205">((12500/13)*$F$48*BR144)*(COS((BR178*PI()/180)+2)+3.8)</f>
        <v>4522.4506562699917</v>
      </c>
      <c r="BS184" s="168">
        <f t="shared" si="205"/>
        <v>4532.1931321565935</v>
      </c>
      <c r="BT184" s="168">
        <f t="shared" si="205"/>
        <v>4584.2394617618475</v>
      </c>
      <c r="BU184" s="168">
        <f t="shared" si="205"/>
        <v>4593.3783841988279</v>
      </c>
      <c r="BV184" s="168">
        <f t="shared" si="205"/>
        <v>4616.4332147122577</v>
      </c>
      <c r="BW184" s="168">
        <f t="shared" si="205"/>
        <v>4566.2486293454185</v>
      </c>
      <c r="BX184" s="168">
        <f t="shared" si="205"/>
        <v>4612.6631458861166</v>
      </c>
      <c r="BY184" s="168">
        <f t="shared" si="205"/>
        <v>4603.7857475800502</v>
      </c>
      <c r="BZ184" s="168">
        <f t="shared" si="205"/>
        <v>4606.377597082992</v>
      </c>
      <c r="CA184" s="168">
        <f t="shared" si="205"/>
        <v>4612.5052602745973</v>
      </c>
      <c r="CB184" s="168">
        <f t="shared" si="205"/>
        <v>4615.7227272772243</v>
      </c>
      <c r="CC184" s="168">
        <f t="shared" si="205"/>
        <v>4582.5217723316255</v>
      </c>
      <c r="CD184" s="168">
        <f t="shared" si="205"/>
        <v>4566.544191186943</v>
      </c>
      <c r="CE184" s="168">
        <f t="shared" si="205"/>
        <v>4578.4433068728749</v>
      </c>
      <c r="CF184" s="168">
        <f t="shared" si="205"/>
        <v>4562.9618928520686</v>
      </c>
      <c r="CG184" s="168">
        <f t="shared" si="205"/>
        <v>4528.4494759375339</v>
      </c>
      <c r="CH184" s="168">
        <f t="shared" si="205"/>
        <v>4455.4084323875113</v>
      </c>
      <c r="CI184" s="168">
        <f t="shared" si="205"/>
        <v>4462.5507611117755</v>
      </c>
      <c r="CJ184" s="168">
        <f t="shared" si="205"/>
        <v>4419.4125804335772</v>
      </c>
      <c r="CK184" s="168">
        <f t="shared" si="205"/>
        <v>4401.7874512989338</v>
      </c>
      <c r="CL184" s="168">
        <f t="shared" si="205"/>
        <v>4128.3427623789648</v>
      </c>
      <c r="CM184" s="168">
        <f t="shared" si="205"/>
        <v>4327.5164734078153</v>
      </c>
      <c r="CN184" s="168">
        <f t="shared" si="205"/>
        <v>4382.1929113125834</v>
      </c>
      <c r="CO184" s="168">
        <f t="shared" si="205"/>
        <v>4199.6512695466672</v>
      </c>
      <c r="CP184" s="168">
        <f t="shared" si="205"/>
        <v>4085.7302518115066</v>
      </c>
      <c r="CQ184" s="168">
        <f t="shared" si="205"/>
        <v>4100.247472500776</v>
      </c>
      <c r="CR184" s="168">
        <f t="shared" si="205"/>
        <v>4024.5230182134583</v>
      </c>
      <c r="CS184" s="168">
        <f t="shared" si="205"/>
        <v>3135.3169015436588</v>
      </c>
      <c r="CT184" s="168">
        <f t="shared" si="205"/>
        <v>3979.6596484542333</v>
      </c>
      <c r="CU184" s="168">
        <f t="shared" si="205"/>
        <v>3869.8565034349149</v>
      </c>
      <c r="CV184" s="168">
        <f t="shared" si="205"/>
        <v>3857.8679866100128</v>
      </c>
      <c r="CW184" s="168">
        <f t="shared" si="205"/>
        <v>3715.5974453790791</v>
      </c>
      <c r="CX184" s="168">
        <f t="shared" si="205"/>
        <v>3666.3538531749778</v>
      </c>
      <c r="CY184" s="168">
        <f t="shared" si="205"/>
        <v>3419.1260473487564</v>
      </c>
      <c r="CZ184" s="168">
        <f t="shared" si="205"/>
        <v>3359.5805949446153</v>
      </c>
      <c r="DA184" s="168">
        <f t="shared" si="205"/>
        <v>3430.7679430208536</v>
      </c>
    </row>
    <row r="185" spans="5:105">
      <c r="E185" s="172" t="s">
        <v>54</v>
      </c>
      <c r="F185" s="168">
        <f t="shared" ref="F185:BQ185" si="206">(2*F170+F171+(1/20)*F172-0.305)*F143</f>
        <v>39.501102128317278</v>
      </c>
      <c r="G185" s="168">
        <f t="shared" si="206"/>
        <v>32.938138683956446</v>
      </c>
      <c r="H185" s="168">
        <f t="shared" si="206"/>
        <v>23.086403247361808</v>
      </c>
      <c r="I185" s="168">
        <f t="shared" si="206"/>
        <v>11.935493352714987</v>
      </c>
      <c r="J185" s="168">
        <f t="shared" si="206"/>
        <v>26.816186416189652</v>
      </c>
      <c r="K185" s="168">
        <f t="shared" si="206"/>
        <v>18.076992459492157</v>
      </c>
      <c r="L185" s="168">
        <f t="shared" si="206"/>
        <v>19.258273483241091</v>
      </c>
      <c r="M185" s="168">
        <f t="shared" si="206"/>
        <v>15.116840770635847</v>
      </c>
      <c r="N185" s="168">
        <f t="shared" si="206"/>
        <v>14.714461036028283</v>
      </c>
      <c r="O185" s="168">
        <f t="shared" si="206"/>
        <v>11.290775495595456</v>
      </c>
      <c r="P185" s="168">
        <f t="shared" si="206"/>
        <v>28.601984724803788</v>
      </c>
      <c r="Q185" s="168">
        <f t="shared" si="206"/>
        <v>22.236165498955483</v>
      </c>
      <c r="R185" s="168">
        <f t="shared" si="206"/>
        <v>24.318964461699963</v>
      </c>
      <c r="S185" s="168">
        <f t="shared" si="206"/>
        <v>15.941164596346459</v>
      </c>
      <c r="T185" s="168">
        <f t="shared" si="206"/>
        <v>27.904174089877618</v>
      </c>
      <c r="U185" s="168">
        <f t="shared" si="206"/>
        <v>26.457083589222417</v>
      </c>
      <c r="V185" s="168">
        <f t="shared" si="206"/>
        <v>17.549169515366234</v>
      </c>
      <c r="W185" s="168">
        <f t="shared" si="206"/>
        <v>18.947116307220696</v>
      </c>
      <c r="X185" s="168">
        <f t="shared" si="206"/>
        <v>20.881858843324856</v>
      </c>
      <c r="Y185" s="168">
        <f t="shared" si="206"/>
        <v>27.591713159809331</v>
      </c>
      <c r="Z185" s="168">
        <f t="shared" si="206"/>
        <v>24.308970175707746</v>
      </c>
      <c r="AA185" s="168">
        <f t="shared" si="206"/>
        <v>33.818234107004294</v>
      </c>
      <c r="AB185" s="168">
        <f t="shared" si="206"/>
        <v>30.18348516283487</v>
      </c>
      <c r="AC185" s="168">
        <f t="shared" si="206"/>
        <v>35.625691585151436</v>
      </c>
      <c r="AD185" s="168">
        <f t="shared" si="206"/>
        <v>35.60221347567829</v>
      </c>
      <c r="AE185" s="168">
        <f t="shared" si="206"/>
        <v>27.730884446309791</v>
      </c>
      <c r="AF185" s="168">
        <f t="shared" si="206"/>
        <v>35.038052506579106</v>
      </c>
      <c r="AG185" s="168">
        <f t="shared" si="206"/>
        <v>27.666391297824195</v>
      </c>
      <c r="AH185" s="168">
        <f t="shared" si="206"/>
        <v>16.127186113638789</v>
      </c>
      <c r="AI185" s="168">
        <f t="shared" si="206"/>
        <v>33.426107817110911</v>
      </c>
      <c r="AJ185" s="168">
        <f t="shared" si="206"/>
        <v>23.958553294638243</v>
      </c>
      <c r="AK185" s="168">
        <f t="shared" si="206"/>
        <v>34.142749042152666</v>
      </c>
      <c r="AL185" s="168">
        <f t="shared" si="206"/>
        <v>28.638564061860922</v>
      </c>
      <c r="AM185" s="168">
        <f t="shared" si="206"/>
        <v>34.534945377467267</v>
      </c>
      <c r="AN185" s="168">
        <f t="shared" si="206"/>
        <v>23.667116174289397</v>
      </c>
      <c r="AO185" s="168">
        <f t="shared" si="206"/>
        <v>16.390932398325099</v>
      </c>
      <c r="AP185" s="168">
        <f t="shared" si="206"/>
        <v>30.494559654313434</v>
      </c>
      <c r="AQ185" s="168">
        <f t="shared" si="206"/>
        <v>18.49085855290577</v>
      </c>
      <c r="AR185" s="168">
        <f t="shared" si="206"/>
        <v>32.917221547418194</v>
      </c>
      <c r="AS185" s="168">
        <f t="shared" si="206"/>
        <v>13.449671861121196</v>
      </c>
      <c r="AT185" s="168">
        <f t="shared" si="206"/>
        <v>18.312891600038085</v>
      </c>
      <c r="AU185" s="168">
        <f t="shared" si="206"/>
        <v>33.680613210350302</v>
      </c>
      <c r="AV185" s="168">
        <f t="shared" si="206"/>
        <v>25.743562438274637</v>
      </c>
      <c r="AW185" s="168">
        <f t="shared" si="206"/>
        <v>27.116631388429315</v>
      </c>
      <c r="AX185" s="168">
        <f t="shared" si="206"/>
        <v>11.411542425941553</v>
      </c>
      <c r="AY185" s="168">
        <f t="shared" si="206"/>
        <v>21.707379184223701</v>
      </c>
      <c r="AZ185" s="168">
        <f t="shared" si="206"/>
        <v>24.926671358507399</v>
      </c>
      <c r="BA185" s="168">
        <f t="shared" si="206"/>
        <v>25.717330754124195</v>
      </c>
      <c r="BB185" s="168">
        <f t="shared" si="206"/>
        <v>29.4236344507915</v>
      </c>
      <c r="BC185" s="168">
        <f t="shared" si="206"/>
        <v>17.167539150220332</v>
      </c>
      <c r="BD185" s="168">
        <f t="shared" si="206"/>
        <v>19.831480002232549</v>
      </c>
      <c r="BE185" s="168">
        <f t="shared" si="206"/>
        <v>21.13088559105638</v>
      </c>
      <c r="BF185" s="168">
        <f t="shared" si="206"/>
        <v>14.885166741125591</v>
      </c>
      <c r="BG185" s="168">
        <f t="shared" si="206"/>
        <v>17.598808131341034</v>
      </c>
      <c r="BH185" s="168">
        <f t="shared" si="206"/>
        <v>33.300086340010807</v>
      </c>
      <c r="BI185" s="168">
        <f t="shared" si="206"/>
        <v>31.503927143407779</v>
      </c>
      <c r="BJ185" s="168">
        <f t="shared" si="206"/>
        <v>25.89217818020089</v>
      </c>
      <c r="BK185" s="168">
        <f t="shared" si="206"/>
        <v>20.570741790853237</v>
      </c>
      <c r="BL185" s="168">
        <f t="shared" si="206"/>
        <v>19.234787645614247</v>
      </c>
      <c r="BM185" s="168">
        <f t="shared" si="206"/>
        <v>32.965049428601795</v>
      </c>
      <c r="BN185" s="168">
        <f t="shared" si="206"/>
        <v>33.737373088552587</v>
      </c>
      <c r="BO185" s="168">
        <f t="shared" si="206"/>
        <v>28.495664545515901</v>
      </c>
      <c r="BP185" s="168">
        <f t="shared" si="206"/>
        <v>24.780910780152592</v>
      </c>
      <c r="BQ185" s="168">
        <f t="shared" si="206"/>
        <v>13.342840540087629</v>
      </c>
      <c r="BR185" s="168">
        <f t="shared" ref="BR185:DA185" si="207">(2*BR170+BR171+(1/20)*BR172-0.305)*BR143</f>
        <v>20.599835821746268</v>
      </c>
      <c r="BS185" s="168">
        <f t="shared" si="207"/>
        <v>15.240660756757791</v>
      </c>
      <c r="BT185" s="168">
        <f t="shared" si="207"/>
        <v>15.530500955255681</v>
      </c>
      <c r="BU185" s="168">
        <f t="shared" si="207"/>
        <v>16.62731632920158</v>
      </c>
      <c r="BV185" s="168">
        <f t="shared" si="207"/>
        <v>22.992885785271071</v>
      </c>
      <c r="BW185" s="168">
        <f t="shared" si="207"/>
        <v>19.26005605864545</v>
      </c>
      <c r="BX185" s="168">
        <f t="shared" si="207"/>
        <v>26.318438072205449</v>
      </c>
      <c r="BY185" s="168">
        <f t="shared" si="207"/>
        <v>12.718371908135572</v>
      </c>
      <c r="BZ185" s="168">
        <f t="shared" si="207"/>
        <v>28.711952974075878</v>
      </c>
      <c r="CA185" s="168">
        <f t="shared" si="207"/>
        <v>20.371403635056009</v>
      </c>
      <c r="CB185" s="168">
        <f t="shared" si="207"/>
        <v>11.199963335792678</v>
      </c>
      <c r="CC185" s="168">
        <f t="shared" si="207"/>
        <v>12.315317081105235</v>
      </c>
      <c r="CD185" s="168">
        <f t="shared" si="207"/>
        <v>16.771779882169028</v>
      </c>
      <c r="CE185" s="168">
        <f t="shared" si="207"/>
        <v>15.974736680980396</v>
      </c>
      <c r="CF185" s="168">
        <f t="shared" si="207"/>
        <v>15.886882161192631</v>
      </c>
      <c r="CG185" s="168">
        <f t="shared" si="207"/>
        <v>27.158714748348949</v>
      </c>
      <c r="CH185" s="168">
        <f t="shared" si="207"/>
        <v>24.153791103990404</v>
      </c>
      <c r="CI185" s="168">
        <f t="shared" si="207"/>
        <v>15.896209269457218</v>
      </c>
      <c r="CJ185" s="168">
        <f t="shared" si="207"/>
        <v>33.408360471494802</v>
      </c>
      <c r="CK185" s="168">
        <f t="shared" si="207"/>
        <v>27.405560879702961</v>
      </c>
      <c r="CL185" s="168">
        <f t="shared" si="207"/>
        <v>10.872182024808199</v>
      </c>
      <c r="CM185" s="168">
        <f t="shared" si="207"/>
        <v>15.347665325396802</v>
      </c>
      <c r="CN185" s="168">
        <f t="shared" si="207"/>
        <v>23.792938269575341</v>
      </c>
      <c r="CO185" s="168">
        <f t="shared" si="207"/>
        <v>14.569992416506649</v>
      </c>
      <c r="CP185" s="168">
        <f t="shared" si="207"/>
        <v>22.917402941096384</v>
      </c>
      <c r="CQ185" s="168">
        <f t="shared" si="207"/>
        <v>14.47260580109903</v>
      </c>
      <c r="CR185" s="168">
        <f t="shared" si="207"/>
        <v>16.471378899169256</v>
      </c>
      <c r="CS185" s="168">
        <f t="shared" si="207"/>
        <v>30.357375671124341</v>
      </c>
      <c r="CT185" s="168">
        <f t="shared" si="207"/>
        <v>20.266223324104814</v>
      </c>
      <c r="CU185" s="168">
        <f t="shared" si="207"/>
        <v>24.870762480565446</v>
      </c>
      <c r="CV185" s="168">
        <f t="shared" si="207"/>
        <v>14.421825617988043</v>
      </c>
      <c r="CW185" s="168">
        <f t="shared" si="207"/>
        <v>25.768571946739321</v>
      </c>
      <c r="CX185" s="168">
        <f t="shared" si="207"/>
        <v>29.421443101932983</v>
      </c>
      <c r="CY185" s="168">
        <f t="shared" si="207"/>
        <v>20.412505982104257</v>
      </c>
      <c r="CZ185" s="168">
        <f t="shared" si="207"/>
        <v>24.377464109317827</v>
      </c>
      <c r="DA185" s="168">
        <f t="shared" si="207"/>
        <v>18.984506857658229</v>
      </c>
    </row>
    <row r="186" spans="5:105">
      <c r="E186" s="172" t="s">
        <v>327</v>
      </c>
      <c r="F186" s="168">
        <f t="shared" ref="F186:BQ186" si="208">(2*F173+F174+(1/20)*F175-0.305)*F143</f>
        <v>39.501102128317278</v>
      </c>
      <c r="G186" s="168">
        <f t="shared" si="208"/>
        <v>39.501102128317278</v>
      </c>
      <c r="H186" s="168">
        <f t="shared" si="208"/>
        <v>39.501102128317278</v>
      </c>
      <c r="I186" s="168">
        <f t="shared" si="208"/>
        <v>39.501102128317278</v>
      </c>
      <c r="J186" s="168">
        <f t="shared" si="208"/>
        <v>39.501102128317278</v>
      </c>
      <c r="K186" s="168">
        <f t="shared" si="208"/>
        <v>39.501102128317278</v>
      </c>
      <c r="L186" s="168">
        <f t="shared" si="208"/>
        <v>39.501102128317278</v>
      </c>
      <c r="M186" s="168">
        <f t="shared" si="208"/>
        <v>39.501102128317278</v>
      </c>
      <c r="N186" s="168">
        <f t="shared" si="208"/>
        <v>39.501102128317278</v>
      </c>
      <c r="O186" s="168">
        <f t="shared" si="208"/>
        <v>39.501102128317278</v>
      </c>
      <c r="P186" s="168">
        <f t="shared" si="208"/>
        <v>39.501102128317278</v>
      </c>
      <c r="Q186" s="168">
        <f t="shared" si="208"/>
        <v>39.501102128317278</v>
      </c>
      <c r="R186" s="168">
        <f t="shared" si="208"/>
        <v>39.501102128317278</v>
      </c>
      <c r="S186" s="168">
        <f t="shared" si="208"/>
        <v>39.501102128317278</v>
      </c>
      <c r="T186" s="168">
        <f t="shared" si="208"/>
        <v>39.501102128317278</v>
      </c>
      <c r="U186" s="168">
        <f t="shared" si="208"/>
        <v>39.501102128317278</v>
      </c>
      <c r="V186" s="168">
        <f t="shared" si="208"/>
        <v>39.501102128317278</v>
      </c>
      <c r="W186" s="168">
        <f t="shared" si="208"/>
        <v>39.501102128317278</v>
      </c>
      <c r="X186" s="168">
        <f t="shared" si="208"/>
        <v>39.501102128317278</v>
      </c>
      <c r="Y186" s="168">
        <f t="shared" si="208"/>
        <v>39.501102128317278</v>
      </c>
      <c r="Z186" s="168">
        <f t="shared" si="208"/>
        <v>39.501102128317278</v>
      </c>
      <c r="AA186" s="168">
        <f t="shared" si="208"/>
        <v>39.501102128317278</v>
      </c>
      <c r="AB186" s="168">
        <f t="shared" si="208"/>
        <v>39.501102128317278</v>
      </c>
      <c r="AC186" s="168">
        <f t="shared" si="208"/>
        <v>39.501102128317278</v>
      </c>
      <c r="AD186" s="168">
        <f t="shared" si="208"/>
        <v>39.501102128317278</v>
      </c>
      <c r="AE186" s="168">
        <f t="shared" si="208"/>
        <v>39.501102128317278</v>
      </c>
      <c r="AF186" s="168">
        <f t="shared" si="208"/>
        <v>39.501102128317278</v>
      </c>
      <c r="AG186" s="168">
        <f t="shared" si="208"/>
        <v>39.501102128317278</v>
      </c>
      <c r="AH186" s="168">
        <f t="shared" si="208"/>
        <v>39.501102128317278</v>
      </c>
      <c r="AI186" s="168">
        <f t="shared" si="208"/>
        <v>39.501102128317278</v>
      </c>
      <c r="AJ186" s="168">
        <f t="shared" si="208"/>
        <v>39.501102128317278</v>
      </c>
      <c r="AK186" s="168">
        <f t="shared" si="208"/>
        <v>39.501102128317278</v>
      </c>
      <c r="AL186" s="168">
        <f t="shared" si="208"/>
        <v>39.501102128317278</v>
      </c>
      <c r="AM186" s="168">
        <f t="shared" si="208"/>
        <v>39.501102128317278</v>
      </c>
      <c r="AN186" s="168">
        <f t="shared" si="208"/>
        <v>39.501102128317278</v>
      </c>
      <c r="AO186" s="168">
        <f t="shared" si="208"/>
        <v>39.501102128317278</v>
      </c>
      <c r="AP186" s="168">
        <f t="shared" si="208"/>
        <v>39.501102128317278</v>
      </c>
      <c r="AQ186" s="168">
        <f t="shared" si="208"/>
        <v>39.501102128317278</v>
      </c>
      <c r="AR186" s="168">
        <f t="shared" si="208"/>
        <v>39.501102128317278</v>
      </c>
      <c r="AS186" s="168">
        <f t="shared" si="208"/>
        <v>39.501102128317278</v>
      </c>
      <c r="AT186" s="168">
        <f t="shared" si="208"/>
        <v>39.501102128317278</v>
      </c>
      <c r="AU186" s="168">
        <f t="shared" si="208"/>
        <v>39.501102128317278</v>
      </c>
      <c r="AV186" s="168">
        <f t="shared" si="208"/>
        <v>39.501102128317278</v>
      </c>
      <c r="AW186" s="168">
        <f t="shared" si="208"/>
        <v>39.501102128317278</v>
      </c>
      <c r="AX186" s="168">
        <f t="shared" si="208"/>
        <v>39.501102128317278</v>
      </c>
      <c r="AY186" s="168">
        <f t="shared" si="208"/>
        <v>39.501102128317278</v>
      </c>
      <c r="AZ186" s="168">
        <f t="shared" si="208"/>
        <v>39.501102128317278</v>
      </c>
      <c r="BA186" s="168">
        <f t="shared" si="208"/>
        <v>39.501102128317278</v>
      </c>
      <c r="BB186" s="168">
        <f t="shared" si="208"/>
        <v>39.501102128317278</v>
      </c>
      <c r="BC186" s="168">
        <f t="shared" si="208"/>
        <v>39.501102128317278</v>
      </c>
      <c r="BD186" s="168">
        <f t="shared" si="208"/>
        <v>39.501102128317278</v>
      </c>
      <c r="BE186" s="168">
        <f t="shared" si="208"/>
        <v>39.501102128317278</v>
      </c>
      <c r="BF186" s="168">
        <f t="shared" si="208"/>
        <v>39.501102128317278</v>
      </c>
      <c r="BG186" s="168">
        <f t="shared" si="208"/>
        <v>39.501102128317278</v>
      </c>
      <c r="BH186" s="168">
        <f t="shared" si="208"/>
        <v>39.501102128317278</v>
      </c>
      <c r="BI186" s="168">
        <f t="shared" si="208"/>
        <v>39.501102128317278</v>
      </c>
      <c r="BJ186" s="168">
        <f t="shared" si="208"/>
        <v>39.501102128317278</v>
      </c>
      <c r="BK186" s="168">
        <f t="shared" si="208"/>
        <v>39.501102128317278</v>
      </c>
      <c r="BL186" s="168">
        <f t="shared" si="208"/>
        <v>39.501102128317278</v>
      </c>
      <c r="BM186" s="168">
        <f t="shared" si="208"/>
        <v>39.501102128317278</v>
      </c>
      <c r="BN186" s="168">
        <f t="shared" si="208"/>
        <v>39.501102128317278</v>
      </c>
      <c r="BO186" s="168">
        <f t="shared" si="208"/>
        <v>39.501102128317278</v>
      </c>
      <c r="BP186" s="168">
        <f t="shared" si="208"/>
        <v>39.501102128317278</v>
      </c>
      <c r="BQ186" s="168">
        <f t="shared" si="208"/>
        <v>39.501102128317278</v>
      </c>
      <c r="BR186" s="168">
        <f t="shared" ref="BR186:DA186" si="209">(2*BR173+BR174+(1/20)*BR175-0.305)*BR143</f>
        <v>39.501102128317278</v>
      </c>
      <c r="BS186" s="168">
        <f t="shared" si="209"/>
        <v>39.501102128317278</v>
      </c>
      <c r="BT186" s="168">
        <f t="shared" si="209"/>
        <v>39.501102128317278</v>
      </c>
      <c r="BU186" s="168">
        <f t="shared" si="209"/>
        <v>39.501102128317278</v>
      </c>
      <c r="BV186" s="168">
        <f t="shared" si="209"/>
        <v>39.501102128317278</v>
      </c>
      <c r="BW186" s="168">
        <f t="shared" si="209"/>
        <v>39.501102128317278</v>
      </c>
      <c r="BX186" s="168">
        <f t="shared" si="209"/>
        <v>39.501102128317278</v>
      </c>
      <c r="BY186" s="168">
        <f t="shared" si="209"/>
        <v>39.501102128317278</v>
      </c>
      <c r="BZ186" s="168">
        <f t="shared" si="209"/>
        <v>39.501102128317278</v>
      </c>
      <c r="CA186" s="168">
        <f t="shared" si="209"/>
        <v>39.501102128317278</v>
      </c>
      <c r="CB186" s="168">
        <f t="shared" si="209"/>
        <v>39.501102128317278</v>
      </c>
      <c r="CC186" s="168">
        <f t="shared" si="209"/>
        <v>39.501102128317278</v>
      </c>
      <c r="CD186" s="168">
        <f t="shared" si="209"/>
        <v>39.501102128317278</v>
      </c>
      <c r="CE186" s="168">
        <f t="shared" si="209"/>
        <v>39.501102128317278</v>
      </c>
      <c r="CF186" s="168">
        <f t="shared" si="209"/>
        <v>39.501102128317278</v>
      </c>
      <c r="CG186" s="168">
        <f t="shared" si="209"/>
        <v>39.501102128317278</v>
      </c>
      <c r="CH186" s="168">
        <f t="shared" si="209"/>
        <v>39.501102128317278</v>
      </c>
      <c r="CI186" s="168">
        <f t="shared" si="209"/>
        <v>39.501102128317278</v>
      </c>
      <c r="CJ186" s="168">
        <f t="shared" si="209"/>
        <v>39.501102128317278</v>
      </c>
      <c r="CK186" s="168">
        <f t="shared" si="209"/>
        <v>39.501102128317278</v>
      </c>
      <c r="CL186" s="168">
        <f t="shared" si="209"/>
        <v>39.501102128317278</v>
      </c>
      <c r="CM186" s="168">
        <f t="shared" si="209"/>
        <v>39.501102128317278</v>
      </c>
      <c r="CN186" s="168">
        <f t="shared" si="209"/>
        <v>39.501102128317278</v>
      </c>
      <c r="CO186" s="168">
        <f t="shared" si="209"/>
        <v>39.501102128317278</v>
      </c>
      <c r="CP186" s="168">
        <f t="shared" si="209"/>
        <v>39.501102128317278</v>
      </c>
      <c r="CQ186" s="168">
        <f t="shared" si="209"/>
        <v>39.501102128317278</v>
      </c>
      <c r="CR186" s="168">
        <f t="shared" si="209"/>
        <v>39.501102128317278</v>
      </c>
      <c r="CS186" s="168">
        <f t="shared" si="209"/>
        <v>39.501102128317278</v>
      </c>
      <c r="CT186" s="168">
        <f t="shared" si="209"/>
        <v>39.501102128317278</v>
      </c>
      <c r="CU186" s="168">
        <f t="shared" si="209"/>
        <v>39.501102128317278</v>
      </c>
      <c r="CV186" s="168">
        <f t="shared" si="209"/>
        <v>39.501102128317278</v>
      </c>
      <c r="CW186" s="168">
        <f t="shared" si="209"/>
        <v>39.501102128317278</v>
      </c>
      <c r="CX186" s="168">
        <f t="shared" si="209"/>
        <v>39.501102128317278</v>
      </c>
      <c r="CY186" s="168">
        <f t="shared" si="209"/>
        <v>39.501102128317278</v>
      </c>
      <c r="CZ186" s="168">
        <f t="shared" si="209"/>
        <v>39.501102128317278</v>
      </c>
      <c r="DA186" s="168">
        <f t="shared" si="209"/>
        <v>39.501102128317278</v>
      </c>
    </row>
    <row r="187" spans="5:105">
      <c r="E187" s="172" t="s">
        <v>229</v>
      </c>
      <c r="F187" s="168">
        <f t="shared" ref="F187:BQ187" si="210">100*(F185/F186)^($F$47*F145)</f>
        <v>100</v>
      </c>
      <c r="G187" s="168">
        <f t="shared" si="210"/>
        <v>78.535688418398991</v>
      </c>
      <c r="H187" s="168">
        <f t="shared" si="210"/>
        <v>48.958208970516495</v>
      </c>
      <c r="I187" s="168">
        <f t="shared" si="210"/>
        <v>20.36212766741539</v>
      </c>
      <c r="J187" s="168">
        <f t="shared" si="210"/>
        <v>59.746879154698853</v>
      </c>
      <c r="K187" s="168">
        <f t="shared" si="210"/>
        <v>35.364142929705508</v>
      </c>
      <c r="L187" s="168">
        <f t="shared" si="210"/>
        <v>38.469830877432337</v>
      </c>
      <c r="M187" s="168">
        <f t="shared" si="210"/>
        <v>27.879552143324982</v>
      </c>
      <c r="N187" s="168">
        <f t="shared" si="210"/>
        <v>26.897085154384616</v>
      </c>
      <c r="O187" s="168">
        <f t="shared" si="210"/>
        <v>18.912696034661931</v>
      </c>
      <c r="P187" s="168">
        <f t="shared" si="210"/>
        <v>65.095035356887593</v>
      </c>
      <c r="Q187" s="168">
        <f t="shared" si="210"/>
        <v>46.575225360753912</v>
      </c>
      <c r="R187" s="168">
        <f t="shared" si="210"/>
        <v>52.464265635348262</v>
      </c>
      <c r="S187" s="168">
        <f t="shared" si="210"/>
        <v>29.919142310489903</v>
      </c>
      <c r="T187" s="168">
        <f t="shared" si="210"/>
        <v>62.991702803123218</v>
      </c>
      <c r="U187" s="168">
        <f t="shared" si="210"/>
        <v>58.685298317078235</v>
      </c>
      <c r="V187" s="168">
        <f t="shared" si="210"/>
        <v>33.997691113347514</v>
      </c>
      <c r="W187" s="168">
        <f t="shared" si="210"/>
        <v>37.645505028277775</v>
      </c>
      <c r="X187" s="168">
        <f t="shared" si="210"/>
        <v>42.841468948065732</v>
      </c>
      <c r="Y187" s="168">
        <f t="shared" si="210"/>
        <v>62.055469227156443</v>
      </c>
      <c r="Z187" s="168">
        <f t="shared" si="210"/>
        <v>52.435596156307582</v>
      </c>
      <c r="AA187" s="168">
        <f t="shared" si="210"/>
        <v>81.338375786993325</v>
      </c>
      <c r="AB187" s="168">
        <f t="shared" si="210"/>
        <v>69.924446728327041</v>
      </c>
      <c r="AC187" s="168">
        <f t="shared" si="210"/>
        <v>87.169574127476238</v>
      </c>
      <c r="AD187" s="168">
        <f t="shared" si="210"/>
        <v>87.093191167703296</v>
      </c>
      <c r="AE187" s="168">
        <f t="shared" si="210"/>
        <v>62.472041752832297</v>
      </c>
      <c r="AF187" s="168">
        <f t="shared" si="210"/>
        <v>85.262779019287436</v>
      </c>
      <c r="AG187" s="168">
        <f t="shared" si="210"/>
        <v>62.278912598616408</v>
      </c>
      <c r="AH187" s="168">
        <f t="shared" si="210"/>
        <v>30.384303946070961</v>
      </c>
      <c r="AI187" s="168">
        <f t="shared" si="210"/>
        <v>80.086629873831214</v>
      </c>
      <c r="AJ187" s="168">
        <f t="shared" si="210"/>
        <v>51.432859807093479</v>
      </c>
      <c r="AK187" s="168">
        <f t="shared" si="210"/>
        <v>82.37792093082227</v>
      </c>
      <c r="AL187" s="168">
        <f t="shared" si="210"/>
        <v>65.205763499711608</v>
      </c>
      <c r="AM187" s="168">
        <f t="shared" si="210"/>
        <v>83.638628971633793</v>
      </c>
      <c r="AN187" s="168">
        <f t="shared" si="210"/>
        <v>50.602570299941107</v>
      </c>
      <c r="AO187" s="168">
        <f t="shared" si="210"/>
        <v>31.046857969197422</v>
      </c>
      <c r="AP187" s="168">
        <f t="shared" si="210"/>
        <v>70.884374825094127</v>
      </c>
      <c r="AQ187" s="168">
        <f t="shared" si="210"/>
        <v>36.444839759629694</v>
      </c>
      <c r="AR187" s="168">
        <f t="shared" si="210"/>
        <v>78.469374652847108</v>
      </c>
      <c r="AS187" s="168">
        <f t="shared" si="210"/>
        <v>23.867144115839114</v>
      </c>
      <c r="AT187" s="168">
        <f t="shared" si="210"/>
        <v>35.979139996009508</v>
      </c>
      <c r="AU187" s="168">
        <f t="shared" si="210"/>
        <v>80.89851411767799</v>
      </c>
      <c r="AV187" s="168">
        <f t="shared" si="210"/>
        <v>56.590097018273056</v>
      </c>
      <c r="AW187" s="168">
        <f t="shared" si="210"/>
        <v>60.638667243908237</v>
      </c>
      <c r="AX187" s="168">
        <f t="shared" si="210"/>
        <v>19.182172035919663</v>
      </c>
      <c r="AY187" s="168">
        <f t="shared" si="210"/>
        <v>45.108196124370828</v>
      </c>
      <c r="AZ187" s="168">
        <f t="shared" si="210"/>
        <v>54.214787633498773</v>
      </c>
      <c r="BA187" s="168">
        <f t="shared" si="210"/>
        <v>56.513430821677716</v>
      </c>
      <c r="BB187" s="168">
        <f t="shared" si="210"/>
        <v>67.593404802951525</v>
      </c>
      <c r="BC187" s="168">
        <f t="shared" si="210"/>
        <v>33.018095128707138</v>
      </c>
      <c r="BD187" s="168">
        <f t="shared" si="210"/>
        <v>39.999879614108465</v>
      </c>
      <c r="BE187" s="168">
        <f t="shared" si="210"/>
        <v>43.522192891384101</v>
      </c>
      <c r="BF187" s="168">
        <f t="shared" si="210"/>
        <v>27.312819274918088</v>
      </c>
      <c r="BG187" s="168">
        <f t="shared" si="210"/>
        <v>34.125627428521312</v>
      </c>
      <c r="BH187" s="168">
        <f t="shared" si="210"/>
        <v>79.685368438182053</v>
      </c>
      <c r="BI187" s="168">
        <f t="shared" si="210"/>
        <v>74.021292008273804</v>
      </c>
      <c r="BJ187" s="168">
        <f t="shared" si="210"/>
        <v>57.02493575117844</v>
      </c>
      <c r="BK187" s="168">
        <f t="shared" si="210"/>
        <v>41.994775605786266</v>
      </c>
      <c r="BL187" s="168">
        <f t="shared" si="210"/>
        <v>38.407457313446066</v>
      </c>
      <c r="BM187" s="168">
        <f t="shared" si="210"/>
        <v>78.621024195852939</v>
      </c>
      <c r="BN187" s="168">
        <f t="shared" si="210"/>
        <v>81.07985744062097</v>
      </c>
      <c r="BO187" s="168">
        <f t="shared" si="210"/>
        <v>64.773462159650833</v>
      </c>
      <c r="BP187" s="168">
        <f t="shared" si="210"/>
        <v>53.793621928230671</v>
      </c>
      <c r="BQ187" s="168">
        <f t="shared" si="210"/>
        <v>23.615378674204127</v>
      </c>
      <c r="BR187" s="168">
        <f t="shared" ref="BR187:CW187" si="211">100*(BR185/BR186)^($F$47*BR145)</f>
        <v>42.073776023340756</v>
      </c>
      <c r="BS187" s="168">
        <f t="shared" si="211"/>
        <v>28.183626315245768</v>
      </c>
      <c r="BT187" s="168">
        <f t="shared" si="211"/>
        <v>28.898591072228108</v>
      </c>
      <c r="BU187" s="168">
        <f t="shared" si="211"/>
        <v>31.643672101279151</v>
      </c>
      <c r="BV187" s="168">
        <f t="shared" si="211"/>
        <v>48.694666591292794</v>
      </c>
      <c r="BW187" s="168">
        <f t="shared" si="211"/>
        <v>38.474566056496926</v>
      </c>
      <c r="BX187" s="168">
        <f t="shared" si="211"/>
        <v>58.276700303032371</v>
      </c>
      <c r="BY187" s="168">
        <f t="shared" si="211"/>
        <v>22.157116276631548</v>
      </c>
      <c r="BZ187" s="168">
        <f t="shared" si="211"/>
        <v>65.428057377490745</v>
      </c>
      <c r="CA187" s="168">
        <f t="shared" si="211"/>
        <v>41.454495851314803</v>
      </c>
      <c r="CB187" s="168">
        <f t="shared" si="211"/>
        <v>18.710684936007794</v>
      </c>
      <c r="CC187" s="168">
        <f t="shared" si="211"/>
        <v>21.228293017278375</v>
      </c>
      <c r="CD187" s="168">
        <f t="shared" si="211"/>
        <v>32.009791277135186</v>
      </c>
      <c r="CE187" s="168">
        <f t="shared" si="211"/>
        <v>30.002960265040464</v>
      </c>
      <c r="CF187" s="168">
        <f t="shared" si="211"/>
        <v>29.783740878480362</v>
      </c>
      <c r="CG187" s="168">
        <f t="shared" si="211"/>
        <v>60.763841304247357</v>
      </c>
      <c r="CH187" s="168">
        <f t="shared" si="211"/>
        <v>51.99095084926244</v>
      </c>
      <c r="CI187" s="168">
        <f t="shared" si="211"/>
        <v>29.806995461920543</v>
      </c>
      <c r="CJ187" s="168">
        <f t="shared" si="211"/>
        <v>80.030090820817051</v>
      </c>
      <c r="CK187" s="168">
        <f t="shared" si="211"/>
        <v>61.499354280261031</v>
      </c>
      <c r="CL187" s="168">
        <f t="shared" si="211"/>
        <v>17.986046384999518</v>
      </c>
      <c r="CM187" s="168">
        <f t="shared" si="211"/>
        <v>28.447062869167393</v>
      </c>
      <c r="CN187" s="168">
        <f t="shared" si="211"/>
        <v>50.960619884977262</v>
      </c>
      <c r="CO187" s="168">
        <f t="shared" si="211"/>
        <v>26.546488213108344</v>
      </c>
      <c r="CP187" s="168">
        <f t="shared" si="211"/>
        <v>48.482205314119753</v>
      </c>
      <c r="CQ187" s="168">
        <f t="shared" si="211"/>
        <v>26.310795401489131</v>
      </c>
      <c r="CR187" s="168">
        <f t="shared" si="211"/>
        <v>31.249650068730496</v>
      </c>
      <c r="CS187" s="168">
        <f t="shared" si="211"/>
        <v>70.460646102050319</v>
      </c>
      <c r="CT187" s="168">
        <f t="shared" si="211"/>
        <v>41.170119316993869</v>
      </c>
      <c r="CU187" s="168">
        <f t="shared" si="211"/>
        <v>54.053146285522203</v>
      </c>
      <c r="CV187" s="168">
        <f t="shared" si="211"/>
        <v>26.188105471494854</v>
      </c>
      <c r="CW187" s="168">
        <f t="shared" si="211"/>
        <v>56.663215209380184</v>
      </c>
      <c r="CX187" s="168">
        <f>100*(CX185/CX186)^($F$47*CX145)</f>
        <v>67.586710688446743</v>
      </c>
      <c r="CY187" s="168">
        <f>100*(CY185/CY186)^($F$47*CY145)</f>
        <v>41.565756257881155</v>
      </c>
      <c r="CZ187" s="168">
        <f>100*(CZ185/CZ186)^($F$47*CZ145)</f>
        <v>52.632154868190483</v>
      </c>
      <c r="DA187" s="168">
        <f>100*(DA185/DA186)^($F$47*DA145)</f>
        <v>37.744326664040649</v>
      </c>
    </row>
    <row r="188" spans="5:105">
      <c r="E188" s="172" t="s">
        <v>328</v>
      </c>
      <c r="F188" s="168">
        <f t="shared" ref="F188:BQ188" si="212">(4/$F$47)*((F187/100)^0.5)*(F186+4)*(F141^0.25)</f>
        <v>238.02650952152914</v>
      </c>
      <c r="G188" s="168">
        <f t="shared" si="212"/>
        <v>210.93995816535173</v>
      </c>
      <c r="H188" s="168">
        <f t="shared" si="212"/>
        <v>166.54748884538131</v>
      </c>
      <c r="I188" s="168">
        <f t="shared" si="212"/>
        <v>107.40806832204299</v>
      </c>
      <c r="J188" s="168">
        <f t="shared" si="212"/>
        <v>183.98522176380052</v>
      </c>
      <c r="K188" s="168">
        <f t="shared" si="212"/>
        <v>141.54902968726185</v>
      </c>
      <c r="L188" s="168">
        <f t="shared" si="212"/>
        <v>147.63368721459307</v>
      </c>
      <c r="M188" s="168">
        <f t="shared" si="212"/>
        <v>125.68059397642757</v>
      </c>
      <c r="N188" s="168">
        <f t="shared" si="212"/>
        <v>123.44626005365292</v>
      </c>
      <c r="O188" s="168">
        <f t="shared" si="212"/>
        <v>103.51470513618752</v>
      </c>
      <c r="P188" s="168">
        <f t="shared" si="212"/>
        <v>192.04334490693009</v>
      </c>
      <c r="Q188" s="168">
        <f t="shared" si="212"/>
        <v>162.44367667129035</v>
      </c>
      <c r="R188" s="168">
        <f t="shared" si="212"/>
        <v>172.40788617537069</v>
      </c>
      <c r="S188" s="168">
        <f t="shared" si="212"/>
        <v>130.19667636784288</v>
      </c>
      <c r="T188" s="168">
        <f t="shared" si="212"/>
        <v>188.91524344745181</v>
      </c>
      <c r="U188" s="168">
        <f t="shared" si="212"/>
        <v>182.34337392521948</v>
      </c>
      <c r="V188" s="168">
        <f t="shared" si="212"/>
        <v>138.78740001448841</v>
      </c>
      <c r="W188" s="168">
        <f t="shared" si="212"/>
        <v>146.0433854817297</v>
      </c>
      <c r="X188" s="168">
        <f t="shared" si="212"/>
        <v>155.79643107782496</v>
      </c>
      <c r="Y188" s="168">
        <f t="shared" si="212"/>
        <v>187.50608234007834</v>
      </c>
      <c r="Z188" s="168">
        <f t="shared" si="212"/>
        <v>172.3607729672934</v>
      </c>
      <c r="AA188" s="168">
        <f t="shared" si="212"/>
        <v>214.67085005089152</v>
      </c>
      <c r="AB188" s="168">
        <f t="shared" si="212"/>
        <v>199.03976370326228</v>
      </c>
      <c r="AC188" s="168">
        <f t="shared" si="212"/>
        <v>222.23261169814285</v>
      </c>
      <c r="AD188" s="168">
        <f t="shared" si="212"/>
        <v>222.13522390539185</v>
      </c>
      <c r="AE188" s="168">
        <f t="shared" si="212"/>
        <v>188.13438501303804</v>
      </c>
      <c r="AF188" s="168">
        <f t="shared" si="212"/>
        <v>219.78855306439269</v>
      </c>
      <c r="AG188" s="168">
        <f t="shared" si="212"/>
        <v>187.843355950372</v>
      </c>
      <c r="AH188" s="168">
        <f t="shared" si="212"/>
        <v>131.20487564847309</v>
      </c>
      <c r="AI188" s="168">
        <f t="shared" si="212"/>
        <v>213.01262156445657</v>
      </c>
      <c r="AJ188" s="168">
        <f t="shared" si="212"/>
        <v>170.70477305153963</v>
      </c>
      <c r="AK188" s="168">
        <f t="shared" si="212"/>
        <v>216.03829520593678</v>
      </c>
      <c r="AL188" s="168">
        <f t="shared" si="212"/>
        <v>192.20661056609865</v>
      </c>
      <c r="AM188" s="168">
        <f t="shared" si="212"/>
        <v>217.68513855988223</v>
      </c>
      <c r="AN188" s="168">
        <f t="shared" si="212"/>
        <v>169.32130869433462</v>
      </c>
      <c r="AO188" s="168">
        <f t="shared" si="212"/>
        <v>132.62767472907095</v>
      </c>
      <c r="AP188" s="168">
        <f t="shared" si="212"/>
        <v>200.40132320362963</v>
      </c>
      <c r="AQ188" s="168">
        <f t="shared" si="212"/>
        <v>143.69556045132441</v>
      </c>
      <c r="AR188" s="168">
        <f t="shared" si="212"/>
        <v>210.85088288444808</v>
      </c>
      <c r="AS188" s="168">
        <f t="shared" si="212"/>
        <v>116.28549765117013</v>
      </c>
      <c r="AT188" s="168">
        <f t="shared" si="212"/>
        <v>142.77452276778106</v>
      </c>
      <c r="AU188" s="168">
        <f t="shared" si="212"/>
        <v>214.08961467205185</v>
      </c>
      <c r="AV188" s="168">
        <f t="shared" si="212"/>
        <v>179.05874955545045</v>
      </c>
      <c r="AW188" s="168">
        <f t="shared" si="212"/>
        <v>185.35322713554609</v>
      </c>
      <c r="AX188" s="168">
        <f t="shared" si="212"/>
        <v>104.24955717600987</v>
      </c>
      <c r="AY188" s="168">
        <f t="shared" si="212"/>
        <v>159.86487707424345</v>
      </c>
      <c r="AZ188" s="168">
        <f t="shared" si="212"/>
        <v>175.26056544065091</v>
      </c>
      <c r="BA188" s="168">
        <f t="shared" si="212"/>
        <v>178.93741732034286</v>
      </c>
      <c r="BB188" s="168">
        <f t="shared" si="212"/>
        <v>195.6939906772362</v>
      </c>
      <c r="BC188" s="168">
        <f t="shared" si="212"/>
        <v>136.7733030811296</v>
      </c>
      <c r="BD188" s="168">
        <f t="shared" si="212"/>
        <v>150.54095617945586</v>
      </c>
      <c r="BE188" s="168">
        <f t="shared" si="212"/>
        <v>157.02930652968845</v>
      </c>
      <c r="BF188" s="168">
        <f t="shared" si="212"/>
        <v>124.39662382450231</v>
      </c>
      <c r="BG188" s="168">
        <f t="shared" si="212"/>
        <v>139.04828943116462</v>
      </c>
      <c r="BH188" s="168">
        <f t="shared" si="212"/>
        <v>212.47831838102857</v>
      </c>
      <c r="BI188" s="168">
        <f t="shared" si="212"/>
        <v>204.78760110406367</v>
      </c>
      <c r="BJ188" s="168">
        <f t="shared" si="212"/>
        <v>179.74537745808664</v>
      </c>
      <c r="BK188" s="168">
        <f t="shared" si="212"/>
        <v>154.24921430452758</v>
      </c>
      <c r="BL188" s="168">
        <f t="shared" si="212"/>
        <v>147.51395475657648</v>
      </c>
      <c r="BM188" s="168">
        <f t="shared" si="212"/>
        <v>211.05452925086368</v>
      </c>
      <c r="BN188" s="168">
        <f t="shared" si="212"/>
        <v>214.32943359794413</v>
      </c>
      <c r="BO188" s="168">
        <f t="shared" si="212"/>
        <v>191.56840507015201</v>
      </c>
      <c r="BP188" s="168">
        <f t="shared" si="212"/>
        <v>174.57848535427985</v>
      </c>
      <c r="BQ188" s="168">
        <f t="shared" si="212"/>
        <v>115.67054584615667</v>
      </c>
      <c r="BR188" s="168">
        <f t="shared" ref="BR188:CW188" si="213">(4/$F$47)*((BR187/100)^0.5)*(BR186+4)*(BR141^0.25)</f>
        <v>154.39423266214317</v>
      </c>
      <c r="BS188" s="168">
        <f t="shared" si="213"/>
        <v>126.36411614079682</v>
      </c>
      <c r="BT188" s="168">
        <f t="shared" si="213"/>
        <v>127.956886129949</v>
      </c>
      <c r="BU188" s="168">
        <f t="shared" si="213"/>
        <v>133.89635848070878</v>
      </c>
      <c r="BV188" s="168">
        <f t="shared" si="213"/>
        <v>166.09862082023071</v>
      </c>
      <c r="BW188" s="168">
        <f t="shared" si="213"/>
        <v>147.64277291133834</v>
      </c>
      <c r="BX188" s="168">
        <f t="shared" si="213"/>
        <v>181.7074797398628</v>
      </c>
      <c r="BY188" s="168">
        <f t="shared" si="213"/>
        <v>112.04228220769122</v>
      </c>
      <c r="BZ188" s="168">
        <f t="shared" si="213"/>
        <v>192.5339589299092</v>
      </c>
      <c r="CA188" s="168">
        <f t="shared" si="213"/>
        <v>153.25376298893732</v>
      </c>
      <c r="CB188" s="168">
        <f t="shared" si="213"/>
        <v>102.96038811336584</v>
      </c>
      <c r="CC188" s="168">
        <f t="shared" si="213"/>
        <v>109.66874278886419</v>
      </c>
      <c r="CD188" s="168">
        <f t="shared" si="213"/>
        <v>134.66872525499588</v>
      </c>
      <c r="CE188" s="168">
        <f t="shared" si="213"/>
        <v>130.37892067582513</v>
      </c>
      <c r="CF188" s="168">
        <f t="shared" si="213"/>
        <v>129.90173464377</v>
      </c>
      <c r="CG188" s="168">
        <f t="shared" si="213"/>
        <v>185.54443726587081</v>
      </c>
      <c r="CH188" s="168">
        <f t="shared" si="213"/>
        <v>171.62842147885638</v>
      </c>
      <c r="CI188" s="168">
        <f t="shared" si="213"/>
        <v>129.95243716165859</v>
      </c>
      <c r="CJ188" s="168">
        <f t="shared" si="213"/>
        <v>212.93741763667813</v>
      </c>
      <c r="CK188" s="168">
        <f t="shared" si="213"/>
        <v>186.66401631421294</v>
      </c>
      <c r="CL188" s="168">
        <f t="shared" si="213"/>
        <v>100.94694554953175</v>
      </c>
      <c r="CM188" s="168">
        <f t="shared" si="213"/>
        <v>126.95331462126531</v>
      </c>
      <c r="CN188" s="168">
        <f t="shared" si="213"/>
        <v>169.91928780461794</v>
      </c>
      <c r="CO188" s="168">
        <f t="shared" si="213"/>
        <v>122.63907512357403</v>
      </c>
      <c r="CP188" s="168">
        <f t="shared" si="213"/>
        <v>165.73586956827728</v>
      </c>
      <c r="CQ188" s="168">
        <f t="shared" si="213"/>
        <v>122.09343622129028</v>
      </c>
      <c r="CR188" s="168">
        <f t="shared" si="213"/>
        <v>133.06011893768684</v>
      </c>
      <c r="CS188" s="168">
        <f t="shared" si="213"/>
        <v>199.80145137751464</v>
      </c>
      <c r="CT188" s="168">
        <f t="shared" si="213"/>
        <v>152.72720039346453</v>
      </c>
      <c r="CU188" s="168">
        <f t="shared" si="213"/>
        <v>174.99910078491052</v>
      </c>
      <c r="CV188" s="168">
        <f t="shared" si="213"/>
        <v>121.80843649700837</v>
      </c>
      <c r="CW188" s="168">
        <f t="shared" si="213"/>
        <v>179.17439015520219</v>
      </c>
      <c r="CX188" s="168">
        <f>(4/$F$47)*((CX187/100)^0.5)*(CX186+4)*(CX141^0.25)</f>
        <v>195.6843001577185</v>
      </c>
      <c r="CY188" s="168">
        <f>(4/$F$47)*((CY187/100)^0.5)*(CY186+4)*(CY141^0.25)</f>
        <v>153.45928533385324</v>
      </c>
      <c r="CZ188" s="168">
        <f>(4/$F$47)*((CZ187/100)^0.5)*(CZ186+4)*(CZ141^0.25)</f>
        <v>172.68352434105452</v>
      </c>
      <c r="DA188" s="168">
        <f>(4/$F$47)*((DA187/100)^0.5)*(DA186+4)*(DA141^0.25)</f>
        <v>146.23494603158667</v>
      </c>
    </row>
    <row r="189" spans="5:105">
      <c r="E189" s="172" t="s">
        <v>329</v>
      </c>
      <c r="F189" s="168">
        <f t="shared" ref="F189:BQ189" si="214">(F184*(F176^2+F177^2)^0.5)/(F170+F171+(21/20)*F172)</f>
        <v>4.204794240704135E-3</v>
      </c>
      <c r="G189" s="168">
        <f t="shared" si="214"/>
        <v>28.006011685220319</v>
      </c>
      <c r="H189" s="168">
        <f t="shared" si="214"/>
        <v>86.940504057930454</v>
      </c>
      <c r="I189" s="168">
        <f t="shared" si="214"/>
        <v>42.495264240464714</v>
      </c>
      <c r="J189" s="168">
        <f t="shared" si="214"/>
        <v>38.248960580667351</v>
      </c>
      <c r="K189" s="168">
        <f t="shared" si="214"/>
        <v>101.79555541182775</v>
      </c>
      <c r="L189" s="168">
        <f t="shared" si="214"/>
        <v>41.458692121521118</v>
      </c>
      <c r="M189" s="168">
        <f t="shared" si="214"/>
        <v>121.111364723446</v>
      </c>
      <c r="N189" s="168">
        <f t="shared" si="214"/>
        <v>100.71260457990078</v>
      </c>
      <c r="O189" s="168">
        <f t="shared" si="214"/>
        <v>12.84758985208164</v>
      </c>
      <c r="P189" s="168">
        <f t="shared" si="214"/>
        <v>90.600608732698817</v>
      </c>
      <c r="Q189" s="168">
        <f t="shared" si="214"/>
        <v>103.46412761066448</v>
      </c>
      <c r="R189" s="168">
        <f t="shared" si="214"/>
        <v>108.51796720022506</v>
      </c>
      <c r="S189" s="168">
        <f t="shared" si="214"/>
        <v>81.813165473145844</v>
      </c>
      <c r="T189" s="168">
        <f t="shared" si="214"/>
        <v>16.081358960242536</v>
      </c>
      <c r="U189" s="168">
        <f t="shared" si="214"/>
        <v>38.316028425787863</v>
      </c>
      <c r="V189" s="168">
        <f t="shared" si="214"/>
        <v>77.586756290528911</v>
      </c>
      <c r="W189" s="168">
        <f t="shared" si="214"/>
        <v>78.481986160679654</v>
      </c>
      <c r="X189" s="168">
        <f t="shared" si="214"/>
        <v>53.365208712670011</v>
      </c>
      <c r="Y189" s="168">
        <f t="shared" si="214"/>
        <v>85.627395088481435</v>
      </c>
      <c r="Z189" s="168">
        <f t="shared" si="214"/>
        <v>134.50800460040921</v>
      </c>
      <c r="AA189" s="168">
        <f t="shared" si="214"/>
        <v>94.731597102564265</v>
      </c>
      <c r="AB189" s="168">
        <f t="shared" si="214"/>
        <v>111.8133753343218</v>
      </c>
      <c r="AC189" s="168">
        <f t="shared" si="214"/>
        <v>30.233047072730198</v>
      </c>
      <c r="AD189" s="168">
        <f t="shared" si="214"/>
        <v>72.651324840945065</v>
      </c>
      <c r="AE189" s="168">
        <f t="shared" si="214"/>
        <v>131.34067224758167</v>
      </c>
      <c r="AF189" s="168">
        <f t="shared" si="214"/>
        <v>97.059218906948587</v>
      </c>
      <c r="AG189" s="168">
        <f t="shared" si="214"/>
        <v>48.594548713131388</v>
      </c>
      <c r="AH189" s="168">
        <f t="shared" si="214"/>
        <v>67.284361292370136</v>
      </c>
      <c r="AI189" s="168">
        <f t="shared" si="214"/>
        <v>112.18688705921265</v>
      </c>
      <c r="AJ189" s="168">
        <f t="shared" si="214"/>
        <v>79.195761849039016</v>
      </c>
      <c r="AK189" s="168">
        <f t="shared" si="214"/>
        <v>107.38186202405488</v>
      </c>
      <c r="AL189" s="168">
        <f t="shared" si="214"/>
        <v>135.05556456892103</v>
      </c>
      <c r="AM189" s="168">
        <f t="shared" si="214"/>
        <v>65.337915823045449</v>
      </c>
      <c r="AN189" s="168">
        <f t="shared" si="214"/>
        <v>126.24193509830121</v>
      </c>
      <c r="AO189" s="168">
        <f t="shared" si="214"/>
        <v>69.4381070930025</v>
      </c>
      <c r="AP189" s="168">
        <f t="shared" si="214"/>
        <v>23.347363048560126</v>
      </c>
      <c r="AQ189" s="168">
        <f t="shared" si="214"/>
        <v>89.979766015599296</v>
      </c>
      <c r="AR189" s="168">
        <f t="shared" si="214"/>
        <v>61.141269882182002</v>
      </c>
      <c r="AS189" s="168">
        <f t="shared" si="214"/>
        <v>27.607698409723188</v>
      </c>
      <c r="AT189" s="168">
        <f t="shared" si="214"/>
        <v>47.446504537087094</v>
      </c>
      <c r="AU189" s="168">
        <f t="shared" si="214"/>
        <v>23.905703237696162</v>
      </c>
      <c r="AV189" s="168">
        <f t="shared" si="214"/>
        <v>134.87738980355095</v>
      </c>
      <c r="AW189" s="168">
        <f t="shared" si="214"/>
        <v>141.0621420421254</v>
      </c>
      <c r="AX189" s="168">
        <f t="shared" si="214"/>
        <v>5.2804692060904683</v>
      </c>
      <c r="AY189" s="168">
        <f t="shared" si="214"/>
        <v>109.80271268633679</v>
      </c>
      <c r="AZ189" s="168">
        <f t="shared" si="214"/>
        <v>73.797282959462663</v>
      </c>
      <c r="BA189" s="168">
        <f t="shared" si="214"/>
        <v>49.289505251364226</v>
      </c>
      <c r="BB189" s="168">
        <f t="shared" si="214"/>
        <v>79.64863577884131</v>
      </c>
      <c r="BC189" s="168">
        <f t="shared" si="214"/>
        <v>91.041119759665705</v>
      </c>
      <c r="BD189" s="168">
        <f t="shared" si="214"/>
        <v>55.538474106829554</v>
      </c>
      <c r="BE189" s="168">
        <f t="shared" si="214"/>
        <v>40.788296485539433</v>
      </c>
      <c r="BF189" s="168">
        <f t="shared" si="214"/>
        <v>76.120298057371656</v>
      </c>
      <c r="BG189" s="168">
        <f t="shared" si="214"/>
        <v>108.82089191206096</v>
      </c>
      <c r="BH189" s="168">
        <f t="shared" si="214"/>
        <v>26.593871916509521</v>
      </c>
      <c r="BI189" s="168">
        <f t="shared" si="214"/>
        <v>30.523543022587219</v>
      </c>
      <c r="BJ189" s="168">
        <f t="shared" si="214"/>
        <v>74.776416146415883</v>
      </c>
      <c r="BK189" s="168">
        <f t="shared" si="214"/>
        <v>97.240886953274298</v>
      </c>
      <c r="BL189" s="168">
        <f t="shared" si="214"/>
        <v>103.50605204745888</v>
      </c>
      <c r="BM189" s="168">
        <f t="shared" si="214"/>
        <v>25.108894399846736</v>
      </c>
      <c r="BN189" s="168">
        <f t="shared" si="214"/>
        <v>8.4395851623361171</v>
      </c>
      <c r="BO189" s="168">
        <f t="shared" si="214"/>
        <v>27.428551893820153</v>
      </c>
      <c r="BP189" s="168">
        <f t="shared" si="214"/>
        <v>8.8075959097162979</v>
      </c>
      <c r="BQ189" s="168">
        <f t="shared" si="214"/>
        <v>5.8722575373308077</v>
      </c>
      <c r="BR189" s="168">
        <f t="shared" ref="BR189:DA189" si="215">(BR184*(BR176^2+BR177^2)^0.5)/(BR170+BR171+(21/20)*BR172)</f>
        <v>103.97593297793806</v>
      </c>
      <c r="BS189" s="168">
        <f t="shared" si="215"/>
        <v>54.168675759262541</v>
      </c>
      <c r="BT189" s="168">
        <f t="shared" si="215"/>
        <v>118.72439116173841</v>
      </c>
      <c r="BU189" s="168">
        <f t="shared" si="215"/>
        <v>121.38877366885217</v>
      </c>
      <c r="BV189" s="168">
        <f t="shared" si="215"/>
        <v>65.874018789202609</v>
      </c>
      <c r="BW189" s="168">
        <f t="shared" si="215"/>
        <v>39.709848874397146</v>
      </c>
      <c r="BX189" s="168">
        <f t="shared" si="215"/>
        <v>81.812458143134251</v>
      </c>
      <c r="BY189" s="168">
        <f t="shared" si="215"/>
        <v>112.57632255660738</v>
      </c>
      <c r="BZ189" s="168">
        <f t="shared" si="215"/>
        <v>20.256983244675947</v>
      </c>
      <c r="CA189" s="168">
        <f t="shared" si="215"/>
        <v>135.69099065058808</v>
      </c>
      <c r="CB189" s="168">
        <f t="shared" si="215"/>
        <v>8.7480668245676618</v>
      </c>
      <c r="CC189" s="168">
        <f t="shared" si="215"/>
        <v>118.04039043139727</v>
      </c>
      <c r="CD189" s="168">
        <f t="shared" si="215"/>
        <v>178.35368454872022</v>
      </c>
      <c r="CE189" s="168">
        <f t="shared" si="215"/>
        <v>121.81017957472152</v>
      </c>
      <c r="CF189" s="168">
        <f t="shared" si="215"/>
        <v>174.07115508249538</v>
      </c>
      <c r="CG189" s="168">
        <f t="shared" si="215"/>
        <v>64.376563491099915</v>
      </c>
      <c r="CH189" s="168">
        <f t="shared" si="215"/>
        <v>82.502623982409773</v>
      </c>
      <c r="CI189" s="168">
        <f t="shared" si="215"/>
        <v>155.54280185759583</v>
      </c>
      <c r="CJ189" s="168">
        <f t="shared" si="215"/>
        <v>21.152971147888199</v>
      </c>
      <c r="CK189" s="168">
        <f t="shared" si="215"/>
        <v>50.233821503961764</v>
      </c>
      <c r="CL189" s="168">
        <f t="shared" si="215"/>
        <v>44.624900216996537</v>
      </c>
      <c r="CM189" s="168">
        <f t="shared" si="215"/>
        <v>56.620592708743253</v>
      </c>
      <c r="CN189" s="168">
        <f t="shared" si="215"/>
        <v>92.533933635840725</v>
      </c>
      <c r="CO189" s="168">
        <f t="shared" si="215"/>
        <v>135.76866823316058</v>
      </c>
      <c r="CP189" s="168">
        <f t="shared" si="215"/>
        <v>91.638402178730203</v>
      </c>
      <c r="CQ189" s="168">
        <f t="shared" si="215"/>
        <v>105.03699490637335</v>
      </c>
      <c r="CR189" s="168">
        <f t="shared" si="215"/>
        <v>117.95887730494792</v>
      </c>
      <c r="CS189" s="168">
        <f t="shared" si="215"/>
        <v>4.0372504147467705</v>
      </c>
      <c r="CT189" s="168">
        <f t="shared" si="215"/>
        <v>53.626481197356256</v>
      </c>
      <c r="CU189" s="168">
        <f t="shared" si="215"/>
        <v>34.242079179767295</v>
      </c>
      <c r="CV189" s="168">
        <f t="shared" si="215"/>
        <v>92.313356108125859</v>
      </c>
      <c r="CW189" s="168">
        <f t="shared" si="215"/>
        <v>44.959669719765841</v>
      </c>
      <c r="CX189" s="168">
        <f t="shared" si="215"/>
        <v>37.06334044663123</v>
      </c>
      <c r="CY189" s="168">
        <f t="shared" si="215"/>
        <v>66.421991913203001</v>
      </c>
      <c r="CZ189" s="168">
        <f t="shared" si="215"/>
        <v>85.166979404782282</v>
      </c>
      <c r="DA189" s="168">
        <f t="shared" si="215"/>
        <v>113.68987030925437</v>
      </c>
    </row>
    <row r="190" spans="5:105">
      <c r="E190" s="172" t="s">
        <v>330</v>
      </c>
      <c r="F190" s="173">
        <f>100*(F192/F188)^0.5</f>
        <v>0.50791838306523907</v>
      </c>
      <c r="G190" s="173">
        <f t="shared" ref="G190:BR190" si="216">100*(G192/G188)^0.5</f>
        <v>26.691431371236423</v>
      </c>
      <c r="H190" s="173">
        <f t="shared" si="216"/>
        <v>44.438435811288279</v>
      </c>
      <c r="I190" s="173">
        <f t="shared" si="216"/>
        <v>32.200456965809529</v>
      </c>
      <c r="J190" s="173">
        <f t="shared" si="216"/>
        <v>30.710552629486905</v>
      </c>
      <c r="K190" s="173">
        <f t="shared" si="216"/>
        <v>47.707511310483341</v>
      </c>
      <c r="L190" s="173">
        <f t="shared" si="216"/>
        <v>31.844601128107115</v>
      </c>
      <c r="M190" s="173">
        <f t="shared" si="216"/>
        <v>51.587205033137629</v>
      </c>
      <c r="N190" s="173">
        <f t="shared" si="216"/>
        <v>47.478448323447509</v>
      </c>
      <c r="O190" s="173">
        <f t="shared" si="216"/>
        <v>18.796567267620969</v>
      </c>
      <c r="P190" s="173">
        <f t="shared" si="216"/>
        <v>45.270761167882597</v>
      </c>
      <c r="Q190" s="173">
        <f t="shared" si="216"/>
        <v>48.057835299480729</v>
      </c>
      <c r="R190" s="173">
        <f t="shared" si="216"/>
        <v>49.100344246676322</v>
      </c>
      <c r="S190" s="173">
        <f t="shared" si="216"/>
        <v>43.239357593199109</v>
      </c>
      <c r="T190" s="173">
        <f t="shared" si="216"/>
        <v>20.79476564969351</v>
      </c>
      <c r="U190" s="173">
        <f t="shared" si="216"/>
        <v>30.734773267700533</v>
      </c>
      <c r="V190" s="173">
        <f t="shared" si="216"/>
        <v>42.219512332049831</v>
      </c>
      <c r="W190" s="173">
        <f t="shared" si="216"/>
        <v>42.438037085381147</v>
      </c>
      <c r="X190" s="173">
        <f t="shared" si="216"/>
        <v>35.675904289318822</v>
      </c>
      <c r="Y190" s="173">
        <f t="shared" si="216"/>
        <v>44.135141586901206</v>
      </c>
      <c r="Z190" s="173">
        <f t="shared" si="216"/>
        <v>54.081092109261995</v>
      </c>
      <c r="AA190" s="173">
        <f t="shared" si="216"/>
        <v>46.188247174674444</v>
      </c>
      <c r="AB190" s="173">
        <f t="shared" si="216"/>
        <v>49.765799512055068</v>
      </c>
      <c r="AC190" s="173">
        <f t="shared" si="216"/>
        <v>27.626486708992577</v>
      </c>
      <c r="AD190" s="173">
        <f t="shared" si="216"/>
        <v>40.989100401711539</v>
      </c>
      <c r="AE190" s="173">
        <f t="shared" si="216"/>
        <v>53.504270893608094</v>
      </c>
      <c r="AF190" s="173">
        <f t="shared" si="216"/>
        <v>46.69553450773644</v>
      </c>
      <c r="AG190" s="173">
        <f t="shared" si="216"/>
        <v>34.203708268512344</v>
      </c>
      <c r="AH190" s="173">
        <f t="shared" si="216"/>
        <v>39.597717683951728</v>
      </c>
      <c r="AI190" s="173">
        <f t="shared" si="216"/>
        <v>49.840539930840563</v>
      </c>
      <c r="AJ190" s="173">
        <f t="shared" si="216"/>
        <v>42.611288622830216</v>
      </c>
      <c r="AK190" s="173">
        <f t="shared" si="216"/>
        <v>48.868354233876182</v>
      </c>
      <c r="AL190" s="173">
        <f t="shared" si="216"/>
        <v>54.180051290072839</v>
      </c>
      <c r="AM190" s="173">
        <f t="shared" si="216"/>
        <v>39.078075647920066</v>
      </c>
      <c r="AN190" s="173">
        <f t="shared" si="216"/>
        <v>52.559404250865839</v>
      </c>
      <c r="AO190" s="173">
        <f t="shared" si="216"/>
        <v>40.16315650652276</v>
      </c>
      <c r="AP190" s="173">
        <f t="shared" si="216"/>
        <v>24.593244138021202</v>
      </c>
      <c r="AQ190" s="173">
        <f t="shared" si="216"/>
        <v>45.130898655980801</v>
      </c>
      <c r="AR190" s="173">
        <f t="shared" si="216"/>
        <v>37.927943833965983</v>
      </c>
      <c r="AS190" s="173">
        <f t="shared" si="216"/>
        <v>26.519930739175081</v>
      </c>
      <c r="AT190" s="173">
        <f t="shared" si="216"/>
        <v>33.83768902368206</v>
      </c>
      <c r="AU190" s="173">
        <f t="shared" si="216"/>
        <v>24.856185442689437</v>
      </c>
      <c r="AV190" s="173">
        <f t="shared" si="216"/>
        <v>54.147874458366104</v>
      </c>
      <c r="AW190" s="173">
        <f t="shared" si="216"/>
        <v>55.251428128416094</v>
      </c>
      <c r="AX190" s="173">
        <f t="shared" si="216"/>
        <v>12.598284920196143</v>
      </c>
      <c r="AY190" s="173">
        <f t="shared" si="216"/>
        <v>49.361082566130868</v>
      </c>
      <c r="AZ190" s="173">
        <f t="shared" si="216"/>
        <v>41.278790361821791</v>
      </c>
      <c r="BA190" s="173">
        <f t="shared" si="216"/>
        <v>34.422967047038973</v>
      </c>
      <c r="BB190" s="173">
        <f t="shared" si="216"/>
        <v>42.720767688461656</v>
      </c>
      <c r="BC190" s="173">
        <f t="shared" si="216"/>
        <v>45.369679402935219</v>
      </c>
      <c r="BD190" s="173">
        <f t="shared" si="216"/>
        <v>36.3225281649054</v>
      </c>
      <c r="BE190" s="173">
        <f t="shared" si="216"/>
        <v>31.611841807321689</v>
      </c>
      <c r="BF190" s="173">
        <f t="shared" si="216"/>
        <v>41.858533669818456</v>
      </c>
      <c r="BG190" s="173">
        <f t="shared" si="216"/>
        <v>49.161974942163177</v>
      </c>
      <c r="BH190" s="173">
        <f t="shared" si="216"/>
        <v>26.077172648679209</v>
      </c>
      <c r="BI190" s="173">
        <f t="shared" si="216"/>
        <v>27.745625429887351</v>
      </c>
      <c r="BJ190" s="173">
        <f t="shared" si="216"/>
        <v>41.524354075091878</v>
      </c>
      <c r="BK190" s="173">
        <f t="shared" si="216"/>
        <v>46.734844796607632</v>
      </c>
      <c r="BL190" s="173">
        <f t="shared" si="216"/>
        <v>48.066597350314524</v>
      </c>
      <c r="BM190" s="173">
        <f t="shared" si="216"/>
        <v>25.411553168441113</v>
      </c>
      <c r="BN190" s="173">
        <f t="shared" si="216"/>
        <v>15.557982891179222</v>
      </c>
      <c r="BO190" s="173">
        <f t="shared" si="216"/>
        <v>26.442352491490229</v>
      </c>
      <c r="BP190" s="173">
        <f t="shared" si="216"/>
        <v>15.859687148967952</v>
      </c>
      <c r="BQ190" s="173">
        <f t="shared" si="216"/>
        <v>13.215119263787898</v>
      </c>
      <c r="BR190" s="173">
        <f t="shared" si="216"/>
        <v>48.164667474597742</v>
      </c>
      <c r="BS190" s="173">
        <f t="shared" ref="BS190:DA190" si="217">100*(BS192/BS188)^0.5</f>
        <v>35.916622743826046</v>
      </c>
      <c r="BT190" s="173">
        <f t="shared" si="217"/>
        <v>51.127172161324516</v>
      </c>
      <c r="BU190" s="173">
        <f t="shared" si="217"/>
        <v>51.640344446192657</v>
      </c>
      <c r="BV190" s="173">
        <f t="shared" si="217"/>
        <v>39.222038920277427</v>
      </c>
      <c r="BW190" s="173">
        <f t="shared" si="217"/>
        <v>31.232949573336583</v>
      </c>
      <c r="BX190" s="173">
        <f t="shared" si="217"/>
        <v>43.239189367760915</v>
      </c>
      <c r="BY190" s="173">
        <f t="shared" si="217"/>
        <v>49.918321133274866</v>
      </c>
      <c r="BZ190" s="173">
        <f t="shared" si="217"/>
        <v>23.071054260165312</v>
      </c>
      <c r="CA190" s="173">
        <f t="shared" si="217"/>
        <v>54.294614075923384</v>
      </c>
      <c r="CB190" s="173">
        <f t="shared" si="217"/>
        <v>15.811360325714061</v>
      </c>
      <c r="CC190" s="173">
        <f t="shared" si="217"/>
        <v>50.994411171956578</v>
      </c>
      <c r="CD190" s="173">
        <f t="shared" si="217"/>
        <v>61.402454670609977</v>
      </c>
      <c r="CE190" s="173">
        <f t="shared" si="217"/>
        <v>51.720939738236829</v>
      </c>
      <c r="CF190" s="173">
        <f t="shared" si="217"/>
        <v>60.734555818565042</v>
      </c>
      <c r="CG190" s="173">
        <f t="shared" si="217"/>
        <v>38.818281042779603</v>
      </c>
      <c r="CH190" s="173">
        <f t="shared" si="217"/>
        <v>43.402953869650332</v>
      </c>
      <c r="CI190" s="173">
        <f t="shared" si="217"/>
        <v>57.735277508191615</v>
      </c>
      <c r="CJ190" s="173">
        <f t="shared" si="217"/>
        <v>23.524798612010507</v>
      </c>
      <c r="CK190" s="173">
        <f t="shared" si="217"/>
        <v>34.718191372740876</v>
      </c>
      <c r="CL190" s="173">
        <f t="shared" si="217"/>
        <v>32.916872153268606</v>
      </c>
      <c r="CM190" s="173">
        <f t="shared" si="217"/>
        <v>36.639309438034459</v>
      </c>
      <c r="CN190" s="173">
        <f t="shared" si="217"/>
        <v>45.702952329477917</v>
      </c>
      <c r="CO190" s="173">
        <f t="shared" si="217"/>
        <v>54.30859853260106</v>
      </c>
      <c r="CP190" s="173">
        <f t="shared" si="217"/>
        <v>45.5033816698108</v>
      </c>
      <c r="CQ190" s="173">
        <f t="shared" si="217"/>
        <v>48.385231610266864</v>
      </c>
      <c r="CR190" s="173">
        <f t="shared" si="217"/>
        <v>50.978561710730062</v>
      </c>
      <c r="CS190" s="173">
        <f t="shared" si="217"/>
        <v>11.164707615249615</v>
      </c>
      <c r="CT190" s="173">
        <f t="shared" si="217"/>
        <v>35.754398806675212</v>
      </c>
      <c r="CU190" s="173">
        <f t="shared" si="217"/>
        <v>29.218697474059457</v>
      </c>
      <c r="CV190" s="173">
        <f t="shared" si="217"/>
        <v>45.653895219402813</v>
      </c>
      <c r="CW190" s="173">
        <f t="shared" si="217"/>
        <v>33.027765703544773</v>
      </c>
      <c r="CX190" s="173">
        <f t="shared" si="217"/>
        <v>30.278464423957125</v>
      </c>
      <c r="CY190" s="173">
        <f t="shared" si="217"/>
        <v>39.36852535583207</v>
      </c>
      <c r="CZ190" s="173">
        <f t="shared" si="217"/>
        <v>44.028192297250669</v>
      </c>
      <c r="DA190" s="173">
        <f t="shared" si="217"/>
        <v>50.139914791951512</v>
      </c>
    </row>
    <row r="191" spans="5:105">
      <c r="E191" s="172" t="s">
        <v>56</v>
      </c>
      <c r="F191" s="168">
        <f t="shared" ref="F191:BQ191" si="218">(F189^0.9)*((F187/100)^0.5)*((1.64-0.29^F142)^0.73)</f>
        <v>6.5057747686821689E-3</v>
      </c>
      <c r="G191" s="168">
        <f t="shared" si="218"/>
        <v>15.921662606580647</v>
      </c>
      <c r="H191" s="168">
        <f t="shared" si="218"/>
        <v>34.845078662830154</v>
      </c>
      <c r="I191" s="168">
        <f t="shared" si="218"/>
        <v>11.799043675542476</v>
      </c>
      <c r="J191" s="168">
        <f t="shared" si="218"/>
        <v>18.384170386162086</v>
      </c>
      <c r="K191" s="168">
        <f t="shared" si="218"/>
        <v>34.132354946120863</v>
      </c>
      <c r="L191" s="168">
        <f t="shared" si="218"/>
        <v>15.861451451721321</v>
      </c>
      <c r="M191" s="168">
        <f t="shared" si="218"/>
        <v>35.435458350585968</v>
      </c>
      <c r="N191" s="168">
        <f t="shared" si="218"/>
        <v>29.481990630585809</v>
      </c>
      <c r="O191" s="168">
        <f t="shared" si="218"/>
        <v>3.8747614353316289</v>
      </c>
      <c r="P191" s="168">
        <f t="shared" si="218"/>
        <v>41.698524495604204</v>
      </c>
      <c r="Q191" s="168">
        <f t="shared" si="218"/>
        <v>39.748162137783993</v>
      </c>
      <c r="R191" s="168">
        <f t="shared" si="218"/>
        <v>44.03642291716902</v>
      </c>
      <c r="S191" s="168">
        <f t="shared" si="218"/>
        <v>25.789575675034175</v>
      </c>
      <c r="T191" s="168">
        <f t="shared" si="218"/>
        <v>8.654876911375716</v>
      </c>
      <c r="U191" s="168">
        <f t="shared" si="218"/>
        <v>18.248864496044234</v>
      </c>
      <c r="V191" s="168">
        <f t="shared" si="218"/>
        <v>26.209714958153487</v>
      </c>
      <c r="W191" s="168">
        <f t="shared" si="218"/>
        <v>27.866235345880948</v>
      </c>
      <c r="X191" s="168">
        <f t="shared" si="218"/>
        <v>21.008416449255925</v>
      </c>
      <c r="Y191" s="168">
        <f t="shared" si="218"/>
        <v>38.696371255299695</v>
      </c>
      <c r="Z191" s="168">
        <f t="shared" si="218"/>
        <v>53.409089222610632</v>
      </c>
      <c r="AA191" s="168">
        <f t="shared" si="218"/>
        <v>48.520120557629461</v>
      </c>
      <c r="AB191" s="168">
        <f t="shared" si="218"/>
        <v>52.226106666890011</v>
      </c>
      <c r="AC191" s="168">
        <f t="shared" si="218"/>
        <v>17.969870209581646</v>
      </c>
      <c r="AD191" s="168">
        <f t="shared" si="218"/>
        <v>39.540306948815235</v>
      </c>
      <c r="AE191" s="168">
        <f t="shared" si="218"/>
        <v>57.05988754455214</v>
      </c>
      <c r="AF191" s="168">
        <f t="shared" si="218"/>
        <v>50.774026420163906</v>
      </c>
      <c r="AG191" s="168">
        <f t="shared" si="218"/>
        <v>23.282416738174863</v>
      </c>
      <c r="AH191" s="168">
        <f t="shared" si="218"/>
        <v>21.795965744205823</v>
      </c>
      <c r="AI191" s="168">
        <f t="shared" si="218"/>
        <v>56.060458705790772</v>
      </c>
      <c r="AJ191" s="168">
        <f t="shared" si="218"/>
        <v>32.838312647848568</v>
      </c>
      <c r="AK191" s="168">
        <f t="shared" si="218"/>
        <v>54.660298733001845</v>
      </c>
      <c r="AL191" s="168">
        <f t="shared" si="218"/>
        <v>59.776843251366472</v>
      </c>
      <c r="AM191" s="168">
        <f t="shared" si="218"/>
        <v>35.219318814861388</v>
      </c>
      <c r="AN191" s="168">
        <f t="shared" si="218"/>
        <v>49.556236531013255</v>
      </c>
      <c r="AO191" s="168">
        <f t="shared" si="218"/>
        <v>22.666040656867963</v>
      </c>
      <c r="AP191" s="168">
        <f t="shared" si="218"/>
        <v>12.841568112548661</v>
      </c>
      <c r="AQ191" s="168">
        <f t="shared" si="218"/>
        <v>31.00824209316184</v>
      </c>
      <c r="AR191" s="168">
        <f t="shared" si="218"/>
        <v>32.135114744036656</v>
      </c>
      <c r="AS191" s="168">
        <f t="shared" si="218"/>
        <v>8.6647524509354792</v>
      </c>
      <c r="AT191" s="168">
        <f t="shared" si="218"/>
        <v>17.319603267937882</v>
      </c>
      <c r="AU191" s="168">
        <f t="shared" si="218"/>
        <v>14.013621846200026</v>
      </c>
      <c r="AV191" s="168">
        <f t="shared" si="218"/>
        <v>55.621693389561962</v>
      </c>
      <c r="AW191" s="168">
        <f t="shared" si="218"/>
        <v>59.947765625409659</v>
      </c>
      <c r="AX191" s="168">
        <f t="shared" si="218"/>
        <v>1.7530039864892788</v>
      </c>
      <c r="AY191" s="168">
        <f t="shared" si="218"/>
        <v>41.267507853178188</v>
      </c>
      <c r="AZ191" s="168">
        <f t="shared" si="218"/>
        <v>31.639088673062133</v>
      </c>
      <c r="BA191" s="168">
        <f t="shared" si="218"/>
        <v>22.463819438952893</v>
      </c>
      <c r="BB191" s="168">
        <f t="shared" si="218"/>
        <v>37.839154095010741</v>
      </c>
      <c r="BC191" s="168">
        <f t="shared" si="218"/>
        <v>29.827619124799387</v>
      </c>
      <c r="BD191" s="168">
        <f t="shared" si="218"/>
        <v>21.042272541801122</v>
      </c>
      <c r="BE191" s="168">
        <f t="shared" si="218"/>
        <v>16.625171937061253</v>
      </c>
      <c r="BF191" s="168">
        <f t="shared" si="218"/>
        <v>23.09204779297929</v>
      </c>
      <c r="BG191" s="168">
        <f t="shared" si="218"/>
        <v>35.604929118701357</v>
      </c>
      <c r="BH191" s="168">
        <f t="shared" si="218"/>
        <v>15.308105900631304</v>
      </c>
      <c r="BI191" s="168">
        <f t="shared" si="218"/>
        <v>16.702386503696616</v>
      </c>
      <c r="BJ191" s="168">
        <f t="shared" si="218"/>
        <v>32.835930993370809</v>
      </c>
      <c r="BK191" s="168">
        <f t="shared" si="218"/>
        <v>35.693604144209132</v>
      </c>
      <c r="BL191" s="168">
        <f t="shared" si="218"/>
        <v>36.108188237067644</v>
      </c>
      <c r="BM191" s="168">
        <f t="shared" si="218"/>
        <v>14.439193277018344</v>
      </c>
      <c r="BN191" s="168">
        <f t="shared" si="218"/>
        <v>5.4963480757166669</v>
      </c>
      <c r="BO191" s="168">
        <f t="shared" si="218"/>
        <v>14.190898601114586</v>
      </c>
      <c r="BP191" s="168">
        <f t="shared" si="218"/>
        <v>4.6522793688729163</v>
      </c>
      <c r="BQ191" s="168">
        <f t="shared" si="218"/>
        <v>2.1401824162955609</v>
      </c>
      <c r="BR191" s="168">
        <f t="shared" ref="BR191:DA191" si="219">(BR189^0.9)*((BR187/100)^0.5)*((1.64-0.29^BR142)^0.73)</f>
        <v>37.946702175053915</v>
      </c>
      <c r="BS191" s="168">
        <f t="shared" si="219"/>
        <v>17.270327880059831</v>
      </c>
      <c r="BT191" s="168">
        <f t="shared" si="219"/>
        <v>35.436681141267428</v>
      </c>
      <c r="BU191" s="168">
        <f t="shared" si="219"/>
        <v>37.82969670475417</v>
      </c>
      <c r="BV191" s="168">
        <f t="shared" si="219"/>
        <v>27.071491992202436</v>
      </c>
      <c r="BW191" s="168">
        <f t="shared" si="219"/>
        <v>15.258928076604279</v>
      </c>
      <c r="BX191" s="168">
        <f t="shared" si="219"/>
        <v>35.992641799177591</v>
      </c>
      <c r="BY191" s="168">
        <f t="shared" si="219"/>
        <v>29.579288306733282</v>
      </c>
      <c r="BZ191" s="168">
        <f t="shared" si="219"/>
        <v>10.857455422051068</v>
      </c>
      <c r="CA191" s="168">
        <f t="shared" si="219"/>
        <v>47.864164319599354</v>
      </c>
      <c r="CB191" s="168">
        <f t="shared" si="219"/>
        <v>2.7270586333251652</v>
      </c>
      <c r="CC191" s="168">
        <f t="shared" si="219"/>
        <v>30.214392068235789</v>
      </c>
      <c r="CD191" s="168">
        <f t="shared" si="219"/>
        <v>53.792787331337941</v>
      </c>
      <c r="CE191" s="168">
        <f t="shared" si="219"/>
        <v>36.950985738655817</v>
      </c>
      <c r="CF191" s="168">
        <f t="shared" si="219"/>
        <v>50.765948221925328</v>
      </c>
      <c r="CG191" s="168">
        <f t="shared" si="219"/>
        <v>29.621453910280074</v>
      </c>
      <c r="CH191" s="168">
        <f t="shared" si="219"/>
        <v>34.254183144542758</v>
      </c>
      <c r="CI191" s="168">
        <f t="shared" si="219"/>
        <v>45.893668760688598</v>
      </c>
      <c r="CJ191" s="168">
        <f t="shared" si="219"/>
        <v>12.48503155153692</v>
      </c>
      <c r="CK191" s="168">
        <f t="shared" si="219"/>
        <v>23.837495508258979</v>
      </c>
      <c r="CL191" s="168">
        <f t="shared" si="219"/>
        <v>11.588204128578246</v>
      </c>
      <c r="CM191" s="168">
        <f t="shared" si="219"/>
        <v>18.056120169556568</v>
      </c>
      <c r="CN191" s="168">
        <f t="shared" si="219"/>
        <v>37.602526251713179</v>
      </c>
      <c r="CO191" s="168">
        <f t="shared" si="219"/>
        <v>38.322328628653636</v>
      </c>
      <c r="CP191" s="168">
        <f t="shared" si="219"/>
        <v>36.357138160481036</v>
      </c>
      <c r="CQ191" s="168">
        <f t="shared" si="219"/>
        <v>30.283341781076157</v>
      </c>
      <c r="CR191" s="168">
        <f t="shared" si="219"/>
        <v>36.636071392189073</v>
      </c>
      <c r="CS191" s="168">
        <f t="shared" si="219"/>
        <v>2.6386341545601826</v>
      </c>
      <c r="CT191" s="168">
        <f t="shared" si="219"/>
        <v>20.685269504096524</v>
      </c>
      <c r="CU191" s="168">
        <f t="shared" si="219"/>
        <v>15.828630951632924</v>
      </c>
      <c r="CV191" s="168">
        <f t="shared" si="219"/>
        <v>26.897931110372475</v>
      </c>
      <c r="CW191" s="168">
        <f t="shared" si="219"/>
        <v>20.707141818196213</v>
      </c>
      <c r="CX191" s="168">
        <f t="shared" si="219"/>
        <v>19.006822035068549</v>
      </c>
      <c r="CY191" s="168">
        <f t="shared" si="219"/>
        <v>25.198651438313888</v>
      </c>
      <c r="CZ191" s="168">
        <f t="shared" si="219"/>
        <v>35.464876000304244</v>
      </c>
      <c r="DA191" s="168">
        <f t="shared" si="219"/>
        <v>38.949706108186049</v>
      </c>
    </row>
    <row r="192" spans="5:105">
      <c r="E192" s="172" t="s">
        <v>331</v>
      </c>
      <c r="F192" s="168">
        <f t="shared" ref="F192:BQ192" si="220">F191*F141^0.25</f>
        <v>6.1406336912731025E-3</v>
      </c>
      <c r="G192" s="168">
        <f t="shared" si="220"/>
        <v>15.028048356930233</v>
      </c>
      <c r="H192" s="168">
        <f t="shared" si="220"/>
        <v>32.889374689400597</v>
      </c>
      <c r="I192" s="168">
        <f t="shared" si="220"/>
        <v>11.136814245033476</v>
      </c>
      <c r="J192" s="168">
        <f t="shared" si="220"/>
        <v>17.352346195999591</v>
      </c>
      <c r="K192" s="168">
        <f t="shared" si="220"/>
        <v>32.216653080828678</v>
      </c>
      <c r="L192" s="168">
        <f t="shared" si="220"/>
        <v>14.971216594493653</v>
      </c>
      <c r="M192" s="168">
        <f t="shared" si="220"/>
        <v>33.446618911676524</v>
      </c>
      <c r="N192" s="168">
        <f t="shared" si="220"/>
        <v>27.827293656623901</v>
      </c>
      <c r="O192" s="168">
        <f t="shared" si="220"/>
        <v>3.6572877883786332</v>
      </c>
      <c r="P192" s="168">
        <f t="shared" si="220"/>
        <v>39.358166167494197</v>
      </c>
      <c r="Q192" s="168">
        <f t="shared" si="220"/>
        <v>37.517269236620635</v>
      </c>
      <c r="R192" s="168">
        <f t="shared" si="220"/>
        <v>41.564848434354033</v>
      </c>
      <c r="S192" s="168">
        <f t="shared" si="220"/>
        <v>24.342118026602218</v>
      </c>
      <c r="T192" s="168">
        <f t="shared" si="220"/>
        <v>8.169116000088783</v>
      </c>
      <c r="U192" s="168">
        <f t="shared" si="220"/>
        <v>17.22463444189998</v>
      </c>
      <c r="V192" s="168">
        <f t="shared" si="220"/>
        <v>24.738676703882156</v>
      </c>
      <c r="W192" s="168">
        <f t="shared" si="220"/>
        <v>26.302223747060921</v>
      </c>
      <c r="X192" s="168">
        <f t="shared" si="220"/>
        <v>19.829304646328641</v>
      </c>
      <c r="Y192" s="168">
        <f t="shared" si="220"/>
        <v>36.524510839842442</v>
      </c>
      <c r="Z192" s="168">
        <f t="shared" si="220"/>
        <v>50.411467405750322</v>
      </c>
      <c r="AA192" s="168">
        <f t="shared" si="220"/>
        <v>45.796895465098416</v>
      </c>
      <c r="AB192" s="168">
        <f t="shared" si="220"/>
        <v>49.294880558505703</v>
      </c>
      <c r="AC192" s="168">
        <f t="shared" si="220"/>
        <v>16.96129890139342</v>
      </c>
      <c r="AD192" s="168">
        <f t="shared" si="220"/>
        <v>37.321080062898901</v>
      </c>
      <c r="AE192" s="168">
        <f t="shared" si="220"/>
        <v>53.857362164307787</v>
      </c>
      <c r="AF192" s="168">
        <f t="shared" si="220"/>
        <v>47.92429931299408</v>
      </c>
      <c r="AG192" s="168">
        <f t="shared" si="220"/>
        <v>21.975675107126033</v>
      </c>
      <c r="AH192" s="168">
        <f t="shared" si="220"/>
        <v>20.572652196168171</v>
      </c>
      <c r="AI192" s="168">
        <f t="shared" si="220"/>
        <v>52.914026955583502</v>
      </c>
      <c r="AJ192" s="168">
        <f t="shared" si="220"/>
        <v>30.995239795364917</v>
      </c>
      <c r="AK192" s="168">
        <f t="shared" si="220"/>
        <v>51.592451922972693</v>
      </c>
      <c r="AL192" s="168">
        <f t="shared" si="220"/>
        <v>56.421826865925539</v>
      </c>
      <c r="AM192" s="168">
        <f t="shared" si="220"/>
        <v>33.242610355850765</v>
      </c>
      <c r="AN192" s="168">
        <f t="shared" si="220"/>
        <v>46.774858717815746</v>
      </c>
      <c r="AO192" s="168">
        <f t="shared" si="220"/>
        <v>21.3938935567428</v>
      </c>
      <c r="AP192" s="168">
        <f t="shared" si="220"/>
        <v>12.120826281950711</v>
      </c>
      <c r="AQ192" s="168">
        <f t="shared" si="220"/>
        <v>29.26788320755108</v>
      </c>
      <c r="AR192" s="168">
        <f t="shared" si="220"/>
        <v>30.331509356898671</v>
      </c>
      <c r="AS192" s="168">
        <f t="shared" si="220"/>
        <v>8.178437268207702</v>
      </c>
      <c r="AT192" s="168">
        <f t="shared" si="220"/>
        <v>16.347528638487798</v>
      </c>
      <c r="AU192" s="168">
        <f t="shared" si="220"/>
        <v>13.227097694771215</v>
      </c>
      <c r="AV192" s="168">
        <f t="shared" si="220"/>
        <v>52.499887644095701</v>
      </c>
      <c r="AW192" s="168">
        <f t="shared" si="220"/>
        <v>56.583156104326854</v>
      </c>
      <c r="AX192" s="168">
        <f t="shared" si="220"/>
        <v>1.654615433689941</v>
      </c>
      <c r="AY192" s="168">
        <f t="shared" si="220"/>
        <v>38.951340630169803</v>
      </c>
      <c r="AZ192" s="168">
        <f t="shared" si="220"/>
        <v>29.863323089855037</v>
      </c>
      <c r="BA192" s="168">
        <f t="shared" si="220"/>
        <v>21.203022143579645</v>
      </c>
      <c r="BB192" s="168">
        <f t="shared" si="220"/>
        <v>35.715405581457659</v>
      </c>
      <c r="BC192" s="168">
        <f t="shared" si="220"/>
        <v>28.153523514203464</v>
      </c>
      <c r="BD192" s="168">
        <f t="shared" si="220"/>
        <v>19.861260542425548</v>
      </c>
      <c r="BE192" s="168">
        <f t="shared" si="220"/>
        <v>15.692072743029488</v>
      </c>
      <c r="BF192" s="168">
        <f t="shared" si="220"/>
        <v>21.795990749735214</v>
      </c>
      <c r="BG192" s="168">
        <f t="shared" si="220"/>
        <v>33.606578016529774</v>
      </c>
      <c r="BH192" s="168">
        <f t="shared" si="220"/>
        <v>14.448927942526115</v>
      </c>
      <c r="BI192" s="168">
        <f t="shared" si="220"/>
        <v>15.764953589077313</v>
      </c>
      <c r="BJ192" s="168">
        <f t="shared" si="220"/>
        <v>30.992991812880572</v>
      </c>
      <c r="BK192" s="168">
        <f t="shared" si="220"/>
        <v>33.690276095324144</v>
      </c>
      <c r="BL192" s="168">
        <f t="shared" si="220"/>
        <v>34.081591371212269</v>
      </c>
      <c r="BM192" s="168">
        <f t="shared" si="220"/>
        <v>13.628783636729457</v>
      </c>
      <c r="BN192" s="168">
        <f t="shared" si="220"/>
        <v>5.1878617647789511</v>
      </c>
      <c r="BO192" s="168">
        <f t="shared" si="220"/>
        <v>13.394424670052965</v>
      </c>
      <c r="BP192" s="168">
        <f t="shared" si="220"/>
        <v>4.3911669938586897</v>
      </c>
      <c r="BQ192" s="168">
        <f t="shared" si="220"/>
        <v>2.0200632081883305</v>
      </c>
      <c r="BR192" s="168">
        <f t="shared" ref="BR192:CW192" si="221">BR191*BR141^0.25</f>
        <v>35.816917451638588</v>
      </c>
      <c r="BS192" s="168">
        <f t="shared" si="221"/>
        <v>16.301018865599396</v>
      </c>
      <c r="BT192" s="168">
        <f t="shared" si="221"/>
        <v>33.447773072391108</v>
      </c>
      <c r="BU192" s="168">
        <f t="shared" si="221"/>
        <v>35.706478993725078</v>
      </c>
      <c r="BV192" s="168">
        <f t="shared" si="221"/>
        <v>25.552085909980189</v>
      </c>
      <c r="BW192" s="168">
        <f t="shared" si="221"/>
        <v>14.402510257650587</v>
      </c>
      <c r="BX192" s="168">
        <f t="shared" si="221"/>
        <v>33.972530056512312</v>
      </c>
      <c r="BY192" s="168">
        <f t="shared" si="221"/>
        <v>27.919130433868308</v>
      </c>
      <c r="BZ192" s="168">
        <f t="shared" si="221"/>
        <v>10.248073279002838</v>
      </c>
      <c r="CA192" s="168">
        <f t="shared" si="221"/>
        <v>45.177755221473852</v>
      </c>
      <c r="CB192" s="168">
        <f t="shared" si="221"/>
        <v>2.574000594438929</v>
      </c>
      <c r="CC192" s="168">
        <f t="shared" si="221"/>
        <v>28.51858856053299</v>
      </c>
      <c r="CD192" s="168">
        <f t="shared" si="221"/>
        <v>50.773630194580768</v>
      </c>
      <c r="CE192" s="168">
        <f t="shared" si="221"/>
        <v>34.877086284145051</v>
      </c>
      <c r="CF192" s="168">
        <f t="shared" si="221"/>
        <v>47.916674509180183</v>
      </c>
      <c r="CG192" s="168">
        <f t="shared" si="221"/>
        <v>27.95892946395443</v>
      </c>
      <c r="CH192" s="168">
        <f t="shared" si="221"/>
        <v>32.331643587935972</v>
      </c>
      <c r="CI192" s="168">
        <f t="shared" si="221"/>
        <v>43.317855079249526</v>
      </c>
      <c r="CJ192" s="168">
        <f t="shared" si="221"/>
        <v>11.784300580314284</v>
      </c>
      <c r="CK192" s="168">
        <f t="shared" si="221"/>
        <v>22.499599699981161</v>
      </c>
      <c r="CL192" s="168">
        <f t="shared" si="221"/>
        <v>10.937808212458579</v>
      </c>
      <c r="CM192" s="168">
        <f t="shared" si="221"/>
        <v>17.042708023123627</v>
      </c>
      <c r="CN192" s="168">
        <f t="shared" si="221"/>
        <v>35.492058638393928</v>
      </c>
      <c r="CO192" s="168">
        <f t="shared" si="221"/>
        <v>36.171461612529534</v>
      </c>
      <c r="CP192" s="168">
        <f t="shared" si="221"/>
        <v>34.316568809181859</v>
      </c>
      <c r="CQ192" s="168">
        <f t="shared" si="221"/>
        <v>28.583668423381813</v>
      </c>
      <c r="CR192" s="168">
        <f t="shared" si="221"/>
        <v>34.579846721673903</v>
      </c>
      <c r="CS192" s="168">
        <f t="shared" si="221"/>
        <v>2.4905390002793295</v>
      </c>
      <c r="CT192" s="168">
        <f t="shared" si="221"/>
        <v>19.52429454542105</v>
      </c>
      <c r="CU192" s="168">
        <f t="shared" si="221"/>
        <v>14.940238167515608</v>
      </c>
      <c r="CV192" s="168">
        <f t="shared" si="221"/>
        <v>25.388266251853903</v>
      </c>
      <c r="CW192" s="168">
        <f t="shared" si="221"/>
        <v>19.544939260868812</v>
      </c>
      <c r="CX192" s="168">
        <f>CX191*CX141^0.25</f>
        <v>17.940051093440463</v>
      </c>
      <c r="CY192" s="168">
        <f>CY191*CY141^0.25</f>
        <v>23.784359818546477</v>
      </c>
      <c r="CZ192" s="168">
        <f>CZ191*CZ141^0.25</f>
        <v>33.47438547559873</v>
      </c>
      <c r="DA192" s="168">
        <f>DA191*DA141^0.25</f>
        <v>36.763627100106518</v>
      </c>
    </row>
    <row r="193" spans="5:105">
      <c r="E193" s="168"/>
      <c r="F193" s="168"/>
      <c r="G193" s="168"/>
      <c r="H193" s="168"/>
      <c r="I193" s="168"/>
      <c r="J193" s="168"/>
      <c r="K193" s="168"/>
      <c r="L193" s="168"/>
      <c r="M193" s="168"/>
      <c r="N193" s="168"/>
      <c r="O193" s="168"/>
      <c r="P193" s="168"/>
      <c r="Q193" s="168"/>
      <c r="R193" s="168"/>
      <c r="S193" s="168"/>
      <c r="T193" s="168"/>
      <c r="U193" s="168"/>
      <c r="V193" s="168"/>
      <c r="W193" s="168"/>
      <c r="X193" s="168"/>
      <c r="Y193" s="168"/>
      <c r="Z193" s="168"/>
      <c r="AA193" s="168"/>
      <c r="AB193" s="168"/>
      <c r="AC193" s="168"/>
      <c r="AD193" s="168"/>
      <c r="AE193" s="168"/>
      <c r="AF193" s="168"/>
      <c r="AG193" s="168"/>
      <c r="AH193" s="168"/>
      <c r="AI193" s="168"/>
      <c r="AJ193" s="168"/>
      <c r="AK193" s="168"/>
      <c r="AL193" s="168"/>
      <c r="AM193" s="168"/>
      <c r="AN193" s="168"/>
      <c r="AO193" s="168"/>
      <c r="AP193" s="168"/>
      <c r="AQ193" s="168"/>
      <c r="AR193" s="168"/>
      <c r="AS193" s="168"/>
      <c r="AT193" s="168"/>
      <c r="AU193" s="168"/>
      <c r="AV193" s="168"/>
      <c r="AW193" s="168"/>
      <c r="AX193" s="168"/>
      <c r="AY193" s="168"/>
      <c r="AZ193" s="168"/>
      <c r="BA193" s="168"/>
      <c r="BB193" s="168"/>
      <c r="BC193" s="168"/>
      <c r="BD193" s="168"/>
      <c r="BE193" s="168"/>
      <c r="BF193" s="168"/>
      <c r="BG193" s="168"/>
      <c r="BH193" s="168"/>
      <c r="BI193" s="168"/>
      <c r="BJ193" s="168"/>
      <c r="BK193" s="168"/>
      <c r="BL193" s="168"/>
      <c r="BM193" s="168"/>
      <c r="BN193" s="168"/>
      <c r="BO193" s="168"/>
      <c r="BP193" s="168"/>
      <c r="BQ193" s="168"/>
      <c r="BR193" s="168"/>
      <c r="BS193" s="168"/>
      <c r="BT193" s="168"/>
      <c r="BU193" s="168"/>
      <c r="BV193" s="168"/>
      <c r="BW193" s="168"/>
      <c r="BX193" s="168"/>
      <c r="BY193" s="168"/>
      <c r="BZ193" s="168"/>
      <c r="CA193" s="168"/>
      <c r="CB193" s="168"/>
      <c r="CC193" s="168"/>
      <c r="CD193" s="168"/>
      <c r="CE193" s="168"/>
      <c r="CF193" s="168"/>
      <c r="CG193" s="168"/>
      <c r="CH193" s="168"/>
      <c r="CI193" s="168"/>
      <c r="CJ193" s="168"/>
      <c r="CK193" s="168"/>
      <c r="CL193" s="168"/>
      <c r="CM193" s="168"/>
      <c r="CN193" s="168"/>
      <c r="CO193" s="168"/>
      <c r="CP193" s="168"/>
      <c r="CQ193" s="168"/>
      <c r="CR193" s="168"/>
      <c r="CS193" s="168"/>
      <c r="CT193" s="168"/>
      <c r="CU193" s="168"/>
      <c r="CV193" s="168"/>
      <c r="CW193" s="168"/>
      <c r="CX193" s="168"/>
      <c r="CY193" s="168"/>
      <c r="CZ193" s="168"/>
      <c r="DA193" s="168"/>
    </row>
    <row r="194" spans="5:105">
      <c r="E194" s="172" t="s">
        <v>332</v>
      </c>
      <c r="F194" s="168">
        <f>F191*COS(PI()*F178/180)</f>
        <v>6.4659837240329176E-3</v>
      </c>
      <c r="G194" s="168">
        <f t="shared" ref="G194:BR194" si="222">G191*COS(PI()*G178/180)</f>
        <v>15.915955849939715</v>
      </c>
      <c r="H194" s="168">
        <f t="shared" si="222"/>
        <v>34.75516756863783</v>
      </c>
      <c r="I194" s="168">
        <f t="shared" si="222"/>
        <v>11.656263465083542</v>
      </c>
      <c r="J194" s="168">
        <f t="shared" si="222"/>
        <v>16.764543745218443</v>
      </c>
      <c r="K194" s="168">
        <f t="shared" si="222"/>
        <v>33.232987065926565</v>
      </c>
      <c r="L194" s="168">
        <f t="shared" si="222"/>
        <v>13.640892764253895</v>
      </c>
      <c r="M194" s="168">
        <f t="shared" si="222"/>
        <v>33.3604473079792</v>
      </c>
      <c r="N194" s="168">
        <f t="shared" si="222"/>
        <v>27.689606895052425</v>
      </c>
      <c r="O194" s="168">
        <f t="shared" si="222"/>
        <v>3.8335344316421085</v>
      </c>
      <c r="P194" s="168">
        <f t="shared" si="222"/>
        <v>29.85275430715161</v>
      </c>
      <c r="Q194" s="168">
        <f t="shared" si="222"/>
        <v>25.476961034588609</v>
      </c>
      <c r="R194" s="168">
        <f t="shared" si="222"/>
        <v>28.735551769419516</v>
      </c>
      <c r="S194" s="168">
        <f t="shared" si="222"/>
        <v>17.33622441661959</v>
      </c>
      <c r="T194" s="168">
        <f t="shared" si="222"/>
        <v>4.3277886584566581</v>
      </c>
      <c r="U194" s="168">
        <f t="shared" si="222"/>
        <v>9.7715176462977809</v>
      </c>
      <c r="V194" s="168">
        <f t="shared" si="222"/>
        <v>10.801494424253463</v>
      </c>
      <c r="W194" s="168">
        <f t="shared" si="222"/>
        <v>7.8348573852784629</v>
      </c>
      <c r="X194" s="168">
        <f t="shared" si="222"/>
        <v>7.6769706463930278</v>
      </c>
      <c r="Y194" s="168">
        <f t="shared" si="222"/>
        <v>7.1730427121104396</v>
      </c>
      <c r="Z194" s="168">
        <f t="shared" si="222"/>
        <v>15.151442729619671</v>
      </c>
      <c r="AA194" s="168">
        <f t="shared" si="222"/>
        <v>4.8723338683537118</v>
      </c>
      <c r="AB194" s="168">
        <f t="shared" si="222"/>
        <v>6.8754274504038673</v>
      </c>
      <c r="AC194" s="168">
        <f t="shared" si="222"/>
        <v>-0.30677579981251013</v>
      </c>
      <c r="AD194" s="168">
        <f t="shared" si="222"/>
        <v>-1.7169697688409642</v>
      </c>
      <c r="AE194" s="168">
        <f t="shared" si="222"/>
        <v>-3.5415258657737474</v>
      </c>
      <c r="AF194" s="168">
        <f t="shared" si="222"/>
        <v>-2.6301297677357747</v>
      </c>
      <c r="AG194" s="168">
        <f t="shared" si="222"/>
        <v>-2.8120973609184401</v>
      </c>
      <c r="AH194" s="168">
        <f t="shared" si="222"/>
        <v>-3.574227742021939</v>
      </c>
      <c r="AI194" s="168">
        <f t="shared" si="222"/>
        <v>-8.673000127202501</v>
      </c>
      <c r="AJ194" s="168">
        <f t="shared" si="222"/>
        <v>-4.0260104160905383</v>
      </c>
      <c r="AK194" s="168">
        <f t="shared" si="222"/>
        <v>-9.2275297492918966</v>
      </c>
      <c r="AL194" s="168">
        <f t="shared" si="222"/>
        <v>-13.333110979728909</v>
      </c>
      <c r="AM194" s="168">
        <f t="shared" si="222"/>
        <v>-5.9036605116161356</v>
      </c>
      <c r="AN194" s="168">
        <f t="shared" si="222"/>
        <v>-12.649037796614502</v>
      </c>
      <c r="AO194" s="168">
        <f t="shared" si="222"/>
        <v>-6.6329398788202978</v>
      </c>
      <c r="AP194" s="168">
        <f t="shared" si="222"/>
        <v>-1.9754093539873947</v>
      </c>
      <c r="AQ194" s="168">
        <f t="shared" si="222"/>
        <v>-11.879847201180835</v>
      </c>
      <c r="AR194" s="168">
        <f t="shared" si="222"/>
        <v>-7.682168852969073</v>
      </c>
      <c r="AS194" s="168">
        <f t="shared" si="222"/>
        <v>-1.9658118746212456</v>
      </c>
      <c r="AT194" s="168">
        <f t="shared" si="222"/>
        <v>-4.5824622054364088</v>
      </c>
      <c r="AU194" s="168">
        <f t="shared" si="222"/>
        <v>-4.670773039007905</v>
      </c>
      <c r="AV194" s="168">
        <f t="shared" si="222"/>
        <v>-27.289899974296617</v>
      </c>
      <c r="AW194" s="168">
        <f t="shared" si="222"/>
        <v>-27.155853249844196</v>
      </c>
      <c r="AX194" s="168">
        <f t="shared" si="222"/>
        <v>-0.83694614154865654</v>
      </c>
      <c r="AY194" s="168">
        <f t="shared" si="222"/>
        <v>-23.649400552711917</v>
      </c>
      <c r="AZ194" s="168">
        <f t="shared" si="222"/>
        <v>-16.682159355467494</v>
      </c>
      <c r="BA194" s="168">
        <f t="shared" si="222"/>
        <v>-11.105887461306557</v>
      </c>
      <c r="BB194" s="168">
        <f t="shared" si="222"/>
        <v>-22.842185042095604</v>
      </c>
      <c r="BC194" s="168">
        <f t="shared" si="222"/>
        <v>-19.253337880235541</v>
      </c>
      <c r="BD194" s="168">
        <f t="shared" si="222"/>
        <v>-17.669002919593684</v>
      </c>
      <c r="BE194" s="168">
        <f t="shared" si="222"/>
        <v>-14.059729547279378</v>
      </c>
      <c r="BF194" s="168">
        <f t="shared" si="222"/>
        <v>-20.482977868383482</v>
      </c>
      <c r="BG194" s="168">
        <f t="shared" si="222"/>
        <v>-34.605129867881402</v>
      </c>
      <c r="BH194" s="168">
        <f t="shared" si="222"/>
        <v>-15.038739775739296</v>
      </c>
      <c r="BI194" s="168">
        <f t="shared" si="222"/>
        <v>-16.694896497058256</v>
      </c>
      <c r="BJ194" s="168">
        <f t="shared" si="222"/>
        <v>-32.7927398820894</v>
      </c>
      <c r="BK194" s="168">
        <f t="shared" si="222"/>
        <v>-35.652401885885489</v>
      </c>
      <c r="BL194" s="168">
        <f t="shared" si="222"/>
        <v>-35.611863989331574</v>
      </c>
      <c r="BM194" s="168">
        <f t="shared" si="222"/>
        <v>-13.807027401906982</v>
      </c>
      <c r="BN194" s="168">
        <f t="shared" si="222"/>
        <v>-5.0234804449288006</v>
      </c>
      <c r="BO194" s="168">
        <f t="shared" si="222"/>
        <v>-11.600900955472804</v>
      </c>
      <c r="BP194" s="168">
        <f t="shared" si="222"/>
        <v>-4.6402065422611365</v>
      </c>
      <c r="BQ194" s="168">
        <f t="shared" si="222"/>
        <v>2.1031136586021284</v>
      </c>
      <c r="BR194" s="168">
        <f t="shared" si="222"/>
        <v>-29.145367998540703</v>
      </c>
      <c r="BS194" s="168">
        <f t="shared" ref="BS194:DA194" si="223">BS191*COS(PI()*BS178/180)</f>
        <v>-12.99476681325986</v>
      </c>
      <c r="BT194" s="168">
        <f t="shared" si="223"/>
        <v>-22.559398069837105</v>
      </c>
      <c r="BU194" s="168">
        <f t="shared" si="223"/>
        <v>-22.902490991274906</v>
      </c>
      <c r="BV194" s="168">
        <f t="shared" si="223"/>
        <v>-11.929832230152968</v>
      </c>
      <c r="BW194" s="168">
        <f t="shared" si="223"/>
        <v>-1.5778814940755519</v>
      </c>
      <c r="BX194" s="168">
        <f t="shared" si="223"/>
        <v>-11.886324207987185</v>
      </c>
      <c r="BY194" s="168">
        <f t="shared" si="223"/>
        <v>-7.7354421323111229</v>
      </c>
      <c r="BZ194" s="168">
        <f t="shared" si="223"/>
        <v>-3.0207908971576516</v>
      </c>
      <c r="CA194" s="168">
        <f t="shared" si="223"/>
        <v>-15.727374389402971</v>
      </c>
      <c r="CB194" s="168">
        <f t="shared" si="223"/>
        <v>-1.2502591375700012</v>
      </c>
      <c r="CC194" s="168">
        <f t="shared" si="223"/>
        <v>-4.8576953631372213</v>
      </c>
      <c r="CD194" s="168">
        <f t="shared" si="223"/>
        <v>-5.6140242686705113</v>
      </c>
      <c r="CE194" s="168">
        <f t="shared" si="223"/>
        <v>-5.3716147925230233</v>
      </c>
      <c r="CF194" s="168">
        <f t="shared" si="223"/>
        <v>-4.7181485219810746</v>
      </c>
      <c r="CG194" s="168">
        <f t="shared" si="223"/>
        <v>8.0994178619000531E-2</v>
      </c>
      <c r="CH194" s="168">
        <f t="shared" si="223"/>
        <v>5.4065545761371432</v>
      </c>
      <c r="CI194" s="168">
        <f t="shared" si="223"/>
        <v>6.6298485871506481</v>
      </c>
      <c r="CJ194" s="168">
        <f t="shared" si="223"/>
        <v>2.7602607610279444</v>
      </c>
      <c r="CK194" s="168">
        <f t="shared" si="223"/>
        <v>5.9564093629415433</v>
      </c>
      <c r="CL194" s="168">
        <f t="shared" si="223"/>
        <v>6.7991016764016141</v>
      </c>
      <c r="CM194" s="168">
        <f t="shared" si="223"/>
        <v>6.4829813595648256</v>
      </c>
      <c r="CN194" s="168">
        <f t="shared" si="223"/>
        <v>10.545746846743858</v>
      </c>
      <c r="CO194" s="168">
        <f t="shared" si="223"/>
        <v>19.688782414094458</v>
      </c>
      <c r="CP194" s="168">
        <f t="shared" si="223"/>
        <v>22.782241400351179</v>
      </c>
      <c r="CQ194" s="168">
        <f t="shared" si="223"/>
        <v>18.573430779718169</v>
      </c>
      <c r="CR194" s="168">
        <f t="shared" si="223"/>
        <v>24.897865982807645</v>
      </c>
      <c r="CS194" s="168">
        <f t="shared" si="223"/>
        <v>2.612246113382477</v>
      </c>
      <c r="CT194" s="168">
        <f t="shared" si="223"/>
        <v>14.79885964221925</v>
      </c>
      <c r="CU194" s="168">
        <f t="shared" si="223"/>
        <v>12.557362053451275</v>
      </c>
      <c r="CV194" s="168">
        <f t="shared" si="223"/>
        <v>21.546346161033775</v>
      </c>
      <c r="CW194" s="168">
        <f t="shared" si="223"/>
        <v>18.248202746505495</v>
      </c>
      <c r="CX194" s="168">
        <f t="shared" si="223"/>
        <v>17.187918363983993</v>
      </c>
      <c r="CY194" s="168">
        <f t="shared" si="223"/>
        <v>24.784792079684106</v>
      </c>
      <c r="CZ194" s="168">
        <f t="shared" si="223"/>
        <v>35.222158941166029</v>
      </c>
      <c r="DA194" s="168">
        <f t="shared" si="223"/>
        <v>38.219391113399141</v>
      </c>
    </row>
    <row r="195" spans="5:105">
      <c r="E195" s="172" t="s">
        <v>333</v>
      </c>
      <c r="F195" s="168">
        <f>F191*SIN(PI()*F178/180)</f>
        <v>7.1844263609764278E-4</v>
      </c>
      <c r="G195" s="168">
        <f t="shared" ref="G195:BR195" si="224">G191*SIN(PI()*G178/180)</f>
        <v>0.42625056077165852</v>
      </c>
      <c r="H195" s="168">
        <f t="shared" si="224"/>
        <v>2.5015663682434028</v>
      </c>
      <c r="I195" s="168">
        <f t="shared" si="224"/>
        <v>1.8300146693175752</v>
      </c>
      <c r="J195" s="168">
        <f t="shared" si="224"/>
        <v>7.5450509476143495</v>
      </c>
      <c r="K195" s="168">
        <f t="shared" si="224"/>
        <v>7.7837153624691933</v>
      </c>
      <c r="L195" s="168">
        <f t="shared" si="224"/>
        <v>8.0939290057078033</v>
      </c>
      <c r="M195" s="168">
        <f t="shared" si="224"/>
        <v>11.947897887396602</v>
      </c>
      <c r="N195" s="168">
        <f t="shared" si="224"/>
        <v>10.122916651806168</v>
      </c>
      <c r="O195" s="168">
        <f t="shared" si="224"/>
        <v>0.56372860682037429</v>
      </c>
      <c r="P195" s="168">
        <f t="shared" si="224"/>
        <v>29.113227326892925</v>
      </c>
      <c r="Q195" s="168">
        <f t="shared" si="224"/>
        <v>30.509684524321433</v>
      </c>
      <c r="R195" s="168">
        <f t="shared" si="224"/>
        <v>33.368766951249185</v>
      </c>
      <c r="S195" s="168">
        <f t="shared" si="224"/>
        <v>19.093389863377251</v>
      </c>
      <c r="T195" s="168">
        <f t="shared" si="224"/>
        <v>7.4951410713073559</v>
      </c>
      <c r="U195" s="168">
        <f t="shared" si="224"/>
        <v>15.412284006047738</v>
      </c>
      <c r="V195" s="168">
        <f t="shared" si="224"/>
        <v>23.880470606553715</v>
      </c>
      <c r="W195" s="168">
        <f t="shared" si="224"/>
        <v>26.742140566984766</v>
      </c>
      <c r="X195" s="168">
        <f t="shared" si="224"/>
        <v>19.555502637359815</v>
      </c>
      <c r="Y195" s="168">
        <f t="shared" si="224"/>
        <v>38.02573610830202</v>
      </c>
      <c r="Z195" s="168">
        <f t="shared" si="224"/>
        <v>51.21488645696521</v>
      </c>
      <c r="AA195" s="168">
        <f t="shared" si="224"/>
        <v>48.274863662181282</v>
      </c>
      <c r="AB195" s="168">
        <f t="shared" si="224"/>
        <v>51.771562801943752</v>
      </c>
      <c r="AC195" s="168">
        <f t="shared" si="224"/>
        <v>17.967251430251075</v>
      </c>
      <c r="AD195" s="168">
        <f t="shared" si="224"/>
        <v>39.503011131044339</v>
      </c>
      <c r="AE195" s="168">
        <f t="shared" si="224"/>
        <v>56.949875865878688</v>
      </c>
      <c r="AF195" s="168">
        <f t="shared" si="224"/>
        <v>50.705859388441219</v>
      </c>
      <c r="AG195" s="168">
        <f t="shared" si="224"/>
        <v>23.11196741090556</v>
      </c>
      <c r="AH195" s="168">
        <f t="shared" si="224"/>
        <v>21.500907394125356</v>
      </c>
      <c r="AI195" s="168">
        <f t="shared" si="224"/>
        <v>55.38550441313339</v>
      </c>
      <c r="AJ195" s="168">
        <f t="shared" si="224"/>
        <v>32.590581732877702</v>
      </c>
      <c r="AK195" s="168">
        <f t="shared" si="224"/>
        <v>53.875791894940491</v>
      </c>
      <c r="AL195" s="168">
        <f t="shared" si="224"/>
        <v>58.270911617209748</v>
      </c>
      <c r="AM195" s="168">
        <f t="shared" si="224"/>
        <v>34.720990918267781</v>
      </c>
      <c r="AN195" s="168">
        <f t="shared" si="224"/>
        <v>47.914741175733703</v>
      </c>
      <c r="AO195" s="168">
        <f t="shared" si="224"/>
        <v>21.673797720352262</v>
      </c>
      <c r="AP195" s="168">
        <f t="shared" si="224"/>
        <v>12.688720560931495</v>
      </c>
      <c r="AQ195" s="168">
        <f t="shared" si="224"/>
        <v>28.642281825733257</v>
      </c>
      <c r="AR195" s="168">
        <f t="shared" si="224"/>
        <v>31.203363301523666</v>
      </c>
      <c r="AS195" s="168">
        <f t="shared" si="224"/>
        <v>8.4388102662395781</v>
      </c>
      <c r="AT195" s="168">
        <f t="shared" si="224"/>
        <v>16.702385982083861</v>
      </c>
      <c r="AU195" s="168">
        <f t="shared" si="224"/>
        <v>13.212322901987049</v>
      </c>
      <c r="AV195" s="168">
        <f t="shared" si="224"/>
        <v>48.466835412633728</v>
      </c>
      <c r="AW195" s="168">
        <f t="shared" si="224"/>
        <v>53.444309685428379</v>
      </c>
      <c r="AX195" s="168">
        <f t="shared" si="224"/>
        <v>1.5403065061195189</v>
      </c>
      <c r="AY195" s="168">
        <f t="shared" si="224"/>
        <v>33.818826974179821</v>
      </c>
      <c r="AZ195" s="168">
        <f t="shared" si="224"/>
        <v>26.883777474541724</v>
      </c>
      <c r="BA195" s="168">
        <f t="shared" si="224"/>
        <v>19.526455066976997</v>
      </c>
      <c r="BB195" s="168">
        <f t="shared" si="224"/>
        <v>30.16680568321134</v>
      </c>
      <c r="BC195" s="168">
        <f t="shared" si="224"/>
        <v>22.781480266294928</v>
      </c>
      <c r="BD195" s="168">
        <f t="shared" si="224"/>
        <v>11.427316813269305</v>
      </c>
      <c r="BE195" s="168">
        <f t="shared" si="224"/>
        <v>8.8724487597397967</v>
      </c>
      <c r="BF195" s="168">
        <f t="shared" si="224"/>
        <v>10.662564837624773</v>
      </c>
      <c r="BG195" s="168">
        <f t="shared" si="224"/>
        <v>8.3783031918647097</v>
      </c>
      <c r="BH195" s="168">
        <f t="shared" si="224"/>
        <v>2.8590929020477365</v>
      </c>
      <c r="BI195" s="168">
        <f t="shared" si="224"/>
        <v>0.50014585010660084</v>
      </c>
      <c r="BJ195" s="168">
        <f t="shared" si="224"/>
        <v>-1.68361968004453</v>
      </c>
      <c r="BK195" s="168">
        <f t="shared" si="224"/>
        <v>-1.714531006080702</v>
      </c>
      <c r="BL195" s="168">
        <f t="shared" si="224"/>
        <v>-5.9662719489526488</v>
      </c>
      <c r="BM195" s="168">
        <f t="shared" si="224"/>
        <v>-4.2256711672918223</v>
      </c>
      <c r="BN195" s="168">
        <f t="shared" si="224"/>
        <v>-2.2303556642052063</v>
      </c>
      <c r="BO195" s="168">
        <f t="shared" si="224"/>
        <v>-8.1731695276940233</v>
      </c>
      <c r="BP195" s="168">
        <f t="shared" si="224"/>
        <v>-0.33494263866747065</v>
      </c>
      <c r="BQ195" s="168">
        <f t="shared" si="224"/>
        <v>0.3966027156007324</v>
      </c>
      <c r="BR195" s="168">
        <f t="shared" si="224"/>
        <v>-24.300200208884721</v>
      </c>
      <c r="BS195" s="168">
        <f t="shared" ref="BS195:DA195" si="225">BS191*SIN(PI()*BS178/180)</f>
        <v>-11.375423532940307</v>
      </c>
      <c r="BT195" s="168">
        <f t="shared" si="225"/>
        <v>-27.328225866940002</v>
      </c>
      <c r="BU195" s="168">
        <f t="shared" si="225"/>
        <v>-30.109165700302295</v>
      </c>
      <c r="BV195" s="168">
        <f t="shared" si="225"/>
        <v>-24.301127168184692</v>
      </c>
      <c r="BW195" s="168">
        <f t="shared" si="225"/>
        <v>-15.17712673853771</v>
      </c>
      <c r="BX195" s="168">
        <f t="shared" si="225"/>
        <v>-33.973306587768633</v>
      </c>
      <c r="BY195" s="168">
        <f t="shared" si="225"/>
        <v>-28.549907736287246</v>
      </c>
      <c r="BZ195" s="168">
        <f t="shared" si="225"/>
        <v>-10.428766015089014</v>
      </c>
      <c r="CA195" s="168">
        <f t="shared" si="225"/>
        <v>-45.206503081184671</v>
      </c>
      <c r="CB195" s="168">
        <f t="shared" si="225"/>
        <v>-2.4235719255916535</v>
      </c>
      <c r="CC195" s="168">
        <f t="shared" si="225"/>
        <v>-29.82133940338738</v>
      </c>
      <c r="CD195" s="168">
        <f t="shared" si="225"/>
        <v>-53.499034574329755</v>
      </c>
      <c r="CE195" s="168">
        <f t="shared" si="225"/>
        <v>-36.558461422481848</v>
      </c>
      <c r="CF195" s="168">
        <f t="shared" si="225"/>
        <v>-50.546222147611893</v>
      </c>
      <c r="CG195" s="168">
        <f t="shared" si="225"/>
        <v>-29.621343178557527</v>
      </c>
      <c r="CH195" s="168">
        <f t="shared" si="225"/>
        <v>-33.824816784649812</v>
      </c>
      <c r="CI195" s="168">
        <f t="shared" si="225"/>
        <v>-45.412266404874146</v>
      </c>
      <c r="CJ195" s="168">
        <f t="shared" si="225"/>
        <v>-12.176082020666657</v>
      </c>
      <c r="CK195" s="168">
        <f t="shared" si="225"/>
        <v>-23.081321010880838</v>
      </c>
      <c r="CL195" s="168">
        <f t="shared" si="225"/>
        <v>-9.3839592560683407</v>
      </c>
      <c r="CM195" s="168">
        <f t="shared" si="225"/>
        <v>-16.852134234838108</v>
      </c>
      <c r="CN195" s="168">
        <f t="shared" si="225"/>
        <v>-36.093450984287593</v>
      </c>
      <c r="CO195" s="168">
        <f t="shared" si="225"/>
        <v>-32.87784540648871</v>
      </c>
      <c r="CP195" s="168">
        <f t="shared" si="225"/>
        <v>-28.333919107607251</v>
      </c>
      <c r="CQ195" s="168">
        <f t="shared" si="225"/>
        <v>-23.91878881759046</v>
      </c>
      <c r="CR195" s="168">
        <f t="shared" si="225"/>
        <v>-26.875602254753744</v>
      </c>
      <c r="CS195" s="168">
        <f t="shared" si="225"/>
        <v>0.37223708134691968</v>
      </c>
      <c r="CT195" s="168">
        <f t="shared" si="225"/>
        <v>-14.452478256236887</v>
      </c>
      <c r="CU195" s="168">
        <f t="shared" si="225"/>
        <v>-9.6362968022749147</v>
      </c>
      <c r="CV195" s="168">
        <f t="shared" si="225"/>
        <v>-16.101356002748609</v>
      </c>
      <c r="CW195" s="168">
        <f t="shared" si="225"/>
        <v>-9.7871762424776847</v>
      </c>
      <c r="CX195" s="168">
        <f t="shared" si="225"/>
        <v>-8.1138613610160402</v>
      </c>
      <c r="CY195" s="168">
        <f t="shared" si="225"/>
        <v>-4.5481991905001884</v>
      </c>
      <c r="CZ195" s="168">
        <f t="shared" si="225"/>
        <v>-4.1420947888953368</v>
      </c>
      <c r="DA195" s="168">
        <f t="shared" si="225"/>
        <v>-7.5071798190194148</v>
      </c>
    </row>
    <row r="196" spans="5:105">
      <c r="E196" s="172" t="s">
        <v>252</v>
      </c>
      <c r="F196" s="168">
        <f>F192*COS(PI()*F178/180)</f>
        <v>6.1030759463354244E-3</v>
      </c>
      <c r="G196" s="168">
        <f t="shared" ref="G196:BR196" si="226">G192*COS(PI()*G178/180)</f>
        <v>15.022661895925483</v>
      </c>
      <c r="H196" s="168">
        <f t="shared" si="226"/>
        <v>32.8045099171256</v>
      </c>
      <c r="I196" s="168">
        <f t="shared" si="226"/>
        <v>11.002047671955694</v>
      </c>
      <c r="J196" s="168">
        <f t="shared" si="226"/>
        <v>15.823622212725786</v>
      </c>
      <c r="K196" s="168">
        <f t="shared" si="226"/>
        <v>31.367762840644623</v>
      </c>
      <c r="L196" s="168">
        <f t="shared" si="226"/>
        <v>12.875288288559734</v>
      </c>
      <c r="M196" s="168">
        <f t="shared" si="226"/>
        <v>31.488069289065489</v>
      </c>
      <c r="N196" s="168">
        <f t="shared" si="226"/>
        <v>26.135508689353088</v>
      </c>
      <c r="O196" s="168">
        <f t="shared" si="226"/>
        <v>3.6183746785881157</v>
      </c>
      <c r="P196" s="168">
        <f t="shared" si="226"/>
        <v>28.17724796718197</v>
      </c>
      <c r="Q196" s="168">
        <f t="shared" si="226"/>
        <v>24.047049097572245</v>
      </c>
      <c r="R196" s="168">
        <f t="shared" si="226"/>
        <v>27.122749189235009</v>
      </c>
      <c r="S196" s="168">
        <f t="shared" si="226"/>
        <v>16.363216913783443</v>
      </c>
      <c r="T196" s="168">
        <f t="shared" si="226"/>
        <v>4.0848885474422545</v>
      </c>
      <c r="U196" s="168">
        <f t="shared" si="226"/>
        <v>9.2230845067943008</v>
      </c>
      <c r="V196" s="168">
        <f t="shared" si="226"/>
        <v>10.195253130643655</v>
      </c>
      <c r="W196" s="168">
        <f t="shared" si="226"/>
        <v>7.3951206331273491</v>
      </c>
      <c r="X196" s="168">
        <f t="shared" si="226"/>
        <v>7.2460953959069814</v>
      </c>
      <c r="Y196" s="168">
        <f t="shared" si="226"/>
        <v>6.7704507630608708</v>
      </c>
      <c r="Z196" s="168">
        <f t="shared" si="226"/>
        <v>14.30105759959222</v>
      </c>
      <c r="AA196" s="168">
        <f t="shared" si="226"/>
        <v>4.5988707834108347</v>
      </c>
      <c r="AB196" s="168">
        <f t="shared" si="226"/>
        <v>6.4895393623357833</v>
      </c>
      <c r="AC196" s="168">
        <f t="shared" si="226"/>
        <v>-0.28955779733787812</v>
      </c>
      <c r="AD196" s="168">
        <f t="shared" si="226"/>
        <v>-1.6206036612573811</v>
      </c>
      <c r="AE196" s="168">
        <f t="shared" si="226"/>
        <v>-3.3427552940463388</v>
      </c>
      <c r="AF196" s="168">
        <f t="shared" si="226"/>
        <v>-2.4825119280067129</v>
      </c>
      <c r="AG196" s="168">
        <f t="shared" si="226"/>
        <v>-2.6542664650368497</v>
      </c>
      <c r="AH196" s="168">
        <f t="shared" si="226"/>
        <v>-3.3736217550286898</v>
      </c>
      <c r="AI196" s="168">
        <f t="shared" si="226"/>
        <v>-8.186222037979288</v>
      </c>
      <c r="AJ196" s="168">
        <f t="shared" si="226"/>
        <v>-3.8000478162064968</v>
      </c>
      <c r="AK196" s="168">
        <f t="shared" si="226"/>
        <v>-8.7096283041480831</v>
      </c>
      <c r="AL196" s="168">
        <f t="shared" si="226"/>
        <v>-12.584780968092332</v>
      </c>
      <c r="AM196" s="168">
        <f t="shared" si="226"/>
        <v>-5.5723135104494252</v>
      </c>
      <c r="AN196" s="168">
        <f t="shared" si="226"/>
        <v>-11.939101862238557</v>
      </c>
      <c r="AO196" s="168">
        <f t="shared" si="226"/>
        <v>-6.2606615722608767</v>
      </c>
      <c r="AP196" s="168">
        <f t="shared" si="226"/>
        <v>-1.8645381471772309</v>
      </c>
      <c r="AQ196" s="168">
        <f t="shared" si="226"/>
        <v>-11.213082617295164</v>
      </c>
      <c r="AR196" s="168">
        <f t="shared" si="226"/>
        <v>-7.2510018495685378</v>
      </c>
      <c r="AS196" s="168">
        <f t="shared" si="226"/>
        <v>-1.8554793329325732</v>
      </c>
      <c r="AT196" s="168">
        <f t="shared" si="226"/>
        <v>-4.3252683666742477</v>
      </c>
      <c r="AU196" s="168">
        <f t="shared" si="226"/>
        <v>-4.4086226940549027</v>
      </c>
      <c r="AV196" s="168">
        <f t="shared" si="226"/>
        <v>-25.758235594064956</v>
      </c>
      <c r="AW196" s="168">
        <f t="shared" si="226"/>
        <v>-25.631712334092946</v>
      </c>
      <c r="AX196" s="168">
        <f t="shared" si="226"/>
        <v>-0.78997196449451579</v>
      </c>
      <c r="AY196" s="168">
        <f t="shared" si="226"/>
        <v>-22.322061703007932</v>
      </c>
      <c r="AZ196" s="168">
        <f t="shared" si="226"/>
        <v>-15.745861703435647</v>
      </c>
      <c r="BA196" s="168">
        <f t="shared" si="226"/>
        <v>-10.482561899418597</v>
      </c>
      <c r="BB196" s="168">
        <f t="shared" si="226"/>
        <v>-21.560151717364082</v>
      </c>
      <c r="BC196" s="168">
        <f t="shared" si="226"/>
        <v>-18.172731067477088</v>
      </c>
      <c r="BD196" s="168">
        <f t="shared" si="226"/>
        <v>-16.677317994707902</v>
      </c>
      <c r="BE196" s="168">
        <f t="shared" si="226"/>
        <v>-13.270617569458233</v>
      </c>
      <c r="BF196" s="168">
        <f t="shared" si="226"/>
        <v>-19.3333566667072</v>
      </c>
      <c r="BG196" s="168">
        <f t="shared" si="226"/>
        <v>-32.662893185378103</v>
      </c>
      <c r="BH196" s="168">
        <f t="shared" si="226"/>
        <v>-14.194680176408845</v>
      </c>
      <c r="BI196" s="168">
        <f t="shared" si="226"/>
        <v>-15.757883964206071</v>
      </c>
      <c r="BJ196" s="168">
        <f t="shared" si="226"/>
        <v>-30.952224832385813</v>
      </c>
      <c r="BK196" s="168">
        <f t="shared" si="226"/>
        <v>-33.651386342048852</v>
      </c>
      <c r="BL196" s="168">
        <f t="shared" si="226"/>
        <v>-33.613123662782634</v>
      </c>
      <c r="BM196" s="168">
        <f t="shared" si="226"/>
        <v>-13.032098505564319</v>
      </c>
      <c r="BN196" s="168">
        <f t="shared" si="226"/>
        <v>-4.7415341545600302</v>
      </c>
      <c r="BO196" s="168">
        <f t="shared" si="226"/>
        <v>-10.949792421222813</v>
      </c>
      <c r="BP196" s="168">
        <f t="shared" si="226"/>
        <v>-4.3797717629327639</v>
      </c>
      <c r="BQ196" s="168">
        <f t="shared" si="226"/>
        <v>1.9850749599812629</v>
      </c>
      <c r="BR196" s="168">
        <f t="shared" si="226"/>
        <v>-27.509564201012893</v>
      </c>
      <c r="BS196" s="168">
        <f t="shared" ref="BS196:DA196" si="227">BS192*COS(PI()*BS178/180)</f>
        <v>-12.265426600359371</v>
      </c>
      <c r="BT196" s="168">
        <f t="shared" si="227"/>
        <v>-21.293236358156925</v>
      </c>
      <c r="BU196" s="168">
        <f t="shared" si="227"/>
        <v>-21.617072953724318</v>
      </c>
      <c r="BV196" s="168">
        <f t="shared" si="227"/>
        <v>-11.260262202183826</v>
      </c>
      <c r="BW196" s="168">
        <f t="shared" si="227"/>
        <v>-1.4893218114465017</v>
      </c>
      <c r="BX196" s="168">
        <f t="shared" si="227"/>
        <v>-11.219196097645749</v>
      </c>
      <c r="BY196" s="168">
        <f t="shared" si="227"/>
        <v>-7.3012851295165548</v>
      </c>
      <c r="BZ196" s="168">
        <f t="shared" si="227"/>
        <v>-2.8512469332126664</v>
      </c>
      <c r="CA196" s="168">
        <f t="shared" si="227"/>
        <v>-14.844664699389275</v>
      </c>
      <c r="CB196" s="168">
        <f t="shared" si="227"/>
        <v>-1.1800874847285185</v>
      </c>
      <c r="CC196" s="168">
        <f t="shared" si="227"/>
        <v>-4.5850538743541343</v>
      </c>
      <c r="CD196" s="168">
        <f t="shared" si="227"/>
        <v>-5.298933300576909</v>
      </c>
      <c r="CE196" s="168">
        <f t="shared" si="227"/>
        <v>-5.0701292227780925</v>
      </c>
      <c r="CF196" s="168">
        <f t="shared" si="227"/>
        <v>-4.4533391955061683</v>
      </c>
      <c r="CG196" s="168">
        <f t="shared" si="227"/>
        <v>7.6448324712841575E-2</v>
      </c>
      <c r="CH196" s="168">
        <f t="shared" si="227"/>
        <v>5.103107987038344</v>
      </c>
      <c r="CI196" s="168">
        <f t="shared" si="227"/>
        <v>6.2577437814594523</v>
      </c>
      <c r="CJ196" s="168">
        <f t="shared" si="227"/>
        <v>2.6053392299193789</v>
      </c>
      <c r="CK196" s="168">
        <f t="shared" si="227"/>
        <v>5.6221017962634416</v>
      </c>
      <c r="CL196" s="168">
        <f t="shared" si="227"/>
        <v>6.417497424824063</v>
      </c>
      <c r="CM196" s="168">
        <f t="shared" si="227"/>
        <v>6.1191195778982115</v>
      </c>
      <c r="CN196" s="168">
        <f t="shared" si="227"/>
        <v>9.9538595615829966</v>
      </c>
      <c r="CO196" s="168">
        <f t="shared" si="227"/>
        <v>18.583735977786397</v>
      </c>
      <c r="CP196" s="168">
        <f t="shared" si="227"/>
        <v>21.503572453685088</v>
      </c>
      <c r="CQ196" s="168">
        <f t="shared" si="227"/>
        <v>17.530984219973096</v>
      </c>
      <c r="CR196" s="168">
        <f t="shared" si="227"/>
        <v>23.500456153326184</v>
      </c>
      <c r="CS196" s="168">
        <f t="shared" si="227"/>
        <v>2.4656320060374517</v>
      </c>
      <c r="CT196" s="168">
        <f t="shared" si="227"/>
        <v>13.968263480145215</v>
      </c>
      <c r="CU196" s="168">
        <f t="shared" si="227"/>
        <v>11.852571483128209</v>
      </c>
      <c r="CV196" s="168">
        <f t="shared" si="227"/>
        <v>20.337042683553836</v>
      </c>
      <c r="CW196" s="168">
        <f t="shared" si="227"/>
        <v>17.224009833508632</v>
      </c>
      <c r="CX196" s="168">
        <f t="shared" si="227"/>
        <v>16.223234640216614</v>
      </c>
      <c r="CY196" s="168">
        <f t="shared" si="227"/>
        <v>23.393728600680706</v>
      </c>
      <c r="CZ196" s="168">
        <f t="shared" si="227"/>
        <v>33.245291078115805</v>
      </c>
      <c r="DA196" s="168">
        <f t="shared" si="227"/>
        <v>36.074301536021729</v>
      </c>
    </row>
    <row r="197" spans="5:105">
      <c r="E197" s="172" t="s">
        <v>254</v>
      </c>
      <c r="F197" s="168">
        <f>F192*SIN(PI()*F178/180)</f>
        <v>6.7811954968153535E-4</v>
      </c>
      <c r="G197" s="168">
        <f t="shared" ref="G197:BR197" si="228">G192*SIN(PI()*G178/180)</f>
        <v>0.40232695527648865</v>
      </c>
      <c r="H197" s="168">
        <f t="shared" si="228"/>
        <v>2.3611642376151232</v>
      </c>
      <c r="I197" s="168">
        <f t="shared" si="228"/>
        <v>1.7273038390494113</v>
      </c>
      <c r="J197" s="168">
        <f t="shared" si="228"/>
        <v>7.1215797808318166</v>
      </c>
      <c r="K197" s="168">
        <f t="shared" si="228"/>
        <v>7.3468489914753468</v>
      </c>
      <c r="L197" s="168">
        <f t="shared" si="228"/>
        <v>7.6396516809157387</v>
      </c>
      <c r="M197" s="168">
        <f t="shared" si="228"/>
        <v>11.277313912006193</v>
      </c>
      <c r="N197" s="168">
        <f t="shared" si="228"/>
        <v>9.5547610017587541</v>
      </c>
      <c r="O197" s="168">
        <f t="shared" si="228"/>
        <v>0.53208895156338798</v>
      </c>
      <c r="P197" s="168">
        <f t="shared" si="228"/>
        <v>27.479227446637296</v>
      </c>
      <c r="Q197" s="168">
        <f t="shared" si="228"/>
        <v>28.797307524698049</v>
      </c>
      <c r="R197" s="168">
        <f t="shared" si="228"/>
        <v>31.495921986642568</v>
      </c>
      <c r="S197" s="168">
        <f t="shared" si="228"/>
        <v>18.02176024292589</v>
      </c>
      <c r="T197" s="168">
        <f t="shared" si="228"/>
        <v>7.0744711306133459</v>
      </c>
      <c r="U197" s="168">
        <f t="shared" si="228"/>
        <v>14.547258980220912</v>
      </c>
      <c r="V197" s="168">
        <f t="shared" si="228"/>
        <v>22.540162791366491</v>
      </c>
      <c r="W197" s="168">
        <f t="shared" si="228"/>
        <v>25.24121955971917</v>
      </c>
      <c r="X197" s="168">
        <f t="shared" si="228"/>
        <v>18.457936620064721</v>
      </c>
      <c r="Y197" s="168">
        <f t="shared" si="228"/>
        <v>35.891515551098379</v>
      </c>
      <c r="Z197" s="168">
        <f t="shared" si="228"/>
        <v>48.34041577742348</v>
      </c>
      <c r="AA197" s="168">
        <f t="shared" si="228"/>
        <v>45.565403781362917</v>
      </c>
      <c r="AB197" s="168">
        <f t="shared" si="228"/>
        <v>48.865848280184778</v>
      </c>
      <c r="AC197" s="168">
        <f t="shared" si="228"/>
        <v>16.958827102851497</v>
      </c>
      <c r="AD197" s="168">
        <f t="shared" si="228"/>
        <v>37.285877498517173</v>
      </c>
      <c r="AE197" s="168">
        <f t="shared" si="228"/>
        <v>53.753524966661836</v>
      </c>
      <c r="AF197" s="168">
        <f t="shared" si="228"/>
        <v>47.85995820274762</v>
      </c>
      <c r="AG197" s="168">
        <f t="shared" si="228"/>
        <v>21.814792365423504</v>
      </c>
      <c r="AH197" s="168">
        <f t="shared" si="228"/>
        <v>20.294154198647949</v>
      </c>
      <c r="AI197" s="168">
        <f t="shared" si="228"/>
        <v>52.276954936196503</v>
      </c>
      <c r="AJ197" s="168">
        <f t="shared" si="228"/>
        <v>30.761412948151733</v>
      </c>
      <c r="AK197" s="168">
        <f t="shared" si="228"/>
        <v>50.851976070039115</v>
      </c>
      <c r="AL197" s="168">
        <f t="shared" si="228"/>
        <v>55.000416679090876</v>
      </c>
      <c r="AM197" s="168">
        <f t="shared" si="228"/>
        <v>32.772251454731936</v>
      </c>
      <c r="AN197" s="168">
        <f t="shared" si="228"/>
        <v>45.225493416818743</v>
      </c>
      <c r="AO197" s="168">
        <f t="shared" si="228"/>
        <v>20.457340936564975</v>
      </c>
      <c r="AP197" s="168">
        <f t="shared" si="228"/>
        <v>11.976557404151995</v>
      </c>
      <c r="AQ197" s="168">
        <f t="shared" si="228"/>
        <v>27.034714085200967</v>
      </c>
      <c r="AR197" s="168">
        <f t="shared" si="228"/>
        <v>29.452053104073837</v>
      </c>
      <c r="AS197" s="168">
        <f t="shared" si="228"/>
        <v>7.9651762438171287</v>
      </c>
      <c r="AT197" s="168">
        <f t="shared" si="228"/>
        <v>15.764953096740435</v>
      </c>
      <c r="AU197" s="168">
        <f t="shared" si="228"/>
        <v>12.470772204177498</v>
      </c>
      <c r="AV197" s="168">
        <f t="shared" si="228"/>
        <v>45.746600985464674</v>
      </c>
      <c r="AW197" s="168">
        <f t="shared" si="228"/>
        <v>50.444711095901113</v>
      </c>
      <c r="AX197" s="168">
        <f t="shared" si="228"/>
        <v>1.4538557454980281</v>
      </c>
      <c r="AY197" s="168">
        <f t="shared" si="228"/>
        <v>31.920722081660742</v>
      </c>
      <c r="AZ197" s="168">
        <f t="shared" si="228"/>
        <v>25.374906998555634</v>
      </c>
      <c r="BA197" s="168">
        <f t="shared" si="228"/>
        <v>18.430519364521075</v>
      </c>
      <c r="BB197" s="168">
        <f t="shared" si="228"/>
        <v>28.473672994052937</v>
      </c>
      <c r="BC197" s="168">
        <f t="shared" si="228"/>
        <v>21.502854038800532</v>
      </c>
      <c r="BD197" s="168">
        <f t="shared" si="228"/>
        <v>10.785950808227431</v>
      </c>
      <c r="BE197" s="168">
        <f t="shared" si="228"/>
        <v>8.3744764790233575</v>
      </c>
      <c r="BF197" s="168">
        <f t="shared" si="228"/>
        <v>10.064121062488827</v>
      </c>
      <c r="BG197" s="168">
        <f t="shared" si="228"/>
        <v>7.9080651705510689</v>
      </c>
      <c r="BH197" s="168">
        <f t="shared" si="228"/>
        <v>2.6986243491411939</v>
      </c>
      <c r="BI197" s="168">
        <f t="shared" si="228"/>
        <v>0.47207482074223961</v>
      </c>
      <c r="BJ197" s="168">
        <f t="shared" si="228"/>
        <v>-1.5891253691012857</v>
      </c>
      <c r="BK197" s="168">
        <f t="shared" si="228"/>
        <v>-1.6183017757321125</v>
      </c>
      <c r="BL197" s="168">
        <f t="shared" si="228"/>
        <v>-5.6314108378605185</v>
      </c>
      <c r="BM197" s="168">
        <f t="shared" si="228"/>
        <v>-3.9885024706088426</v>
      </c>
      <c r="BN197" s="168">
        <f t="shared" si="228"/>
        <v>-2.1051754206232003</v>
      </c>
      <c r="BO197" s="168">
        <f t="shared" si="228"/>
        <v>-7.7144447741788209</v>
      </c>
      <c r="BP197" s="168">
        <f t="shared" si="228"/>
        <v>-0.31614375301560077</v>
      </c>
      <c r="BQ197" s="168">
        <f t="shared" si="228"/>
        <v>0.37434311577951884</v>
      </c>
      <c r="BR197" s="168">
        <f t="shared" si="228"/>
        <v>-22.936334781473754</v>
      </c>
      <c r="BS197" s="168">
        <f t="shared" ref="BS197:DA197" si="229">BS192*SIN(PI()*BS178/180)</f>
        <v>-10.736970073900002</v>
      </c>
      <c r="BT197" s="168">
        <f t="shared" si="229"/>
        <v>-25.794410419659446</v>
      </c>
      <c r="BU197" s="168">
        <f t="shared" si="229"/>
        <v>-28.419268094774903</v>
      </c>
      <c r="BV197" s="168">
        <f t="shared" si="229"/>
        <v>-22.937209714546327</v>
      </c>
      <c r="BW197" s="168">
        <f t="shared" si="229"/>
        <v>-14.32530007586857</v>
      </c>
      <c r="BX197" s="168">
        <f t="shared" si="229"/>
        <v>-32.06653142083195</v>
      </c>
      <c r="BY197" s="168">
        <f t="shared" si="229"/>
        <v>-26.947524554972613</v>
      </c>
      <c r="BZ197" s="168">
        <f t="shared" si="229"/>
        <v>-9.843444359453521</v>
      </c>
      <c r="CA197" s="168">
        <f t="shared" si="229"/>
        <v>-42.669257045490184</v>
      </c>
      <c r="CB197" s="168">
        <f t="shared" si="229"/>
        <v>-2.2875472866279898</v>
      </c>
      <c r="CC197" s="168">
        <f t="shared" si="229"/>
        <v>-28.147596246468954</v>
      </c>
      <c r="CD197" s="168">
        <f t="shared" si="229"/>
        <v>-50.49636451282489</v>
      </c>
      <c r="CE197" s="168">
        <f t="shared" si="229"/>
        <v>-34.506592664823202</v>
      </c>
      <c r="CF197" s="168">
        <f t="shared" si="229"/>
        <v>-47.709280711707301</v>
      </c>
      <c r="CG197" s="168">
        <f t="shared" si="229"/>
        <v>-27.958824947125866</v>
      </c>
      <c r="CH197" s="168">
        <f t="shared" si="229"/>
        <v>-31.926375709903976</v>
      </c>
      <c r="CI197" s="168">
        <f t="shared" si="229"/>
        <v>-42.863471761308247</v>
      </c>
      <c r="CJ197" s="168">
        <f t="shared" si="229"/>
        <v>-11.492691054067304</v>
      </c>
      <c r="CK197" s="168">
        <f t="shared" si="229"/>
        <v>-21.785866015649773</v>
      </c>
      <c r="CL197" s="168">
        <f t="shared" si="229"/>
        <v>-8.8572780974124807</v>
      </c>
      <c r="CM197" s="168">
        <f t="shared" si="229"/>
        <v>-15.906296625953674</v>
      </c>
      <c r="CN197" s="168">
        <f t="shared" si="229"/>
        <v>-34.067681256866834</v>
      </c>
      <c r="CO197" s="168">
        <f t="shared" si="229"/>
        <v>-31.032553750773154</v>
      </c>
      <c r="CP197" s="168">
        <f t="shared" si="229"/>
        <v>-26.743658436429921</v>
      </c>
      <c r="CQ197" s="168">
        <f t="shared" si="229"/>
        <v>-22.576330366489785</v>
      </c>
      <c r="CR197" s="168">
        <f t="shared" si="229"/>
        <v>-25.367190618593437</v>
      </c>
      <c r="CS197" s="168">
        <f t="shared" si="229"/>
        <v>0.35134501948383229</v>
      </c>
      <c r="CT197" s="168">
        <f t="shared" si="229"/>
        <v>-13.64132298736452</v>
      </c>
      <c r="CU197" s="168">
        <f t="shared" si="229"/>
        <v>-9.0954530255191841</v>
      </c>
      <c r="CV197" s="168">
        <f t="shared" si="229"/>
        <v>-15.197656337815157</v>
      </c>
      <c r="CW197" s="168">
        <f t="shared" si="229"/>
        <v>-9.237864253508441</v>
      </c>
      <c r="CX197" s="168">
        <f t="shared" si="229"/>
        <v>-7.658465319091686</v>
      </c>
      <c r="CY197" s="168">
        <f t="shared" si="229"/>
        <v>-4.2929283869850083</v>
      </c>
      <c r="CZ197" s="168">
        <f t="shared" si="229"/>
        <v>-3.9096168738546213</v>
      </c>
      <c r="DA197" s="168">
        <f t="shared" si="229"/>
        <v>-7.0858341953412047</v>
      </c>
    </row>
    <row r="198" spans="5:105">
      <c r="E198" s="172" t="s">
        <v>334</v>
      </c>
      <c r="F198" s="168">
        <f>F190*COS(PI()*F178/180)</f>
        <v>0.50481181946946019</v>
      </c>
      <c r="G198" s="168">
        <f t="shared" ref="G198:BR198" si="230">G190*COS(PI()*G178/180)</f>
        <v>26.681864436739847</v>
      </c>
      <c r="H198" s="168">
        <f t="shared" si="230"/>
        <v>44.323770884666935</v>
      </c>
      <c r="I198" s="168">
        <f t="shared" si="230"/>
        <v>31.810799282621002</v>
      </c>
      <c r="J198" s="168">
        <f t="shared" si="230"/>
        <v>28.004984298034849</v>
      </c>
      <c r="K198" s="168">
        <f t="shared" si="230"/>
        <v>46.450445884309715</v>
      </c>
      <c r="L198" s="168">
        <f t="shared" si="230"/>
        <v>27.386446343269988</v>
      </c>
      <c r="M198" s="168">
        <f t="shared" si="230"/>
        <v>48.566388453260934</v>
      </c>
      <c r="N198" s="168">
        <f t="shared" si="230"/>
        <v>44.59195400121461</v>
      </c>
      <c r="O198" s="168">
        <f t="shared" si="230"/>
        <v>18.596574013577911</v>
      </c>
      <c r="P198" s="168">
        <f t="shared" si="230"/>
        <v>32.410185415193951</v>
      </c>
      <c r="Q198" s="168">
        <f t="shared" si="230"/>
        <v>30.803124760520248</v>
      </c>
      <c r="R198" s="168">
        <f t="shared" si="230"/>
        <v>32.039965794919105</v>
      </c>
      <c r="S198" s="168">
        <f t="shared" si="230"/>
        <v>29.066286949103542</v>
      </c>
      <c r="T198" s="168">
        <f t="shared" si="230"/>
        <v>10.398224244612933</v>
      </c>
      <c r="U198" s="168">
        <f t="shared" si="230"/>
        <v>16.457209126923917</v>
      </c>
      <c r="V198" s="168">
        <f t="shared" si="230"/>
        <v>17.399419557879266</v>
      </c>
      <c r="W198" s="168">
        <f t="shared" si="230"/>
        <v>11.931858184218907</v>
      </c>
      <c r="X198" s="168">
        <f t="shared" si="230"/>
        <v>13.036816490865407</v>
      </c>
      <c r="Y198" s="168">
        <f t="shared" si="230"/>
        <v>8.181213003648919</v>
      </c>
      <c r="Z198" s="168">
        <f t="shared" si="230"/>
        <v>15.342080941194466</v>
      </c>
      <c r="AA198" s="168">
        <f t="shared" si="230"/>
        <v>4.6381698652575221</v>
      </c>
      <c r="AB198" s="168">
        <f t="shared" si="230"/>
        <v>6.5515345847788424</v>
      </c>
      <c r="AC198" s="168">
        <f t="shared" si="230"/>
        <v>-0.47163042678192985</v>
      </c>
      <c r="AD198" s="168">
        <f t="shared" si="230"/>
        <v>-1.7798811307365046</v>
      </c>
      <c r="AE198" s="168">
        <f t="shared" si="230"/>
        <v>-3.3208400411081778</v>
      </c>
      <c r="AF198" s="168">
        <f t="shared" si="230"/>
        <v>-2.4188610592512911</v>
      </c>
      <c r="AG198" s="168">
        <f t="shared" si="230"/>
        <v>-4.1311930302235362</v>
      </c>
      <c r="AH198" s="168">
        <f t="shared" si="230"/>
        <v>-6.4934613463666899</v>
      </c>
      <c r="AI198" s="168">
        <f t="shared" si="230"/>
        <v>-7.7107290796279271</v>
      </c>
      <c r="AJ198" s="168">
        <f t="shared" si="230"/>
        <v>-5.2241871766756018</v>
      </c>
      <c r="AK198" s="168">
        <f t="shared" si="230"/>
        <v>-8.2497571902176574</v>
      </c>
      <c r="AL198" s="168">
        <f t="shared" si="230"/>
        <v>-12.084757197703512</v>
      </c>
      <c r="AM198" s="168">
        <f t="shared" si="230"/>
        <v>-6.5504870575527567</v>
      </c>
      <c r="AN198" s="168">
        <f t="shared" si="230"/>
        <v>-13.415584747253396</v>
      </c>
      <c r="AO198" s="168">
        <f t="shared" si="230"/>
        <v>-11.753257063478124</v>
      </c>
      <c r="AP198" s="168">
        <f t="shared" si="230"/>
        <v>-3.7831613779059534</v>
      </c>
      <c r="AQ198" s="168">
        <f t="shared" si="230"/>
        <v>-17.290505487999418</v>
      </c>
      <c r="AR198" s="168">
        <f t="shared" si="230"/>
        <v>-9.0669932595315679</v>
      </c>
      <c r="AS198" s="168">
        <f t="shared" si="230"/>
        <v>-6.016697540571383</v>
      </c>
      <c r="AT198" s="168">
        <f t="shared" si="230"/>
        <v>-8.9528569835881289</v>
      </c>
      <c r="AU198" s="168">
        <f t="shared" si="230"/>
        <v>-8.284624923697077</v>
      </c>
      <c r="AV198" s="168">
        <f t="shared" si="230"/>
        <v>-26.566794136240496</v>
      </c>
      <c r="AW198" s="168">
        <f t="shared" si="230"/>
        <v>-25.028450325821932</v>
      </c>
      <c r="AX198" s="168">
        <f t="shared" si="230"/>
        <v>-6.0148670712411256</v>
      </c>
      <c r="AY198" s="168">
        <f t="shared" si="230"/>
        <v>-28.287630488256163</v>
      </c>
      <c r="AZ198" s="168">
        <f t="shared" si="230"/>
        <v>-21.76482913059202</v>
      </c>
      <c r="BA198" s="168">
        <f t="shared" si="230"/>
        <v>-17.018370324227419</v>
      </c>
      <c r="BB198" s="168">
        <f t="shared" si="230"/>
        <v>-25.789045871109689</v>
      </c>
      <c r="BC198" s="168">
        <f t="shared" si="230"/>
        <v>-29.285534437323278</v>
      </c>
      <c r="BD198" s="168">
        <f t="shared" si="230"/>
        <v>-30.499693173245234</v>
      </c>
      <c r="BE198" s="168">
        <f t="shared" si="230"/>
        <v>-26.733795475013061</v>
      </c>
      <c r="BF198" s="168">
        <f t="shared" si="230"/>
        <v>-37.129120225645345</v>
      </c>
      <c r="BG198" s="168">
        <f t="shared" si="230"/>
        <v>-47.781488955176975</v>
      </c>
      <c r="BH198" s="168">
        <f t="shared" si="230"/>
        <v>-25.618310723493227</v>
      </c>
      <c r="BI198" s="168">
        <f t="shared" si="230"/>
        <v>-27.733183200831682</v>
      </c>
      <c r="BJ198" s="168">
        <f t="shared" si="230"/>
        <v>-41.469734548753244</v>
      </c>
      <c r="BK198" s="168">
        <f t="shared" si="230"/>
        <v>-46.68089728432377</v>
      </c>
      <c r="BL198" s="168">
        <f t="shared" si="230"/>
        <v>-47.405899072835268</v>
      </c>
      <c r="BM198" s="168">
        <f t="shared" si="230"/>
        <v>-24.299003704044463</v>
      </c>
      <c r="BN198" s="168">
        <f t="shared" si="230"/>
        <v>-14.219482052396224</v>
      </c>
      <c r="BO198" s="168">
        <f t="shared" si="230"/>
        <v>-21.61632754245629</v>
      </c>
      <c r="BP198" s="168">
        <f t="shared" si="230"/>
        <v>-15.818530709750728</v>
      </c>
      <c r="BQ198" s="168">
        <f t="shared" si="230"/>
        <v>12.986228469176533</v>
      </c>
      <c r="BR198" s="168">
        <f t="shared" si="230"/>
        <v>-36.993384869089766</v>
      </c>
      <c r="BS198" s="168">
        <f t="shared" ref="BS198:DA198" si="231">BS190*COS(PI()*BS178/180)</f>
        <v>-27.024856766890061</v>
      </c>
      <c r="BT198" s="168">
        <f t="shared" si="231"/>
        <v>-32.548144798730469</v>
      </c>
      <c r="BU198" s="168">
        <f t="shared" si="231"/>
        <v>-31.263600464357623</v>
      </c>
      <c r="BV198" s="168">
        <f t="shared" si="231"/>
        <v>-17.284320501367837</v>
      </c>
      <c r="BW198" s="168">
        <f t="shared" si="231"/>
        <v>-3.2297087246072063</v>
      </c>
      <c r="BX198" s="168">
        <f t="shared" si="231"/>
        <v>-14.279447065413859</v>
      </c>
      <c r="BY198" s="168">
        <f t="shared" si="231"/>
        <v>-13.05441430721212</v>
      </c>
      <c r="BZ198" s="168">
        <f t="shared" si="231"/>
        <v>-6.4188917189007491</v>
      </c>
      <c r="CA198" s="168">
        <f t="shared" si="231"/>
        <v>-17.840314043685012</v>
      </c>
      <c r="CB198" s="168">
        <f t="shared" si="231"/>
        <v>-7.2489448826158371</v>
      </c>
      <c r="CC198" s="168">
        <f t="shared" si="231"/>
        <v>-8.1985867574793279</v>
      </c>
      <c r="CD198" s="168">
        <f t="shared" si="231"/>
        <v>-6.4081987154423894</v>
      </c>
      <c r="CE198" s="168">
        <f t="shared" si="231"/>
        <v>-7.5187429895939601</v>
      </c>
      <c r="CF198" s="168">
        <f t="shared" si="231"/>
        <v>-5.6446233115917552</v>
      </c>
      <c r="CG198" s="168">
        <f t="shared" si="231"/>
        <v>0.10614113669046862</v>
      </c>
      <c r="CH198" s="168">
        <f t="shared" si="231"/>
        <v>6.8505629771297736</v>
      </c>
      <c r="CI198" s="168">
        <f t="shared" si="231"/>
        <v>8.3405000810114256</v>
      </c>
      <c r="CJ198" s="168">
        <f t="shared" si="231"/>
        <v>5.20099434685239</v>
      </c>
      <c r="CK198" s="168">
        <f t="shared" si="231"/>
        <v>8.675230167755732</v>
      </c>
      <c r="CL198" s="168">
        <f t="shared" si="231"/>
        <v>19.31318763079511</v>
      </c>
      <c r="CM198" s="168">
        <f t="shared" si="231"/>
        <v>13.155204876992045</v>
      </c>
      <c r="CN198" s="168">
        <f t="shared" si="231"/>
        <v>12.817536837528779</v>
      </c>
      <c r="CO198" s="168">
        <f t="shared" si="231"/>
        <v>27.902014777966745</v>
      </c>
      <c r="CP198" s="168">
        <f t="shared" si="231"/>
        <v>28.513493585718148</v>
      </c>
      <c r="CQ198" s="168">
        <f t="shared" si="231"/>
        <v>29.675712692827766</v>
      </c>
      <c r="CR198" s="168">
        <f t="shared" si="231"/>
        <v>34.645019218426789</v>
      </c>
      <c r="CS198" s="168">
        <f t="shared" si="231"/>
        <v>11.053053347537251</v>
      </c>
      <c r="CT198" s="168">
        <f t="shared" si="231"/>
        <v>25.579764838313068</v>
      </c>
      <c r="CU198" s="168">
        <f t="shared" si="231"/>
        <v>23.180132510081389</v>
      </c>
      <c r="CV198" s="168">
        <f t="shared" si="231"/>
        <v>36.570642773989775</v>
      </c>
      <c r="CW198" s="168">
        <f t="shared" si="231"/>
        <v>29.10577278669869</v>
      </c>
      <c r="CX198" s="168">
        <f t="shared" si="231"/>
        <v>27.380893752020224</v>
      </c>
      <c r="CY198" s="168">
        <f t="shared" si="231"/>
        <v>38.721941839493894</v>
      </c>
      <c r="CZ198" s="168">
        <f t="shared" si="231"/>
        <v>43.726869000548071</v>
      </c>
      <c r="DA198" s="168">
        <f t="shared" si="231"/>
        <v>49.199781084441867</v>
      </c>
    </row>
    <row r="199" spans="5:105">
      <c r="E199" s="172" t="s">
        <v>335</v>
      </c>
      <c r="F199" s="168">
        <f>F190*SIN(PI()*F178/180)</f>
        <v>5.6090202170610975E-2</v>
      </c>
      <c r="G199" s="168">
        <f t="shared" ref="G199:BR199" si="232">G190*SIN(PI()*G178/180)</f>
        <v>0.71457597556962371</v>
      </c>
      <c r="H199" s="168">
        <f t="shared" si="232"/>
        <v>3.1902839869735855</v>
      </c>
      <c r="I199" s="168">
        <f t="shared" si="232"/>
        <v>4.9942444681603808</v>
      </c>
      <c r="J199" s="168">
        <f t="shared" si="232"/>
        <v>12.603923884065095</v>
      </c>
      <c r="K199" s="168">
        <f t="shared" si="232"/>
        <v>10.879462881443663</v>
      </c>
      <c r="L199" s="168">
        <f t="shared" si="232"/>
        <v>16.249959313654756</v>
      </c>
      <c r="M199" s="168">
        <f t="shared" si="232"/>
        <v>17.393839016673201</v>
      </c>
      <c r="N199" s="168">
        <f t="shared" si="232"/>
        <v>16.302168369754874</v>
      </c>
      <c r="O199" s="168">
        <f t="shared" si="232"/>
        <v>2.7346619541944843</v>
      </c>
      <c r="P199" s="168">
        <f t="shared" si="232"/>
        <v>31.607304505006692</v>
      </c>
      <c r="Q199" s="168">
        <f t="shared" si="232"/>
        <v>36.887979595795706</v>
      </c>
      <c r="R199" s="168">
        <f t="shared" si="232"/>
        <v>37.205972598529584</v>
      </c>
      <c r="S199" s="168">
        <f t="shared" si="232"/>
        <v>32.012388353025436</v>
      </c>
      <c r="T199" s="168">
        <f t="shared" si="232"/>
        <v>18.008309498240443</v>
      </c>
      <c r="U199" s="168">
        <f t="shared" si="232"/>
        <v>25.95739885985596</v>
      </c>
      <c r="V199" s="168">
        <f t="shared" si="232"/>
        <v>38.467485238900089</v>
      </c>
      <c r="W199" s="168">
        <f t="shared" si="232"/>
        <v>40.726131070012947</v>
      </c>
      <c r="X199" s="168">
        <f t="shared" si="232"/>
        <v>33.2086067555406</v>
      </c>
      <c r="Y199" s="168">
        <f t="shared" si="232"/>
        <v>43.370248750551823</v>
      </c>
      <c r="Z199" s="168">
        <f t="shared" si="232"/>
        <v>51.859281484844331</v>
      </c>
      <c r="AA199" s="168">
        <f t="shared" si="232"/>
        <v>45.954777307368587</v>
      </c>
      <c r="AB199" s="168">
        <f t="shared" si="232"/>
        <v>49.33266864521427</v>
      </c>
      <c r="AC199" s="168">
        <f t="shared" si="232"/>
        <v>27.622460654740319</v>
      </c>
      <c r="AD199" s="168">
        <f t="shared" si="232"/>
        <v>40.95043803064916</v>
      </c>
      <c r="AE199" s="168">
        <f t="shared" si="232"/>
        <v>53.401114457265507</v>
      </c>
      <c r="AF199" s="168">
        <f t="shared" si="232"/>
        <v>46.632843084453285</v>
      </c>
      <c r="AG199" s="168">
        <f t="shared" si="232"/>
        <v>33.953304750267421</v>
      </c>
      <c r="AH199" s="168">
        <f t="shared" si="232"/>
        <v>39.06167182189192</v>
      </c>
      <c r="AI199" s="168">
        <f t="shared" si="232"/>
        <v>49.240471947964643</v>
      </c>
      <c r="AJ199" s="168">
        <f t="shared" si="232"/>
        <v>42.289830768651676</v>
      </c>
      <c r="AK199" s="168">
        <f t="shared" si="232"/>
        <v>48.166975738882094</v>
      </c>
      <c r="AL199" s="168">
        <f t="shared" si="232"/>
        <v>52.8151171660868</v>
      </c>
      <c r="AM199" s="168">
        <f t="shared" si="232"/>
        <v>38.52514913213701</v>
      </c>
      <c r="AN199" s="168">
        <f t="shared" si="232"/>
        <v>50.818432296708998</v>
      </c>
      <c r="AO199" s="168">
        <f t="shared" si="232"/>
        <v>38.40494875621166</v>
      </c>
      <c r="AP199" s="168">
        <f t="shared" si="232"/>
        <v>24.300521542161086</v>
      </c>
      <c r="AQ199" s="168">
        <f t="shared" si="232"/>
        <v>41.687365393676195</v>
      </c>
      <c r="AR199" s="168">
        <f t="shared" si="232"/>
        <v>36.828230431342845</v>
      </c>
      <c r="AS199" s="168">
        <f t="shared" si="232"/>
        <v>25.828396719810652</v>
      </c>
      <c r="AT199" s="168">
        <f t="shared" si="232"/>
        <v>32.631818066035343</v>
      </c>
      <c r="AU199" s="168">
        <f t="shared" si="232"/>
        <v>23.43490867562798</v>
      </c>
      <c r="AV199" s="168">
        <f t="shared" si="232"/>
        <v>47.182600158126021</v>
      </c>
      <c r="AW199" s="168">
        <f t="shared" si="232"/>
        <v>49.25745613120305</v>
      </c>
      <c r="AX199" s="168">
        <f t="shared" si="232"/>
        <v>11.069695435997359</v>
      </c>
      <c r="AY199" s="168">
        <f t="shared" si="232"/>
        <v>40.451531904988087</v>
      </c>
      <c r="AZ199" s="168">
        <f t="shared" si="232"/>
        <v>35.074645353180188</v>
      </c>
      <c r="BA199" s="168">
        <f t="shared" si="232"/>
        <v>29.921827013552942</v>
      </c>
      <c r="BB199" s="168">
        <f t="shared" si="232"/>
        <v>34.058612786625787</v>
      </c>
      <c r="BC199" s="168">
        <f t="shared" si="232"/>
        <v>34.652060282838541</v>
      </c>
      <c r="BD199" s="168">
        <f t="shared" si="232"/>
        <v>19.725485257104427</v>
      </c>
      <c r="BE199" s="168">
        <f t="shared" si="232"/>
        <v>16.870468930984181</v>
      </c>
      <c r="BF199" s="168">
        <f t="shared" si="232"/>
        <v>19.327836719532254</v>
      </c>
      <c r="BG199" s="168">
        <f t="shared" si="232"/>
        <v>11.568452508446445</v>
      </c>
      <c r="BH199" s="168">
        <f t="shared" si="232"/>
        <v>4.8704300655665955</v>
      </c>
      <c r="BI199" s="168">
        <f t="shared" si="232"/>
        <v>0.83083093630356775</v>
      </c>
      <c r="BJ199" s="168">
        <f t="shared" si="232"/>
        <v>-2.1291072799512287</v>
      </c>
      <c r="BK199" s="168">
        <f t="shared" si="232"/>
        <v>-2.2448935149395113</v>
      </c>
      <c r="BL199" s="168">
        <f t="shared" si="232"/>
        <v>-7.9421983061001296</v>
      </c>
      <c r="BM199" s="168">
        <f t="shared" si="232"/>
        <v>-7.436763639066589</v>
      </c>
      <c r="BN199" s="168">
        <f t="shared" si="232"/>
        <v>-6.313252870256906</v>
      </c>
      <c r="BO199" s="168">
        <f t="shared" si="232"/>
        <v>-15.229326605646923</v>
      </c>
      <c r="BP199" s="168">
        <f t="shared" si="232"/>
        <v>-1.1418242631037077</v>
      </c>
      <c r="BQ199" s="168">
        <f t="shared" si="232"/>
        <v>2.4489277862948411</v>
      </c>
      <c r="BR199" s="168">
        <f t="shared" si="232"/>
        <v>-30.843551495668812</v>
      </c>
      <c r="BS199" s="168">
        <f t="shared" ref="BS199:DA199" si="233">BS190*SIN(PI()*BS178/180)</f>
        <v>-23.657153380138514</v>
      </c>
      <c r="BT199" s="168">
        <f t="shared" si="233"/>
        <v>-39.428492278739128</v>
      </c>
      <c r="BU199" s="168">
        <f t="shared" si="233"/>
        <v>-41.101246459522841</v>
      </c>
      <c r="BV199" s="168">
        <f t="shared" si="233"/>
        <v>-35.208246219738818</v>
      </c>
      <c r="BW199" s="168">
        <f t="shared" si="233"/>
        <v>-31.065513364578123</v>
      </c>
      <c r="BX199" s="168">
        <f t="shared" si="233"/>
        <v>-40.813293038998118</v>
      </c>
      <c r="BY199" s="168">
        <f t="shared" si="233"/>
        <v>-48.181127548661742</v>
      </c>
      <c r="BZ199" s="168">
        <f t="shared" si="233"/>
        <v>-22.160130274358032</v>
      </c>
      <c r="CA199" s="168">
        <f t="shared" si="233"/>
        <v>-51.279901642613872</v>
      </c>
      <c r="CB199" s="168">
        <f t="shared" si="233"/>
        <v>-14.051758375319523</v>
      </c>
      <c r="CC199" s="168">
        <f t="shared" si="233"/>
        <v>-50.331035613770695</v>
      </c>
      <c r="CD199" s="168">
        <f t="shared" si="233"/>
        <v>-61.06714688602797</v>
      </c>
      <c r="CE199" s="168">
        <f t="shared" si="233"/>
        <v>-51.171516601159645</v>
      </c>
      <c r="CF199" s="168">
        <f t="shared" si="233"/>
        <v>-60.471683440670212</v>
      </c>
      <c r="CG199" s="168">
        <f t="shared" si="233"/>
        <v>-38.81813593122839</v>
      </c>
      <c r="CH199" s="168">
        <f t="shared" si="233"/>
        <v>-42.858910293046108</v>
      </c>
      <c r="CI199" s="168">
        <f t="shared" si="233"/>
        <v>-57.129662412327839</v>
      </c>
      <c r="CJ199" s="168">
        <f t="shared" si="233"/>
        <v>-22.942663479632458</v>
      </c>
      <c r="CK199" s="168">
        <f t="shared" si="233"/>
        <v>-33.616858772507577</v>
      </c>
      <c r="CL199" s="168">
        <f t="shared" si="233"/>
        <v>-26.655604586884408</v>
      </c>
      <c r="CM199" s="168">
        <f t="shared" si="233"/>
        <v>-34.196192488936624</v>
      </c>
      <c r="CN199" s="168">
        <f t="shared" si="233"/>
        <v>-43.868788461149961</v>
      </c>
      <c r="CO199" s="168">
        <f t="shared" si="233"/>
        <v>-46.592933433143735</v>
      </c>
      <c r="CP199" s="168">
        <f t="shared" si="233"/>
        <v>-35.461788264633292</v>
      </c>
      <c r="CQ199" s="168">
        <f t="shared" si="233"/>
        <v>-38.216262430435407</v>
      </c>
      <c r="CR199" s="168">
        <f t="shared" si="233"/>
        <v>-37.397010541613504</v>
      </c>
      <c r="CS199" s="168">
        <f t="shared" si="233"/>
        <v>1.5750262951799654</v>
      </c>
      <c r="CT199" s="168">
        <f t="shared" si="233"/>
        <v>-24.9810461118701</v>
      </c>
      <c r="CU199" s="168">
        <f t="shared" si="233"/>
        <v>-17.788022343579296</v>
      </c>
      <c r="CV199" s="168">
        <f t="shared" si="233"/>
        <v>-27.3288535398293</v>
      </c>
      <c r="CW199" s="168">
        <f t="shared" si="233"/>
        <v>-15.610486791170809</v>
      </c>
      <c r="CX199" s="168">
        <f t="shared" si="233"/>
        <v>-12.92563596939884</v>
      </c>
      <c r="CY199" s="168">
        <f t="shared" si="233"/>
        <v>-7.1057729257023565</v>
      </c>
      <c r="CZ199" s="168">
        <f t="shared" si="233"/>
        <v>-5.1422411818769458</v>
      </c>
      <c r="DA199" s="168">
        <f t="shared" si="233"/>
        <v>-9.6639845088428427</v>
      </c>
    </row>
    <row r="200" spans="5:105">
      <c r="E200" s="174" t="s">
        <v>320</v>
      </c>
      <c r="F200" s="175">
        <f>ATAN(F197/F196)*180/PI()</f>
        <v>6.3401917467325681</v>
      </c>
      <c r="G200" s="175">
        <f>ATAN(G197/G196)*180/PI()</f>
        <v>1.5340908200504846</v>
      </c>
      <c r="H200" s="175">
        <f t="shared" ref="H200:BS200" si="234">ATAN(H197/H196)*180/PI()</f>
        <v>4.1168683171292546</v>
      </c>
      <c r="I200" s="175">
        <f t="shared" si="234"/>
        <v>8.9225123830416884</v>
      </c>
      <c r="J200" s="175">
        <f t="shared" si="234"/>
        <v>24.230605194203005</v>
      </c>
      <c r="K200" s="175">
        <f t="shared" si="234"/>
        <v>13.182004272744521</v>
      </c>
      <c r="L200" s="175">
        <f t="shared" si="234"/>
        <v>30.683101989566655</v>
      </c>
      <c r="M200" s="175">
        <f t="shared" si="234"/>
        <v>19.704762314788095</v>
      </c>
      <c r="N200" s="175">
        <f t="shared" si="234"/>
        <v>20.081675515082491</v>
      </c>
      <c r="O200" s="175">
        <f t="shared" si="234"/>
        <v>8.3654990744627167</v>
      </c>
      <c r="P200" s="175">
        <f t="shared" si="234"/>
        <v>44.281457676639228</v>
      </c>
      <c r="Q200" s="175">
        <f t="shared" si="234"/>
        <v>50.136597795469783</v>
      </c>
      <c r="R200" s="175">
        <f t="shared" si="234"/>
        <v>49.26657630739011</v>
      </c>
      <c r="S200" s="175">
        <f t="shared" si="234"/>
        <v>47.761494913772694</v>
      </c>
      <c r="T200" s="175">
        <f t="shared" si="234"/>
        <v>59.99732294965753</v>
      </c>
      <c r="U200" s="175">
        <f t="shared" si="234"/>
        <v>57.624959026911895</v>
      </c>
      <c r="V200" s="175">
        <f t="shared" si="234"/>
        <v>65.662048254867642</v>
      </c>
      <c r="W200" s="175">
        <f t="shared" si="234"/>
        <v>73.670579261587235</v>
      </c>
      <c r="X200" s="175">
        <f t="shared" si="234"/>
        <v>68.566347440051089</v>
      </c>
      <c r="Y200" s="175">
        <f t="shared" si="234"/>
        <v>79.317451179803157</v>
      </c>
      <c r="Z200" s="175">
        <f t="shared" si="234"/>
        <v>73.519643884054531</v>
      </c>
      <c r="AA200" s="175">
        <f t="shared" si="234"/>
        <v>84.236710772195465</v>
      </c>
      <c r="AB200" s="175">
        <f t="shared" si="234"/>
        <v>82.435204459452606</v>
      </c>
      <c r="AC200" s="175">
        <f t="shared" si="234"/>
        <v>-89.021817505042591</v>
      </c>
      <c r="AD200" s="175">
        <f t="shared" si="234"/>
        <v>-87.51124685482408</v>
      </c>
      <c r="AE200" s="175">
        <f t="shared" si="234"/>
        <v>-86.44154587106577</v>
      </c>
      <c r="AF200" s="175">
        <f t="shared" si="234"/>
        <v>-87.030709968018954</v>
      </c>
      <c r="AG200" s="175">
        <f t="shared" si="234"/>
        <v>-83.062762597541948</v>
      </c>
      <c r="AH200" s="175">
        <f t="shared" si="234"/>
        <v>-80.561680426237174</v>
      </c>
      <c r="AI200" s="175">
        <f t="shared" si="234"/>
        <v>-81.100139754830082</v>
      </c>
      <c r="AJ200" s="175">
        <f t="shared" si="234"/>
        <v>-82.957761645404872</v>
      </c>
      <c r="AK200" s="175">
        <f t="shared" si="234"/>
        <v>-80.281017511595238</v>
      </c>
      <c r="AL200" s="175">
        <f t="shared" si="234"/>
        <v>-77.111874403698664</v>
      </c>
      <c r="AM200" s="175">
        <f t="shared" si="234"/>
        <v>-80.350203225562112</v>
      </c>
      <c r="AN200" s="175">
        <f t="shared" si="234"/>
        <v>-75.211829761020368</v>
      </c>
      <c r="AO200" s="175">
        <f t="shared" si="234"/>
        <v>-72.984057603329944</v>
      </c>
      <c r="AP200" s="175">
        <f t="shared" si="234"/>
        <v>-81.151094549076063</v>
      </c>
      <c r="AQ200" s="175">
        <f t="shared" si="234"/>
        <v>-67.472983981031632</v>
      </c>
      <c r="AR200" s="175">
        <f t="shared" si="234"/>
        <v>-76.169027437450552</v>
      </c>
      <c r="AS200" s="175">
        <f t="shared" si="234"/>
        <v>-76.88686661196698</v>
      </c>
      <c r="AT200" s="175">
        <f t="shared" si="234"/>
        <v>-74.657859558865155</v>
      </c>
      <c r="AU200" s="175">
        <f t="shared" si="234"/>
        <v>-70.530662489262909</v>
      </c>
      <c r="AV200" s="175">
        <f t="shared" si="234"/>
        <v>-60.617731760653236</v>
      </c>
      <c r="AW200" s="175">
        <f t="shared" si="234"/>
        <v>-63.06419513208035</v>
      </c>
      <c r="AX200" s="175">
        <f t="shared" si="234"/>
        <v>-61.481963189126908</v>
      </c>
      <c r="AY200" s="175">
        <f t="shared" si="234"/>
        <v>-55.035025774267353</v>
      </c>
      <c r="AZ200" s="175">
        <f t="shared" si="234"/>
        <v>-58.179205243974643</v>
      </c>
      <c r="BA200" s="175">
        <f t="shared" si="234"/>
        <v>-60.370466389289327</v>
      </c>
      <c r="BB200" s="175">
        <f t="shared" si="234"/>
        <v>-52.867139685940295</v>
      </c>
      <c r="BC200" s="175">
        <f t="shared" si="234"/>
        <v>-49.797807420582608</v>
      </c>
      <c r="BD200" s="175">
        <f t="shared" si="234"/>
        <v>-32.892515465327328</v>
      </c>
      <c r="BE200" s="175">
        <f t="shared" si="234"/>
        <v>-32.254138992175037</v>
      </c>
      <c r="BF200" s="175">
        <f t="shared" si="234"/>
        <v>-27.499563049346438</v>
      </c>
      <c r="BG200" s="175">
        <f t="shared" si="234"/>
        <v>-13.610074602606581</v>
      </c>
      <c r="BH200" s="175">
        <f t="shared" si="234"/>
        <v>-10.764337018091044</v>
      </c>
      <c r="BI200" s="175">
        <f t="shared" si="234"/>
        <v>-1.7159542226703364</v>
      </c>
      <c r="BJ200" s="175">
        <f t="shared" si="234"/>
        <v>2.9390553717539096</v>
      </c>
      <c r="BK200" s="175">
        <f t="shared" si="234"/>
        <v>2.7532441470082425</v>
      </c>
      <c r="BL200" s="175">
        <f t="shared" si="234"/>
        <v>9.5107825348406774</v>
      </c>
      <c r="BM200" s="175">
        <f t="shared" si="234"/>
        <v>17.016845645676081</v>
      </c>
      <c r="BN200" s="175">
        <f t="shared" si="234"/>
        <v>23.94055743571446</v>
      </c>
      <c r="BO200" s="175">
        <f t="shared" si="234"/>
        <v>35.165800642735832</v>
      </c>
      <c r="BP200" s="175">
        <f t="shared" si="234"/>
        <v>4.1286035437865971</v>
      </c>
      <c r="BQ200" s="175">
        <f t="shared" si="234"/>
        <v>10.679356770691761</v>
      </c>
      <c r="BR200" s="175">
        <f t="shared" si="234"/>
        <v>39.819946839372655</v>
      </c>
      <c r="BS200" s="175">
        <f t="shared" si="234"/>
        <v>41.198415271268964</v>
      </c>
      <c r="BT200" s="175">
        <f t="shared" ref="BT200:DA200" si="235">ATAN(BT197/BT196)*180/PI()</f>
        <v>50.460392254476261</v>
      </c>
      <c r="BU200" s="175">
        <f t="shared" si="235"/>
        <v>52.741621831760021</v>
      </c>
      <c r="BV200" s="175">
        <f t="shared" si="235"/>
        <v>63.85280161760992</v>
      </c>
      <c r="BW200" s="175">
        <f t="shared" si="235"/>
        <v>84.064599500261082</v>
      </c>
      <c r="BX200" s="175">
        <f t="shared" si="235"/>
        <v>70.716464278944912</v>
      </c>
      <c r="BY200" s="175">
        <f t="shared" si="235"/>
        <v>74.839994910966666</v>
      </c>
      <c r="BZ200" s="175">
        <f t="shared" si="235"/>
        <v>73.845839670983651</v>
      </c>
      <c r="CA200" s="175">
        <f t="shared" si="235"/>
        <v>70.817178069070096</v>
      </c>
      <c r="CB200" s="175">
        <f t="shared" si="235"/>
        <v>62.711941490729075</v>
      </c>
      <c r="CC200" s="175">
        <f t="shared" si="235"/>
        <v>80.748162349366396</v>
      </c>
      <c r="CD200" s="175">
        <f t="shared" si="235"/>
        <v>84.009481501180872</v>
      </c>
      <c r="CE200" s="175">
        <f t="shared" si="235"/>
        <v>81.641215993914997</v>
      </c>
      <c r="CF200" s="175">
        <f t="shared" si="235"/>
        <v>84.667277986873259</v>
      </c>
      <c r="CG200" s="175">
        <f t="shared" si="235"/>
        <v>-89.843335496068789</v>
      </c>
      <c r="CH200" s="175">
        <f t="shared" si="235"/>
        <v>-80.918668637289457</v>
      </c>
      <c r="CI200" s="175">
        <f t="shared" si="235"/>
        <v>-81.69392768523403</v>
      </c>
      <c r="CJ200" s="175">
        <f t="shared" si="235"/>
        <v>-77.227196174796475</v>
      </c>
      <c r="CK200" s="175">
        <f t="shared" si="235"/>
        <v>-75.529846879998161</v>
      </c>
      <c r="CL200" s="175">
        <f t="shared" si="235"/>
        <v>-54.074975954457393</v>
      </c>
      <c r="CM200" s="175">
        <f t="shared" si="235"/>
        <v>-68.958368456084017</v>
      </c>
      <c r="CN200" s="175">
        <f t="shared" si="235"/>
        <v>-73.712748170753784</v>
      </c>
      <c r="CO200" s="175">
        <f t="shared" si="235"/>
        <v>-59.084864590305813</v>
      </c>
      <c r="CP200" s="175">
        <f t="shared" si="235"/>
        <v>-51.198543939429904</v>
      </c>
      <c r="CQ200" s="175">
        <f t="shared" si="235"/>
        <v>-52.169926729807379</v>
      </c>
      <c r="CR200" s="175">
        <f t="shared" si="235"/>
        <v>-47.187623808485775</v>
      </c>
      <c r="CS200" s="175">
        <f t="shared" si="235"/>
        <v>8.1098760723440719</v>
      </c>
      <c r="CT200" s="175">
        <f t="shared" si="235"/>
        <v>-44.321560468849043</v>
      </c>
      <c r="CU200" s="175">
        <f t="shared" si="235"/>
        <v>-37.501992993714246</v>
      </c>
      <c r="CV200" s="175">
        <f t="shared" si="235"/>
        <v>-36.770372296022941</v>
      </c>
      <c r="CW200" s="175">
        <f t="shared" si="235"/>
        <v>-28.206281112639182</v>
      </c>
      <c r="CX200" s="175">
        <f t="shared" si="235"/>
        <v>-25.270483363828557</v>
      </c>
      <c r="CY200" s="175">
        <f t="shared" si="235"/>
        <v>-10.398520884672179</v>
      </c>
      <c r="CZ200" s="175">
        <f t="shared" si="235"/>
        <v>-6.7071274261100733</v>
      </c>
      <c r="DA200" s="175">
        <f t="shared" si="235"/>
        <v>-11.112751014031993</v>
      </c>
    </row>
    <row r="201" spans="5:105">
      <c r="E201" s="160" t="s">
        <v>336</v>
      </c>
      <c r="F201" s="160"/>
      <c r="G201" s="160"/>
      <c r="H201" s="160"/>
      <c r="I201" s="160"/>
      <c r="J201" s="160"/>
      <c r="K201" s="160"/>
      <c r="L201" s="160"/>
      <c r="M201" s="160"/>
      <c r="N201" s="160"/>
      <c r="O201" s="160"/>
      <c r="P201" s="160"/>
      <c r="Q201" s="160"/>
      <c r="R201" s="160"/>
      <c r="S201" s="160"/>
      <c r="T201" s="160"/>
      <c r="U201" s="160"/>
      <c r="V201" s="160"/>
      <c r="W201" s="160"/>
      <c r="X201" s="160"/>
      <c r="Y201" s="160"/>
      <c r="Z201" s="160"/>
      <c r="AA201" s="160"/>
      <c r="AB201" s="160"/>
      <c r="AC201" s="160"/>
      <c r="AD201" s="160"/>
      <c r="AE201" s="160"/>
      <c r="AF201" s="160"/>
      <c r="AG201" s="160"/>
      <c r="AH201" s="160"/>
      <c r="AI201" s="160"/>
      <c r="AJ201" s="160"/>
      <c r="AK201" s="160"/>
      <c r="AL201" s="160"/>
      <c r="AM201" s="160"/>
      <c r="AN201" s="160"/>
      <c r="AO201" s="160"/>
      <c r="AP201" s="160"/>
      <c r="AQ201" s="160"/>
      <c r="AR201" s="160"/>
      <c r="AS201" s="160"/>
      <c r="AT201" s="160"/>
      <c r="AU201" s="160"/>
      <c r="AV201" s="160"/>
      <c r="AW201" s="160"/>
      <c r="AX201" s="160"/>
      <c r="AY201" s="160"/>
      <c r="AZ201" s="160"/>
      <c r="BA201" s="160"/>
      <c r="BB201" s="160"/>
      <c r="BC201" s="160"/>
      <c r="BD201" s="160"/>
      <c r="BE201" s="160"/>
      <c r="BF201" s="160"/>
      <c r="BG201" s="160"/>
      <c r="BH201" s="160"/>
      <c r="BI201" s="160"/>
      <c r="BJ201" s="160"/>
      <c r="BK201" s="160"/>
      <c r="BL201" s="160"/>
      <c r="BM201" s="160"/>
      <c r="BN201" s="160"/>
      <c r="BO201" s="160"/>
      <c r="BP201" s="160"/>
      <c r="BQ201" s="160"/>
      <c r="BR201" s="160"/>
      <c r="BS201" s="160"/>
      <c r="BT201" s="160"/>
      <c r="BU201" s="160"/>
      <c r="BV201" s="160"/>
      <c r="BW201" s="160"/>
      <c r="BX201" s="160"/>
      <c r="BY201" s="160"/>
      <c r="BZ201" s="160"/>
      <c r="CA201" s="160"/>
      <c r="CB201" s="160"/>
      <c r="CC201" s="160"/>
      <c r="CD201" s="160"/>
      <c r="CE201" s="160"/>
      <c r="CF201" s="160"/>
      <c r="CG201" s="160"/>
      <c r="CH201" s="160"/>
      <c r="CI201" s="160"/>
      <c r="CJ201" s="160"/>
      <c r="CK201" s="160"/>
      <c r="CL201" s="160"/>
      <c r="CM201" s="160"/>
      <c r="CN201" s="160"/>
      <c r="CO201" s="160"/>
      <c r="CP201" s="160"/>
      <c r="CQ201" s="160"/>
      <c r="CR201" s="160"/>
      <c r="CS201" s="160"/>
      <c r="CT201" s="160"/>
      <c r="CU201" s="160"/>
      <c r="CV201" s="160"/>
      <c r="CW201" s="160"/>
      <c r="CX201" s="160"/>
      <c r="CY201" s="160"/>
      <c r="CZ201" s="160"/>
      <c r="DA201" s="160"/>
    </row>
    <row r="202" spans="5:105">
      <c r="E202" s="160"/>
      <c r="F202" s="160"/>
      <c r="G202" s="160"/>
      <c r="H202" s="160"/>
      <c r="I202" s="160"/>
      <c r="J202" s="160"/>
      <c r="K202" s="160"/>
      <c r="L202" s="160"/>
      <c r="M202" s="160"/>
      <c r="N202" s="160"/>
      <c r="O202" s="160"/>
      <c r="P202" s="160"/>
      <c r="Q202" s="160"/>
      <c r="R202" s="160"/>
      <c r="S202" s="160"/>
      <c r="T202" s="160"/>
      <c r="U202" s="160"/>
      <c r="V202" s="160"/>
      <c r="W202" s="160"/>
      <c r="X202" s="160"/>
      <c r="Y202" s="160"/>
      <c r="Z202" s="160"/>
      <c r="AA202" s="160"/>
      <c r="AB202" s="160"/>
      <c r="AC202" s="160"/>
      <c r="AD202" s="160"/>
      <c r="AE202" s="160"/>
      <c r="AF202" s="160"/>
      <c r="AG202" s="160"/>
      <c r="AH202" s="160"/>
      <c r="AI202" s="160"/>
      <c r="AJ202" s="160"/>
      <c r="AK202" s="160"/>
      <c r="AL202" s="160"/>
      <c r="AM202" s="160"/>
      <c r="AN202" s="160"/>
      <c r="AO202" s="160"/>
      <c r="AP202" s="160"/>
      <c r="AQ202" s="160"/>
      <c r="AR202" s="160"/>
      <c r="AS202" s="160"/>
      <c r="AT202" s="160"/>
      <c r="AU202" s="160"/>
      <c r="AV202" s="160"/>
      <c r="AW202" s="160"/>
      <c r="AX202" s="160"/>
      <c r="AY202" s="160"/>
      <c r="AZ202" s="160"/>
      <c r="BA202" s="160"/>
      <c r="BB202" s="160"/>
      <c r="BC202" s="160"/>
      <c r="BD202" s="160"/>
      <c r="BE202" s="160"/>
      <c r="BF202" s="160"/>
      <c r="BG202" s="160"/>
      <c r="BH202" s="160"/>
      <c r="BI202" s="160"/>
      <c r="BJ202" s="160"/>
      <c r="BK202" s="160"/>
      <c r="BL202" s="160"/>
      <c r="BM202" s="160"/>
      <c r="BN202" s="160"/>
      <c r="BO202" s="160"/>
      <c r="BP202" s="160"/>
      <c r="BQ202" s="160"/>
      <c r="BR202" s="160"/>
      <c r="BS202" s="160"/>
      <c r="BT202" s="160"/>
      <c r="BU202" s="160"/>
      <c r="BV202" s="160"/>
      <c r="BW202" s="160"/>
      <c r="BX202" s="160"/>
      <c r="BY202" s="160"/>
      <c r="BZ202" s="160"/>
      <c r="CA202" s="160"/>
      <c r="CB202" s="160"/>
      <c r="CC202" s="160"/>
      <c r="CD202" s="160"/>
      <c r="CE202" s="160"/>
      <c r="CF202" s="160"/>
      <c r="CG202" s="160"/>
      <c r="CH202" s="160"/>
      <c r="CI202" s="160"/>
      <c r="CJ202" s="160"/>
      <c r="CK202" s="160"/>
      <c r="CL202" s="160"/>
      <c r="CM202" s="160"/>
      <c r="CN202" s="160"/>
      <c r="CO202" s="160"/>
      <c r="CP202" s="160"/>
      <c r="CQ202" s="160"/>
      <c r="CR202" s="160"/>
      <c r="CS202" s="160"/>
      <c r="CT202" s="160"/>
      <c r="CU202" s="160"/>
      <c r="CV202" s="160"/>
      <c r="CW202" s="160"/>
      <c r="CX202" s="160"/>
      <c r="CY202" s="160"/>
      <c r="CZ202" s="160"/>
      <c r="DA202" s="160"/>
    </row>
    <row r="203" spans="5:105">
      <c r="E203" s="160" t="s">
        <v>337</v>
      </c>
      <c r="F203" s="160"/>
      <c r="G203" s="160"/>
      <c r="H203" s="160"/>
      <c r="I203" s="160"/>
      <c r="J203" s="160"/>
      <c r="K203" s="160"/>
      <c r="L203" s="160"/>
      <c r="M203" s="160"/>
      <c r="N203" s="160"/>
      <c r="O203" s="160"/>
      <c r="P203" s="160"/>
      <c r="Q203" s="160"/>
      <c r="R203" s="160"/>
      <c r="S203" s="160"/>
      <c r="T203" s="160"/>
      <c r="U203" s="160"/>
      <c r="V203" s="160"/>
      <c r="W203" s="160"/>
      <c r="X203" s="160"/>
      <c r="Y203" s="160"/>
      <c r="Z203" s="160"/>
      <c r="AA203" s="160"/>
      <c r="AB203" s="160"/>
      <c r="AC203" s="160"/>
      <c r="AD203" s="160"/>
      <c r="AE203" s="160"/>
      <c r="AF203" s="160"/>
      <c r="AG203" s="160"/>
      <c r="AH203" s="160"/>
      <c r="AI203" s="160"/>
      <c r="AJ203" s="160"/>
      <c r="AK203" s="160"/>
      <c r="AL203" s="160"/>
      <c r="AM203" s="160"/>
      <c r="AN203" s="160"/>
      <c r="AO203" s="160"/>
      <c r="AP203" s="160"/>
      <c r="AQ203" s="160"/>
      <c r="AR203" s="160"/>
      <c r="AS203" s="160"/>
      <c r="AT203" s="160"/>
      <c r="AU203" s="160"/>
      <c r="AV203" s="160"/>
      <c r="AW203" s="160"/>
      <c r="AX203" s="160"/>
      <c r="AY203" s="160"/>
      <c r="AZ203" s="160"/>
      <c r="BA203" s="160"/>
      <c r="BB203" s="160"/>
      <c r="BC203" s="160"/>
      <c r="BD203" s="160"/>
      <c r="BE203" s="160"/>
      <c r="BF203" s="160"/>
      <c r="BG203" s="160"/>
      <c r="BH203" s="160"/>
      <c r="BI203" s="160"/>
      <c r="BJ203" s="160"/>
      <c r="BK203" s="160"/>
      <c r="BL203" s="160"/>
      <c r="BM203" s="160"/>
      <c r="BN203" s="160"/>
      <c r="BO203" s="160"/>
      <c r="BP203" s="160"/>
      <c r="BQ203" s="160"/>
      <c r="BR203" s="160"/>
      <c r="BS203" s="160"/>
      <c r="BT203" s="160"/>
      <c r="BU203" s="160"/>
      <c r="BV203" s="160"/>
      <c r="BW203" s="160"/>
      <c r="BX203" s="160"/>
      <c r="BY203" s="160"/>
      <c r="BZ203" s="160"/>
      <c r="CA203" s="160"/>
      <c r="CB203" s="160"/>
      <c r="CC203" s="160"/>
      <c r="CD203" s="160"/>
      <c r="CE203" s="160"/>
      <c r="CF203" s="160"/>
      <c r="CG203" s="160"/>
      <c r="CH203" s="160"/>
      <c r="CI203" s="160"/>
      <c r="CJ203" s="160"/>
      <c r="CK203" s="160"/>
      <c r="CL203" s="160"/>
      <c r="CM203" s="160"/>
      <c r="CN203" s="160"/>
      <c r="CO203" s="160"/>
      <c r="CP203" s="160"/>
      <c r="CQ203" s="160"/>
      <c r="CR203" s="160"/>
      <c r="CS203" s="160"/>
      <c r="CT203" s="160"/>
      <c r="CU203" s="160"/>
      <c r="CV203" s="160"/>
      <c r="CW203" s="160"/>
      <c r="CX203" s="160"/>
      <c r="CY203" s="160"/>
      <c r="CZ203" s="160"/>
      <c r="DA203" s="160"/>
    </row>
    <row r="204" spans="5:105">
      <c r="E204" s="160" t="s">
        <v>338</v>
      </c>
      <c r="F204" s="160"/>
      <c r="G204" s="160"/>
      <c r="H204" s="160"/>
      <c r="I204" s="160"/>
      <c r="J204" s="160"/>
      <c r="K204" s="160"/>
      <c r="L204" s="160"/>
      <c r="M204" s="160"/>
      <c r="N204" s="160"/>
      <c r="O204" s="160"/>
      <c r="P204" s="160"/>
      <c r="Q204" s="160"/>
      <c r="R204" s="160"/>
      <c r="S204" s="160"/>
      <c r="T204" s="160"/>
      <c r="U204" s="160"/>
      <c r="V204" s="160"/>
      <c r="W204" s="160"/>
      <c r="X204" s="160"/>
      <c r="Y204" s="160"/>
      <c r="Z204" s="160"/>
      <c r="AA204" s="160"/>
      <c r="AB204" s="160"/>
      <c r="AC204" s="160"/>
      <c r="AD204" s="160"/>
      <c r="AE204" s="160"/>
      <c r="AF204" s="160"/>
      <c r="AG204" s="160"/>
      <c r="AH204" s="160"/>
      <c r="AI204" s="160"/>
      <c r="AJ204" s="160"/>
      <c r="AK204" s="160"/>
      <c r="AL204" s="160"/>
      <c r="AM204" s="160"/>
      <c r="AN204" s="160"/>
      <c r="AO204" s="160"/>
      <c r="AP204" s="160"/>
      <c r="AQ204" s="160"/>
      <c r="AR204" s="160"/>
      <c r="AS204" s="160"/>
      <c r="AT204" s="160"/>
      <c r="AU204" s="160"/>
      <c r="AV204" s="160"/>
      <c r="AW204" s="160"/>
      <c r="AX204" s="160"/>
      <c r="AY204" s="160"/>
      <c r="AZ204" s="160"/>
      <c r="BA204" s="160"/>
      <c r="BB204" s="160"/>
      <c r="BC204" s="160"/>
      <c r="BD204" s="160"/>
      <c r="BE204" s="160"/>
      <c r="BF204" s="160"/>
      <c r="BG204" s="160"/>
      <c r="BH204" s="160"/>
      <c r="BI204" s="160"/>
      <c r="BJ204" s="160"/>
      <c r="BK204" s="160"/>
      <c r="BL204" s="160"/>
      <c r="BM204" s="160"/>
      <c r="BN204" s="160"/>
      <c r="BO204" s="160"/>
      <c r="BP204" s="160"/>
      <c r="BQ204" s="160"/>
      <c r="BR204" s="160"/>
      <c r="BS204" s="160"/>
      <c r="BT204" s="160"/>
      <c r="BU204" s="160"/>
      <c r="BV204" s="160"/>
      <c r="BW204" s="160"/>
      <c r="BX204" s="160"/>
      <c r="BY204" s="160"/>
      <c r="BZ204" s="160"/>
      <c r="CA204" s="160"/>
      <c r="CB204" s="160"/>
      <c r="CC204" s="160"/>
      <c r="CD204" s="160"/>
      <c r="CE204" s="160"/>
      <c r="CF204" s="160"/>
      <c r="CG204" s="160"/>
      <c r="CH204" s="160"/>
      <c r="CI204" s="160"/>
      <c r="CJ204" s="160"/>
      <c r="CK204" s="160"/>
      <c r="CL204" s="160"/>
      <c r="CM204" s="160"/>
      <c r="CN204" s="160"/>
      <c r="CO204" s="160"/>
      <c r="CP204" s="160"/>
      <c r="CQ204" s="160"/>
      <c r="CR204" s="160"/>
      <c r="CS204" s="160"/>
      <c r="CT204" s="160"/>
      <c r="CU204" s="160"/>
      <c r="CV204" s="160"/>
      <c r="CW204" s="160"/>
      <c r="CX204" s="160"/>
      <c r="CY204" s="160"/>
      <c r="CZ204" s="160"/>
      <c r="DA204" s="160"/>
    </row>
    <row r="205" spans="5:105">
      <c r="E205" s="160" t="s">
        <v>339</v>
      </c>
      <c r="F205" s="160"/>
      <c r="G205" s="160"/>
      <c r="H205" s="160"/>
      <c r="I205" s="160"/>
      <c r="J205" s="160"/>
      <c r="K205" s="160"/>
      <c r="L205" s="160"/>
      <c r="M205" s="160"/>
      <c r="N205" s="160"/>
      <c r="O205" s="160"/>
      <c r="P205" s="160"/>
      <c r="Q205" s="160"/>
      <c r="R205" s="160"/>
      <c r="S205" s="160"/>
      <c r="T205" s="160"/>
      <c r="U205" s="160"/>
      <c r="V205" s="160"/>
      <c r="W205" s="160"/>
      <c r="X205" s="160"/>
      <c r="Y205" s="160"/>
      <c r="Z205" s="160"/>
      <c r="AA205" s="160"/>
      <c r="AB205" s="160"/>
      <c r="AC205" s="160"/>
      <c r="AD205" s="160"/>
      <c r="AE205" s="160"/>
      <c r="AF205" s="160"/>
      <c r="AG205" s="160"/>
      <c r="AH205" s="160"/>
      <c r="AI205" s="160"/>
      <c r="AJ205" s="160"/>
      <c r="AK205" s="160"/>
      <c r="AL205" s="160"/>
      <c r="AM205" s="160"/>
      <c r="AN205" s="160"/>
      <c r="AO205" s="160"/>
      <c r="AP205" s="160"/>
      <c r="AQ205" s="160"/>
      <c r="AR205" s="160"/>
      <c r="AS205" s="160"/>
      <c r="AT205" s="160"/>
      <c r="AU205" s="160"/>
      <c r="AV205" s="160"/>
      <c r="AW205" s="160"/>
      <c r="AX205" s="160"/>
      <c r="AY205" s="160"/>
      <c r="AZ205" s="160"/>
      <c r="BA205" s="160"/>
      <c r="BB205" s="160"/>
      <c r="BC205" s="160"/>
      <c r="BD205" s="160"/>
      <c r="BE205" s="160"/>
      <c r="BF205" s="160"/>
      <c r="BG205" s="160"/>
      <c r="BH205" s="160"/>
      <c r="BI205" s="160"/>
      <c r="BJ205" s="160"/>
      <c r="BK205" s="160"/>
      <c r="BL205" s="160"/>
      <c r="BM205" s="160"/>
      <c r="BN205" s="160"/>
      <c r="BO205" s="160"/>
      <c r="BP205" s="160"/>
      <c r="BQ205" s="160"/>
      <c r="BR205" s="160"/>
      <c r="BS205" s="160"/>
      <c r="BT205" s="160"/>
      <c r="BU205" s="160"/>
      <c r="BV205" s="160"/>
      <c r="BW205" s="160"/>
      <c r="BX205" s="160"/>
      <c r="BY205" s="160"/>
      <c r="BZ205" s="160"/>
      <c r="CA205" s="160"/>
      <c r="CB205" s="160"/>
      <c r="CC205" s="160"/>
      <c r="CD205" s="160"/>
      <c r="CE205" s="160"/>
      <c r="CF205" s="160"/>
      <c r="CG205" s="160"/>
      <c r="CH205" s="160"/>
      <c r="CI205" s="160"/>
      <c r="CJ205" s="160"/>
      <c r="CK205" s="160"/>
      <c r="CL205" s="160"/>
      <c r="CM205" s="160"/>
      <c r="CN205" s="160"/>
      <c r="CO205" s="160"/>
      <c r="CP205" s="160"/>
      <c r="CQ205" s="160"/>
      <c r="CR205" s="160"/>
      <c r="CS205" s="160"/>
      <c r="CT205" s="160"/>
      <c r="CU205" s="160"/>
      <c r="CV205" s="160"/>
      <c r="CW205" s="160"/>
      <c r="CX205" s="160"/>
      <c r="CY205" s="160"/>
      <c r="CZ205" s="160"/>
      <c r="DA205" s="160"/>
    </row>
    <row r="206" spans="5:105">
      <c r="E206" s="160" t="s">
        <v>340</v>
      </c>
      <c r="F206" s="160"/>
      <c r="G206" s="160"/>
      <c r="H206" s="160"/>
      <c r="I206" s="160"/>
      <c r="J206" s="160"/>
      <c r="K206" s="160"/>
      <c r="L206" s="160"/>
      <c r="M206" s="160"/>
      <c r="N206" s="160"/>
      <c r="O206" s="160"/>
      <c r="P206" s="160"/>
      <c r="Q206" s="160"/>
      <c r="R206" s="160"/>
      <c r="S206" s="160"/>
      <c r="T206" s="160"/>
      <c r="U206" s="160"/>
      <c r="V206" s="160"/>
      <c r="W206" s="160"/>
      <c r="X206" s="160"/>
      <c r="Y206" s="160"/>
      <c r="Z206" s="160"/>
      <c r="AA206" s="160"/>
      <c r="AB206" s="160"/>
      <c r="AC206" s="160"/>
      <c r="AD206" s="160"/>
      <c r="AE206" s="160"/>
      <c r="AF206" s="160"/>
      <c r="AG206" s="160"/>
      <c r="AH206" s="160"/>
      <c r="AI206" s="160"/>
      <c r="AJ206" s="160"/>
      <c r="AK206" s="160"/>
      <c r="AL206" s="160"/>
      <c r="AM206" s="160"/>
      <c r="AN206" s="160"/>
      <c r="AO206" s="160"/>
      <c r="AP206" s="160"/>
      <c r="AQ206" s="160"/>
      <c r="AR206" s="160"/>
      <c r="AS206" s="160"/>
      <c r="AT206" s="160"/>
      <c r="AU206" s="160"/>
      <c r="AV206" s="160"/>
      <c r="AW206" s="160"/>
      <c r="AX206" s="160"/>
      <c r="AY206" s="160"/>
      <c r="AZ206" s="160"/>
      <c r="BA206" s="160"/>
      <c r="BB206" s="160"/>
      <c r="BC206" s="160"/>
      <c r="BD206" s="160"/>
      <c r="BE206" s="160"/>
      <c r="BF206" s="160"/>
      <c r="BG206" s="160"/>
      <c r="BH206" s="160"/>
      <c r="BI206" s="160"/>
      <c r="BJ206" s="160"/>
      <c r="BK206" s="160"/>
      <c r="BL206" s="160"/>
      <c r="BM206" s="160"/>
      <c r="BN206" s="160"/>
      <c r="BO206" s="160"/>
      <c r="BP206" s="160"/>
      <c r="BQ206" s="160"/>
      <c r="BR206" s="160"/>
      <c r="BS206" s="160"/>
      <c r="BT206" s="160"/>
      <c r="BU206" s="160"/>
      <c r="BV206" s="160"/>
      <c r="BW206" s="160"/>
      <c r="BX206" s="160"/>
      <c r="BY206" s="160"/>
      <c r="BZ206" s="160"/>
      <c r="CA206" s="160"/>
      <c r="CB206" s="160"/>
      <c r="CC206" s="160"/>
      <c r="CD206" s="160"/>
      <c r="CE206" s="160"/>
      <c r="CF206" s="160"/>
      <c r="CG206" s="160"/>
      <c r="CH206" s="160"/>
      <c r="CI206" s="160"/>
      <c r="CJ206" s="160"/>
      <c r="CK206" s="160"/>
      <c r="CL206" s="160"/>
      <c r="CM206" s="160"/>
      <c r="CN206" s="160"/>
      <c r="CO206" s="160"/>
      <c r="CP206" s="160"/>
      <c r="CQ206" s="160"/>
      <c r="CR206" s="160"/>
      <c r="CS206" s="160"/>
      <c r="CT206" s="160"/>
      <c r="CU206" s="160"/>
      <c r="CV206" s="160"/>
      <c r="CW206" s="160"/>
      <c r="CX206" s="160"/>
      <c r="CY206" s="160"/>
      <c r="CZ206" s="160"/>
      <c r="DA206" s="160"/>
    </row>
    <row r="207" spans="5:105">
      <c r="E207" s="160"/>
      <c r="F207" s="160"/>
      <c r="G207" s="160"/>
      <c r="H207" s="160"/>
      <c r="I207" s="160"/>
      <c r="J207" s="160"/>
      <c r="K207" s="160"/>
      <c r="L207" s="160"/>
      <c r="M207" s="160"/>
      <c r="N207" s="160"/>
      <c r="O207" s="160"/>
      <c r="P207" s="160"/>
      <c r="Q207" s="160"/>
      <c r="R207" s="160"/>
      <c r="S207" s="160"/>
      <c r="T207" s="160"/>
      <c r="U207" s="160"/>
      <c r="V207" s="160"/>
      <c r="W207" s="160"/>
      <c r="X207" s="160"/>
      <c r="Y207" s="160"/>
      <c r="Z207" s="160"/>
      <c r="AA207" s="160"/>
      <c r="AB207" s="160"/>
      <c r="AC207" s="160"/>
      <c r="AD207" s="160"/>
      <c r="AE207" s="160"/>
      <c r="AF207" s="160"/>
      <c r="AG207" s="160"/>
      <c r="AH207" s="160"/>
      <c r="AI207" s="160"/>
      <c r="AJ207" s="160"/>
      <c r="AK207" s="160"/>
      <c r="AL207" s="160"/>
      <c r="AM207" s="160"/>
      <c r="AN207" s="160"/>
      <c r="AO207" s="160"/>
      <c r="AP207" s="160"/>
      <c r="AQ207" s="160"/>
      <c r="AR207" s="160"/>
      <c r="AS207" s="160"/>
      <c r="AT207" s="160"/>
      <c r="AU207" s="160"/>
      <c r="AV207" s="160"/>
      <c r="AW207" s="160"/>
      <c r="AX207" s="160"/>
      <c r="AY207" s="160"/>
      <c r="AZ207" s="160"/>
      <c r="BA207" s="160"/>
      <c r="BB207" s="160"/>
      <c r="BC207" s="160"/>
      <c r="BD207" s="160"/>
      <c r="BE207" s="160"/>
      <c r="BF207" s="160"/>
      <c r="BG207" s="160"/>
      <c r="BH207" s="160"/>
      <c r="BI207" s="160"/>
      <c r="BJ207" s="160"/>
      <c r="BK207" s="160"/>
      <c r="BL207" s="160"/>
      <c r="BM207" s="160"/>
      <c r="BN207" s="160"/>
      <c r="BO207" s="160"/>
      <c r="BP207" s="160"/>
      <c r="BQ207" s="160"/>
      <c r="BR207" s="160"/>
      <c r="BS207" s="160"/>
      <c r="BT207" s="160"/>
      <c r="BU207" s="160"/>
      <c r="BV207" s="160"/>
      <c r="BW207" s="160"/>
      <c r="BX207" s="160"/>
      <c r="BY207" s="160"/>
      <c r="BZ207" s="160"/>
      <c r="CA207" s="160"/>
      <c r="CB207" s="160"/>
      <c r="CC207" s="160"/>
      <c r="CD207" s="160"/>
      <c r="CE207" s="160"/>
      <c r="CF207" s="160"/>
      <c r="CG207" s="160"/>
      <c r="CH207" s="160"/>
      <c r="CI207" s="160"/>
      <c r="CJ207" s="160"/>
      <c r="CK207" s="160"/>
      <c r="CL207" s="160"/>
      <c r="CM207" s="160"/>
      <c r="CN207" s="160"/>
      <c r="CO207" s="160"/>
      <c r="CP207" s="160"/>
      <c r="CQ207" s="160"/>
      <c r="CR207" s="160"/>
      <c r="CS207" s="160"/>
      <c r="CT207" s="160"/>
      <c r="CU207" s="160"/>
      <c r="CV207" s="160"/>
      <c r="CW207" s="160"/>
      <c r="CX207" s="160"/>
      <c r="CY207" s="160"/>
      <c r="CZ207" s="160"/>
      <c r="DA207" s="160"/>
    </row>
    <row r="208" spans="5:105">
      <c r="E208" s="174" t="s">
        <v>341</v>
      </c>
      <c r="F208" s="160">
        <f>(1+100*0.007)*F187/(1+0.007*F187)</f>
        <v>100</v>
      </c>
      <c r="G208" s="160">
        <f t="shared" ref="G208:BR208" si="236">(1+100*0.007)*G187/(1+0.007*G187)</f>
        <v>86.149821526394874</v>
      </c>
      <c r="H208" s="160">
        <f t="shared" si="236"/>
        <v>61.985918419424905</v>
      </c>
      <c r="I208" s="160">
        <f t="shared" si="236"/>
        <v>30.297207749478545</v>
      </c>
      <c r="J208" s="160">
        <f t="shared" si="236"/>
        <v>71.617316487888274</v>
      </c>
      <c r="K208" s="160">
        <f t="shared" si="236"/>
        <v>48.18972477716062</v>
      </c>
      <c r="L208" s="160">
        <f t="shared" si="236"/>
        <v>51.523901936214038</v>
      </c>
      <c r="M208" s="160">
        <f t="shared" si="236"/>
        <v>39.656082001857229</v>
      </c>
      <c r="N208" s="160">
        <f t="shared" si="236"/>
        <v>38.480038631706691</v>
      </c>
      <c r="O208" s="160">
        <f t="shared" si="236"/>
        <v>28.39270505656847</v>
      </c>
      <c r="P208" s="160">
        <f t="shared" si="236"/>
        <v>76.021296995925397</v>
      </c>
      <c r="Q208" s="160">
        <f t="shared" si="236"/>
        <v>59.710630582570154</v>
      </c>
      <c r="R208" s="160">
        <f t="shared" si="236"/>
        <v>65.232591514865561</v>
      </c>
      <c r="S208" s="160">
        <f t="shared" si="236"/>
        <v>42.054830680102121</v>
      </c>
      <c r="T208" s="160">
        <f t="shared" si="236"/>
        <v>74.316593408158582</v>
      </c>
      <c r="U208" s="160">
        <f t="shared" si="236"/>
        <v>70.715348062518558</v>
      </c>
      <c r="V208" s="160">
        <f t="shared" si="236"/>
        <v>46.685645747771474</v>
      </c>
      <c r="W208" s="160">
        <f t="shared" si="236"/>
        <v>50.650114553362137</v>
      </c>
      <c r="X208" s="160">
        <f t="shared" si="236"/>
        <v>56.028188059068853</v>
      </c>
      <c r="Y208" s="160">
        <f t="shared" si="236"/>
        <v>73.546541629983437</v>
      </c>
      <c r="Z208" s="160">
        <f t="shared" si="236"/>
        <v>65.206515771458299</v>
      </c>
      <c r="AA208" s="160">
        <f t="shared" si="236"/>
        <v>88.108833163719723</v>
      </c>
      <c r="AB208" s="160">
        <f t="shared" si="236"/>
        <v>79.807897766864016</v>
      </c>
      <c r="AC208" s="160">
        <f t="shared" si="236"/>
        <v>92.031716985676624</v>
      </c>
      <c r="AD208" s="160">
        <f t="shared" si="236"/>
        <v>91.981617069597235</v>
      </c>
      <c r="AE208" s="160">
        <f t="shared" si="236"/>
        <v>73.890039535119868</v>
      </c>
      <c r="AF208" s="160">
        <f t="shared" si="236"/>
        <v>90.771006470450388</v>
      </c>
      <c r="AG208" s="160">
        <f t="shared" si="236"/>
        <v>73.730962313505202</v>
      </c>
      <c r="AH208" s="160">
        <f t="shared" si="236"/>
        <v>42.593994567753263</v>
      </c>
      <c r="AI208" s="160">
        <f t="shared" si="236"/>
        <v>87.239979273545217</v>
      </c>
      <c r="AJ208" s="160">
        <f t="shared" si="236"/>
        <v>64.289655723093659</v>
      </c>
      <c r="AK208" s="160">
        <f t="shared" si="236"/>
        <v>88.823055235328326</v>
      </c>
      <c r="AL208" s="160">
        <f t="shared" si="236"/>
        <v>76.110084678901444</v>
      </c>
      <c r="AM208" s="160">
        <f t="shared" si="236"/>
        <v>89.680431120343471</v>
      </c>
      <c r="AN208" s="160">
        <f t="shared" si="236"/>
        <v>63.523280603093433</v>
      </c>
      <c r="AO208" s="160">
        <f t="shared" si="236"/>
        <v>43.356973877904984</v>
      </c>
      <c r="AP208" s="160">
        <f t="shared" si="236"/>
        <v>80.540163323953891</v>
      </c>
      <c r="AQ208" s="160">
        <f t="shared" si="236"/>
        <v>49.363032838445179</v>
      </c>
      <c r="AR208" s="160">
        <f t="shared" si="236"/>
        <v>86.102868939403038</v>
      </c>
      <c r="AS208" s="160">
        <f t="shared" si="236"/>
        <v>34.76581926586173</v>
      </c>
      <c r="AT208" s="160">
        <f t="shared" si="236"/>
        <v>48.859163266454594</v>
      </c>
      <c r="AU208" s="160">
        <f t="shared" si="236"/>
        <v>87.804627000864429</v>
      </c>
      <c r="AV208" s="160">
        <f t="shared" si="236"/>
        <v>68.906991565544004</v>
      </c>
      <c r="AW208" s="160">
        <f t="shared" si="236"/>
        <v>72.36774784801581</v>
      </c>
      <c r="AX208" s="160">
        <f t="shared" si="236"/>
        <v>28.749365532136554</v>
      </c>
      <c r="AY208" s="160">
        <f t="shared" si="236"/>
        <v>58.281211257154972</v>
      </c>
      <c r="AZ208" s="160">
        <f t="shared" si="236"/>
        <v>66.810369150483922</v>
      </c>
      <c r="BA208" s="160">
        <f t="shared" si="236"/>
        <v>68.840100568288833</v>
      </c>
      <c r="BB208" s="160">
        <f t="shared" si="236"/>
        <v>78.001893313883741</v>
      </c>
      <c r="BC208" s="160">
        <f t="shared" si="236"/>
        <v>45.593002956950116</v>
      </c>
      <c r="BD208" s="160">
        <f t="shared" si="236"/>
        <v>53.12487508779887</v>
      </c>
      <c r="BE208" s="160">
        <f t="shared" si="236"/>
        <v>56.710554171843235</v>
      </c>
      <c r="BF208" s="160">
        <f t="shared" si="236"/>
        <v>38.979342590042172</v>
      </c>
      <c r="BG208" s="160">
        <f t="shared" si="236"/>
        <v>46.827453102474934</v>
      </c>
      <c r="BH208" s="160">
        <f t="shared" si="236"/>
        <v>86.959389438786218</v>
      </c>
      <c r="BI208" s="160">
        <f t="shared" si="236"/>
        <v>82.887906761587303</v>
      </c>
      <c r="BJ208" s="160">
        <f t="shared" si="236"/>
        <v>69.285416004107887</v>
      </c>
      <c r="BK208" s="160">
        <f t="shared" si="236"/>
        <v>55.172439125068564</v>
      </c>
      <c r="BL208" s="160">
        <f t="shared" si="236"/>
        <v>51.458063729889965</v>
      </c>
      <c r="BM208" s="160">
        <f t="shared" si="236"/>
        <v>86.210201026895646</v>
      </c>
      <c r="BN208" s="160">
        <f t="shared" si="236"/>
        <v>87.930187932816978</v>
      </c>
      <c r="BO208" s="160">
        <f t="shared" si="236"/>
        <v>75.762905722813471</v>
      </c>
      <c r="BP208" s="160">
        <f t="shared" si="236"/>
        <v>66.433330883232529</v>
      </c>
      <c r="BQ208" s="160">
        <f t="shared" si="236"/>
        <v>34.45111144800422</v>
      </c>
      <c r="BR208" s="160">
        <f t="shared" si="236"/>
        <v>55.252615928672761</v>
      </c>
      <c r="BS208" s="160">
        <f t="shared" ref="BS208:DA208" si="237">(1+100*0.007)*BS187/(1+0.007*BS187)</f>
        <v>40.017330344062245</v>
      </c>
      <c r="BT208" s="160">
        <f t="shared" si="237"/>
        <v>40.861688281593423</v>
      </c>
      <c r="BU208" s="160">
        <f t="shared" si="237"/>
        <v>44.039288858656633</v>
      </c>
      <c r="BV208" s="160">
        <f t="shared" si="237"/>
        <v>61.737070690141231</v>
      </c>
      <c r="BW208" s="160">
        <f t="shared" si="237"/>
        <v>51.52889828882217</v>
      </c>
      <c r="BX208" s="160">
        <f t="shared" si="237"/>
        <v>70.365646618036322</v>
      </c>
      <c r="BY208" s="160">
        <f t="shared" si="237"/>
        <v>32.609387704694853</v>
      </c>
      <c r="BZ208" s="160">
        <f t="shared" si="237"/>
        <v>76.288046675860173</v>
      </c>
      <c r="CA208" s="160">
        <f t="shared" si="237"/>
        <v>54.622271776110139</v>
      </c>
      <c r="CB208" s="160">
        <f t="shared" si="237"/>
        <v>28.124556395451343</v>
      </c>
      <c r="CC208" s="160">
        <f t="shared" si="237"/>
        <v>31.419257671692783</v>
      </c>
      <c r="CD208" s="160">
        <f t="shared" si="237"/>
        <v>44.455554113215825</v>
      </c>
      <c r="CE208" s="160">
        <f t="shared" si="237"/>
        <v>42.152197503167159</v>
      </c>
      <c r="CF208" s="160">
        <f t="shared" si="237"/>
        <v>41.897342372400715</v>
      </c>
      <c r="CG208" s="160">
        <f t="shared" si="237"/>
        <v>72.472554579531945</v>
      </c>
      <c r="CH208" s="160">
        <f t="shared" si="237"/>
        <v>64.801115255986474</v>
      </c>
      <c r="CI208" s="160">
        <f t="shared" si="237"/>
        <v>41.924407844675329</v>
      </c>
      <c r="CJ208" s="160">
        <f t="shared" si="237"/>
        <v>87.200504392384119</v>
      </c>
      <c r="CK208" s="160">
        <f t="shared" si="237"/>
        <v>73.085797012957812</v>
      </c>
      <c r="CL208" s="160">
        <f t="shared" si="237"/>
        <v>27.157132713783319</v>
      </c>
      <c r="CM208" s="160">
        <f t="shared" si="237"/>
        <v>40.329263264681408</v>
      </c>
      <c r="CN208" s="160">
        <f t="shared" si="237"/>
        <v>63.854573329077624</v>
      </c>
      <c r="CO208" s="160">
        <f t="shared" si="237"/>
        <v>38.057060758353863</v>
      </c>
      <c r="CP208" s="160">
        <f t="shared" si="237"/>
        <v>61.535956793694645</v>
      </c>
      <c r="CQ208" s="160">
        <f t="shared" si="237"/>
        <v>37.771723550449181</v>
      </c>
      <c r="CR208" s="160">
        <f t="shared" si="237"/>
        <v>43.589343089034671</v>
      </c>
      <c r="CS208" s="160">
        <f t="shared" si="237"/>
        <v>80.217741238100174</v>
      </c>
      <c r="CT208" s="160">
        <f t="shared" si="237"/>
        <v>54.331393241897537</v>
      </c>
      <c r="CU208" s="160">
        <f t="shared" si="237"/>
        <v>66.665854417745635</v>
      </c>
      <c r="CV208" s="160">
        <f t="shared" si="237"/>
        <v>37.622876327670895</v>
      </c>
      <c r="CW208" s="160">
        <f t="shared" si="237"/>
        <v>68.970739047397515</v>
      </c>
      <c r="CX208" s="160">
        <f t="shared" si="237"/>
        <v>77.996649350239437</v>
      </c>
      <c r="CY208" s="160">
        <f t="shared" si="237"/>
        <v>54.735831905502636</v>
      </c>
      <c r="CZ208" s="160">
        <f t="shared" si="237"/>
        <v>65.385138227170486</v>
      </c>
      <c r="DA208" s="160">
        <f t="shared" si="237"/>
        <v>50.755286526726806</v>
      </c>
    </row>
    <row r="209" spans="5:105">
      <c r="E209" s="174" t="s">
        <v>342</v>
      </c>
      <c r="F209" s="160">
        <f>(1/0.0228)*LN(1+0.0228*F192)</f>
        <v>6.1402038672305611E-3</v>
      </c>
      <c r="G209" s="160">
        <f>(1/0.0228)*LN(1+0.0228*G192)</f>
        <v>12.922695373131017</v>
      </c>
      <c r="H209" s="160">
        <f t="shared" ref="H209:BS209" si="238">(1/0.0228)*LN(1+0.0228*H192)</f>
        <v>24.541487908135636</v>
      </c>
      <c r="I209" s="160">
        <f t="shared" si="238"/>
        <v>9.9243042868570477</v>
      </c>
      <c r="J209" s="160">
        <f t="shared" si="238"/>
        <v>14.620545141752276</v>
      </c>
      <c r="K209" s="160">
        <f t="shared" si="238"/>
        <v>24.155353946535921</v>
      </c>
      <c r="L209" s="160">
        <f t="shared" si="238"/>
        <v>12.880346549199462</v>
      </c>
      <c r="M209" s="160">
        <f t="shared" si="238"/>
        <v>24.858784930072044</v>
      </c>
      <c r="N209" s="160">
        <f t="shared" si="238"/>
        <v>21.548854338880442</v>
      </c>
      <c r="O209" s="160">
        <f t="shared" si="238"/>
        <v>3.5127838164642502</v>
      </c>
      <c r="P209" s="160">
        <f t="shared" si="238"/>
        <v>28.090645086362013</v>
      </c>
      <c r="Q209" s="160">
        <f t="shared" si="238"/>
        <v>27.10951454116335</v>
      </c>
      <c r="R209" s="160">
        <f t="shared" si="238"/>
        <v>29.238516371864581</v>
      </c>
      <c r="S209" s="160">
        <f t="shared" si="238"/>
        <v>19.362970735686108</v>
      </c>
      <c r="T209" s="160">
        <f t="shared" si="238"/>
        <v>7.4913157041603657</v>
      </c>
      <c r="U209" s="160">
        <f t="shared" si="238"/>
        <v>14.528941459106221</v>
      </c>
      <c r="V209" s="160">
        <f t="shared" si="238"/>
        <v>19.617253796207706</v>
      </c>
      <c r="W209" s="160">
        <f t="shared" si="238"/>
        <v>20.605714866414786</v>
      </c>
      <c r="X209" s="160">
        <f t="shared" si="238"/>
        <v>16.360368171115564</v>
      </c>
      <c r="Y209" s="160">
        <f t="shared" si="238"/>
        <v>26.571157822945846</v>
      </c>
      <c r="Z209" s="160">
        <f t="shared" si="238"/>
        <v>33.560530976303333</v>
      </c>
      <c r="AA209" s="160">
        <f t="shared" si="238"/>
        <v>31.35927438171851</v>
      </c>
      <c r="AB209" s="160">
        <f t="shared" si="238"/>
        <v>33.037937748345179</v>
      </c>
      <c r="AC209" s="160">
        <f t="shared" si="238"/>
        <v>14.339452915871274</v>
      </c>
      <c r="AD209" s="160">
        <f t="shared" si="238"/>
        <v>27.003646959675297</v>
      </c>
      <c r="AE209" s="160">
        <f t="shared" si="238"/>
        <v>35.135128002003121</v>
      </c>
      <c r="AF209" s="160">
        <f t="shared" si="238"/>
        <v>32.387837091031223</v>
      </c>
      <c r="AG209" s="160">
        <f t="shared" si="238"/>
        <v>17.814113757078879</v>
      </c>
      <c r="AH209" s="160">
        <f t="shared" si="238"/>
        <v>16.869313053453858</v>
      </c>
      <c r="AI209" s="160">
        <f t="shared" si="238"/>
        <v>34.709661093820067</v>
      </c>
      <c r="AJ209" s="160">
        <f t="shared" si="238"/>
        <v>23.445468505216077</v>
      </c>
      <c r="AK209" s="160">
        <f t="shared" si="238"/>
        <v>34.106571004900523</v>
      </c>
      <c r="AL209" s="160">
        <f t="shared" si="238"/>
        <v>36.271326703292431</v>
      </c>
      <c r="AM209" s="160">
        <f t="shared" si="238"/>
        <v>24.742887848127271</v>
      </c>
      <c r="AN209" s="160">
        <f t="shared" si="238"/>
        <v>31.835099945325478</v>
      </c>
      <c r="AO209" s="160">
        <f t="shared" si="238"/>
        <v>17.424806826607849</v>
      </c>
      <c r="AP209" s="160">
        <f t="shared" si="238"/>
        <v>10.702115501455276</v>
      </c>
      <c r="AQ209" s="160">
        <f t="shared" si="238"/>
        <v>22.421499653044375</v>
      </c>
      <c r="AR209" s="160">
        <f t="shared" si="238"/>
        <v>23.054835179660998</v>
      </c>
      <c r="AS209" s="160">
        <f t="shared" si="238"/>
        <v>7.499172721918117</v>
      </c>
      <c r="AT209" s="160">
        <f t="shared" si="238"/>
        <v>13.89459798687148</v>
      </c>
      <c r="AU209" s="160">
        <f t="shared" si="238"/>
        <v>11.560405347753608</v>
      </c>
      <c r="AV209" s="160">
        <f t="shared" si="238"/>
        <v>34.521562605089912</v>
      </c>
      <c r="AW209" s="160">
        <f t="shared" si="238"/>
        <v>36.341829835950961</v>
      </c>
      <c r="AX209" s="160">
        <f t="shared" si="238"/>
        <v>1.6241684446662994</v>
      </c>
      <c r="AY209" s="160">
        <f t="shared" si="238"/>
        <v>27.875703335408716</v>
      </c>
      <c r="AZ209" s="160">
        <f t="shared" si="238"/>
        <v>22.777180112112351</v>
      </c>
      <c r="BA209" s="160">
        <f t="shared" si="238"/>
        <v>17.296326126595417</v>
      </c>
      <c r="BB209" s="160">
        <f t="shared" si="238"/>
        <v>26.127452526385685</v>
      </c>
      <c r="BC209" s="160">
        <f t="shared" si="238"/>
        <v>21.74799616457075</v>
      </c>
      <c r="BD209" s="160">
        <f t="shared" si="238"/>
        <v>16.382369205914987</v>
      </c>
      <c r="BE209" s="160">
        <f t="shared" si="238"/>
        <v>13.41449416601607</v>
      </c>
      <c r="BF209" s="160">
        <f t="shared" si="238"/>
        <v>17.694243957244151</v>
      </c>
      <c r="BG209" s="160">
        <f t="shared" si="238"/>
        <v>24.949443838205958</v>
      </c>
      <c r="BH209" s="160">
        <f t="shared" si="238"/>
        <v>12.489230657354296</v>
      </c>
      <c r="BI209" s="160">
        <f t="shared" si="238"/>
        <v>13.468137853136561</v>
      </c>
      <c r="BJ209" s="160">
        <f t="shared" si="238"/>
        <v>23.444151327341309</v>
      </c>
      <c r="BK209" s="160">
        <f t="shared" si="238"/>
        <v>24.996806241014625</v>
      </c>
      <c r="BL209" s="160">
        <f t="shared" si="238"/>
        <v>25.217564595382779</v>
      </c>
      <c r="BM209" s="160">
        <f t="shared" si="238"/>
        <v>11.867939260742078</v>
      </c>
      <c r="BN209" s="160">
        <f t="shared" si="238"/>
        <v>4.9032761084003083</v>
      </c>
      <c r="BO209" s="160">
        <f t="shared" si="238"/>
        <v>11.688774334863426</v>
      </c>
      <c r="BP209" s="160">
        <f t="shared" si="238"/>
        <v>4.1849999541775302</v>
      </c>
      <c r="BQ209" s="160">
        <f t="shared" si="238"/>
        <v>1.9749245258401489</v>
      </c>
      <c r="BR209" s="160">
        <f t="shared" si="238"/>
        <v>26.183367506405343</v>
      </c>
      <c r="BS209" s="160">
        <f t="shared" si="238"/>
        <v>13.860703512670629</v>
      </c>
      <c r="BT209" s="160">
        <f t="shared" ref="BT209:DA209" si="239">(1/0.0228)*LN(1+0.0228*BT192)</f>
        <v>24.859439737339091</v>
      </c>
      <c r="BU209" s="160">
        <f t="shared" si="239"/>
        <v>26.122532153176362</v>
      </c>
      <c r="BV209" s="160">
        <f t="shared" si="239"/>
        <v>20.134263284557782</v>
      </c>
      <c r="BW209" s="160">
        <f t="shared" si="239"/>
        <v>12.454301419684402</v>
      </c>
      <c r="BX209" s="160">
        <f t="shared" si="239"/>
        <v>25.156149858681026</v>
      </c>
      <c r="BY209" s="160">
        <f t="shared" si="239"/>
        <v>21.605006140315538</v>
      </c>
      <c r="BZ209" s="160">
        <f t="shared" si="239"/>
        <v>9.2097445502505462</v>
      </c>
      <c r="CA209" s="160">
        <f t="shared" si="239"/>
        <v>31.055342629449974</v>
      </c>
      <c r="CB209" s="160">
        <f t="shared" si="239"/>
        <v>2.5013009998502058</v>
      </c>
      <c r="CC209" s="160">
        <f t="shared" si="239"/>
        <v>21.969777486890518</v>
      </c>
      <c r="CD209" s="160">
        <f t="shared" si="239"/>
        <v>33.72870442969095</v>
      </c>
      <c r="CE209" s="160">
        <f t="shared" si="239"/>
        <v>25.66294215875935</v>
      </c>
      <c r="CF209" s="160">
        <f t="shared" si="239"/>
        <v>32.384193369910818</v>
      </c>
      <c r="CG209" s="160">
        <f t="shared" si="239"/>
        <v>21.629318168924836</v>
      </c>
      <c r="CH209" s="160">
        <f t="shared" si="239"/>
        <v>24.221598432183534</v>
      </c>
      <c r="CI209" s="160">
        <f t="shared" si="239"/>
        <v>30.129455055990583</v>
      </c>
      <c r="CJ209" s="160">
        <f t="shared" si="239"/>
        <v>10.437658257472524</v>
      </c>
      <c r="CK209" s="160">
        <f t="shared" si="239"/>
        <v>18.161772039802752</v>
      </c>
      <c r="CL209" s="160">
        <f t="shared" si="239"/>
        <v>9.7653092484323558</v>
      </c>
      <c r="CM209" s="160">
        <f t="shared" si="239"/>
        <v>14.398120005823607</v>
      </c>
      <c r="CN209" s="160">
        <f t="shared" si="239"/>
        <v>26.004176561376006</v>
      </c>
      <c r="CO209" s="160">
        <f t="shared" si="239"/>
        <v>26.378100888069618</v>
      </c>
      <c r="CP209" s="160">
        <f t="shared" si="239"/>
        <v>25.349593849093999</v>
      </c>
      <c r="CQ209" s="160">
        <f t="shared" si="239"/>
        <v>22.009196758933626</v>
      </c>
      <c r="CR209" s="160">
        <f t="shared" si="239"/>
        <v>25.497053991661428</v>
      </c>
      <c r="CS209" s="160">
        <f t="shared" si="239"/>
        <v>2.4223950759824593</v>
      </c>
      <c r="CT209" s="160">
        <f t="shared" si="239"/>
        <v>16.149817188717709</v>
      </c>
      <c r="CU209" s="160">
        <f t="shared" si="239"/>
        <v>12.857245396919044</v>
      </c>
      <c r="CV209" s="160">
        <f t="shared" si="239"/>
        <v>20.030627135948318</v>
      </c>
      <c r="CW209" s="160">
        <f t="shared" si="239"/>
        <v>16.164100341446549</v>
      </c>
      <c r="CX209" s="160">
        <f t="shared" si="239"/>
        <v>15.039639059664728</v>
      </c>
      <c r="CY209" s="160">
        <f t="shared" si="239"/>
        <v>19.002809124920805</v>
      </c>
      <c r="CZ209" s="160">
        <f t="shared" si="239"/>
        <v>24.874535439393703</v>
      </c>
      <c r="DA209" s="160">
        <f t="shared" si="239"/>
        <v>26.701432091434992</v>
      </c>
    </row>
    <row r="210" spans="5:105">
      <c r="E210" s="174" t="s">
        <v>252</v>
      </c>
      <c r="F210" s="160">
        <f t="shared" ref="F210:BQ210" si="240">F209*COS(F178*PI()/180)</f>
        <v>6.102648751210772E-3</v>
      </c>
      <c r="G210" s="160">
        <f>G209*COS(G178*PI()/180)</f>
        <v>12.918063527860733</v>
      </c>
      <c r="H210" s="160">
        <f t="shared" si="240"/>
        <v>24.478163269030087</v>
      </c>
      <c r="I210" s="160">
        <f t="shared" si="240"/>
        <v>9.8042102950301384</v>
      </c>
      <c r="J210" s="160">
        <f t="shared" si="240"/>
        <v>13.332490042212665</v>
      </c>
      <c r="K210" s="160">
        <f t="shared" si="240"/>
        <v>23.518874292303686</v>
      </c>
      <c r="L210" s="160">
        <f t="shared" si="240"/>
        <v>11.077134181499529</v>
      </c>
      <c r="M210" s="160">
        <f t="shared" si="240"/>
        <v>23.403117199592884</v>
      </c>
      <c r="N210" s="160">
        <f t="shared" si="240"/>
        <v>20.23877265137331</v>
      </c>
      <c r="O210" s="160">
        <f t="shared" si="240"/>
        <v>3.4754082118550689</v>
      </c>
      <c r="P210" s="160">
        <f t="shared" si="240"/>
        <v>20.110618690619688</v>
      </c>
      <c r="Q210" s="160">
        <f t="shared" si="240"/>
        <v>17.376100138609768</v>
      </c>
      <c r="R210" s="160">
        <f t="shared" si="240"/>
        <v>19.07931764678283</v>
      </c>
      <c r="S210" s="160">
        <f t="shared" si="240"/>
        <v>13.016143044619801</v>
      </c>
      <c r="T210" s="160">
        <f t="shared" si="240"/>
        <v>3.7459609736067416</v>
      </c>
      <c r="U210" s="160">
        <f t="shared" si="240"/>
        <v>7.7796515986218395</v>
      </c>
      <c r="V210" s="160">
        <f t="shared" si="240"/>
        <v>8.0846227376839419</v>
      </c>
      <c r="W210" s="160">
        <f t="shared" si="240"/>
        <v>5.7934929241863236</v>
      </c>
      <c r="X210" s="160">
        <f t="shared" si="240"/>
        <v>5.9784642272876019</v>
      </c>
      <c r="Y210" s="160">
        <f t="shared" si="240"/>
        <v>4.9254243690386019</v>
      </c>
      <c r="Z210" s="160">
        <f t="shared" si="240"/>
        <v>9.5206728005355767</v>
      </c>
      <c r="AA210" s="160">
        <f t="shared" si="240"/>
        <v>3.1490617274036921</v>
      </c>
      <c r="AB210" s="160">
        <f t="shared" si="240"/>
        <v>4.3493562625397404</v>
      </c>
      <c r="AC210" s="160">
        <f t="shared" si="240"/>
        <v>-0.24479849246738958</v>
      </c>
      <c r="AD210" s="160">
        <f t="shared" si="240"/>
        <v>-1.1725868880642552</v>
      </c>
      <c r="AE210" s="160">
        <f t="shared" si="240"/>
        <v>-2.1807257246907392</v>
      </c>
      <c r="AF210" s="160">
        <f t="shared" si="240"/>
        <v>-1.6777124142328965</v>
      </c>
      <c r="AG210" s="160">
        <f t="shared" si="240"/>
        <v>-2.1516246722465207</v>
      </c>
      <c r="AH210" s="160">
        <f t="shared" si="240"/>
        <v>-2.7663269162797337</v>
      </c>
      <c r="AI210" s="160">
        <f t="shared" si="240"/>
        <v>-5.3698614323104259</v>
      </c>
      <c r="AJ210" s="160">
        <f t="shared" si="240"/>
        <v>-2.8744382034594813</v>
      </c>
      <c r="AK210" s="160">
        <f t="shared" si="240"/>
        <v>-5.7577328680796294</v>
      </c>
      <c r="AL210" s="160">
        <f t="shared" si="240"/>
        <v>-8.0902503045098086</v>
      </c>
      <c r="AM210" s="160">
        <f t="shared" si="240"/>
        <v>-4.1475421685526035</v>
      </c>
      <c r="AN210" s="160">
        <f t="shared" si="240"/>
        <v>-8.1257861907131552</v>
      </c>
      <c r="AO210" s="160">
        <f t="shared" si="240"/>
        <v>-5.099156832489248</v>
      </c>
      <c r="AP210" s="160">
        <f t="shared" si="240"/>
        <v>-1.6462988697127576</v>
      </c>
      <c r="AQ210" s="160">
        <f t="shared" si="240"/>
        <v>-8.5901028861689905</v>
      </c>
      <c r="AR210" s="160">
        <f t="shared" si="240"/>
        <v>-5.5114518226636813</v>
      </c>
      <c r="AS210" s="160">
        <f t="shared" si="240"/>
        <v>-1.7013714898445558</v>
      </c>
      <c r="AT210" s="160">
        <f t="shared" si="240"/>
        <v>-3.6762660870206099</v>
      </c>
      <c r="AU210" s="160">
        <f t="shared" si="240"/>
        <v>-3.8531102245300044</v>
      </c>
      <c r="AV210" s="160">
        <f t="shared" si="240"/>
        <v>-16.937456108197452</v>
      </c>
      <c r="AW210" s="160">
        <f t="shared" si="240"/>
        <v>-16.462555152140414</v>
      </c>
      <c r="AX210" s="160">
        <f t="shared" si="240"/>
        <v>-0.77543549442285054</v>
      </c>
      <c r="AY210" s="160">
        <f t="shared" si="240"/>
        <v>-15.974884555983119</v>
      </c>
      <c r="AZ210" s="160">
        <f t="shared" si="240"/>
        <v>-12.009592065840884</v>
      </c>
      <c r="BA210" s="160">
        <f t="shared" si="240"/>
        <v>-8.5511304957755208</v>
      </c>
      <c r="BB210" s="160">
        <f t="shared" si="240"/>
        <v>-15.772236974107249</v>
      </c>
      <c r="BC210" s="160">
        <f t="shared" si="240"/>
        <v>-14.038046973263526</v>
      </c>
      <c r="BD210" s="160">
        <f t="shared" si="240"/>
        <v>-13.756124903056556</v>
      </c>
      <c r="BE210" s="160">
        <f t="shared" si="240"/>
        <v>-11.344493801432622</v>
      </c>
      <c r="BF210" s="160">
        <f t="shared" si="240"/>
        <v>-15.695048383028224</v>
      </c>
      <c r="BG210" s="160">
        <f t="shared" si="240"/>
        <v>-24.248854457037638</v>
      </c>
      <c r="BH210" s="160">
        <f t="shared" si="240"/>
        <v>-12.269466325509999</v>
      </c>
      <c r="BI210" s="160">
        <f t="shared" si="240"/>
        <v>-13.462098210723543</v>
      </c>
      <c r="BJ210" s="160">
        <f t="shared" si="240"/>
        <v>-23.413313799114018</v>
      </c>
      <c r="BK210" s="160">
        <f t="shared" si="240"/>
        <v>-24.967951635471088</v>
      </c>
      <c r="BL210" s="160">
        <f t="shared" si="240"/>
        <v>-24.870937157435325</v>
      </c>
      <c r="BM210" s="160">
        <f t="shared" si="240"/>
        <v>-11.348346090639106</v>
      </c>
      <c r="BN210" s="160">
        <f t="shared" si="240"/>
        <v>-4.4814322723591049</v>
      </c>
      <c r="BO210" s="160">
        <f t="shared" si="240"/>
        <v>-9.5554423409785159</v>
      </c>
      <c r="BP210" s="160">
        <f t="shared" si="240"/>
        <v>-4.1741397338831217</v>
      </c>
      <c r="BQ210" s="160">
        <f t="shared" si="240"/>
        <v>1.9407180964471344</v>
      </c>
      <c r="BR210" s="160">
        <f t="shared" ref="BR210:DA210" si="241">BR209*COS(BR178*PI()/180)</f>
        <v>-20.110413755978321</v>
      </c>
      <c r="BS210" s="160">
        <f t="shared" si="241"/>
        <v>-10.429252488185108</v>
      </c>
      <c r="BT210" s="160">
        <f t="shared" si="241"/>
        <v>-15.825804752767015</v>
      </c>
      <c r="BU210" s="160">
        <f t="shared" si="241"/>
        <v>-15.81485207181754</v>
      </c>
      <c r="BV210" s="160">
        <f t="shared" si="241"/>
        <v>-8.8727427040847537</v>
      </c>
      <c r="BW210" s="160">
        <f t="shared" si="241"/>
        <v>-1.2878631862672829</v>
      </c>
      <c r="BX210" s="160">
        <f t="shared" si="241"/>
        <v>-8.3076467327226293</v>
      </c>
      <c r="BY210" s="160">
        <f t="shared" si="241"/>
        <v>-5.6500438088158464</v>
      </c>
      <c r="BZ210" s="160">
        <f t="shared" si="241"/>
        <v>-2.5623602788219935</v>
      </c>
      <c r="CA210" s="160">
        <f t="shared" si="241"/>
        <v>-10.204273014426132</v>
      </c>
      <c r="CB210" s="160">
        <f t="shared" si="241"/>
        <v>-1.1467573130477735</v>
      </c>
      <c r="CC210" s="160">
        <f t="shared" si="241"/>
        <v>-3.5321738721799836</v>
      </c>
      <c r="CD210" s="160">
        <f t="shared" si="241"/>
        <v>-3.5200586289156313</v>
      </c>
      <c r="CE210" s="160">
        <f t="shared" si="241"/>
        <v>-3.7306566242816865</v>
      </c>
      <c r="CF210" s="160">
        <f t="shared" si="241"/>
        <v>-3.0097622409385831</v>
      </c>
      <c r="CG210" s="160">
        <f t="shared" si="241"/>
        <v>5.9141217864836663E-2</v>
      </c>
      <c r="CH210" s="160">
        <f t="shared" si="241"/>
        <v>3.8230482184404808</v>
      </c>
      <c r="CI210" s="160">
        <f t="shared" si="241"/>
        <v>4.3525333761436462</v>
      </c>
      <c r="CJ210" s="160">
        <f t="shared" si="241"/>
        <v>2.3076159964989511</v>
      </c>
      <c r="CK210" s="160">
        <f t="shared" si="241"/>
        <v>4.5381843486036644</v>
      </c>
      <c r="CL210" s="160">
        <f t="shared" si="241"/>
        <v>5.7295616943660654</v>
      </c>
      <c r="CM210" s="160">
        <f t="shared" si="241"/>
        <v>5.1695902959214859</v>
      </c>
      <c r="CN210" s="160">
        <f t="shared" si="241"/>
        <v>7.2929531685868429</v>
      </c>
      <c r="CO210" s="160">
        <f t="shared" si="241"/>
        <v>13.55222157595909</v>
      </c>
      <c r="CP210" s="160">
        <f t="shared" si="241"/>
        <v>15.884654174971946</v>
      </c>
      <c r="CQ210" s="160">
        <f t="shared" si="241"/>
        <v>13.498718056760131</v>
      </c>
      <c r="CR210" s="160">
        <f t="shared" si="241"/>
        <v>17.327792230914341</v>
      </c>
      <c r="CS210" s="160">
        <f t="shared" si="241"/>
        <v>2.3981695648773202</v>
      </c>
      <c r="CT210" s="160">
        <f t="shared" si="241"/>
        <v>11.554061588416904</v>
      </c>
      <c r="CU210" s="160">
        <f t="shared" si="241"/>
        <v>10.200066319856068</v>
      </c>
      <c r="CV210" s="160">
        <f t="shared" si="241"/>
        <v>16.045353983649282</v>
      </c>
      <c r="CW210" s="160">
        <f t="shared" si="241"/>
        <v>14.244639981476189</v>
      </c>
      <c r="CX210" s="160">
        <f t="shared" si="241"/>
        <v>13.60038453058363</v>
      </c>
      <c r="CY210" s="160">
        <f t="shared" si="241"/>
        <v>18.690709470863677</v>
      </c>
      <c r="CZ210" s="160">
        <f t="shared" si="241"/>
        <v>24.704297311697243</v>
      </c>
      <c r="DA210" s="160">
        <f t="shared" si="241"/>
        <v>26.200774751826444</v>
      </c>
    </row>
    <row r="211" spans="5:105">
      <c r="E211" s="174" t="s">
        <v>254</v>
      </c>
      <c r="F211" s="160">
        <f t="shared" ref="F211:BQ211" si="242">F209*SIN(F178*PI()/180)</f>
        <v>6.7807208355656764E-4</v>
      </c>
      <c r="G211" s="160">
        <f t="shared" si="242"/>
        <v>0.34596299931652569</v>
      </c>
      <c r="H211" s="160">
        <f t="shared" si="242"/>
        <v>1.7618603008961586</v>
      </c>
      <c r="I211" s="160">
        <f t="shared" si="242"/>
        <v>1.5392452920032682</v>
      </c>
      <c r="J211" s="160">
        <f t="shared" si="242"/>
        <v>6.000420778271816</v>
      </c>
      <c r="K211" s="160">
        <f t="shared" si="242"/>
        <v>5.508509444962888</v>
      </c>
      <c r="L211" s="160">
        <f t="shared" si="242"/>
        <v>6.5727030628600014</v>
      </c>
      <c r="M211" s="160">
        <f t="shared" si="242"/>
        <v>8.381723781042691</v>
      </c>
      <c r="N211" s="160">
        <f t="shared" si="242"/>
        <v>7.3990002624888573</v>
      </c>
      <c r="O211" s="160">
        <f t="shared" si="242"/>
        <v>0.51106545782658364</v>
      </c>
      <c r="P211" s="160">
        <f t="shared" si="242"/>
        <v>19.612428642278154</v>
      </c>
      <c r="Q211" s="160">
        <f t="shared" si="242"/>
        <v>20.808578102084549</v>
      </c>
      <c r="R211" s="160">
        <f t="shared" si="242"/>
        <v>22.155596984982246</v>
      </c>
      <c r="S211" s="160">
        <f t="shared" si="242"/>
        <v>14.335433580922212</v>
      </c>
      <c r="T211" s="160">
        <f t="shared" si="242"/>
        <v>6.4874946908352031</v>
      </c>
      <c r="U211" s="160">
        <f t="shared" si="242"/>
        <v>12.27058111607581</v>
      </c>
      <c r="V211" s="160">
        <f t="shared" si="242"/>
        <v>17.873878194005616</v>
      </c>
      <c r="W211" s="160">
        <f t="shared" si="242"/>
        <v>19.774501887364707</v>
      </c>
      <c r="X211" s="160">
        <f t="shared" si="242"/>
        <v>15.228907123542834</v>
      </c>
      <c r="Y211" s="160">
        <f t="shared" si="242"/>
        <v>26.110661095360587</v>
      </c>
      <c r="Z211" s="160">
        <f t="shared" si="242"/>
        <v>32.181765471094927</v>
      </c>
      <c r="AA211" s="160">
        <f t="shared" si="242"/>
        <v>31.200761208420992</v>
      </c>
      <c r="AB211" s="160">
        <f t="shared" si="242"/>
        <v>32.750395887149786</v>
      </c>
      <c r="AC211" s="160">
        <f t="shared" si="242"/>
        <v>14.337363203343036</v>
      </c>
      <c r="AD211" s="160">
        <f t="shared" si="242"/>
        <v>26.978176163571931</v>
      </c>
      <c r="AE211" s="160">
        <f t="shared" si="242"/>
        <v>35.067387342526899</v>
      </c>
      <c r="AF211" s="160">
        <f t="shared" si="242"/>
        <v>32.34435456907908</v>
      </c>
      <c r="AG211" s="160">
        <f t="shared" si="242"/>
        <v>17.683697583365507</v>
      </c>
      <c r="AH211" s="160">
        <f t="shared" si="242"/>
        <v>16.640948238838284</v>
      </c>
      <c r="AI211" s="160">
        <f t="shared" si="242"/>
        <v>34.291765213322449</v>
      </c>
      <c r="AJ211" s="160">
        <f t="shared" si="242"/>
        <v>23.268596830139362</v>
      </c>
      <c r="AK211" s="160">
        <f t="shared" si="242"/>
        <v>33.617059626507441</v>
      </c>
      <c r="AL211" s="160">
        <f t="shared" si="242"/>
        <v>35.357559175194112</v>
      </c>
      <c r="AM211" s="160">
        <f t="shared" si="242"/>
        <v>24.392793874935322</v>
      </c>
      <c r="AN211" s="160">
        <f t="shared" si="242"/>
        <v>30.780597578859279</v>
      </c>
      <c r="AO211" s="160">
        <f t="shared" si="242"/>
        <v>16.662007458355003</v>
      </c>
      <c r="AP211" s="160">
        <f t="shared" si="242"/>
        <v>10.574732915685001</v>
      </c>
      <c r="AQ211" s="160">
        <f t="shared" si="242"/>
        <v>20.710716527838919</v>
      </c>
      <c r="AR211" s="160">
        <f t="shared" si="242"/>
        <v>22.386364688528406</v>
      </c>
      <c r="AS211" s="160">
        <f t="shared" si="242"/>
        <v>7.3036242076591602</v>
      </c>
      <c r="AT211" s="160">
        <f t="shared" si="242"/>
        <v>13.399437334238895</v>
      </c>
      <c r="AU211" s="160">
        <f t="shared" si="242"/>
        <v>10.899381331157864</v>
      </c>
      <c r="AV211" s="160">
        <f t="shared" si="242"/>
        <v>30.080905326802036</v>
      </c>
      <c r="AW211" s="160">
        <f t="shared" si="242"/>
        <v>32.399272733935717</v>
      </c>
      <c r="AX211" s="160">
        <f t="shared" si="242"/>
        <v>1.4271029852953625</v>
      </c>
      <c r="AY211" s="160">
        <f t="shared" si="242"/>
        <v>22.844209328990328</v>
      </c>
      <c r="AZ211" s="160">
        <f t="shared" si="242"/>
        <v>19.353801494065657</v>
      </c>
      <c r="BA211" s="160">
        <f t="shared" si="242"/>
        <v>15.034662108666264</v>
      </c>
      <c r="BB211" s="160">
        <f t="shared" si="242"/>
        <v>20.829793958441883</v>
      </c>
      <c r="BC211" s="160">
        <f t="shared" si="242"/>
        <v>16.610495909232537</v>
      </c>
      <c r="BD211" s="160">
        <f t="shared" si="242"/>
        <v>8.8966874987502482</v>
      </c>
      <c r="BE211" s="160">
        <f t="shared" si="242"/>
        <v>7.1589883446850227</v>
      </c>
      <c r="BF211" s="160">
        <f t="shared" si="242"/>
        <v>8.1701729157267078</v>
      </c>
      <c r="BG211" s="160">
        <f t="shared" si="242"/>
        <v>5.8709288325782945</v>
      </c>
      <c r="BH211" s="160">
        <f t="shared" si="242"/>
        <v>2.332611947961901</v>
      </c>
      <c r="BI211" s="160">
        <f t="shared" si="242"/>
        <v>0.40329765177084365</v>
      </c>
      <c r="BJ211" s="160">
        <f t="shared" si="242"/>
        <v>-1.202068385532381</v>
      </c>
      <c r="BK211" s="160">
        <f t="shared" si="242"/>
        <v>-1.2007136959343554</v>
      </c>
      <c r="BL211" s="160">
        <f t="shared" si="242"/>
        <v>-4.1667792157979573</v>
      </c>
      <c r="BM211" s="160">
        <f t="shared" si="242"/>
        <v>-3.473186333000196</v>
      </c>
      <c r="BN211" s="160">
        <f t="shared" si="242"/>
        <v>-1.9896937913828796</v>
      </c>
      <c r="BO211" s="160">
        <f t="shared" si="242"/>
        <v>-6.7320849013954787</v>
      </c>
      <c r="BP211" s="160">
        <f t="shared" si="242"/>
        <v>-0.30130067786858999</v>
      </c>
      <c r="BQ211" s="160">
        <f t="shared" si="242"/>
        <v>0.3659783502989602</v>
      </c>
      <c r="BR211" s="160">
        <f t="shared" ref="BR211:DA211" si="243">BR209*SIN(BR178*PI()/180)</f>
        <v>-16.767229721657692</v>
      </c>
      <c r="BS211" s="160">
        <f t="shared" si="243"/>
        <v>-9.1296108571967434</v>
      </c>
      <c r="BT211" s="160">
        <f t="shared" si="243"/>
        <v>-19.171219261739481</v>
      </c>
      <c r="BU211" s="160">
        <f t="shared" si="243"/>
        <v>-20.791275575112298</v>
      </c>
      <c r="BV211" s="160">
        <f t="shared" si="243"/>
        <v>-18.073820706176164</v>
      </c>
      <c r="BW211" s="160">
        <f t="shared" si="243"/>
        <v>-12.387535358811713</v>
      </c>
      <c r="BX211" s="160">
        <f t="shared" si="243"/>
        <v>-23.744786406213478</v>
      </c>
      <c r="BY211" s="160">
        <f t="shared" si="243"/>
        <v>-20.853136341604202</v>
      </c>
      <c r="BZ211" s="160">
        <f t="shared" si="243"/>
        <v>-8.8461123937232955</v>
      </c>
      <c r="CA211" s="160">
        <f t="shared" si="243"/>
        <v>-29.33099244961867</v>
      </c>
      <c r="CB211" s="160">
        <f t="shared" si="243"/>
        <v>-2.2229382260474742</v>
      </c>
      <c r="CC211" s="160">
        <f t="shared" si="243"/>
        <v>-21.683977277247145</v>
      </c>
      <c r="CD211" s="160">
        <f t="shared" si="243"/>
        <v>-33.544518028352272</v>
      </c>
      <c r="CE211" s="160">
        <f t="shared" si="243"/>
        <v>-25.390328894985412</v>
      </c>
      <c r="CF211" s="160">
        <f t="shared" si="243"/>
        <v>-32.244027531820464</v>
      </c>
      <c r="CG211" s="160">
        <f t="shared" si="243"/>
        <v>-21.629237313620919</v>
      </c>
      <c r="CH211" s="160">
        <f t="shared" si="243"/>
        <v>-23.917987643809727</v>
      </c>
      <c r="CI211" s="160">
        <f t="shared" si="243"/>
        <v>-29.813411666236927</v>
      </c>
      <c r="CJ211" s="160">
        <f t="shared" si="243"/>
        <v>-10.17937219638257</v>
      </c>
      <c r="CK211" s="160">
        <f t="shared" si="243"/>
        <v>-17.585643191076343</v>
      </c>
      <c r="CL211" s="160">
        <f t="shared" si="243"/>
        <v>-7.907805479902219</v>
      </c>
      <c r="CM211" s="160">
        <f t="shared" si="243"/>
        <v>-13.438050300337933</v>
      </c>
      <c r="CN211" s="160">
        <f t="shared" si="243"/>
        <v>-24.960569559126981</v>
      </c>
      <c r="CO211" s="160">
        <f t="shared" si="243"/>
        <v>-22.630543449446549</v>
      </c>
      <c r="CP211" s="160">
        <f t="shared" si="243"/>
        <v>-19.755497211044087</v>
      </c>
      <c r="CQ211" s="160">
        <f t="shared" si="243"/>
        <v>-17.383594357829235</v>
      </c>
      <c r="CR211" s="160">
        <f t="shared" si="243"/>
        <v>-18.704207512107072</v>
      </c>
      <c r="CS211" s="160">
        <f t="shared" si="243"/>
        <v>0.34173182795898432</v>
      </c>
      <c r="CT211" s="160">
        <f t="shared" si="243"/>
        <v>-11.283627787199958</v>
      </c>
      <c r="CU211" s="160">
        <f t="shared" si="243"/>
        <v>-7.8273498878697012</v>
      </c>
      <c r="CV211" s="160">
        <f t="shared" si="243"/>
        <v>-11.990522882626061</v>
      </c>
      <c r="CW211" s="160">
        <f t="shared" si="243"/>
        <v>-7.6399196099489446</v>
      </c>
      <c r="CX211" s="160">
        <f t="shared" si="243"/>
        <v>-6.4203024590165869</v>
      </c>
      <c r="CY211" s="160">
        <f t="shared" si="243"/>
        <v>-3.4298883529847175</v>
      </c>
      <c r="CZ211" s="160">
        <f t="shared" si="243"/>
        <v>-2.9052035489654933</v>
      </c>
      <c r="DA211" s="160">
        <f t="shared" si="243"/>
        <v>-5.1464432511753682</v>
      </c>
    </row>
  </sheetData>
  <protectedRanges>
    <protectedRange sqref="DN5:DN103" name="Output Cells"/>
  </protectedRange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96"/>
  <sheetViews>
    <sheetView tabSelected="1" workbookViewId="0">
      <selection activeCell="B2" sqref="B2:D96"/>
    </sheetView>
  </sheetViews>
  <sheetFormatPr defaultRowHeight="14.5"/>
  <cols>
    <col min="2" max="2" width="13.453125" customWidth="1"/>
    <col min="3" max="3" width="15.08984375" customWidth="1"/>
    <col min="4" max="4" width="13.6328125" customWidth="1"/>
    <col min="5" max="5" width="15.453125" customWidth="1"/>
    <col min="6" max="6" width="18.90625" customWidth="1"/>
    <col min="7" max="7" width="16.08984375" customWidth="1"/>
    <col min="8" max="8" width="16" customWidth="1"/>
  </cols>
  <sheetData>
    <row r="1" spans="1:8">
      <c r="B1" t="s">
        <v>0</v>
      </c>
      <c r="E1" t="s">
        <v>1</v>
      </c>
      <c r="F1" t="s">
        <v>2</v>
      </c>
      <c r="G1" s="1"/>
      <c r="H1" s="1"/>
    </row>
    <row r="2" spans="1:8">
      <c r="A2">
        <v>360</v>
      </c>
      <c r="B2" s="2">
        <v>1.2990000000000001E-4</v>
      </c>
      <c r="C2" s="2">
        <v>3.9169999999999999E-6</v>
      </c>
      <c r="D2" s="2">
        <v>6.0610000000000004E-4</v>
      </c>
      <c r="E2" s="3">
        <v>360</v>
      </c>
      <c r="F2" s="4">
        <v>1.222E-7</v>
      </c>
      <c r="G2" s="5">
        <v>1.3398E-8</v>
      </c>
      <c r="H2" s="5">
        <v>5.3502699999999996E-7</v>
      </c>
    </row>
    <row r="3" spans="1:8">
      <c r="A3">
        <v>365</v>
      </c>
      <c r="B3" s="2">
        <v>2.321E-4</v>
      </c>
      <c r="C3" s="2">
        <v>6.9650000000000002E-6</v>
      </c>
      <c r="D3" s="2">
        <v>1.0859999999999999E-3</v>
      </c>
      <c r="E3" s="3">
        <v>365</v>
      </c>
      <c r="F3" s="4">
        <v>9.1927000000000005E-7</v>
      </c>
      <c r="G3" s="5">
        <v>1.0065E-7</v>
      </c>
      <c r="H3" s="5">
        <v>4.0283E-6</v>
      </c>
    </row>
    <row r="4" spans="1:8">
      <c r="A4">
        <v>370</v>
      </c>
      <c r="B4" s="2">
        <v>4.149E-4</v>
      </c>
      <c r="C4" s="2">
        <v>1.239E-5</v>
      </c>
      <c r="D4" s="2">
        <v>1.946E-3</v>
      </c>
      <c r="E4" s="3">
        <v>370</v>
      </c>
      <c r="F4" s="4">
        <v>5.9586E-6</v>
      </c>
      <c r="G4" s="5">
        <v>6.511E-7</v>
      </c>
      <c r="H4" s="5">
        <v>2.6143699999999998E-5</v>
      </c>
    </row>
    <row r="5" spans="1:8">
      <c r="A5">
        <v>375</v>
      </c>
      <c r="B5" s="2">
        <v>7.4160000000000003E-4</v>
      </c>
      <c r="C5" s="2">
        <v>2.2019999999999999E-5</v>
      </c>
      <c r="D5" s="2">
        <v>3.4859999999999999E-3</v>
      </c>
      <c r="E5" s="3">
        <v>375</v>
      </c>
      <c r="F5" s="4">
        <v>3.3266000000000003E-5</v>
      </c>
      <c r="G5" s="5">
        <v>3.625E-6</v>
      </c>
      <c r="H5" s="5">
        <v>1.4621999999999999E-4</v>
      </c>
    </row>
    <row r="6" spans="1:8">
      <c r="A6">
        <v>380</v>
      </c>
      <c r="B6" s="2">
        <v>1.3680000000000001E-3</v>
      </c>
      <c r="C6" s="2">
        <v>3.8999999999999999E-5</v>
      </c>
      <c r="D6" s="2">
        <v>6.4500010000000003E-3</v>
      </c>
      <c r="E6" s="3">
        <v>380</v>
      </c>
      <c r="F6" s="4">
        <v>1.5995199999999999E-4</v>
      </c>
      <c r="G6" s="5">
        <v>1.7363999999999998E-5</v>
      </c>
      <c r="H6" s="5">
        <v>7.0477599999999995E-4</v>
      </c>
    </row>
    <row r="7" spans="1:8">
      <c r="A7">
        <v>385</v>
      </c>
      <c r="B7" s="2">
        <v>2.2360000000000001E-3</v>
      </c>
      <c r="C7" s="2">
        <v>6.3999999999999997E-5</v>
      </c>
      <c r="D7" s="2">
        <v>1.054999E-2</v>
      </c>
      <c r="E7" s="3">
        <v>385</v>
      </c>
      <c r="F7" s="4">
        <v>6.6244000000000003E-4</v>
      </c>
      <c r="G7" s="5">
        <v>7.1559999999999999E-5</v>
      </c>
      <c r="H7" s="5">
        <v>2.9277999999999999E-3</v>
      </c>
    </row>
    <row r="8" spans="1:8">
      <c r="A8">
        <v>390</v>
      </c>
      <c r="B8" s="2">
        <v>4.2430000000000002E-3</v>
      </c>
      <c r="C8" s="2">
        <v>1.2E-4</v>
      </c>
      <c r="D8" s="2">
        <v>2.005001E-2</v>
      </c>
      <c r="E8" s="3">
        <v>390</v>
      </c>
      <c r="F8" s="4">
        <v>2.3616000000000002E-3</v>
      </c>
      <c r="G8" s="5">
        <v>2.5339999999999998E-4</v>
      </c>
      <c r="H8" s="5">
        <v>1.0482200000000001E-2</v>
      </c>
    </row>
    <row r="9" spans="1:8">
      <c r="A9">
        <v>395</v>
      </c>
      <c r="B9" s="2">
        <v>7.6499999999999997E-3</v>
      </c>
      <c r="C9" s="2">
        <v>2.1699999999999999E-4</v>
      </c>
      <c r="D9" s="2">
        <v>3.6209999999999999E-2</v>
      </c>
      <c r="E9" s="3">
        <v>395</v>
      </c>
      <c r="F9" s="4">
        <v>7.2423000000000001E-3</v>
      </c>
      <c r="G9" s="5">
        <v>7.6849999999999998E-4</v>
      </c>
      <c r="H9" s="5">
        <v>3.2343999999999998E-2</v>
      </c>
    </row>
    <row r="10" spans="1:8">
      <c r="A10">
        <v>400</v>
      </c>
      <c r="B10" s="2">
        <v>1.431E-2</v>
      </c>
      <c r="C10" s="2">
        <v>3.9599999999999998E-4</v>
      </c>
      <c r="D10" s="2">
        <v>6.7850010000000002E-2</v>
      </c>
      <c r="E10" s="3">
        <v>400</v>
      </c>
      <c r="F10" s="4">
        <v>1.91097E-2</v>
      </c>
      <c r="G10" s="5">
        <v>2.0043999999999999E-3</v>
      </c>
      <c r="H10" s="5">
        <v>8.6010900000000001E-2</v>
      </c>
    </row>
    <row r="11" spans="1:8">
      <c r="A11">
        <v>405</v>
      </c>
      <c r="B11" s="2">
        <v>2.3189999999999999E-2</v>
      </c>
      <c r="C11" s="2">
        <v>6.4000000000000005E-4</v>
      </c>
      <c r="D11" s="2">
        <v>0.11020000000000001</v>
      </c>
      <c r="E11" s="3">
        <v>405</v>
      </c>
      <c r="F11" s="4">
        <v>4.3400000000000001E-2</v>
      </c>
      <c r="G11" s="5">
        <v>4.509E-3</v>
      </c>
      <c r="H11" s="5">
        <v>0.19711999999999999</v>
      </c>
    </row>
    <row r="12" spans="1:8">
      <c r="A12">
        <v>410</v>
      </c>
      <c r="B12" s="2">
        <v>4.351E-2</v>
      </c>
      <c r="C12" s="2">
        <v>1.2099999999999999E-3</v>
      </c>
      <c r="D12" s="2">
        <v>0.2074</v>
      </c>
      <c r="E12" s="3">
        <v>410</v>
      </c>
      <c r="F12" s="4">
        <v>8.4736000000000006E-2</v>
      </c>
      <c r="G12" s="5">
        <v>8.7559999999999999E-3</v>
      </c>
      <c r="H12" s="5">
        <v>0.38936599999999999</v>
      </c>
    </row>
    <row r="13" spans="1:8">
      <c r="A13">
        <v>415</v>
      </c>
      <c r="B13" s="2">
        <v>7.7630000000000005E-2</v>
      </c>
      <c r="C13" s="2">
        <v>2.1800000000000001E-3</v>
      </c>
      <c r="D13" s="2">
        <v>0.37130000000000002</v>
      </c>
      <c r="E13" s="3">
        <v>415</v>
      </c>
      <c r="F13" s="4">
        <v>0.14063800000000001</v>
      </c>
      <c r="G13" s="5">
        <v>1.4456E-2</v>
      </c>
      <c r="H13" s="5">
        <v>0.65676000000000001</v>
      </c>
    </row>
    <row r="14" spans="1:8">
      <c r="A14">
        <v>420</v>
      </c>
      <c r="B14" s="2">
        <v>0.13438</v>
      </c>
      <c r="C14" s="2">
        <v>4.0000000000000001E-3</v>
      </c>
      <c r="D14" s="2">
        <v>0.64559999999999995</v>
      </c>
      <c r="E14" s="3">
        <v>420</v>
      </c>
      <c r="F14" s="4">
        <v>0.20449200000000001</v>
      </c>
      <c r="G14" s="5">
        <v>2.1391E-2</v>
      </c>
      <c r="H14" s="5">
        <v>0.97254200000000002</v>
      </c>
    </row>
    <row r="15" spans="1:8">
      <c r="A15">
        <v>425</v>
      </c>
      <c r="B15" s="2">
        <v>0.21476999999999999</v>
      </c>
      <c r="C15" s="2">
        <v>7.3000000000000001E-3</v>
      </c>
      <c r="D15" s="2">
        <v>1.0390501000000001</v>
      </c>
      <c r="E15" s="3">
        <v>425</v>
      </c>
      <c r="F15" s="4">
        <v>0.264737</v>
      </c>
      <c r="G15" s="5">
        <v>2.9496999999999999E-2</v>
      </c>
      <c r="H15" s="5">
        <v>1.2825</v>
      </c>
    </row>
    <row r="16" spans="1:8">
      <c r="A16">
        <v>430</v>
      </c>
      <c r="B16" s="2">
        <v>0.28389999999999999</v>
      </c>
      <c r="C16" s="2">
        <v>1.1599999999999999E-2</v>
      </c>
      <c r="D16" s="2">
        <v>1.3855999999999999</v>
      </c>
      <c r="E16" s="3">
        <v>430</v>
      </c>
      <c r="F16" s="4">
        <v>0.31467899999999999</v>
      </c>
      <c r="G16" s="5">
        <v>3.8676000000000002E-2</v>
      </c>
      <c r="H16" s="5">
        <v>1.55348</v>
      </c>
    </row>
    <row r="17" spans="1:8">
      <c r="A17">
        <v>435</v>
      </c>
      <c r="B17" s="2">
        <v>0.32850000000000001</v>
      </c>
      <c r="C17" s="2">
        <v>1.6840000000000001E-2</v>
      </c>
      <c r="D17" s="2">
        <v>1.62296</v>
      </c>
      <c r="E17" s="3">
        <v>435</v>
      </c>
      <c r="F17" s="4">
        <v>0.35771900000000001</v>
      </c>
      <c r="G17" s="5">
        <v>4.9602E-2</v>
      </c>
      <c r="H17" s="5">
        <v>1.7985</v>
      </c>
    </row>
    <row r="18" spans="1:8">
      <c r="A18">
        <v>440</v>
      </c>
      <c r="B18" s="2">
        <v>0.34827999999999998</v>
      </c>
      <c r="C18" s="2">
        <v>2.3E-2</v>
      </c>
      <c r="D18" s="2">
        <v>1.7470600000000001</v>
      </c>
      <c r="E18" s="3">
        <v>440</v>
      </c>
      <c r="F18" s="4">
        <v>0.38373400000000002</v>
      </c>
      <c r="G18" s="5">
        <v>6.2077E-2</v>
      </c>
      <c r="H18" s="5">
        <v>1.9672799999999999</v>
      </c>
    </row>
    <row r="19" spans="1:8">
      <c r="A19">
        <v>445</v>
      </c>
      <c r="B19" s="2">
        <v>0.34805999999999998</v>
      </c>
      <c r="C19" s="2">
        <v>2.98E-2</v>
      </c>
      <c r="D19" s="2">
        <v>1.7826</v>
      </c>
      <c r="E19" s="3">
        <v>445</v>
      </c>
      <c r="F19" s="4">
        <v>0.38672600000000001</v>
      </c>
      <c r="G19" s="5">
        <v>7.4704000000000007E-2</v>
      </c>
      <c r="H19" s="5">
        <v>2.0272999999999999</v>
      </c>
    </row>
    <row r="20" spans="1:8">
      <c r="A20">
        <v>450</v>
      </c>
      <c r="B20" s="2">
        <v>0.3362</v>
      </c>
      <c r="C20" s="2">
        <v>3.7999999999999999E-2</v>
      </c>
      <c r="D20" s="2">
        <v>1.7721100000000001</v>
      </c>
      <c r="E20" s="3">
        <v>450</v>
      </c>
      <c r="F20" s="4">
        <v>0.37070199999999998</v>
      </c>
      <c r="G20" s="5">
        <v>8.9455999999999994E-2</v>
      </c>
      <c r="H20" s="5">
        <v>1.9947999999999999</v>
      </c>
    </row>
    <row r="21" spans="1:8">
      <c r="A21">
        <v>455</v>
      </c>
      <c r="B21" s="2">
        <v>0.31869999999999998</v>
      </c>
      <c r="C21" s="2">
        <v>4.8000000000000001E-2</v>
      </c>
      <c r="D21" s="2">
        <v>1.7441</v>
      </c>
      <c r="E21" s="3">
        <v>455</v>
      </c>
      <c r="F21" s="4">
        <v>0.34295700000000001</v>
      </c>
      <c r="G21" s="5">
        <v>0.106256</v>
      </c>
      <c r="H21" s="5">
        <v>1.9007000000000001</v>
      </c>
    </row>
    <row r="22" spans="1:8">
      <c r="A22">
        <v>460</v>
      </c>
      <c r="B22" s="2">
        <v>0.2908</v>
      </c>
      <c r="C22" s="2">
        <v>0.06</v>
      </c>
      <c r="D22" s="2">
        <v>1.6692</v>
      </c>
      <c r="E22" s="3">
        <v>460</v>
      </c>
      <c r="F22" s="4">
        <v>0.30227300000000001</v>
      </c>
      <c r="G22" s="5">
        <v>0.12820100000000001</v>
      </c>
      <c r="H22" s="5">
        <v>1.7453700000000001</v>
      </c>
    </row>
    <row r="23" spans="1:8">
      <c r="A23">
        <v>465</v>
      </c>
      <c r="B23" s="2">
        <v>0.25109999999999999</v>
      </c>
      <c r="C23" s="2">
        <v>7.3899999999999993E-2</v>
      </c>
      <c r="D23" s="2">
        <v>1.5281</v>
      </c>
      <c r="E23" s="3">
        <v>465</v>
      </c>
      <c r="F23" s="4">
        <v>0.25408500000000001</v>
      </c>
      <c r="G23" s="5">
        <v>0.15276100000000001</v>
      </c>
      <c r="H23" s="5">
        <v>1.5548999999999999</v>
      </c>
    </row>
    <row r="24" spans="1:8">
      <c r="A24">
        <v>470</v>
      </c>
      <c r="B24" s="2">
        <v>0.19536000000000001</v>
      </c>
      <c r="C24" s="2">
        <v>9.0980000000000005E-2</v>
      </c>
      <c r="D24" s="2">
        <v>1.2876399999999999</v>
      </c>
      <c r="E24" s="3">
        <v>470</v>
      </c>
      <c r="F24" s="4">
        <v>0.19561799999999999</v>
      </c>
      <c r="G24" s="5">
        <v>0.18518999999999999</v>
      </c>
      <c r="H24" s="5">
        <v>1.3175600000000001</v>
      </c>
    </row>
    <row r="25" spans="1:8">
      <c r="A25">
        <v>475</v>
      </c>
      <c r="B25" s="2">
        <v>0.1421</v>
      </c>
      <c r="C25" s="2">
        <v>0.11260000000000001</v>
      </c>
      <c r="D25" s="2">
        <v>1.0419</v>
      </c>
      <c r="E25" s="3">
        <v>475</v>
      </c>
      <c r="F25" s="4">
        <v>0.13234899999999999</v>
      </c>
      <c r="G25" s="5">
        <v>0.21994</v>
      </c>
      <c r="H25" s="5">
        <v>1.0302</v>
      </c>
    </row>
    <row r="26" spans="1:8">
      <c r="A26">
        <v>480</v>
      </c>
      <c r="B26" s="2">
        <v>9.5640000000000003E-2</v>
      </c>
      <c r="C26" s="2">
        <v>0.13902</v>
      </c>
      <c r="D26" s="2">
        <v>0.81295010000000001</v>
      </c>
      <c r="E26" s="3">
        <v>480</v>
      </c>
      <c r="F26" s="4">
        <v>8.0506999999999995E-2</v>
      </c>
      <c r="G26" s="5">
        <v>0.25358900000000001</v>
      </c>
      <c r="H26" s="5">
        <v>0.77212499999999995</v>
      </c>
    </row>
    <row r="27" spans="1:8">
      <c r="A27">
        <v>485</v>
      </c>
      <c r="B27" s="2">
        <v>5.7950010000000003E-2</v>
      </c>
      <c r="C27" s="2">
        <v>0.16930000000000001</v>
      </c>
      <c r="D27" s="2">
        <v>0.61619999999999997</v>
      </c>
      <c r="E27" s="3">
        <v>485</v>
      </c>
      <c r="F27" s="4">
        <v>4.1071999999999997E-2</v>
      </c>
      <c r="G27" s="5">
        <v>0.29766500000000001</v>
      </c>
      <c r="H27" s="5">
        <v>0.57006000000000001</v>
      </c>
    </row>
    <row r="28" spans="1:8">
      <c r="A28">
        <v>490</v>
      </c>
      <c r="B28" s="2">
        <v>3.2009999999999997E-2</v>
      </c>
      <c r="C28" s="2">
        <v>0.20802000000000001</v>
      </c>
      <c r="D28" s="2">
        <v>0.46517999999999998</v>
      </c>
      <c r="E28" s="3">
        <v>490</v>
      </c>
      <c r="F28" s="4">
        <v>1.6171999999999999E-2</v>
      </c>
      <c r="G28" s="5">
        <v>0.33913300000000002</v>
      </c>
      <c r="H28" s="5">
        <v>0.41525400000000001</v>
      </c>
    </row>
    <row r="29" spans="1:8">
      <c r="A29">
        <v>495</v>
      </c>
      <c r="B29" s="2">
        <v>1.47E-2</v>
      </c>
      <c r="C29" s="2">
        <v>0.2586</v>
      </c>
      <c r="D29" s="2">
        <v>0.3533</v>
      </c>
      <c r="E29" s="3">
        <v>495</v>
      </c>
      <c r="F29" s="4">
        <v>5.1320000000000003E-3</v>
      </c>
      <c r="G29" s="5">
        <v>0.39537899999999998</v>
      </c>
      <c r="H29" s="5">
        <v>0.30235600000000001</v>
      </c>
    </row>
    <row r="30" spans="1:8">
      <c r="A30">
        <v>500</v>
      </c>
      <c r="B30" s="2">
        <v>4.8999999999999998E-3</v>
      </c>
      <c r="C30" s="2">
        <v>0.32300000000000001</v>
      </c>
      <c r="D30" s="2">
        <v>0.27200000000000002</v>
      </c>
      <c r="E30" s="3">
        <v>500</v>
      </c>
      <c r="F30" s="4">
        <v>3.8159999999999999E-3</v>
      </c>
      <c r="G30" s="5">
        <v>0.46077699999999999</v>
      </c>
      <c r="H30" s="5">
        <v>0.218502</v>
      </c>
    </row>
    <row r="31" spans="1:8">
      <c r="A31">
        <v>505</v>
      </c>
      <c r="B31" s="2">
        <v>2.3999999999999998E-3</v>
      </c>
      <c r="C31" s="2">
        <v>0.4073</v>
      </c>
      <c r="D31" s="2">
        <v>0.21229999999999999</v>
      </c>
      <c r="E31" s="3">
        <v>505</v>
      </c>
      <c r="F31" s="4">
        <v>1.5443999999999999E-2</v>
      </c>
      <c r="G31" s="5">
        <v>0.53136000000000005</v>
      </c>
      <c r="H31" s="5">
        <v>0.159249</v>
      </c>
    </row>
    <row r="32" spans="1:8">
      <c r="A32">
        <v>510</v>
      </c>
      <c r="B32" s="2">
        <v>9.2999999999999992E-3</v>
      </c>
      <c r="C32" s="2">
        <v>0.503</v>
      </c>
      <c r="D32" s="2">
        <v>0.15820000000000001</v>
      </c>
      <c r="E32" s="3">
        <v>510</v>
      </c>
      <c r="F32" s="4">
        <v>3.7464999999999998E-2</v>
      </c>
      <c r="G32" s="5">
        <v>0.60674099999999997</v>
      </c>
      <c r="H32" s="5">
        <v>0.112044</v>
      </c>
    </row>
    <row r="33" spans="1:8">
      <c r="A33">
        <v>515</v>
      </c>
      <c r="B33" s="2">
        <v>2.9100000000000001E-2</v>
      </c>
      <c r="C33" s="2">
        <v>0.60819999999999996</v>
      </c>
      <c r="D33" s="2">
        <v>0.11169999999999999</v>
      </c>
      <c r="E33" s="3">
        <v>515</v>
      </c>
      <c r="F33" s="4">
        <v>7.1358000000000005E-2</v>
      </c>
      <c r="G33" s="5">
        <v>0.68566000000000005</v>
      </c>
      <c r="H33" s="5">
        <v>8.2248000000000002E-2</v>
      </c>
    </row>
    <row r="34" spans="1:8">
      <c r="A34">
        <v>520</v>
      </c>
      <c r="B34" s="2">
        <v>6.3270000000000007E-2</v>
      </c>
      <c r="C34" s="2">
        <v>0.71</v>
      </c>
      <c r="D34" s="2">
        <v>7.8249990000000005E-2</v>
      </c>
      <c r="E34" s="3">
        <v>520</v>
      </c>
      <c r="F34" s="4">
        <v>0.11774900000000001</v>
      </c>
      <c r="G34" s="5">
        <v>0.76175700000000002</v>
      </c>
      <c r="H34" s="5">
        <v>6.0708999999999999E-2</v>
      </c>
    </row>
    <row r="35" spans="1:8">
      <c r="A35">
        <v>525</v>
      </c>
      <c r="B35" s="2">
        <v>0.1096</v>
      </c>
      <c r="C35" s="2">
        <v>0.79320000000000002</v>
      </c>
      <c r="D35" s="2">
        <v>5.7250009999999997E-2</v>
      </c>
      <c r="E35" s="3">
        <v>525</v>
      </c>
      <c r="F35" s="4">
        <v>0.172953</v>
      </c>
      <c r="G35" s="5">
        <v>0.82333000000000001</v>
      </c>
      <c r="H35" s="5">
        <v>4.3049999999999998E-2</v>
      </c>
    </row>
    <row r="36" spans="1:8">
      <c r="A36">
        <v>530</v>
      </c>
      <c r="B36" s="2">
        <v>0.16550000000000001</v>
      </c>
      <c r="C36" s="2">
        <v>0.86199999999999999</v>
      </c>
      <c r="D36" s="2">
        <v>4.2160000000000003E-2</v>
      </c>
      <c r="E36" s="3">
        <v>530</v>
      </c>
      <c r="F36" s="4">
        <v>0.23649100000000001</v>
      </c>
      <c r="G36" s="5">
        <v>0.87521099999999996</v>
      </c>
      <c r="H36" s="5">
        <v>3.0450999999999999E-2</v>
      </c>
    </row>
    <row r="37" spans="1:8">
      <c r="A37">
        <v>535</v>
      </c>
      <c r="B37" s="2">
        <v>0.2257499</v>
      </c>
      <c r="C37" s="2">
        <v>0.9148501</v>
      </c>
      <c r="D37" s="2">
        <v>2.9839999999999998E-2</v>
      </c>
      <c r="E37" s="3">
        <v>535</v>
      </c>
      <c r="F37" s="4">
        <v>0.30421300000000001</v>
      </c>
      <c r="G37" s="5">
        <v>0.92381000000000002</v>
      </c>
      <c r="H37" s="5">
        <v>2.0584000000000002E-2</v>
      </c>
    </row>
    <row r="38" spans="1:8">
      <c r="A38">
        <v>540</v>
      </c>
      <c r="B38" s="2">
        <v>0.29039999999999999</v>
      </c>
      <c r="C38" s="2">
        <v>0.95399999999999996</v>
      </c>
      <c r="D38" s="2">
        <v>2.0299999999999999E-2</v>
      </c>
      <c r="E38" s="3">
        <v>540</v>
      </c>
      <c r="F38" s="4">
        <v>0.376772</v>
      </c>
      <c r="G38" s="5">
        <v>0.96198799999999995</v>
      </c>
      <c r="H38" s="5">
        <v>1.3676000000000001E-2</v>
      </c>
    </row>
    <row r="39" spans="1:8">
      <c r="A39">
        <v>545</v>
      </c>
      <c r="B39" s="2">
        <v>0.35970000000000002</v>
      </c>
      <c r="C39" s="2">
        <v>0.98029999999999995</v>
      </c>
      <c r="D39" s="2">
        <v>1.34E-2</v>
      </c>
      <c r="E39" s="3">
        <v>545</v>
      </c>
      <c r="F39" s="4">
        <v>0.45158399999999999</v>
      </c>
      <c r="G39" s="5">
        <v>0.98219999999999996</v>
      </c>
      <c r="H39" s="5">
        <v>7.9179999999999997E-3</v>
      </c>
    </row>
    <row r="40" spans="1:8">
      <c r="A40">
        <v>550</v>
      </c>
      <c r="B40" s="2">
        <v>0.4334499</v>
      </c>
      <c r="C40" s="2">
        <v>0.99495009999999995</v>
      </c>
      <c r="D40" s="2">
        <v>8.7499989999999996E-3</v>
      </c>
      <c r="E40" s="3">
        <v>550</v>
      </c>
      <c r="F40" s="4">
        <v>0.52982600000000002</v>
      </c>
      <c r="G40" s="5">
        <v>0.991761</v>
      </c>
      <c r="H40" s="5">
        <v>3.9880000000000002E-3</v>
      </c>
    </row>
    <row r="41" spans="1:8">
      <c r="A41">
        <v>555</v>
      </c>
      <c r="B41" s="2">
        <v>0.51205009999999995</v>
      </c>
      <c r="C41" s="2">
        <v>1</v>
      </c>
      <c r="D41" s="2">
        <v>5.7499990000000004E-3</v>
      </c>
      <c r="E41" s="3">
        <v>555</v>
      </c>
      <c r="F41" s="4">
        <v>0.61605299999999996</v>
      </c>
      <c r="G41" s="5">
        <v>0.99911000000000005</v>
      </c>
      <c r="H41" s="5">
        <v>1.091E-3</v>
      </c>
    </row>
    <row r="42" spans="1:8">
      <c r="A42">
        <v>560</v>
      </c>
      <c r="B42" s="2">
        <v>0.59450000000000003</v>
      </c>
      <c r="C42" s="2">
        <v>0.995</v>
      </c>
      <c r="D42" s="2">
        <v>3.8999999999999998E-3</v>
      </c>
      <c r="E42" s="3">
        <v>560</v>
      </c>
      <c r="F42" s="4">
        <v>0.70522399999999996</v>
      </c>
      <c r="G42" s="5">
        <v>0.99734</v>
      </c>
      <c r="H42" s="5">
        <v>0</v>
      </c>
    </row>
    <row r="43" spans="1:8">
      <c r="A43">
        <v>565</v>
      </c>
      <c r="B43" s="2">
        <v>0.6784</v>
      </c>
      <c r="C43" s="2">
        <v>0.97860000000000003</v>
      </c>
      <c r="D43" s="2">
        <v>2.7499989999999999E-3</v>
      </c>
      <c r="E43" s="3">
        <v>565</v>
      </c>
      <c r="F43" s="4">
        <v>0.79383199999999998</v>
      </c>
      <c r="G43" s="5">
        <v>0.98238000000000003</v>
      </c>
      <c r="H43" s="5">
        <v>0</v>
      </c>
    </row>
    <row r="44" spans="1:8">
      <c r="A44">
        <v>570</v>
      </c>
      <c r="B44" s="2">
        <v>0.7621</v>
      </c>
      <c r="C44" s="2">
        <v>0.95199999999999996</v>
      </c>
      <c r="D44" s="2">
        <v>2.0999999999999999E-3</v>
      </c>
      <c r="E44" s="3">
        <v>570</v>
      </c>
      <c r="F44" s="4">
        <v>0.87865499999999996</v>
      </c>
      <c r="G44" s="5">
        <v>0.95555199999999996</v>
      </c>
      <c r="H44" s="5">
        <v>0</v>
      </c>
    </row>
    <row r="45" spans="1:8">
      <c r="A45">
        <v>575</v>
      </c>
      <c r="B45" s="2">
        <v>0.84250000000000003</v>
      </c>
      <c r="C45" s="2">
        <v>0.91539999999999999</v>
      </c>
      <c r="D45" s="2">
        <v>1.8E-3</v>
      </c>
      <c r="E45" s="3">
        <v>575</v>
      </c>
      <c r="F45" s="4">
        <v>0.95116199999999995</v>
      </c>
      <c r="G45" s="5">
        <v>0.91517499999999996</v>
      </c>
      <c r="H45" s="5">
        <v>0</v>
      </c>
    </row>
    <row r="46" spans="1:8">
      <c r="A46">
        <v>580</v>
      </c>
      <c r="B46" s="2">
        <v>0.9163</v>
      </c>
      <c r="C46" s="2">
        <v>0.87</v>
      </c>
      <c r="D46" s="2">
        <v>1.6500009999999999E-3</v>
      </c>
      <c r="E46" s="3">
        <v>580</v>
      </c>
      <c r="F46" s="4">
        <v>1.01416</v>
      </c>
      <c r="G46" s="5">
        <v>0.86893399999999998</v>
      </c>
      <c r="H46" s="5">
        <v>0</v>
      </c>
    </row>
    <row r="47" spans="1:8">
      <c r="A47">
        <v>585</v>
      </c>
      <c r="B47" s="2">
        <v>0.97860000000000003</v>
      </c>
      <c r="C47" s="2">
        <v>0.81630000000000003</v>
      </c>
      <c r="D47" s="2">
        <v>1.4E-3</v>
      </c>
      <c r="E47" s="3">
        <v>585</v>
      </c>
      <c r="F47" s="4">
        <v>1.0743</v>
      </c>
      <c r="G47" s="5">
        <v>0.825623</v>
      </c>
      <c r="H47" s="5">
        <v>0</v>
      </c>
    </row>
    <row r="48" spans="1:8">
      <c r="A48">
        <v>590</v>
      </c>
      <c r="B48" s="2">
        <v>1.0263</v>
      </c>
      <c r="C48" s="2">
        <v>0.75700000000000001</v>
      </c>
      <c r="D48" s="2">
        <v>1.1000000000000001E-3</v>
      </c>
      <c r="E48" s="3">
        <v>590</v>
      </c>
      <c r="F48" s="4">
        <v>1.11852</v>
      </c>
      <c r="G48" s="5">
        <v>0.77740500000000001</v>
      </c>
      <c r="H48" s="5">
        <v>0</v>
      </c>
    </row>
    <row r="49" spans="1:8">
      <c r="A49">
        <v>595</v>
      </c>
      <c r="B49" s="2">
        <v>1.0567</v>
      </c>
      <c r="C49" s="2">
        <v>0.69489999999999996</v>
      </c>
      <c r="D49" s="2">
        <v>1E-3</v>
      </c>
      <c r="E49" s="3">
        <v>595</v>
      </c>
      <c r="F49" s="4">
        <v>1.1343000000000001</v>
      </c>
      <c r="G49" s="5">
        <v>0.72035300000000002</v>
      </c>
      <c r="H49" s="5">
        <v>0</v>
      </c>
    </row>
    <row r="50" spans="1:8">
      <c r="A50">
        <v>600</v>
      </c>
      <c r="B50" s="2">
        <v>1.0622</v>
      </c>
      <c r="C50" s="2">
        <v>0.63100000000000001</v>
      </c>
      <c r="D50" s="2">
        <v>8.0000000000000004E-4</v>
      </c>
      <c r="E50" s="3">
        <v>600</v>
      </c>
      <c r="F50" s="4">
        <v>1.12399</v>
      </c>
      <c r="G50" s="5">
        <v>0.65834099999999995</v>
      </c>
      <c r="H50" s="5">
        <v>0</v>
      </c>
    </row>
    <row r="51" spans="1:8">
      <c r="A51">
        <v>605</v>
      </c>
      <c r="B51" s="2">
        <v>1.0456000000000001</v>
      </c>
      <c r="C51" s="2">
        <v>0.56679999999999997</v>
      </c>
      <c r="D51" s="2">
        <v>5.9999999999999995E-4</v>
      </c>
      <c r="E51" s="3">
        <v>605</v>
      </c>
      <c r="F51" s="4">
        <v>1.0891</v>
      </c>
      <c r="G51" s="5">
        <v>0.59387800000000002</v>
      </c>
      <c r="H51" s="5">
        <v>0</v>
      </c>
    </row>
    <row r="52" spans="1:8">
      <c r="A52">
        <v>610</v>
      </c>
      <c r="B52" s="2">
        <v>1.0025999999999999</v>
      </c>
      <c r="C52" s="2">
        <v>0.503</v>
      </c>
      <c r="D52" s="2">
        <v>3.4000000000000002E-4</v>
      </c>
      <c r="E52" s="3">
        <v>610</v>
      </c>
      <c r="F52" s="4">
        <v>1.0304800000000001</v>
      </c>
      <c r="G52" s="5">
        <v>0.52796299999999996</v>
      </c>
      <c r="H52" s="5">
        <v>0</v>
      </c>
    </row>
    <row r="53" spans="1:8">
      <c r="A53">
        <v>615</v>
      </c>
      <c r="B53" s="2">
        <v>0.93840000000000001</v>
      </c>
      <c r="C53" s="2">
        <v>0.44119999999999998</v>
      </c>
      <c r="D53" s="2">
        <v>2.4000000000000001E-4</v>
      </c>
      <c r="E53" s="3">
        <v>615</v>
      </c>
      <c r="F53" s="4">
        <v>0.95074000000000003</v>
      </c>
      <c r="G53" s="5">
        <v>0.46183400000000002</v>
      </c>
      <c r="H53" s="5">
        <v>0</v>
      </c>
    </row>
    <row r="54" spans="1:8">
      <c r="A54">
        <v>620</v>
      </c>
      <c r="B54" s="2">
        <v>0.85444989999999998</v>
      </c>
      <c r="C54" s="2">
        <v>0.38100000000000001</v>
      </c>
      <c r="D54" s="2">
        <v>1.9000000000000001E-4</v>
      </c>
      <c r="E54" s="3">
        <v>620</v>
      </c>
      <c r="F54" s="4">
        <v>0.85629699999999997</v>
      </c>
      <c r="G54" s="5">
        <v>0.39805699999999999</v>
      </c>
      <c r="H54" s="5">
        <v>0</v>
      </c>
    </row>
    <row r="55" spans="1:8">
      <c r="A55">
        <v>625</v>
      </c>
      <c r="B55" s="2">
        <v>0.75139999999999996</v>
      </c>
      <c r="C55" s="2">
        <v>0.32100000000000001</v>
      </c>
      <c r="D55" s="2">
        <v>1E-4</v>
      </c>
      <c r="E55" s="3">
        <v>625</v>
      </c>
      <c r="F55" s="4">
        <v>0.75492999999999999</v>
      </c>
      <c r="G55" s="5">
        <v>0.33955400000000002</v>
      </c>
      <c r="H55" s="5">
        <v>0</v>
      </c>
    </row>
    <row r="56" spans="1:8">
      <c r="A56">
        <v>630</v>
      </c>
      <c r="B56" s="2">
        <v>0.64239999999999997</v>
      </c>
      <c r="C56" s="2">
        <v>0.26500000000000001</v>
      </c>
      <c r="D56" s="2">
        <v>4.9999990000000002E-5</v>
      </c>
      <c r="E56" s="3">
        <v>630</v>
      </c>
      <c r="F56" s="4">
        <v>0.64746700000000001</v>
      </c>
      <c r="G56" s="5">
        <v>0.28349299999999999</v>
      </c>
      <c r="H56" s="5">
        <v>0</v>
      </c>
    </row>
    <row r="57" spans="1:8">
      <c r="A57">
        <v>635</v>
      </c>
      <c r="B57" s="2">
        <v>0.54190000000000005</v>
      </c>
      <c r="C57" s="2">
        <v>0.217</v>
      </c>
      <c r="D57" s="2">
        <v>3.0000000000000001E-5</v>
      </c>
      <c r="E57" s="3">
        <v>635</v>
      </c>
      <c r="F57" s="4">
        <v>0.53510999999999997</v>
      </c>
      <c r="G57" s="5">
        <v>0.22825400000000001</v>
      </c>
      <c r="H57" s="5">
        <v>0</v>
      </c>
    </row>
    <row r="58" spans="1:8">
      <c r="A58">
        <v>640</v>
      </c>
      <c r="B58" s="2">
        <v>0.44790000000000002</v>
      </c>
      <c r="C58" s="2">
        <v>0.17499999999999999</v>
      </c>
      <c r="D58" s="2">
        <v>2.0000000000000002E-5</v>
      </c>
      <c r="E58" s="3">
        <v>640</v>
      </c>
      <c r="F58" s="4">
        <v>0.43156699999999998</v>
      </c>
      <c r="G58" s="5">
        <v>0.17982799999999999</v>
      </c>
      <c r="H58" s="5">
        <v>0</v>
      </c>
    </row>
    <row r="59" spans="1:8">
      <c r="A59">
        <v>645</v>
      </c>
      <c r="B59" s="2">
        <v>0.36080000000000001</v>
      </c>
      <c r="C59" s="2">
        <v>0.13819999999999999</v>
      </c>
      <c r="D59" s="2">
        <v>1.0000000000000001E-5</v>
      </c>
      <c r="E59" s="3">
        <v>645</v>
      </c>
      <c r="F59" s="4">
        <v>0.34369</v>
      </c>
      <c r="G59" s="5">
        <v>0.140211</v>
      </c>
      <c r="H59" s="5">
        <v>0</v>
      </c>
    </row>
    <row r="60" spans="1:8">
      <c r="A60">
        <v>650</v>
      </c>
      <c r="B60" s="2">
        <v>0.28349999999999997</v>
      </c>
      <c r="C60" s="2">
        <v>0.107</v>
      </c>
      <c r="D60" s="2">
        <v>0</v>
      </c>
      <c r="E60" s="3">
        <v>650</v>
      </c>
      <c r="F60" s="4">
        <v>0.26832899999999998</v>
      </c>
      <c r="G60" s="5">
        <v>0.10763300000000001</v>
      </c>
      <c r="H60" s="5">
        <v>0</v>
      </c>
    </row>
    <row r="61" spans="1:8">
      <c r="A61">
        <v>655</v>
      </c>
      <c r="B61" s="2">
        <v>0.21870000000000001</v>
      </c>
      <c r="C61" s="2">
        <v>8.1600000000000006E-2</v>
      </c>
      <c r="D61" s="2">
        <v>0</v>
      </c>
      <c r="E61" s="3">
        <v>655</v>
      </c>
      <c r="F61" s="4">
        <v>0.20430000000000001</v>
      </c>
      <c r="G61" s="5">
        <v>8.1186999999999995E-2</v>
      </c>
      <c r="H61" s="5">
        <v>0</v>
      </c>
    </row>
    <row r="62" spans="1:8">
      <c r="A62">
        <v>660</v>
      </c>
      <c r="B62" s="2">
        <v>0.16489999999999999</v>
      </c>
      <c r="C62" s="2">
        <v>6.0999999999999999E-2</v>
      </c>
      <c r="D62" s="2">
        <v>0</v>
      </c>
      <c r="E62" s="3">
        <v>660</v>
      </c>
      <c r="F62" s="4">
        <v>0.15256800000000001</v>
      </c>
      <c r="G62" s="5">
        <v>6.0281000000000001E-2</v>
      </c>
      <c r="H62" s="5">
        <v>0</v>
      </c>
    </row>
    <row r="63" spans="1:8">
      <c r="A63">
        <v>665</v>
      </c>
      <c r="B63" s="2">
        <v>0.1212</v>
      </c>
      <c r="C63" s="2">
        <v>4.4580000000000002E-2</v>
      </c>
      <c r="D63" s="2">
        <v>0</v>
      </c>
      <c r="E63" s="3">
        <v>665</v>
      </c>
      <c r="F63" s="4">
        <v>0.11221</v>
      </c>
      <c r="G63" s="5">
        <v>4.4096000000000003E-2</v>
      </c>
      <c r="H63" s="5">
        <v>0</v>
      </c>
    </row>
    <row r="64" spans="1:8">
      <c r="A64">
        <v>670</v>
      </c>
      <c r="B64" s="2">
        <v>8.7400000000000005E-2</v>
      </c>
      <c r="C64" s="2">
        <v>3.2000000000000001E-2</v>
      </c>
      <c r="D64" s="2">
        <v>0</v>
      </c>
      <c r="E64" s="3">
        <v>670</v>
      </c>
      <c r="F64" s="4">
        <v>8.1260600000000002E-2</v>
      </c>
      <c r="G64" s="5">
        <v>3.18004E-2</v>
      </c>
      <c r="H64" s="5">
        <v>0</v>
      </c>
    </row>
    <row r="65" spans="1:8">
      <c r="A65">
        <v>675</v>
      </c>
      <c r="B65" s="2">
        <v>6.3600000000000004E-2</v>
      </c>
      <c r="C65" s="2">
        <v>2.3199999999999998E-2</v>
      </c>
      <c r="D65" s="2">
        <v>0</v>
      </c>
      <c r="E65" s="3">
        <v>675</v>
      </c>
      <c r="F65" s="4">
        <v>5.7930000000000002E-2</v>
      </c>
      <c r="G65" s="5">
        <v>2.2601699999999999E-2</v>
      </c>
      <c r="H65" s="5">
        <v>0</v>
      </c>
    </row>
    <row r="66" spans="1:8">
      <c r="A66">
        <v>680</v>
      </c>
      <c r="B66" s="2">
        <v>4.6769999999999999E-2</v>
      </c>
      <c r="C66" s="2">
        <v>1.7000000000000001E-2</v>
      </c>
      <c r="D66" s="2">
        <v>0</v>
      </c>
      <c r="E66" s="3">
        <v>680</v>
      </c>
      <c r="F66" s="4">
        <v>4.08508E-2</v>
      </c>
      <c r="G66" s="5">
        <v>1.5905099999999998E-2</v>
      </c>
      <c r="H66" s="5">
        <v>0</v>
      </c>
    </row>
    <row r="67" spans="1:8">
      <c r="A67">
        <v>685</v>
      </c>
      <c r="B67" s="2">
        <v>3.2899999999999999E-2</v>
      </c>
      <c r="C67" s="2">
        <v>1.192E-2</v>
      </c>
      <c r="D67" s="2">
        <v>0</v>
      </c>
      <c r="E67" s="3">
        <v>685</v>
      </c>
      <c r="F67" s="4">
        <v>2.8622999999999999E-2</v>
      </c>
      <c r="G67" s="5">
        <v>1.1130299999999999E-2</v>
      </c>
      <c r="H67" s="5">
        <v>0</v>
      </c>
    </row>
    <row r="68" spans="1:8">
      <c r="A68">
        <v>690</v>
      </c>
      <c r="B68" s="2">
        <v>2.2700000000000001E-2</v>
      </c>
      <c r="C68" s="2">
        <v>8.2100000000000003E-3</v>
      </c>
      <c r="D68" s="2">
        <v>0</v>
      </c>
      <c r="E68" s="3">
        <v>690</v>
      </c>
      <c r="F68" s="4">
        <v>1.9941299999999999E-2</v>
      </c>
      <c r="G68" s="5">
        <v>7.7488000000000001E-3</v>
      </c>
      <c r="H68" s="5">
        <v>0</v>
      </c>
    </row>
    <row r="69" spans="1:8">
      <c r="A69">
        <v>695</v>
      </c>
      <c r="B69" s="2">
        <v>1.584E-2</v>
      </c>
      <c r="C69" s="2">
        <v>5.7229999999999998E-3</v>
      </c>
      <c r="D69" s="2">
        <v>0</v>
      </c>
      <c r="E69" s="3">
        <v>695</v>
      </c>
      <c r="F69" s="4">
        <v>1.3842E-2</v>
      </c>
      <c r="G69" s="5">
        <v>5.3750999999999998E-3</v>
      </c>
      <c r="H69" s="5">
        <v>0</v>
      </c>
    </row>
    <row r="70" spans="1:8">
      <c r="A70">
        <v>700</v>
      </c>
      <c r="B70" s="2">
        <v>1.135916E-2</v>
      </c>
      <c r="C70" s="2">
        <v>4.1019999999999997E-3</v>
      </c>
      <c r="D70" s="2">
        <v>0</v>
      </c>
      <c r="E70" s="3">
        <v>700</v>
      </c>
      <c r="F70" s="4">
        <v>9.5768799999999994E-3</v>
      </c>
      <c r="G70" s="5">
        <v>3.7177400000000002E-3</v>
      </c>
      <c r="H70" s="5">
        <v>0</v>
      </c>
    </row>
    <row r="71" spans="1:8">
      <c r="A71">
        <v>705</v>
      </c>
      <c r="B71" s="2">
        <v>8.1109159999999993E-3</v>
      </c>
      <c r="C71" s="2">
        <v>2.9290000000000002E-3</v>
      </c>
      <c r="D71" s="2">
        <v>0</v>
      </c>
      <c r="E71" s="3">
        <v>705</v>
      </c>
      <c r="F71" s="4">
        <v>6.6052000000000003E-3</v>
      </c>
      <c r="G71" s="5">
        <v>2.56456E-3</v>
      </c>
      <c r="H71" s="5">
        <v>0</v>
      </c>
    </row>
    <row r="72" spans="1:8">
      <c r="A72">
        <v>710</v>
      </c>
      <c r="B72" s="2">
        <v>5.790346E-3</v>
      </c>
      <c r="C72" s="2">
        <v>2.091E-3</v>
      </c>
      <c r="D72" s="2">
        <v>0</v>
      </c>
      <c r="E72" s="3">
        <v>710</v>
      </c>
      <c r="F72" s="4">
        <v>4.5526300000000002E-3</v>
      </c>
      <c r="G72" s="5">
        <v>1.7684700000000001E-3</v>
      </c>
      <c r="H72" s="5">
        <v>0</v>
      </c>
    </row>
    <row r="73" spans="1:8">
      <c r="A73">
        <v>715</v>
      </c>
      <c r="B73" s="2">
        <v>4.1094570000000004E-3</v>
      </c>
      <c r="C73" s="2">
        <v>1.4840000000000001E-3</v>
      </c>
      <c r="D73" s="2">
        <v>0</v>
      </c>
      <c r="E73" s="3">
        <v>715</v>
      </c>
      <c r="F73" s="4">
        <v>3.1446999999999998E-3</v>
      </c>
      <c r="G73" s="5">
        <v>1.2223900000000001E-3</v>
      </c>
      <c r="H73" s="5">
        <v>0</v>
      </c>
    </row>
    <row r="74" spans="1:8">
      <c r="A74">
        <v>720</v>
      </c>
      <c r="B74" s="2">
        <v>2.8993270000000002E-3</v>
      </c>
      <c r="C74" s="2">
        <v>1.047E-3</v>
      </c>
      <c r="D74" s="2">
        <v>0</v>
      </c>
      <c r="E74" s="3">
        <v>720</v>
      </c>
      <c r="F74" s="4">
        <v>2.1749600000000001E-3</v>
      </c>
      <c r="G74" s="5">
        <v>8.4619000000000003E-4</v>
      </c>
      <c r="H74" s="5">
        <v>0</v>
      </c>
    </row>
    <row r="75" spans="1:8">
      <c r="A75">
        <v>725</v>
      </c>
      <c r="B75" s="2">
        <v>2.0491900000000002E-3</v>
      </c>
      <c r="C75" s="2">
        <v>7.3999999999999999E-4</v>
      </c>
      <c r="D75" s="2">
        <v>0</v>
      </c>
      <c r="E75" s="3">
        <v>725</v>
      </c>
      <c r="F75" s="4">
        <v>1.5057E-3</v>
      </c>
      <c r="G75" s="5">
        <v>5.8644000000000003E-4</v>
      </c>
      <c r="H75" s="5">
        <v>0</v>
      </c>
    </row>
    <row r="76" spans="1:8">
      <c r="A76">
        <v>730</v>
      </c>
      <c r="B76" s="2">
        <v>1.439971E-3</v>
      </c>
      <c r="C76" s="2">
        <v>5.1999999999999995E-4</v>
      </c>
      <c r="D76" s="2">
        <v>0</v>
      </c>
      <c r="E76" s="3">
        <v>730</v>
      </c>
      <c r="F76" s="4">
        <v>1.04476E-3</v>
      </c>
      <c r="G76" s="5">
        <v>4.0740999999999998E-4</v>
      </c>
      <c r="H76" s="5">
        <v>0</v>
      </c>
    </row>
    <row r="77" spans="1:8">
      <c r="A77">
        <v>735</v>
      </c>
      <c r="B77" s="2">
        <v>9.9994930000000008E-4</v>
      </c>
      <c r="C77" s="2">
        <v>3.611E-4</v>
      </c>
      <c r="D77" s="2">
        <v>0</v>
      </c>
      <c r="E77" s="3">
        <v>735</v>
      </c>
      <c r="F77" s="4">
        <v>7.2745000000000004E-4</v>
      </c>
      <c r="G77" s="5">
        <v>2.8404100000000001E-4</v>
      </c>
      <c r="H77" s="5">
        <v>0</v>
      </c>
    </row>
    <row r="78" spans="1:8">
      <c r="A78">
        <v>740</v>
      </c>
      <c r="B78" s="2">
        <v>6.9007859999999999E-4</v>
      </c>
      <c r="C78" s="2">
        <v>2.4919999999999999E-4</v>
      </c>
      <c r="D78" s="2">
        <v>0</v>
      </c>
      <c r="E78" s="3">
        <v>740</v>
      </c>
      <c r="F78" s="4">
        <v>5.0825800000000004E-4</v>
      </c>
      <c r="G78" s="5">
        <v>1.9872999999999999E-4</v>
      </c>
      <c r="H78" s="5">
        <v>0</v>
      </c>
    </row>
    <row r="79" spans="1:8">
      <c r="A79">
        <v>745</v>
      </c>
      <c r="B79" s="2">
        <v>4.7602130000000002E-4</v>
      </c>
      <c r="C79" s="2">
        <v>1.719E-4</v>
      </c>
      <c r="D79" s="2">
        <v>0</v>
      </c>
      <c r="E79" s="3">
        <v>745</v>
      </c>
      <c r="F79" s="4">
        <v>3.5638E-4</v>
      </c>
      <c r="G79" s="5">
        <v>1.3955E-4</v>
      </c>
      <c r="H79" s="5">
        <v>0</v>
      </c>
    </row>
    <row r="80" spans="1:8">
      <c r="A80">
        <v>750</v>
      </c>
      <c r="B80" s="2">
        <v>3.323011E-4</v>
      </c>
      <c r="C80" s="2">
        <v>1.2E-4</v>
      </c>
      <c r="D80" s="2">
        <v>0</v>
      </c>
      <c r="E80" s="3">
        <v>750</v>
      </c>
      <c r="F80" s="4">
        <v>2.5096899999999998E-4</v>
      </c>
      <c r="G80" s="5">
        <v>9.8428E-5</v>
      </c>
      <c r="H80" s="5">
        <v>0</v>
      </c>
    </row>
    <row r="81" spans="1:8">
      <c r="A81">
        <v>755</v>
      </c>
      <c r="B81" s="2">
        <v>2.348261E-4</v>
      </c>
      <c r="C81" s="2">
        <v>8.4800000000000001E-5</v>
      </c>
      <c r="D81" s="2">
        <v>0</v>
      </c>
      <c r="E81" s="3">
        <v>755</v>
      </c>
      <c r="F81" s="4">
        <v>1.7772999999999999E-4</v>
      </c>
      <c r="G81" s="5">
        <v>6.9819000000000004E-5</v>
      </c>
      <c r="H81" s="5">
        <v>0</v>
      </c>
    </row>
    <row r="82" spans="1:8">
      <c r="A82">
        <v>760</v>
      </c>
      <c r="B82" s="2">
        <v>1.6615050000000001E-4</v>
      </c>
      <c r="C82" s="2">
        <v>6.0000000000000002E-5</v>
      </c>
      <c r="D82" s="2">
        <v>0</v>
      </c>
      <c r="E82" s="3">
        <v>760</v>
      </c>
      <c r="F82" s="4">
        <v>1.2638999999999999E-4</v>
      </c>
      <c r="G82" s="5">
        <v>4.9737000000000002E-5</v>
      </c>
      <c r="H82" s="5">
        <v>0</v>
      </c>
    </row>
    <row r="83" spans="1:8">
      <c r="A83">
        <v>765</v>
      </c>
      <c r="B83" s="2">
        <v>1.17413E-4</v>
      </c>
      <c r="C83" s="2">
        <v>4.2400000000000001E-5</v>
      </c>
      <c r="D83" s="2">
        <v>0</v>
      </c>
      <c r="E83" s="3">
        <v>765</v>
      </c>
      <c r="F83" s="4">
        <v>9.0150999999999998E-5</v>
      </c>
      <c r="G83" s="5">
        <v>3.5540500000000003E-5</v>
      </c>
      <c r="H83" s="5">
        <v>0</v>
      </c>
    </row>
    <row r="84" spans="1:8">
      <c r="A84">
        <v>770</v>
      </c>
      <c r="B84" s="2">
        <v>8.3075270000000005E-5</v>
      </c>
      <c r="C84" s="2">
        <v>3.0000000000000001E-5</v>
      </c>
      <c r="D84" s="2">
        <v>0</v>
      </c>
      <c r="E84" s="3">
        <v>770</v>
      </c>
      <c r="F84" s="4">
        <v>6.4525799999999998E-5</v>
      </c>
      <c r="G84" s="5">
        <v>2.5486E-5</v>
      </c>
      <c r="H84" s="5">
        <v>0</v>
      </c>
    </row>
    <row r="85" spans="1:8">
      <c r="A85">
        <v>775</v>
      </c>
      <c r="B85" s="2">
        <v>5.8706519999999999E-5</v>
      </c>
      <c r="C85" s="2">
        <v>2.12E-5</v>
      </c>
      <c r="D85" s="2">
        <v>0</v>
      </c>
      <c r="E85" s="3">
        <v>775</v>
      </c>
      <c r="F85" s="4">
        <v>4.6338999999999998E-5</v>
      </c>
      <c r="G85" s="5">
        <v>1.83384E-5</v>
      </c>
      <c r="H85" s="5">
        <v>0</v>
      </c>
    </row>
    <row r="86" spans="1:8">
      <c r="A86">
        <v>780</v>
      </c>
      <c r="B86" s="2">
        <v>4.1509940000000003E-5</v>
      </c>
      <c r="C86" s="2">
        <v>1.499E-5</v>
      </c>
      <c r="D86" s="2">
        <v>0</v>
      </c>
      <c r="E86" s="3">
        <v>780</v>
      </c>
      <c r="F86" s="4">
        <v>3.3411699999999997E-5</v>
      </c>
      <c r="G86" s="5">
        <v>1.3249E-5</v>
      </c>
      <c r="H86" s="5">
        <v>0</v>
      </c>
    </row>
    <row r="87" spans="1:8">
      <c r="A87">
        <v>785</v>
      </c>
      <c r="B87" s="2">
        <v>2.935326E-5</v>
      </c>
      <c r="C87" s="2">
        <v>1.06E-5</v>
      </c>
      <c r="D87" s="2">
        <v>0</v>
      </c>
      <c r="E87" s="3">
        <v>785</v>
      </c>
      <c r="F87" s="4">
        <v>2.4209000000000001E-5</v>
      </c>
      <c r="G87" s="5">
        <v>9.6196000000000002E-6</v>
      </c>
      <c r="H87" s="5">
        <v>0</v>
      </c>
    </row>
    <row r="88" spans="1:8">
      <c r="A88">
        <v>790</v>
      </c>
      <c r="B88" s="2">
        <v>2.0673830000000001E-5</v>
      </c>
      <c r="C88" s="2">
        <v>7.4657000000000004E-6</v>
      </c>
      <c r="D88" s="2">
        <v>0</v>
      </c>
      <c r="E88" s="3">
        <v>790</v>
      </c>
      <c r="F88" s="4">
        <v>1.7611499999999999E-5</v>
      </c>
      <c r="G88" s="5">
        <v>7.0128E-6</v>
      </c>
      <c r="H88" s="5">
        <v>0</v>
      </c>
    </row>
    <row r="89" spans="1:8">
      <c r="A89">
        <v>795</v>
      </c>
      <c r="B89" s="2">
        <v>1.455977E-5</v>
      </c>
      <c r="C89" s="2">
        <v>5.2577999999999999E-6</v>
      </c>
      <c r="D89" s="2">
        <v>0</v>
      </c>
      <c r="E89" s="3">
        <v>795</v>
      </c>
      <c r="F89" s="4">
        <v>1.2855E-5</v>
      </c>
      <c r="G89" s="5">
        <v>5.1298000000000004E-6</v>
      </c>
      <c r="H89" s="5">
        <v>0</v>
      </c>
    </row>
    <row r="90" spans="1:8">
      <c r="A90">
        <v>800</v>
      </c>
      <c r="B90" s="2">
        <v>1.0253980000000001E-5</v>
      </c>
      <c r="C90" s="2">
        <v>3.7029000000000002E-6</v>
      </c>
      <c r="D90" s="2">
        <v>0</v>
      </c>
      <c r="E90" s="3">
        <v>800</v>
      </c>
      <c r="F90" s="4">
        <v>9.4136299999999995E-6</v>
      </c>
      <c r="G90" s="5">
        <v>3.7647300000000001E-6</v>
      </c>
      <c r="H90" s="5">
        <v>0</v>
      </c>
    </row>
    <row r="91" spans="1:8">
      <c r="A91">
        <v>805</v>
      </c>
      <c r="B91" s="2">
        <v>7.2214559999999999E-6</v>
      </c>
      <c r="C91" s="2">
        <v>2.6077999999999998E-6</v>
      </c>
      <c r="D91" s="2">
        <v>0</v>
      </c>
      <c r="E91" s="3">
        <v>805</v>
      </c>
      <c r="F91" s="4">
        <v>6.9129999999999997E-6</v>
      </c>
      <c r="G91" s="5">
        <v>2.7708100000000001E-6</v>
      </c>
      <c r="H91" s="5">
        <v>0</v>
      </c>
    </row>
    <row r="92" spans="1:8">
      <c r="A92">
        <v>810</v>
      </c>
      <c r="B92" s="2">
        <v>5.0858679999999998E-6</v>
      </c>
      <c r="C92" s="2">
        <v>1.8365999999999999E-6</v>
      </c>
      <c r="D92" s="2">
        <v>0</v>
      </c>
      <c r="E92" s="3">
        <v>810</v>
      </c>
      <c r="F92" s="4">
        <v>5.09347E-6</v>
      </c>
      <c r="G92" s="5">
        <v>2.0461300000000002E-6</v>
      </c>
      <c r="H92" s="5">
        <v>0</v>
      </c>
    </row>
    <row r="93" spans="1:8">
      <c r="A93">
        <v>815</v>
      </c>
      <c r="B93" s="2">
        <v>3.5816519999999999E-6</v>
      </c>
      <c r="C93" s="2">
        <v>1.2934E-6</v>
      </c>
      <c r="D93" s="2">
        <v>0</v>
      </c>
      <c r="E93" s="3">
        <v>815</v>
      </c>
      <c r="F93" s="4">
        <v>3.7670999999999999E-6</v>
      </c>
      <c r="G93" s="5">
        <v>1.51677E-6</v>
      </c>
      <c r="H93" s="5">
        <v>0</v>
      </c>
    </row>
    <row r="94" spans="1:8">
      <c r="A94">
        <v>820</v>
      </c>
      <c r="B94" s="2">
        <v>2.522525E-6</v>
      </c>
      <c r="C94" s="2">
        <v>9.1093000000000002E-7</v>
      </c>
      <c r="D94" s="2">
        <v>0</v>
      </c>
      <c r="E94" s="3">
        <v>820</v>
      </c>
      <c r="F94" s="4">
        <v>2.79531E-6</v>
      </c>
      <c r="G94" s="5">
        <v>1.12809E-6</v>
      </c>
      <c r="H94" s="5">
        <v>0</v>
      </c>
    </row>
    <row r="95" spans="1:8">
      <c r="A95">
        <v>825</v>
      </c>
      <c r="B95" s="2">
        <v>1.7765090000000001E-6</v>
      </c>
      <c r="C95" s="2">
        <v>6.4153E-7</v>
      </c>
      <c r="D95" s="2">
        <v>0</v>
      </c>
      <c r="E95" s="3">
        <v>825</v>
      </c>
      <c r="F95" s="4">
        <v>2.0820000000000001E-6</v>
      </c>
      <c r="G95" s="5">
        <v>8.4216000000000002E-7</v>
      </c>
      <c r="H95" s="5">
        <v>0</v>
      </c>
    </row>
    <row r="96" spans="1:8">
      <c r="A96">
        <v>830</v>
      </c>
      <c r="B96" s="2">
        <v>1.251141E-6</v>
      </c>
      <c r="C96" s="2">
        <v>4.5181000000000002E-7</v>
      </c>
      <c r="D96" s="2">
        <v>0</v>
      </c>
      <c r="E96" s="3">
        <v>830</v>
      </c>
      <c r="F96" s="4">
        <v>1.55314E-6</v>
      </c>
      <c r="G96" s="5">
        <v>6.2969999999999998E-7</v>
      </c>
      <c r="H96" s="5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W104"/>
  <sheetViews>
    <sheetView workbookViewId="0">
      <selection activeCell="D10" sqref="D10"/>
    </sheetView>
  </sheetViews>
  <sheetFormatPr defaultRowHeight="14.5"/>
  <sheetData>
    <row r="1" spans="1:101">
      <c r="A1" t="s">
        <v>3</v>
      </c>
      <c r="B1" s="6" t="s">
        <v>4</v>
      </c>
    </row>
    <row r="2" spans="1:101">
      <c r="B2" s="6" t="s">
        <v>5</v>
      </c>
    </row>
    <row r="3" spans="1:101">
      <c r="B3" s="6" t="s">
        <v>6</v>
      </c>
    </row>
    <row r="4" spans="1:101">
      <c r="B4" s="6" t="s">
        <v>7</v>
      </c>
    </row>
    <row r="5" spans="1:101">
      <c r="B5" s="6" t="s">
        <v>8</v>
      </c>
    </row>
    <row r="6" spans="1:101">
      <c r="B6" s="6" t="s">
        <v>9</v>
      </c>
    </row>
    <row r="7" spans="1:101">
      <c r="B7" s="6" t="s">
        <v>10</v>
      </c>
    </row>
    <row r="8" spans="1:101">
      <c r="A8" t="s">
        <v>3</v>
      </c>
      <c r="C8" s="7">
        <v>3</v>
      </c>
      <c r="D8" s="7">
        <v>3</v>
      </c>
      <c r="E8" s="7">
        <v>1</v>
      </c>
      <c r="F8" s="7">
        <v>1</v>
      </c>
      <c r="G8" s="7">
        <v>4</v>
      </c>
      <c r="H8" s="7">
        <v>3</v>
      </c>
      <c r="I8" s="7">
        <v>5</v>
      </c>
      <c r="J8" s="7">
        <v>4</v>
      </c>
      <c r="K8" s="7">
        <v>6</v>
      </c>
      <c r="L8" s="7">
        <v>7</v>
      </c>
      <c r="M8" s="7">
        <v>3</v>
      </c>
      <c r="N8" s="7">
        <v>1</v>
      </c>
      <c r="O8" s="7">
        <v>6</v>
      </c>
      <c r="P8" s="7">
        <v>5</v>
      </c>
      <c r="Q8" s="7">
        <v>2</v>
      </c>
      <c r="R8" s="7">
        <v>3</v>
      </c>
      <c r="S8" s="7">
        <v>3</v>
      </c>
      <c r="T8" s="7">
        <v>2</v>
      </c>
      <c r="U8" s="7">
        <v>5</v>
      </c>
      <c r="V8" s="7">
        <v>6</v>
      </c>
      <c r="W8" s="7">
        <v>4</v>
      </c>
      <c r="X8" s="7">
        <v>4</v>
      </c>
      <c r="Y8" s="7">
        <v>7</v>
      </c>
      <c r="Z8" s="7">
        <v>5</v>
      </c>
      <c r="AA8" s="7">
        <v>1</v>
      </c>
      <c r="AB8" s="7">
        <v>3</v>
      </c>
      <c r="AC8" s="7">
        <v>1</v>
      </c>
      <c r="AD8" s="7">
        <v>7</v>
      </c>
      <c r="AE8" s="7">
        <v>3</v>
      </c>
      <c r="AF8" s="7">
        <v>1</v>
      </c>
      <c r="AG8" s="7">
        <v>4</v>
      </c>
      <c r="AH8" s="7">
        <v>3</v>
      </c>
      <c r="AI8" s="7">
        <v>4</v>
      </c>
      <c r="AJ8" s="7">
        <v>7</v>
      </c>
      <c r="AK8" s="7">
        <v>7</v>
      </c>
      <c r="AL8" s="7">
        <v>1</v>
      </c>
      <c r="AM8" s="7">
        <v>1</v>
      </c>
      <c r="AN8" s="7">
        <v>1</v>
      </c>
      <c r="AO8" s="7">
        <v>6</v>
      </c>
      <c r="AP8" s="7">
        <v>6</v>
      </c>
      <c r="AQ8" s="7">
        <v>3</v>
      </c>
      <c r="AR8" s="7">
        <v>6</v>
      </c>
      <c r="AS8" s="7">
        <v>3</v>
      </c>
      <c r="AT8" s="7">
        <v>6</v>
      </c>
      <c r="AU8" s="7">
        <v>7</v>
      </c>
      <c r="AV8" s="7">
        <v>5</v>
      </c>
      <c r="AW8" s="7">
        <v>3</v>
      </c>
      <c r="AX8" s="7">
        <v>4</v>
      </c>
      <c r="AY8" s="7">
        <v>4</v>
      </c>
      <c r="AZ8" s="7">
        <v>6</v>
      </c>
      <c r="BA8" s="7">
        <v>6</v>
      </c>
      <c r="BB8" s="7">
        <v>6</v>
      </c>
      <c r="BC8" s="7">
        <v>5</v>
      </c>
      <c r="BD8" s="7">
        <v>6</v>
      </c>
      <c r="BE8" s="7">
        <v>7</v>
      </c>
      <c r="BF8" s="7">
        <v>7</v>
      </c>
      <c r="BG8" s="7">
        <v>3</v>
      </c>
      <c r="BH8" s="7">
        <v>4</v>
      </c>
      <c r="BI8" s="7">
        <v>5</v>
      </c>
      <c r="BJ8" s="7">
        <v>7</v>
      </c>
      <c r="BK8" s="7">
        <v>6</v>
      </c>
      <c r="BL8" s="7">
        <v>3</v>
      </c>
      <c r="BM8" s="7">
        <v>6</v>
      </c>
      <c r="BN8" s="7">
        <v>5</v>
      </c>
      <c r="BO8" s="7">
        <v>6</v>
      </c>
      <c r="BP8" s="7">
        <v>5</v>
      </c>
      <c r="BQ8" s="7">
        <v>5</v>
      </c>
      <c r="BR8" s="7">
        <v>6</v>
      </c>
      <c r="BS8" s="7">
        <v>6</v>
      </c>
      <c r="BT8" s="7">
        <v>6</v>
      </c>
      <c r="BU8" s="7">
        <v>6</v>
      </c>
      <c r="BV8" s="7">
        <v>6</v>
      </c>
      <c r="BW8" s="7">
        <v>6</v>
      </c>
      <c r="BX8" s="7">
        <v>3</v>
      </c>
      <c r="BY8" s="7">
        <v>6</v>
      </c>
      <c r="BZ8" s="7">
        <v>6</v>
      </c>
      <c r="CA8" s="7">
        <v>1</v>
      </c>
      <c r="CB8" s="7">
        <v>6</v>
      </c>
      <c r="CC8" s="7">
        <v>3</v>
      </c>
      <c r="CD8" s="7">
        <v>7</v>
      </c>
      <c r="CE8" s="7">
        <v>1</v>
      </c>
      <c r="CF8" s="7">
        <v>3</v>
      </c>
      <c r="CG8" s="7">
        <v>3</v>
      </c>
      <c r="CH8" s="7">
        <v>6</v>
      </c>
      <c r="CI8" s="7">
        <v>1</v>
      </c>
      <c r="CJ8" s="7">
        <v>3</v>
      </c>
      <c r="CK8" s="7">
        <v>6</v>
      </c>
      <c r="CL8" s="7">
        <v>6</v>
      </c>
      <c r="CM8" s="7">
        <v>1</v>
      </c>
      <c r="CN8" s="7">
        <v>5</v>
      </c>
      <c r="CO8" s="7">
        <v>1</v>
      </c>
      <c r="CP8" s="7">
        <v>1</v>
      </c>
      <c r="CQ8" s="7">
        <v>4</v>
      </c>
      <c r="CR8" s="7">
        <v>3</v>
      </c>
      <c r="CS8" s="7">
        <v>1</v>
      </c>
      <c r="CT8" s="7">
        <v>1</v>
      </c>
      <c r="CU8" s="7">
        <v>6</v>
      </c>
      <c r="CV8" s="7">
        <v>3</v>
      </c>
      <c r="CW8" s="7">
        <v>5</v>
      </c>
    </row>
    <row r="9" spans="1:101">
      <c r="A9" t="s">
        <v>11</v>
      </c>
      <c r="B9">
        <v>1</v>
      </c>
      <c r="C9" s="7">
        <v>2</v>
      </c>
      <c r="D9" s="7">
        <v>3</v>
      </c>
      <c r="E9" s="7">
        <v>4</v>
      </c>
      <c r="F9" s="7">
        <v>5</v>
      </c>
      <c r="G9" s="7">
        <v>6</v>
      </c>
      <c r="H9" s="7">
        <v>7</v>
      </c>
      <c r="I9" s="7">
        <v>8</v>
      </c>
      <c r="J9" s="7">
        <v>9</v>
      </c>
      <c r="K9" s="7">
        <v>10</v>
      </c>
      <c r="L9" s="7">
        <v>11</v>
      </c>
      <c r="M9" s="7">
        <v>12</v>
      </c>
      <c r="N9" s="7">
        <v>13</v>
      </c>
      <c r="O9" s="7">
        <v>14</v>
      </c>
      <c r="P9" s="7">
        <v>15</v>
      </c>
      <c r="Q9" s="7">
        <v>16</v>
      </c>
      <c r="R9" s="7">
        <v>17</v>
      </c>
      <c r="S9" s="7">
        <v>18</v>
      </c>
      <c r="T9" s="7">
        <v>19</v>
      </c>
      <c r="U9" s="7">
        <v>20</v>
      </c>
      <c r="V9" s="7">
        <v>21</v>
      </c>
      <c r="W9" s="7">
        <v>22</v>
      </c>
      <c r="X9" s="7">
        <v>23</v>
      </c>
      <c r="Y9" s="7">
        <v>24</v>
      </c>
      <c r="Z9" s="7">
        <v>25</v>
      </c>
      <c r="AA9" s="7">
        <v>26</v>
      </c>
      <c r="AB9" s="7">
        <v>27</v>
      </c>
      <c r="AC9" s="7">
        <v>28</v>
      </c>
      <c r="AD9" s="7">
        <v>29</v>
      </c>
      <c r="AE9" s="7">
        <v>30</v>
      </c>
      <c r="AF9" s="7">
        <v>31</v>
      </c>
      <c r="AG9" s="7">
        <v>32</v>
      </c>
      <c r="AH9" s="7">
        <v>33</v>
      </c>
      <c r="AI9" s="7">
        <v>34</v>
      </c>
      <c r="AJ9" s="7">
        <v>35</v>
      </c>
      <c r="AK9" s="7">
        <v>36</v>
      </c>
      <c r="AL9" s="7">
        <v>37</v>
      </c>
      <c r="AM9" s="7">
        <v>38</v>
      </c>
      <c r="AN9" s="7">
        <v>39</v>
      </c>
      <c r="AO9" s="7">
        <v>40</v>
      </c>
      <c r="AP9" s="7">
        <v>41</v>
      </c>
      <c r="AQ9" s="7">
        <v>42</v>
      </c>
      <c r="AR9" s="7">
        <v>43</v>
      </c>
      <c r="AS9" s="7">
        <v>44</v>
      </c>
      <c r="AT9" s="7">
        <v>45</v>
      </c>
      <c r="AU9" s="7">
        <v>46</v>
      </c>
      <c r="AV9" s="7">
        <v>47</v>
      </c>
      <c r="AW9" s="7">
        <v>48</v>
      </c>
      <c r="AX9" s="7">
        <v>49</v>
      </c>
      <c r="AY9" s="7">
        <v>50</v>
      </c>
      <c r="AZ9" s="7">
        <v>51</v>
      </c>
      <c r="BA9" s="7">
        <v>52</v>
      </c>
      <c r="BB9" s="7">
        <v>53</v>
      </c>
      <c r="BC9" s="7">
        <v>54</v>
      </c>
      <c r="BD9" s="7">
        <v>55</v>
      </c>
      <c r="BE9" s="7">
        <v>56</v>
      </c>
      <c r="BF9" s="7">
        <v>57</v>
      </c>
      <c r="BG9" s="7">
        <v>58</v>
      </c>
      <c r="BH9" s="7">
        <v>59</v>
      </c>
      <c r="BI9" s="7">
        <v>60</v>
      </c>
      <c r="BJ9" s="7">
        <v>61</v>
      </c>
      <c r="BK9" s="7">
        <v>62</v>
      </c>
      <c r="BL9" s="7">
        <v>63</v>
      </c>
      <c r="BM9" s="7">
        <v>64</v>
      </c>
      <c r="BN9" s="7">
        <v>65</v>
      </c>
      <c r="BO9" s="7">
        <v>66</v>
      </c>
      <c r="BP9" s="7">
        <v>67</v>
      </c>
      <c r="BQ9" s="7">
        <v>68</v>
      </c>
      <c r="BR9" s="7">
        <v>69</v>
      </c>
      <c r="BS9" s="7">
        <v>70</v>
      </c>
      <c r="BT9" s="7">
        <v>71</v>
      </c>
      <c r="BU9" s="7">
        <v>72</v>
      </c>
      <c r="BV9" s="7">
        <v>73</v>
      </c>
      <c r="BW9" s="7">
        <v>74</v>
      </c>
      <c r="BX9" s="7">
        <v>75</v>
      </c>
      <c r="BY9" s="7">
        <v>76</v>
      </c>
      <c r="BZ9" s="7">
        <v>77</v>
      </c>
      <c r="CA9" s="7">
        <v>78</v>
      </c>
      <c r="CB9" s="7">
        <v>79</v>
      </c>
      <c r="CC9" s="7">
        <v>80</v>
      </c>
      <c r="CD9" s="7">
        <v>81</v>
      </c>
      <c r="CE9" s="7">
        <v>82</v>
      </c>
      <c r="CF9" s="7">
        <v>83</v>
      </c>
      <c r="CG9" s="7">
        <v>84</v>
      </c>
      <c r="CH9" s="7">
        <v>85</v>
      </c>
      <c r="CI9" s="7">
        <v>86</v>
      </c>
      <c r="CJ9" s="7">
        <v>87</v>
      </c>
      <c r="CK9" s="7">
        <v>88</v>
      </c>
      <c r="CL9" s="7">
        <v>89</v>
      </c>
      <c r="CM9" s="7">
        <v>90</v>
      </c>
      <c r="CN9" s="7">
        <v>91</v>
      </c>
      <c r="CO9" s="7">
        <v>92</v>
      </c>
      <c r="CP9" s="7">
        <v>93</v>
      </c>
      <c r="CQ9" s="7">
        <v>94</v>
      </c>
      <c r="CR9" s="7">
        <v>95</v>
      </c>
      <c r="CS9" s="7">
        <v>96</v>
      </c>
      <c r="CT9" s="7">
        <v>97</v>
      </c>
      <c r="CU9" s="7">
        <v>98</v>
      </c>
      <c r="CV9" s="7">
        <v>99</v>
      </c>
      <c r="CW9" s="7">
        <v>100</v>
      </c>
    </row>
    <row r="10" spans="1:101">
      <c r="A10">
        <v>360</v>
      </c>
      <c r="B10">
        <v>1</v>
      </c>
      <c r="C10" s="8">
        <v>0.61946999999999997</v>
      </c>
      <c r="D10" s="8">
        <v>0.25173000000000001</v>
      </c>
      <c r="E10" s="8">
        <v>7.61E-6</v>
      </c>
      <c r="F10" s="8">
        <v>0.47376000000000001</v>
      </c>
      <c r="G10" s="8">
        <v>0.13350999999999999</v>
      </c>
      <c r="H10" s="8">
        <v>4.5249999999999999E-2</v>
      </c>
      <c r="I10" s="8">
        <v>6.0012999999999997E-2</v>
      </c>
      <c r="J10" s="8">
        <v>5.8180000000000003E-2</v>
      </c>
      <c r="K10" s="8">
        <v>4.1572999999999999E-2</v>
      </c>
      <c r="L10" s="8">
        <v>0.17602000000000001</v>
      </c>
      <c r="M10" s="8">
        <v>3.9510999999999998E-2</v>
      </c>
      <c r="N10" s="8">
        <v>0.24167</v>
      </c>
      <c r="O10" s="8">
        <v>4.3374000000000003E-2</v>
      </c>
      <c r="P10" s="8">
        <v>0.33532000000000001</v>
      </c>
      <c r="Q10" s="8">
        <v>0.16991999999999999</v>
      </c>
      <c r="R10" s="8">
        <v>3.4659000000000002E-2</v>
      </c>
      <c r="S10" s="8">
        <v>3.0797999999999999E-2</v>
      </c>
      <c r="T10" s="8">
        <v>6.4984E-2</v>
      </c>
      <c r="U10" s="8">
        <v>0.10927000000000001</v>
      </c>
      <c r="V10" s="8">
        <v>2.5086000000000001E-2</v>
      </c>
      <c r="W10" s="8">
        <v>0.12356</v>
      </c>
      <c r="X10" s="8">
        <v>1.2300000000000001E-4</v>
      </c>
      <c r="Y10" s="8">
        <v>0.37852999999999998</v>
      </c>
      <c r="Z10" s="8">
        <v>0.20025999999999999</v>
      </c>
      <c r="AA10" s="8">
        <v>0.10281</v>
      </c>
      <c r="AB10" s="8">
        <v>0.18151</v>
      </c>
      <c r="AC10" s="8">
        <v>6.4624000000000001E-2</v>
      </c>
      <c r="AD10" s="8">
        <v>4.58E-2</v>
      </c>
      <c r="AE10" s="8">
        <v>3.9813000000000001E-2</v>
      </c>
      <c r="AF10" s="8">
        <v>3.0429999999999999E-2</v>
      </c>
      <c r="AG10" s="8">
        <v>4.4010000000000001E-2</v>
      </c>
      <c r="AH10" s="8">
        <v>4.6276999999999999E-2</v>
      </c>
      <c r="AI10" s="8">
        <v>0.17315</v>
      </c>
      <c r="AJ10" s="8">
        <v>4.3541999999999997E-2</v>
      </c>
      <c r="AK10" s="8">
        <v>5.2651000000000003E-2</v>
      </c>
      <c r="AL10" s="8">
        <v>3.4313999999999997E-2</v>
      </c>
      <c r="AM10" s="8">
        <v>5.0279999999999998E-2</v>
      </c>
      <c r="AN10" s="8">
        <v>0.11323</v>
      </c>
      <c r="AO10" s="8">
        <v>4.5657999999999997E-2</v>
      </c>
      <c r="AP10" s="8">
        <v>7.5004000000000001E-2</v>
      </c>
      <c r="AQ10" s="8">
        <v>0.37973000000000001</v>
      </c>
      <c r="AR10" s="8">
        <v>6.5978999999999996E-2</v>
      </c>
      <c r="AS10" s="8">
        <v>8.8622999999999993E-2</v>
      </c>
      <c r="AT10" s="8">
        <v>4.1633999999999997E-2</v>
      </c>
      <c r="AU10" s="8">
        <v>5.5399999999999998E-2</v>
      </c>
      <c r="AV10" s="8">
        <v>9.9821999999999994E-2</v>
      </c>
      <c r="AW10" s="8">
        <v>0.14254</v>
      </c>
      <c r="AX10" s="8">
        <v>8.7762000000000007E-2</v>
      </c>
      <c r="AY10" s="8">
        <v>5.7200000000000003E-4</v>
      </c>
      <c r="AZ10" s="8">
        <v>7.8829999999999997E-2</v>
      </c>
      <c r="BA10" s="8">
        <v>9.9501000000000006E-2</v>
      </c>
      <c r="BB10" s="8">
        <v>5.8595000000000001E-2</v>
      </c>
      <c r="BC10" s="8">
        <v>7.2778999999999996E-2</v>
      </c>
      <c r="BD10" s="8">
        <v>0.40856999999999999</v>
      </c>
      <c r="BE10" s="8">
        <v>0.30073</v>
      </c>
      <c r="BF10" s="8">
        <v>0.15520999999999999</v>
      </c>
      <c r="BG10" s="8">
        <v>0.13469999999999999</v>
      </c>
      <c r="BH10" s="8">
        <v>0.10606</v>
      </c>
      <c r="BI10" s="8">
        <v>0.18471000000000001</v>
      </c>
      <c r="BJ10" s="8">
        <v>0.43709999999999999</v>
      </c>
      <c r="BK10" s="8">
        <v>0.28872999999999999</v>
      </c>
      <c r="BL10" s="8">
        <v>0.17008999999999999</v>
      </c>
      <c r="BM10" s="8">
        <v>2.3525000000000001E-2</v>
      </c>
      <c r="BN10" s="8">
        <v>0.16989000000000001</v>
      </c>
      <c r="BO10" s="8">
        <v>6.0162000000000002E-3</v>
      </c>
      <c r="BP10" s="8">
        <v>9.9630999999999997E-2</v>
      </c>
      <c r="BQ10" s="8">
        <v>0.10927000000000001</v>
      </c>
      <c r="BR10" s="8">
        <v>0.22148999999999999</v>
      </c>
      <c r="BS10" s="8">
        <v>0.13225000000000001</v>
      </c>
      <c r="BT10" s="8">
        <v>0.31794</v>
      </c>
      <c r="BU10" s="8">
        <v>3.6457999999999997E-2</v>
      </c>
      <c r="BV10" s="8">
        <v>0.37756000000000001</v>
      </c>
      <c r="BW10" s="8">
        <v>0.16159999999999999</v>
      </c>
      <c r="BX10" s="8">
        <v>3.3875000000000002E-2</v>
      </c>
      <c r="BY10" s="8">
        <v>2.9193E-2</v>
      </c>
      <c r="BZ10" s="8">
        <v>0.21199000000000001</v>
      </c>
      <c r="CA10" s="8">
        <v>2.8048E-2</v>
      </c>
      <c r="CB10" s="8">
        <v>0.12947</v>
      </c>
      <c r="CC10" s="8">
        <v>0.56749000000000005</v>
      </c>
      <c r="CD10" s="8">
        <v>0.31684000000000001</v>
      </c>
      <c r="CE10" s="8">
        <v>0.12067</v>
      </c>
      <c r="CF10" s="8">
        <v>0.70772000000000002</v>
      </c>
      <c r="CG10" s="8">
        <v>0.56349000000000005</v>
      </c>
      <c r="CH10" s="8">
        <v>3.3753999999999999E-2</v>
      </c>
      <c r="CI10" s="8">
        <v>1.4249E-2</v>
      </c>
      <c r="CJ10" s="8">
        <v>0.50251999999999997</v>
      </c>
      <c r="CK10" s="8">
        <v>0.10613</v>
      </c>
      <c r="CL10" s="8">
        <v>0.4264</v>
      </c>
      <c r="CM10" s="8">
        <v>7.2745000000000004E-2</v>
      </c>
      <c r="CN10" s="8">
        <v>0.22178</v>
      </c>
      <c r="CO10" s="8">
        <v>2.9659000000000001E-2</v>
      </c>
      <c r="CP10" s="8">
        <v>5.2604000000000001E-3</v>
      </c>
      <c r="CQ10" s="8">
        <v>0.23077</v>
      </c>
      <c r="CR10" s="8">
        <v>6.1017000000000002E-2</v>
      </c>
      <c r="CS10" s="8">
        <v>7.3718000000000006E-2</v>
      </c>
      <c r="CT10" s="8">
        <v>0.33850999999999998</v>
      </c>
      <c r="CU10" s="8">
        <v>0.11931</v>
      </c>
      <c r="CV10" s="8">
        <v>0.27424999999999999</v>
      </c>
      <c r="CW10" s="8">
        <v>0.16958000000000001</v>
      </c>
    </row>
    <row r="11" spans="1:101">
      <c r="A11">
        <f>A10+5</f>
        <v>365</v>
      </c>
      <c r="B11">
        <v>1</v>
      </c>
      <c r="C11" s="8">
        <v>0.61946999999999997</v>
      </c>
      <c r="D11" s="8">
        <v>0.25173000000000001</v>
      </c>
      <c r="E11" s="8">
        <v>7.61E-6</v>
      </c>
      <c r="F11" s="8">
        <v>0.47376000000000001</v>
      </c>
      <c r="G11" s="8">
        <v>0.13350999999999999</v>
      </c>
      <c r="H11" s="8">
        <v>4.5249999999999999E-2</v>
      </c>
      <c r="I11" s="8">
        <v>6.0012999999999997E-2</v>
      </c>
      <c r="J11" s="8">
        <v>5.8180000000000003E-2</v>
      </c>
      <c r="K11" s="8">
        <v>4.1572999999999999E-2</v>
      </c>
      <c r="L11" s="8">
        <v>0.17602000000000001</v>
      </c>
      <c r="M11" s="8">
        <v>3.9510999999999998E-2</v>
      </c>
      <c r="N11" s="8">
        <v>0.24167</v>
      </c>
      <c r="O11" s="8">
        <v>4.3374000000000003E-2</v>
      </c>
      <c r="P11" s="8">
        <v>0.33532000000000001</v>
      </c>
      <c r="Q11" s="8">
        <v>0.16991999999999999</v>
      </c>
      <c r="R11" s="8">
        <v>3.4659000000000002E-2</v>
      </c>
      <c r="S11" s="8">
        <v>3.0797999999999999E-2</v>
      </c>
      <c r="T11" s="8">
        <v>6.4984E-2</v>
      </c>
      <c r="U11" s="8">
        <v>0.10927000000000001</v>
      </c>
      <c r="V11" s="8">
        <v>2.5086000000000001E-2</v>
      </c>
      <c r="W11" s="8">
        <v>0.12356</v>
      </c>
      <c r="X11" s="8">
        <v>1.2300000000000001E-4</v>
      </c>
      <c r="Y11" s="8">
        <v>0.37852999999999998</v>
      </c>
      <c r="Z11" s="8">
        <v>0.20025999999999999</v>
      </c>
      <c r="AA11" s="8">
        <v>0.10281</v>
      </c>
      <c r="AB11" s="8">
        <v>0.18151</v>
      </c>
      <c r="AC11" s="8">
        <v>6.4624000000000001E-2</v>
      </c>
      <c r="AD11" s="8">
        <v>4.58E-2</v>
      </c>
      <c r="AE11" s="8">
        <v>3.9813000000000001E-2</v>
      </c>
      <c r="AF11" s="8">
        <v>3.0429999999999999E-2</v>
      </c>
      <c r="AG11" s="8">
        <v>4.4010000000000001E-2</v>
      </c>
      <c r="AH11" s="8">
        <v>4.6276999999999999E-2</v>
      </c>
      <c r="AI11" s="8">
        <v>0.17315</v>
      </c>
      <c r="AJ11" s="8">
        <v>4.3541999999999997E-2</v>
      </c>
      <c r="AK11" s="8">
        <v>5.2651000000000003E-2</v>
      </c>
      <c r="AL11" s="8">
        <v>3.4313999999999997E-2</v>
      </c>
      <c r="AM11" s="8">
        <v>5.0279999999999998E-2</v>
      </c>
      <c r="AN11" s="8">
        <v>0.11323</v>
      </c>
      <c r="AO11" s="8">
        <v>4.5657999999999997E-2</v>
      </c>
      <c r="AP11" s="8">
        <v>7.5004000000000001E-2</v>
      </c>
      <c r="AQ11" s="8">
        <v>0.37973000000000001</v>
      </c>
      <c r="AR11" s="8">
        <v>6.5978999999999996E-2</v>
      </c>
      <c r="AS11" s="8">
        <v>8.8622999999999993E-2</v>
      </c>
      <c r="AT11" s="8">
        <v>4.1633999999999997E-2</v>
      </c>
      <c r="AU11" s="8">
        <v>5.5399999999999998E-2</v>
      </c>
      <c r="AV11" s="8">
        <v>9.9821999999999994E-2</v>
      </c>
      <c r="AW11" s="8">
        <v>0.14254</v>
      </c>
      <c r="AX11" s="8">
        <v>8.7762000000000007E-2</v>
      </c>
      <c r="AY11" s="8">
        <v>5.7200000000000003E-4</v>
      </c>
      <c r="AZ11" s="8">
        <v>7.8829999999999997E-2</v>
      </c>
      <c r="BA11" s="8">
        <v>9.9501000000000006E-2</v>
      </c>
      <c r="BB11" s="8">
        <v>5.8595000000000001E-2</v>
      </c>
      <c r="BC11" s="8">
        <v>7.2778999999999996E-2</v>
      </c>
      <c r="BD11" s="8">
        <v>0.40856999999999999</v>
      </c>
      <c r="BE11" s="8">
        <v>0.30073</v>
      </c>
      <c r="BF11" s="8">
        <v>0.15520999999999999</v>
      </c>
      <c r="BG11" s="8">
        <v>0.13469999999999999</v>
      </c>
      <c r="BH11" s="8">
        <v>0.10606</v>
      </c>
      <c r="BI11" s="8">
        <v>0.18471000000000001</v>
      </c>
      <c r="BJ11" s="8">
        <v>0.43709999999999999</v>
      </c>
      <c r="BK11" s="8">
        <v>0.28872999999999999</v>
      </c>
      <c r="BL11" s="8">
        <v>0.17008999999999999</v>
      </c>
      <c r="BM11" s="8">
        <v>2.3525000000000001E-2</v>
      </c>
      <c r="BN11" s="8">
        <v>0.16989000000000001</v>
      </c>
      <c r="BO11" s="8">
        <v>6.0162000000000002E-3</v>
      </c>
      <c r="BP11" s="8">
        <v>9.9630999999999997E-2</v>
      </c>
      <c r="BQ11" s="8">
        <v>0.10927000000000001</v>
      </c>
      <c r="BR11" s="8">
        <v>0.22148999999999999</v>
      </c>
      <c r="BS11" s="8">
        <v>0.13225000000000001</v>
      </c>
      <c r="BT11" s="8">
        <v>0.31794</v>
      </c>
      <c r="BU11" s="8">
        <v>3.6457999999999997E-2</v>
      </c>
      <c r="BV11" s="8">
        <v>0.37756000000000001</v>
      </c>
      <c r="BW11" s="8">
        <v>0.16159999999999999</v>
      </c>
      <c r="BX11" s="8">
        <v>3.3875000000000002E-2</v>
      </c>
      <c r="BY11" s="8">
        <v>2.9193E-2</v>
      </c>
      <c r="BZ11" s="8">
        <v>0.21199000000000001</v>
      </c>
      <c r="CA11" s="8">
        <v>2.8048E-2</v>
      </c>
      <c r="CB11" s="8">
        <v>0.12947</v>
      </c>
      <c r="CC11" s="8">
        <v>0.56749000000000005</v>
      </c>
      <c r="CD11" s="8">
        <v>0.31684000000000001</v>
      </c>
      <c r="CE11" s="8">
        <v>0.12067</v>
      </c>
      <c r="CF11" s="8">
        <v>0.70772000000000002</v>
      </c>
      <c r="CG11" s="8">
        <v>0.56349000000000005</v>
      </c>
      <c r="CH11" s="8">
        <v>3.3753999999999999E-2</v>
      </c>
      <c r="CI11" s="8">
        <v>1.4249E-2</v>
      </c>
      <c r="CJ11" s="8">
        <v>0.50251999999999997</v>
      </c>
      <c r="CK11" s="8">
        <v>0.10613</v>
      </c>
      <c r="CL11" s="8">
        <v>0.4264</v>
      </c>
      <c r="CM11" s="8">
        <v>7.2745000000000004E-2</v>
      </c>
      <c r="CN11" s="8">
        <v>0.22178</v>
      </c>
      <c r="CO11" s="8">
        <v>2.9659000000000001E-2</v>
      </c>
      <c r="CP11" s="8">
        <v>5.2604000000000001E-3</v>
      </c>
      <c r="CQ11" s="8">
        <v>0.23077</v>
      </c>
      <c r="CR11" s="8">
        <v>6.1017000000000002E-2</v>
      </c>
      <c r="CS11" s="8">
        <v>7.3718000000000006E-2</v>
      </c>
      <c r="CT11" s="8">
        <v>0.33850999999999998</v>
      </c>
      <c r="CU11" s="8">
        <v>0.11931</v>
      </c>
      <c r="CV11" s="8">
        <v>0.27424999999999999</v>
      </c>
      <c r="CW11" s="8">
        <v>0.16958000000000001</v>
      </c>
    </row>
    <row r="12" spans="1:101">
      <c r="A12">
        <f t="shared" ref="A12:A75" si="0">A11+5</f>
        <v>370</v>
      </c>
      <c r="B12">
        <v>1</v>
      </c>
      <c r="C12" s="8">
        <v>0.61946999999999997</v>
      </c>
      <c r="D12" s="8">
        <v>0.25173000000000001</v>
      </c>
      <c r="E12" s="8">
        <v>7.61E-6</v>
      </c>
      <c r="F12" s="8">
        <v>0.47376000000000001</v>
      </c>
      <c r="G12" s="8">
        <v>0.13350999999999999</v>
      </c>
      <c r="H12" s="8">
        <v>4.5249999999999999E-2</v>
      </c>
      <c r="I12" s="8">
        <v>6.0012999999999997E-2</v>
      </c>
      <c r="J12" s="8">
        <v>5.8180000000000003E-2</v>
      </c>
      <c r="K12" s="8">
        <v>4.1572999999999999E-2</v>
      </c>
      <c r="L12" s="8">
        <v>0.17602000000000001</v>
      </c>
      <c r="M12" s="8">
        <v>3.9510999999999998E-2</v>
      </c>
      <c r="N12" s="8">
        <v>0.24167</v>
      </c>
      <c r="O12" s="8">
        <v>4.3374000000000003E-2</v>
      </c>
      <c r="P12" s="8">
        <v>0.33532000000000001</v>
      </c>
      <c r="Q12" s="8">
        <v>0.16991999999999999</v>
      </c>
      <c r="R12" s="8">
        <v>3.4659000000000002E-2</v>
      </c>
      <c r="S12" s="8">
        <v>3.0797999999999999E-2</v>
      </c>
      <c r="T12" s="8">
        <v>6.4984E-2</v>
      </c>
      <c r="U12" s="8">
        <v>0.10927000000000001</v>
      </c>
      <c r="V12" s="8">
        <v>2.5086000000000001E-2</v>
      </c>
      <c r="W12" s="8">
        <v>0.12356</v>
      </c>
      <c r="X12" s="8">
        <v>1.2300000000000001E-4</v>
      </c>
      <c r="Y12" s="8">
        <v>0.37852999999999998</v>
      </c>
      <c r="Z12" s="8">
        <v>0.20025999999999999</v>
      </c>
      <c r="AA12" s="8">
        <v>0.10281</v>
      </c>
      <c r="AB12" s="8">
        <v>0.18151</v>
      </c>
      <c r="AC12" s="8">
        <v>6.4624000000000001E-2</v>
      </c>
      <c r="AD12" s="8">
        <v>4.58E-2</v>
      </c>
      <c r="AE12" s="8">
        <v>3.9813000000000001E-2</v>
      </c>
      <c r="AF12" s="8">
        <v>3.0429999999999999E-2</v>
      </c>
      <c r="AG12" s="8">
        <v>4.4010000000000001E-2</v>
      </c>
      <c r="AH12" s="8">
        <v>4.6276999999999999E-2</v>
      </c>
      <c r="AI12" s="8">
        <v>0.17315</v>
      </c>
      <c r="AJ12" s="8">
        <v>4.3541999999999997E-2</v>
      </c>
      <c r="AK12" s="8">
        <v>5.2651000000000003E-2</v>
      </c>
      <c r="AL12" s="8">
        <v>3.4313999999999997E-2</v>
      </c>
      <c r="AM12" s="8">
        <v>5.0279999999999998E-2</v>
      </c>
      <c r="AN12" s="8">
        <v>0.11323</v>
      </c>
      <c r="AO12" s="8">
        <v>4.5657999999999997E-2</v>
      </c>
      <c r="AP12" s="8">
        <v>7.5004000000000001E-2</v>
      </c>
      <c r="AQ12" s="8">
        <v>0.37973000000000001</v>
      </c>
      <c r="AR12" s="8">
        <v>6.5978999999999996E-2</v>
      </c>
      <c r="AS12" s="8">
        <v>8.8622999999999993E-2</v>
      </c>
      <c r="AT12" s="8">
        <v>4.1633999999999997E-2</v>
      </c>
      <c r="AU12" s="8">
        <v>5.5399999999999998E-2</v>
      </c>
      <c r="AV12" s="8">
        <v>9.9821999999999994E-2</v>
      </c>
      <c r="AW12" s="8">
        <v>0.14254</v>
      </c>
      <c r="AX12" s="8">
        <v>8.7762000000000007E-2</v>
      </c>
      <c r="AY12" s="8">
        <v>5.7200000000000003E-4</v>
      </c>
      <c r="AZ12" s="8">
        <v>7.8829999999999997E-2</v>
      </c>
      <c r="BA12" s="8">
        <v>9.9501000000000006E-2</v>
      </c>
      <c r="BB12" s="8">
        <v>5.8595000000000001E-2</v>
      </c>
      <c r="BC12" s="8">
        <v>7.2778999999999996E-2</v>
      </c>
      <c r="BD12" s="8">
        <v>0.40856999999999999</v>
      </c>
      <c r="BE12" s="8">
        <v>0.30073</v>
      </c>
      <c r="BF12" s="8">
        <v>0.15520999999999999</v>
      </c>
      <c r="BG12" s="8">
        <v>0.13469999999999999</v>
      </c>
      <c r="BH12" s="8">
        <v>0.10606</v>
      </c>
      <c r="BI12" s="8">
        <v>0.18471000000000001</v>
      </c>
      <c r="BJ12" s="8">
        <v>0.43709999999999999</v>
      </c>
      <c r="BK12" s="8">
        <v>0.28872999999999999</v>
      </c>
      <c r="BL12" s="8">
        <v>0.17008999999999999</v>
      </c>
      <c r="BM12" s="8">
        <v>2.3525000000000001E-2</v>
      </c>
      <c r="BN12" s="8">
        <v>0.16989000000000001</v>
      </c>
      <c r="BO12" s="8">
        <v>6.0162000000000002E-3</v>
      </c>
      <c r="BP12" s="8">
        <v>9.9630999999999997E-2</v>
      </c>
      <c r="BQ12" s="8">
        <v>0.10927000000000001</v>
      </c>
      <c r="BR12" s="8">
        <v>0.22148999999999999</v>
      </c>
      <c r="BS12" s="8">
        <v>0.13225000000000001</v>
      </c>
      <c r="BT12" s="8">
        <v>0.31794</v>
      </c>
      <c r="BU12" s="8">
        <v>3.6457999999999997E-2</v>
      </c>
      <c r="BV12" s="8">
        <v>0.37756000000000001</v>
      </c>
      <c r="BW12" s="8">
        <v>0.16159999999999999</v>
      </c>
      <c r="BX12" s="8">
        <v>3.3875000000000002E-2</v>
      </c>
      <c r="BY12" s="8">
        <v>2.9193E-2</v>
      </c>
      <c r="BZ12" s="8">
        <v>0.21199000000000001</v>
      </c>
      <c r="CA12" s="8">
        <v>2.8048E-2</v>
      </c>
      <c r="CB12" s="8">
        <v>0.12947</v>
      </c>
      <c r="CC12" s="8">
        <v>0.56749000000000005</v>
      </c>
      <c r="CD12" s="8">
        <v>0.31684000000000001</v>
      </c>
      <c r="CE12" s="8">
        <v>0.12067</v>
      </c>
      <c r="CF12" s="8">
        <v>0.70772000000000002</v>
      </c>
      <c r="CG12" s="8">
        <v>0.56349000000000005</v>
      </c>
      <c r="CH12" s="8">
        <v>3.3753999999999999E-2</v>
      </c>
      <c r="CI12" s="8">
        <v>1.4249E-2</v>
      </c>
      <c r="CJ12" s="8">
        <v>0.50251999999999997</v>
      </c>
      <c r="CK12" s="8">
        <v>0.10613</v>
      </c>
      <c r="CL12" s="8">
        <v>0.4264</v>
      </c>
      <c r="CM12" s="8">
        <v>7.2745000000000004E-2</v>
      </c>
      <c r="CN12" s="8">
        <v>0.22178</v>
      </c>
      <c r="CO12" s="8">
        <v>2.9659000000000001E-2</v>
      </c>
      <c r="CP12" s="8">
        <v>5.2604000000000001E-3</v>
      </c>
      <c r="CQ12" s="8">
        <v>0.23077</v>
      </c>
      <c r="CR12" s="8">
        <v>6.1017000000000002E-2</v>
      </c>
      <c r="CS12" s="8">
        <v>7.3718000000000006E-2</v>
      </c>
      <c r="CT12" s="8">
        <v>0.33850999999999998</v>
      </c>
      <c r="CU12" s="8">
        <v>0.11931</v>
      </c>
      <c r="CV12" s="8">
        <v>0.27424999999999999</v>
      </c>
      <c r="CW12" s="8">
        <v>0.16958000000000001</v>
      </c>
    </row>
    <row r="13" spans="1:101">
      <c r="A13">
        <f t="shared" si="0"/>
        <v>375</v>
      </c>
      <c r="B13">
        <v>1</v>
      </c>
      <c r="C13" s="8">
        <v>0.61946999999999997</v>
      </c>
      <c r="D13" s="8">
        <v>0.25173000000000001</v>
      </c>
      <c r="E13" s="8">
        <v>7.61E-6</v>
      </c>
      <c r="F13" s="8">
        <v>0.47376000000000001</v>
      </c>
      <c r="G13" s="8">
        <v>0.13350999999999999</v>
      </c>
      <c r="H13" s="8">
        <v>4.5249999999999999E-2</v>
      </c>
      <c r="I13" s="8">
        <v>6.0012999999999997E-2</v>
      </c>
      <c r="J13" s="8">
        <v>5.8180000000000003E-2</v>
      </c>
      <c r="K13" s="8">
        <v>4.1572999999999999E-2</v>
      </c>
      <c r="L13" s="8">
        <v>0.17602000000000001</v>
      </c>
      <c r="M13" s="8">
        <v>3.9510999999999998E-2</v>
      </c>
      <c r="N13" s="8">
        <v>0.24167</v>
      </c>
      <c r="O13" s="8">
        <v>4.3374000000000003E-2</v>
      </c>
      <c r="P13" s="8">
        <v>0.33532000000000001</v>
      </c>
      <c r="Q13" s="8">
        <v>0.16991999999999999</v>
      </c>
      <c r="R13" s="8">
        <v>3.4659000000000002E-2</v>
      </c>
      <c r="S13" s="8">
        <v>3.0797999999999999E-2</v>
      </c>
      <c r="T13" s="8">
        <v>6.4984E-2</v>
      </c>
      <c r="U13" s="8">
        <v>0.10927000000000001</v>
      </c>
      <c r="V13" s="8">
        <v>2.5086000000000001E-2</v>
      </c>
      <c r="W13" s="8">
        <v>0.12356</v>
      </c>
      <c r="X13" s="8">
        <v>1.2300000000000001E-4</v>
      </c>
      <c r="Y13" s="8">
        <v>0.37852999999999998</v>
      </c>
      <c r="Z13" s="8">
        <v>0.20025999999999999</v>
      </c>
      <c r="AA13" s="8">
        <v>0.10281</v>
      </c>
      <c r="AB13" s="8">
        <v>0.18151</v>
      </c>
      <c r="AC13" s="8">
        <v>6.4624000000000001E-2</v>
      </c>
      <c r="AD13" s="8">
        <v>4.58E-2</v>
      </c>
      <c r="AE13" s="8">
        <v>3.9813000000000001E-2</v>
      </c>
      <c r="AF13" s="8">
        <v>3.0429999999999999E-2</v>
      </c>
      <c r="AG13" s="8">
        <v>4.4010000000000001E-2</v>
      </c>
      <c r="AH13" s="8">
        <v>4.6276999999999999E-2</v>
      </c>
      <c r="AI13" s="8">
        <v>0.17315</v>
      </c>
      <c r="AJ13" s="8">
        <v>4.3541999999999997E-2</v>
      </c>
      <c r="AK13" s="8">
        <v>5.2651000000000003E-2</v>
      </c>
      <c r="AL13" s="8">
        <v>3.4313999999999997E-2</v>
      </c>
      <c r="AM13" s="8">
        <v>5.0279999999999998E-2</v>
      </c>
      <c r="AN13" s="8">
        <v>0.11323</v>
      </c>
      <c r="AO13" s="8">
        <v>4.5657999999999997E-2</v>
      </c>
      <c r="AP13" s="8">
        <v>7.5004000000000001E-2</v>
      </c>
      <c r="AQ13" s="8">
        <v>0.37973000000000001</v>
      </c>
      <c r="AR13" s="8">
        <v>6.5978999999999996E-2</v>
      </c>
      <c r="AS13" s="8">
        <v>8.8622999999999993E-2</v>
      </c>
      <c r="AT13" s="8">
        <v>4.1633999999999997E-2</v>
      </c>
      <c r="AU13" s="8">
        <v>5.5399999999999998E-2</v>
      </c>
      <c r="AV13" s="8">
        <v>9.9821999999999994E-2</v>
      </c>
      <c r="AW13" s="8">
        <v>0.14254</v>
      </c>
      <c r="AX13" s="8">
        <v>8.7762000000000007E-2</v>
      </c>
      <c r="AY13" s="8">
        <v>5.7200000000000003E-4</v>
      </c>
      <c r="AZ13" s="8">
        <v>7.8829999999999997E-2</v>
      </c>
      <c r="BA13" s="8">
        <v>9.9501000000000006E-2</v>
      </c>
      <c r="BB13" s="8">
        <v>5.8595000000000001E-2</v>
      </c>
      <c r="BC13" s="8">
        <v>7.2778999999999996E-2</v>
      </c>
      <c r="BD13" s="8">
        <v>0.40856999999999999</v>
      </c>
      <c r="BE13" s="8">
        <v>0.30073</v>
      </c>
      <c r="BF13" s="8">
        <v>0.15520999999999999</v>
      </c>
      <c r="BG13" s="8">
        <v>0.13469999999999999</v>
      </c>
      <c r="BH13" s="8">
        <v>0.10606</v>
      </c>
      <c r="BI13" s="8">
        <v>0.18471000000000001</v>
      </c>
      <c r="BJ13" s="8">
        <v>0.43709999999999999</v>
      </c>
      <c r="BK13" s="8">
        <v>0.28872999999999999</v>
      </c>
      <c r="BL13" s="8">
        <v>0.17008999999999999</v>
      </c>
      <c r="BM13" s="8">
        <v>2.3525000000000001E-2</v>
      </c>
      <c r="BN13" s="8">
        <v>0.16989000000000001</v>
      </c>
      <c r="BO13" s="8">
        <v>6.0162000000000002E-3</v>
      </c>
      <c r="BP13" s="8">
        <v>9.9630999999999997E-2</v>
      </c>
      <c r="BQ13" s="8">
        <v>0.10927000000000001</v>
      </c>
      <c r="BR13" s="8">
        <v>0.22148999999999999</v>
      </c>
      <c r="BS13" s="8">
        <v>0.13225000000000001</v>
      </c>
      <c r="BT13" s="8">
        <v>0.31794</v>
      </c>
      <c r="BU13" s="8">
        <v>3.6457999999999997E-2</v>
      </c>
      <c r="BV13" s="8">
        <v>0.37756000000000001</v>
      </c>
      <c r="BW13" s="8">
        <v>0.16159999999999999</v>
      </c>
      <c r="BX13" s="8">
        <v>3.3875000000000002E-2</v>
      </c>
      <c r="BY13" s="8">
        <v>2.9193E-2</v>
      </c>
      <c r="BZ13" s="8">
        <v>0.21199000000000001</v>
      </c>
      <c r="CA13" s="8">
        <v>2.8048E-2</v>
      </c>
      <c r="CB13" s="8">
        <v>0.12947</v>
      </c>
      <c r="CC13" s="8">
        <v>0.56749000000000005</v>
      </c>
      <c r="CD13" s="8">
        <v>0.31684000000000001</v>
      </c>
      <c r="CE13" s="8">
        <v>0.12067</v>
      </c>
      <c r="CF13" s="8">
        <v>0.70772000000000002</v>
      </c>
      <c r="CG13" s="8">
        <v>0.56349000000000005</v>
      </c>
      <c r="CH13" s="8">
        <v>3.3753999999999999E-2</v>
      </c>
      <c r="CI13" s="8">
        <v>1.4249E-2</v>
      </c>
      <c r="CJ13" s="8">
        <v>0.50251999999999997</v>
      </c>
      <c r="CK13" s="8">
        <v>0.10613</v>
      </c>
      <c r="CL13" s="8">
        <v>0.4264</v>
      </c>
      <c r="CM13" s="8">
        <v>7.2745000000000004E-2</v>
      </c>
      <c r="CN13" s="8">
        <v>0.22178</v>
      </c>
      <c r="CO13" s="8">
        <v>2.9659000000000001E-2</v>
      </c>
      <c r="CP13" s="8">
        <v>5.2604000000000001E-3</v>
      </c>
      <c r="CQ13" s="8">
        <v>0.23077</v>
      </c>
      <c r="CR13" s="8">
        <v>6.1017000000000002E-2</v>
      </c>
      <c r="CS13" s="8">
        <v>7.3718000000000006E-2</v>
      </c>
      <c r="CT13" s="8">
        <v>0.33850999999999998</v>
      </c>
      <c r="CU13" s="8">
        <v>0.11931</v>
      </c>
      <c r="CV13" s="8">
        <v>0.27424999999999999</v>
      </c>
      <c r="CW13" s="8">
        <v>0.16958000000000001</v>
      </c>
    </row>
    <row r="14" spans="1:101">
      <c r="A14">
        <f t="shared" si="0"/>
        <v>380</v>
      </c>
      <c r="B14">
        <v>1</v>
      </c>
      <c r="C14" s="8">
        <v>0.61946999999999997</v>
      </c>
      <c r="D14" s="8">
        <v>0.25173000000000001</v>
      </c>
      <c r="E14" s="8">
        <v>7.61E-6</v>
      </c>
      <c r="F14" s="8">
        <v>0.47376000000000001</v>
      </c>
      <c r="G14" s="8">
        <v>0.13350999999999999</v>
      </c>
      <c r="H14" s="8">
        <v>4.5249999999999999E-2</v>
      </c>
      <c r="I14" s="8">
        <v>6.0012999999999997E-2</v>
      </c>
      <c r="J14" s="8">
        <v>5.8180000000000003E-2</v>
      </c>
      <c r="K14" s="8">
        <v>4.1572999999999999E-2</v>
      </c>
      <c r="L14" s="8">
        <v>0.17602000000000001</v>
      </c>
      <c r="M14" s="8">
        <v>3.9510999999999998E-2</v>
      </c>
      <c r="N14" s="8">
        <v>0.24167</v>
      </c>
      <c r="O14" s="8">
        <v>4.3374000000000003E-2</v>
      </c>
      <c r="P14" s="8">
        <v>0.33532000000000001</v>
      </c>
      <c r="Q14" s="8">
        <v>0.16991999999999999</v>
      </c>
      <c r="R14" s="8">
        <v>3.4659000000000002E-2</v>
      </c>
      <c r="S14" s="8">
        <v>3.0797999999999999E-2</v>
      </c>
      <c r="T14" s="8">
        <v>6.4984E-2</v>
      </c>
      <c r="U14" s="8">
        <v>0.10927000000000001</v>
      </c>
      <c r="V14" s="8">
        <v>2.5086000000000001E-2</v>
      </c>
      <c r="W14" s="8">
        <v>0.12356</v>
      </c>
      <c r="X14" s="8">
        <v>1.2300000000000001E-4</v>
      </c>
      <c r="Y14" s="8">
        <v>0.37852999999999998</v>
      </c>
      <c r="Z14" s="8">
        <v>0.20025999999999999</v>
      </c>
      <c r="AA14" s="8">
        <v>0.10281</v>
      </c>
      <c r="AB14" s="8">
        <v>0.18151</v>
      </c>
      <c r="AC14" s="8">
        <v>6.4624000000000001E-2</v>
      </c>
      <c r="AD14" s="8">
        <v>4.58E-2</v>
      </c>
      <c r="AE14" s="8">
        <v>3.9813000000000001E-2</v>
      </c>
      <c r="AF14" s="8">
        <v>3.0429999999999999E-2</v>
      </c>
      <c r="AG14" s="8">
        <v>4.4010000000000001E-2</v>
      </c>
      <c r="AH14" s="8">
        <v>4.6276999999999999E-2</v>
      </c>
      <c r="AI14" s="8">
        <v>0.17315</v>
      </c>
      <c r="AJ14" s="8">
        <v>4.3541999999999997E-2</v>
      </c>
      <c r="AK14" s="8">
        <v>5.2651000000000003E-2</v>
      </c>
      <c r="AL14" s="8">
        <v>3.4313999999999997E-2</v>
      </c>
      <c r="AM14" s="8">
        <v>5.0279999999999998E-2</v>
      </c>
      <c r="AN14" s="8">
        <v>0.11323</v>
      </c>
      <c r="AO14" s="8">
        <v>4.5657999999999997E-2</v>
      </c>
      <c r="AP14" s="8">
        <v>7.5004000000000001E-2</v>
      </c>
      <c r="AQ14" s="8">
        <v>0.37973000000000001</v>
      </c>
      <c r="AR14" s="8">
        <v>6.5978999999999996E-2</v>
      </c>
      <c r="AS14" s="8">
        <v>8.8622999999999993E-2</v>
      </c>
      <c r="AT14" s="8">
        <v>4.1633999999999997E-2</v>
      </c>
      <c r="AU14" s="8">
        <v>5.5399999999999998E-2</v>
      </c>
      <c r="AV14" s="8">
        <v>9.9821999999999994E-2</v>
      </c>
      <c r="AW14" s="8">
        <v>0.14254</v>
      </c>
      <c r="AX14" s="8">
        <v>8.7762000000000007E-2</v>
      </c>
      <c r="AY14" s="8">
        <v>5.7200000000000003E-4</v>
      </c>
      <c r="AZ14" s="8">
        <v>7.8829999999999997E-2</v>
      </c>
      <c r="BA14" s="8">
        <v>9.9501000000000006E-2</v>
      </c>
      <c r="BB14" s="8">
        <v>5.8595000000000001E-2</v>
      </c>
      <c r="BC14" s="8">
        <v>7.2778999999999996E-2</v>
      </c>
      <c r="BD14" s="8">
        <v>0.40856999999999999</v>
      </c>
      <c r="BE14" s="8">
        <v>0.30073</v>
      </c>
      <c r="BF14" s="8">
        <v>0.15520999999999999</v>
      </c>
      <c r="BG14" s="8">
        <v>0.13469999999999999</v>
      </c>
      <c r="BH14" s="8">
        <v>0.10606</v>
      </c>
      <c r="BI14" s="8">
        <v>0.18471000000000001</v>
      </c>
      <c r="BJ14" s="8">
        <v>0.43709999999999999</v>
      </c>
      <c r="BK14" s="8">
        <v>0.28872999999999999</v>
      </c>
      <c r="BL14" s="8">
        <v>0.17008999999999999</v>
      </c>
      <c r="BM14" s="8">
        <v>2.3525000000000001E-2</v>
      </c>
      <c r="BN14" s="8">
        <v>0.16989000000000001</v>
      </c>
      <c r="BO14" s="8">
        <v>6.0162000000000002E-3</v>
      </c>
      <c r="BP14" s="8">
        <v>9.9630999999999997E-2</v>
      </c>
      <c r="BQ14" s="8">
        <v>0.10927000000000001</v>
      </c>
      <c r="BR14" s="8">
        <v>0.22148999999999999</v>
      </c>
      <c r="BS14" s="8">
        <v>0.13225000000000001</v>
      </c>
      <c r="BT14" s="8">
        <v>0.31794</v>
      </c>
      <c r="BU14" s="8">
        <v>3.6457999999999997E-2</v>
      </c>
      <c r="BV14" s="8">
        <v>0.37756000000000001</v>
      </c>
      <c r="BW14" s="8">
        <v>0.16159999999999999</v>
      </c>
      <c r="BX14" s="8">
        <v>3.3875000000000002E-2</v>
      </c>
      <c r="BY14" s="8">
        <v>2.9193E-2</v>
      </c>
      <c r="BZ14" s="8">
        <v>0.21199000000000001</v>
      </c>
      <c r="CA14" s="8">
        <v>2.8048E-2</v>
      </c>
      <c r="CB14" s="8">
        <v>0.12947</v>
      </c>
      <c r="CC14" s="8">
        <v>0.56749000000000005</v>
      </c>
      <c r="CD14" s="8">
        <v>0.31684000000000001</v>
      </c>
      <c r="CE14" s="8">
        <v>0.12067</v>
      </c>
      <c r="CF14" s="8">
        <v>0.70772000000000002</v>
      </c>
      <c r="CG14" s="8">
        <v>0.56349000000000005</v>
      </c>
      <c r="CH14" s="8">
        <v>3.3753999999999999E-2</v>
      </c>
      <c r="CI14" s="8">
        <v>1.4249E-2</v>
      </c>
      <c r="CJ14" s="8">
        <v>0.50251999999999997</v>
      </c>
      <c r="CK14" s="8">
        <v>0.10613</v>
      </c>
      <c r="CL14" s="8">
        <v>0.4264</v>
      </c>
      <c r="CM14" s="8">
        <v>7.2745000000000004E-2</v>
      </c>
      <c r="CN14" s="8">
        <v>0.22178</v>
      </c>
      <c r="CO14" s="8">
        <v>2.9659000000000001E-2</v>
      </c>
      <c r="CP14" s="8">
        <v>5.2604000000000001E-3</v>
      </c>
      <c r="CQ14" s="8">
        <v>0.23077</v>
      </c>
      <c r="CR14" s="8">
        <v>6.1017000000000002E-2</v>
      </c>
      <c r="CS14" s="8">
        <v>7.3718000000000006E-2</v>
      </c>
      <c r="CT14" s="8">
        <v>0.33850999999999998</v>
      </c>
      <c r="CU14" s="8">
        <v>0.11931</v>
      </c>
      <c r="CV14" s="8">
        <v>0.27424999999999999</v>
      </c>
      <c r="CW14" s="8">
        <v>0.16958000000000001</v>
      </c>
    </row>
    <row r="15" spans="1:101">
      <c r="A15">
        <f t="shared" si="0"/>
        <v>385</v>
      </c>
      <c r="B15">
        <v>1</v>
      </c>
      <c r="C15" s="8">
        <v>0.62356999999999996</v>
      </c>
      <c r="D15" s="8">
        <v>0.25413000000000002</v>
      </c>
      <c r="E15" s="8">
        <v>6.6302000000000002E-3</v>
      </c>
      <c r="F15" s="8">
        <v>0.47793090909090913</v>
      </c>
      <c r="G15" s="8">
        <v>0.13539999999999999</v>
      </c>
      <c r="H15" s="8">
        <v>5.3370000000000001E-2</v>
      </c>
      <c r="I15" s="8">
        <v>5.9583999999999998E-2</v>
      </c>
      <c r="J15" s="8">
        <v>5.9610000000000003E-2</v>
      </c>
      <c r="K15" s="8">
        <v>4.1723000000000003E-2</v>
      </c>
      <c r="L15" s="8">
        <v>0.18171999999999999</v>
      </c>
      <c r="M15" s="8">
        <v>4.4489000000000001E-2</v>
      </c>
      <c r="N15" s="8">
        <v>0.21622</v>
      </c>
      <c r="O15" s="8">
        <v>4.3328999999999999E-2</v>
      </c>
      <c r="P15" s="8">
        <v>0.33683000000000002</v>
      </c>
      <c r="Q15" s="8">
        <v>0.17294999999999999</v>
      </c>
      <c r="R15" s="8">
        <v>3.5367000000000003E-2</v>
      </c>
      <c r="S15" s="8">
        <v>3.3096E-2</v>
      </c>
      <c r="T15" s="8">
        <v>6.6915000000000002E-2</v>
      </c>
      <c r="U15" s="8">
        <v>0.1119</v>
      </c>
      <c r="V15" s="8">
        <v>2.7008999999999998E-2</v>
      </c>
      <c r="W15" s="8">
        <v>0.13070999999999999</v>
      </c>
      <c r="X15" s="8">
        <v>1.0614999999999999E-2</v>
      </c>
      <c r="Y15" s="8">
        <v>0.40061000000000002</v>
      </c>
      <c r="Z15" s="8">
        <v>0.2122</v>
      </c>
      <c r="AA15" s="8">
        <v>9.2924000000000007E-2</v>
      </c>
      <c r="AB15" s="8">
        <v>0.17829</v>
      </c>
      <c r="AC15" s="8">
        <v>6.4994999999999997E-2</v>
      </c>
      <c r="AD15" s="8">
        <v>4.4886000000000002E-2</v>
      </c>
      <c r="AE15" s="8">
        <v>4.1549999999999997E-2</v>
      </c>
      <c r="AF15" s="8">
        <v>3.1975999999999997E-2</v>
      </c>
      <c r="AG15" s="8">
        <v>4.3734000000000002E-2</v>
      </c>
      <c r="AH15" s="8">
        <v>4.5415999999999998E-2</v>
      </c>
      <c r="AI15" s="8">
        <v>0.17954999999999999</v>
      </c>
      <c r="AJ15" s="8">
        <v>4.3626999999999999E-2</v>
      </c>
      <c r="AK15" s="8">
        <v>5.2601000000000002E-2</v>
      </c>
      <c r="AL15" s="8">
        <v>3.7074999999999997E-2</v>
      </c>
      <c r="AM15" s="8">
        <v>5.0231999999999999E-2</v>
      </c>
      <c r="AN15" s="8">
        <v>0.11525090909090907</v>
      </c>
      <c r="AO15" s="8">
        <v>4.5731000000000001E-2</v>
      </c>
      <c r="AP15" s="8">
        <v>7.5015999999999999E-2</v>
      </c>
      <c r="AQ15" s="8">
        <v>0.38712000000000002</v>
      </c>
      <c r="AR15" s="8">
        <v>6.5373000000000001E-2</v>
      </c>
      <c r="AS15" s="8">
        <v>8.2768999999999995E-2</v>
      </c>
      <c r="AT15" s="8">
        <v>4.2185E-2</v>
      </c>
      <c r="AU15" s="8">
        <v>5.5185999999999999E-2</v>
      </c>
      <c r="AV15" s="8">
        <v>0.10287</v>
      </c>
      <c r="AW15" s="8">
        <v>0.14305000000000001</v>
      </c>
      <c r="AX15" s="8">
        <v>8.8431999999999997E-2</v>
      </c>
      <c r="AY15" s="8">
        <v>7.3905000000000004E-3</v>
      </c>
      <c r="AZ15" s="8">
        <v>8.2247000000000001E-2</v>
      </c>
      <c r="BA15" s="8">
        <v>0.10406</v>
      </c>
      <c r="BB15" s="8">
        <v>5.8416999999999997E-2</v>
      </c>
      <c r="BC15" s="8">
        <v>7.4019000000000001E-2</v>
      </c>
      <c r="BD15" s="8">
        <v>0.42408000000000001</v>
      </c>
      <c r="BE15" s="8">
        <v>0.32661000000000001</v>
      </c>
      <c r="BF15" s="8">
        <v>0.17199</v>
      </c>
      <c r="BG15" s="8">
        <v>0.13497000000000001</v>
      </c>
      <c r="BH15" s="8">
        <v>0.11035</v>
      </c>
      <c r="BI15" s="8">
        <v>0.23474</v>
      </c>
      <c r="BJ15" s="8">
        <v>0.47271999999999997</v>
      </c>
      <c r="BK15" s="8">
        <v>0.30830999999999997</v>
      </c>
      <c r="BL15" s="8">
        <v>0.17929999999999999</v>
      </c>
      <c r="BM15" s="8">
        <v>2.7134999999999999E-2</v>
      </c>
      <c r="BN15" s="8">
        <v>0.18210999999999999</v>
      </c>
      <c r="BO15" s="8">
        <v>9.0530999999999997E-3</v>
      </c>
      <c r="BP15" s="8">
        <v>0.10544000000000001</v>
      </c>
      <c r="BQ15" s="8">
        <v>0.11774999999999999</v>
      </c>
      <c r="BR15" s="8">
        <v>0.23594000000000001</v>
      </c>
      <c r="BS15" s="8">
        <v>0.13933000000000001</v>
      </c>
      <c r="BT15" s="8">
        <v>0.34608</v>
      </c>
      <c r="BU15" s="8">
        <v>3.9523000000000003E-2</v>
      </c>
      <c r="BV15" s="8">
        <v>0.39318999999999998</v>
      </c>
      <c r="BW15" s="8">
        <v>0.18015999999999999</v>
      </c>
      <c r="BX15" s="8">
        <v>3.483E-2</v>
      </c>
      <c r="BY15" s="8">
        <v>3.3549000000000002E-2</v>
      </c>
      <c r="BZ15" s="8">
        <v>0.22950999999999999</v>
      </c>
      <c r="CA15" s="8">
        <v>3.5373818181818173E-2</v>
      </c>
      <c r="CB15" s="8">
        <v>0.14166999999999999</v>
      </c>
      <c r="CC15" s="8">
        <v>0.57857000000000003</v>
      </c>
      <c r="CD15" s="8">
        <v>0.34433000000000002</v>
      </c>
      <c r="CE15" s="8">
        <v>0.17602000000000001</v>
      </c>
      <c r="CF15" s="8">
        <v>0.71503000000000005</v>
      </c>
      <c r="CG15" s="8">
        <v>0.57154000000000005</v>
      </c>
      <c r="CH15" s="8">
        <v>3.5553000000000001E-2</v>
      </c>
      <c r="CI15" s="8">
        <v>1.2914999999999999E-2</v>
      </c>
      <c r="CJ15" s="8">
        <v>0.51400000000000001</v>
      </c>
      <c r="CK15" s="8">
        <v>0.11586</v>
      </c>
      <c r="CL15" s="8">
        <v>0.44033</v>
      </c>
      <c r="CM15" s="8">
        <v>8.208E-2</v>
      </c>
      <c r="CN15" s="8">
        <v>0.23127</v>
      </c>
      <c r="CO15" s="8">
        <v>3.3792272727272726E-2</v>
      </c>
      <c r="CP15" s="8">
        <v>2.44826E-2</v>
      </c>
      <c r="CQ15" s="8">
        <v>0.24351999999999999</v>
      </c>
      <c r="CR15" s="8">
        <v>6.7007999999999998E-2</v>
      </c>
      <c r="CS15" s="8">
        <v>9.0649999999999994E-2</v>
      </c>
      <c r="CT15" s="8">
        <v>0.36144999999999999</v>
      </c>
      <c r="CU15" s="8">
        <v>0.13183</v>
      </c>
      <c r="CV15" s="8">
        <v>0.28297</v>
      </c>
      <c r="CW15" s="8">
        <v>0.17882000000000001</v>
      </c>
    </row>
    <row r="16" spans="1:101">
      <c r="A16">
        <f t="shared" si="0"/>
        <v>390</v>
      </c>
      <c r="B16">
        <v>1</v>
      </c>
      <c r="C16" s="8">
        <v>0.62766</v>
      </c>
      <c r="D16" s="8">
        <v>0.25655</v>
      </c>
      <c r="E16" s="8">
        <v>1.6937000000000001E-2</v>
      </c>
      <c r="F16" s="8">
        <v>0.46405857142857149</v>
      </c>
      <c r="G16" s="8">
        <v>0.13564999999999999</v>
      </c>
      <c r="H16" s="8">
        <v>6.2851000000000004E-2</v>
      </c>
      <c r="I16" s="8">
        <v>5.9158000000000002E-2</v>
      </c>
      <c r="J16" s="8">
        <v>5.9839999999999997E-2</v>
      </c>
      <c r="K16" s="8">
        <v>4.1873E-2</v>
      </c>
      <c r="L16" s="8">
        <v>0.18756</v>
      </c>
      <c r="M16" s="8">
        <v>5.0061000000000001E-2</v>
      </c>
      <c r="N16" s="8">
        <v>0.18687000000000001</v>
      </c>
      <c r="O16" s="8">
        <v>4.3283000000000002E-2</v>
      </c>
      <c r="P16" s="8">
        <v>0.33833000000000002</v>
      </c>
      <c r="Q16" s="8">
        <v>0.17602000000000001</v>
      </c>
      <c r="R16" s="8">
        <v>3.6089000000000003E-2</v>
      </c>
      <c r="S16" s="8">
        <v>3.5560000000000001E-2</v>
      </c>
      <c r="T16" s="8">
        <v>6.8899000000000002E-2</v>
      </c>
      <c r="U16" s="8">
        <v>0.11458</v>
      </c>
      <c r="V16" s="8">
        <v>2.9075E-2</v>
      </c>
      <c r="W16" s="8">
        <v>0.13822000000000001</v>
      </c>
      <c r="X16" s="8">
        <v>2.0844000000000001E-2</v>
      </c>
      <c r="Y16" s="8">
        <v>0.41715999999999998</v>
      </c>
      <c r="Z16" s="8">
        <v>0.22466</v>
      </c>
      <c r="AA16" s="8">
        <v>8.4042000000000006E-2</v>
      </c>
      <c r="AB16" s="8">
        <v>0.17510999999999999</v>
      </c>
      <c r="AC16" s="8">
        <v>6.6203999999999999E-2</v>
      </c>
      <c r="AD16" s="8">
        <v>4.3943000000000003E-2</v>
      </c>
      <c r="AE16" s="8">
        <v>4.3360000000000003E-2</v>
      </c>
      <c r="AF16" s="8">
        <v>3.1345999999999999E-2</v>
      </c>
      <c r="AG16" s="8">
        <v>4.4990000000000002E-2</v>
      </c>
      <c r="AH16" s="8">
        <v>4.4571E-2</v>
      </c>
      <c r="AI16" s="8">
        <v>0.18551000000000001</v>
      </c>
      <c r="AJ16" s="8">
        <v>4.3712000000000001E-2</v>
      </c>
      <c r="AK16" s="8">
        <v>5.2552000000000001E-2</v>
      </c>
      <c r="AL16" s="8">
        <v>4.2834285714285707E-2</v>
      </c>
      <c r="AM16" s="8">
        <v>5.0185E-2</v>
      </c>
      <c r="AN16" s="8">
        <v>0.10979071428571428</v>
      </c>
      <c r="AO16" s="8">
        <v>4.5803999999999997E-2</v>
      </c>
      <c r="AP16" s="8">
        <v>7.5026999999999996E-2</v>
      </c>
      <c r="AQ16" s="8">
        <v>0.39455000000000001</v>
      </c>
      <c r="AR16" s="8">
        <v>6.4771999999999996E-2</v>
      </c>
      <c r="AS16" s="8">
        <v>7.7269000000000004E-2</v>
      </c>
      <c r="AT16" s="8">
        <v>4.2743999999999997E-2</v>
      </c>
      <c r="AU16" s="8">
        <v>5.6085999999999997E-2</v>
      </c>
      <c r="AV16" s="8">
        <v>0.10599</v>
      </c>
      <c r="AW16" s="8">
        <v>0.14355999999999999</v>
      </c>
      <c r="AX16" s="8">
        <v>8.9325000000000002E-2</v>
      </c>
      <c r="AY16" s="8">
        <v>1.3886000000000001E-2</v>
      </c>
      <c r="AZ16" s="8">
        <v>8.5799E-2</v>
      </c>
      <c r="BA16" s="8">
        <v>0.10879999999999999</v>
      </c>
      <c r="BB16" s="8">
        <v>5.824E-2</v>
      </c>
      <c r="BC16" s="8">
        <v>7.5278999999999999E-2</v>
      </c>
      <c r="BD16" s="8">
        <v>0.43973000000000001</v>
      </c>
      <c r="BE16" s="8">
        <v>0.34992000000000001</v>
      </c>
      <c r="BF16" s="8">
        <v>0.19017999999999999</v>
      </c>
      <c r="BG16" s="8">
        <v>0.13469999999999999</v>
      </c>
      <c r="BH16" s="8">
        <v>0.11514000000000001</v>
      </c>
      <c r="BI16" s="8">
        <v>0.29344999999999999</v>
      </c>
      <c r="BJ16" s="8">
        <v>0.50312000000000001</v>
      </c>
      <c r="BK16" s="8">
        <v>0.3286</v>
      </c>
      <c r="BL16" s="8">
        <v>0.18890000000000001</v>
      </c>
      <c r="BM16" s="8">
        <v>3.1280000000000002E-2</v>
      </c>
      <c r="BN16" s="8">
        <v>0.19500000000000001</v>
      </c>
      <c r="BO16" s="8">
        <v>1.3602E-2</v>
      </c>
      <c r="BP16" s="8">
        <v>0.11155</v>
      </c>
      <c r="BQ16" s="8">
        <v>0.1268</v>
      </c>
      <c r="BR16" s="8">
        <v>0.25103999999999999</v>
      </c>
      <c r="BS16" s="8">
        <v>0.14671999999999999</v>
      </c>
      <c r="BT16" s="8">
        <v>0.37534000000000001</v>
      </c>
      <c r="BU16" s="8">
        <v>4.2833999999999997E-2</v>
      </c>
      <c r="BV16" s="8">
        <v>0.40905000000000002</v>
      </c>
      <c r="BW16" s="8">
        <v>0.20033999999999999</v>
      </c>
      <c r="BX16" s="8">
        <v>3.5811999999999997E-2</v>
      </c>
      <c r="BY16" s="8">
        <v>3.8531000000000003E-2</v>
      </c>
      <c r="BZ16" s="8">
        <v>0.24803</v>
      </c>
      <c r="CA16" s="8">
        <v>5.4221190476190471E-2</v>
      </c>
      <c r="CB16" s="8">
        <v>0.15481</v>
      </c>
      <c r="CC16" s="8">
        <v>0.58955999999999997</v>
      </c>
      <c r="CD16" s="8">
        <v>0.36971999999999999</v>
      </c>
      <c r="CE16" s="8">
        <v>0.23297999999999999</v>
      </c>
      <c r="CF16" s="8">
        <v>0.72221999999999997</v>
      </c>
      <c r="CG16" s="8">
        <v>0.57955999999999996</v>
      </c>
      <c r="CH16" s="8">
        <v>3.7444999999999999E-2</v>
      </c>
      <c r="CI16" s="8">
        <v>1.7314E-2</v>
      </c>
      <c r="CJ16" s="8">
        <v>0.52546000000000004</v>
      </c>
      <c r="CK16" s="8">
        <v>0.12634999999999999</v>
      </c>
      <c r="CL16" s="8">
        <v>0.45434999999999998</v>
      </c>
      <c r="CM16" s="8">
        <v>9.2493000000000006E-2</v>
      </c>
      <c r="CN16" s="8">
        <v>0.24102999999999999</v>
      </c>
      <c r="CO16" s="8">
        <v>4.7769047619047621E-2</v>
      </c>
      <c r="CP16" s="8">
        <v>5.165036190476191E-2</v>
      </c>
      <c r="CQ16" s="8">
        <v>0.25635999999999998</v>
      </c>
      <c r="CR16" s="8">
        <v>7.3539999999999994E-2</v>
      </c>
      <c r="CS16" s="8">
        <v>0.111</v>
      </c>
      <c r="CT16" s="8">
        <v>0.38503999999999999</v>
      </c>
      <c r="CU16" s="8">
        <v>0.14544000000000001</v>
      </c>
      <c r="CV16" s="8">
        <v>0.29185</v>
      </c>
      <c r="CW16" s="8">
        <v>0.18845999999999999</v>
      </c>
    </row>
    <row r="17" spans="1:101">
      <c r="A17">
        <f t="shared" si="0"/>
        <v>395</v>
      </c>
      <c r="B17">
        <v>1</v>
      </c>
      <c r="C17" s="8">
        <v>0.63171999999999995</v>
      </c>
      <c r="D17" s="8">
        <v>0.25897999999999999</v>
      </c>
      <c r="E17" s="8">
        <v>1.7729000000000002E-2</v>
      </c>
      <c r="F17" s="8">
        <v>0.44101612903225801</v>
      </c>
      <c r="G17" s="8">
        <v>0.13539999999999999</v>
      </c>
      <c r="H17" s="8">
        <v>7.3884000000000005E-2</v>
      </c>
      <c r="I17" s="8">
        <v>5.8734000000000001E-2</v>
      </c>
      <c r="J17" s="8">
        <v>5.9409999999999998E-2</v>
      </c>
      <c r="K17" s="8">
        <v>4.2023999999999999E-2</v>
      </c>
      <c r="L17" s="8">
        <v>0.19353999999999999</v>
      </c>
      <c r="M17" s="8">
        <v>5.6291000000000001E-2</v>
      </c>
      <c r="N17" s="8">
        <v>0.16203999999999999</v>
      </c>
      <c r="O17" s="8">
        <v>4.3237999999999999E-2</v>
      </c>
      <c r="P17" s="8">
        <v>0.33983999999999998</v>
      </c>
      <c r="Q17" s="8">
        <v>0.17913000000000001</v>
      </c>
      <c r="R17" s="8">
        <v>3.6824999999999997E-2</v>
      </c>
      <c r="S17" s="8">
        <v>3.8200999999999999E-2</v>
      </c>
      <c r="T17" s="8">
        <v>7.0937E-2</v>
      </c>
      <c r="U17" s="8">
        <v>0.11733</v>
      </c>
      <c r="V17" s="8">
        <v>3.1294000000000002E-2</v>
      </c>
      <c r="W17" s="8">
        <v>0.14607999999999999</v>
      </c>
      <c r="X17" s="8">
        <v>3.1073E-2</v>
      </c>
      <c r="Y17" s="8">
        <v>0.43081999999999998</v>
      </c>
      <c r="Z17" s="8">
        <v>0.23763000000000001</v>
      </c>
      <c r="AA17" s="8">
        <v>7.6213000000000003E-2</v>
      </c>
      <c r="AB17" s="8">
        <v>0.17197999999999999</v>
      </c>
      <c r="AC17" s="8">
        <v>6.7574999999999996E-2</v>
      </c>
      <c r="AD17" s="8">
        <v>4.3171000000000001E-2</v>
      </c>
      <c r="AE17" s="8">
        <v>4.5246000000000001E-2</v>
      </c>
      <c r="AF17" s="8">
        <v>2.9564E-2</v>
      </c>
      <c r="AG17" s="8">
        <v>4.7608999999999999E-2</v>
      </c>
      <c r="AH17" s="8">
        <v>4.3741000000000002E-2</v>
      </c>
      <c r="AI17" s="8">
        <v>0.19147</v>
      </c>
      <c r="AJ17" s="8">
        <v>4.3797000000000003E-2</v>
      </c>
      <c r="AK17" s="8">
        <v>5.2502E-2</v>
      </c>
      <c r="AL17" s="8">
        <v>5.3584032258064504E-2</v>
      </c>
      <c r="AM17" s="8">
        <v>5.0138000000000002E-2</v>
      </c>
      <c r="AN17" s="8">
        <v>9.5408096774193554E-2</v>
      </c>
      <c r="AO17" s="8">
        <v>4.5877000000000001E-2</v>
      </c>
      <c r="AP17" s="8">
        <v>7.5038999999999995E-2</v>
      </c>
      <c r="AQ17" s="8">
        <v>0.40204000000000001</v>
      </c>
      <c r="AR17" s="8">
        <v>6.4175999999999997E-2</v>
      </c>
      <c r="AS17" s="8">
        <v>7.2106000000000003E-2</v>
      </c>
      <c r="AT17" s="8">
        <v>4.3310000000000001E-2</v>
      </c>
      <c r="AU17" s="8">
        <v>5.7229000000000002E-2</v>
      </c>
      <c r="AV17" s="8">
        <v>0.10920000000000001</v>
      </c>
      <c r="AW17" s="8">
        <v>0.14407</v>
      </c>
      <c r="AX17" s="8">
        <v>9.0218000000000007E-2</v>
      </c>
      <c r="AY17" s="8">
        <v>2.0382000000000001E-2</v>
      </c>
      <c r="AZ17" s="8">
        <v>8.9487999999999998E-2</v>
      </c>
      <c r="BA17" s="8">
        <v>0.11373</v>
      </c>
      <c r="BB17" s="8">
        <v>5.8062999999999997E-2</v>
      </c>
      <c r="BC17" s="8">
        <v>7.6558000000000001E-2</v>
      </c>
      <c r="BD17" s="8">
        <v>0.45551000000000003</v>
      </c>
      <c r="BE17" s="8">
        <v>0.37230000000000002</v>
      </c>
      <c r="BF17" s="8">
        <v>0.20979999999999999</v>
      </c>
      <c r="BG17" s="8">
        <v>0.13370000000000001</v>
      </c>
      <c r="BH17" s="8">
        <v>0.1202</v>
      </c>
      <c r="BI17" s="8">
        <v>0.35993000000000003</v>
      </c>
      <c r="BJ17" s="8">
        <v>0.53129000000000004</v>
      </c>
      <c r="BK17" s="8">
        <v>0.34955000000000003</v>
      </c>
      <c r="BL17" s="8">
        <v>0.19888</v>
      </c>
      <c r="BM17" s="8">
        <v>3.6035999999999999E-2</v>
      </c>
      <c r="BN17" s="8">
        <v>0.20857000000000001</v>
      </c>
      <c r="BO17" s="8">
        <v>2.0389999999999998E-2</v>
      </c>
      <c r="BP17" s="8">
        <v>0.11796</v>
      </c>
      <c r="BQ17" s="8">
        <v>0.13644000000000001</v>
      </c>
      <c r="BR17" s="8">
        <v>0.26676</v>
      </c>
      <c r="BS17" s="8">
        <v>0.15443000000000001</v>
      </c>
      <c r="BT17" s="8">
        <v>0.40554000000000001</v>
      </c>
      <c r="BU17" s="8">
        <v>4.6408999999999999E-2</v>
      </c>
      <c r="BV17" s="8">
        <v>0.42509000000000002</v>
      </c>
      <c r="BW17" s="8">
        <v>0.22217000000000001</v>
      </c>
      <c r="BX17" s="8">
        <v>3.6819999999999999E-2</v>
      </c>
      <c r="BY17" s="8">
        <v>4.4218E-2</v>
      </c>
      <c r="BZ17" s="8">
        <v>0.26751999999999998</v>
      </c>
      <c r="CA17" s="8">
        <v>7.8299516129032257E-2</v>
      </c>
      <c r="CB17" s="8">
        <v>0.16893</v>
      </c>
      <c r="CC17" s="8">
        <v>0.60045999999999999</v>
      </c>
      <c r="CD17" s="8">
        <v>0.39599000000000001</v>
      </c>
      <c r="CE17" s="8">
        <v>0.27446999999999999</v>
      </c>
      <c r="CF17" s="8">
        <v>0.72929999999999995</v>
      </c>
      <c r="CG17" s="8">
        <v>0.58753</v>
      </c>
      <c r="CH17" s="8">
        <v>3.9433999999999997E-2</v>
      </c>
      <c r="CI17" s="8">
        <v>2.4437E-2</v>
      </c>
      <c r="CJ17" s="8">
        <v>0.53688999999999998</v>
      </c>
      <c r="CK17" s="8">
        <v>0.13764000000000001</v>
      </c>
      <c r="CL17" s="8">
        <v>0.46844999999999998</v>
      </c>
      <c r="CM17" s="8">
        <v>0.10408000000000001</v>
      </c>
      <c r="CN17" s="8">
        <v>0.25108000000000003</v>
      </c>
      <c r="CO17" s="8">
        <v>7.916809677419355E-2</v>
      </c>
      <c r="CP17" s="8">
        <v>7.3734309677419355E-2</v>
      </c>
      <c r="CQ17" s="8">
        <v>0.26919999999999999</v>
      </c>
      <c r="CR17" s="8">
        <v>8.0654000000000003E-2</v>
      </c>
      <c r="CS17" s="8">
        <v>0.13525000000000001</v>
      </c>
      <c r="CT17" s="8">
        <v>0.40917999999999999</v>
      </c>
      <c r="CU17" s="8">
        <v>0.16019</v>
      </c>
      <c r="CV17" s="8">
        <v>0.3009</v>
      </c>
      <c r="CW17" s="8">
        <v>0.19847999999999999</v>
      </c>
    </row>
    <row r="18" spans="1:101">
      <c r="A18">
        <f t="shared" si="0"/>
        <v>400</v>
      </c>
      <c r="B18">
        <v>1</v>
      </c>
      <c r="C18" s="8">
        <v>0.63590000000000002</v>
      </c>
      <c r="D18" s="8">
        <v>0.26150000000000001</v>
      </c>
      <c r="E18" s="8">
        <v>1.1674E-2</v>
      </c>
      <c r="F18" s="8">
        <v>0.42156609756097546</v>
      </c>
      <c r="G18" s="8">
        <v>0.13578999999999999</v>
      </c>
      <c r="H18" s="8">
        <v>8.2491999999999996E-2</v>
      </c>
      <c r="I18" s="8">
        <v>5.8299999999999998E-2</v>
      </c>
      <c r="J18" s="8">
        <v>5.8860000000000003E-2</v>
      </c>
      <c r="K18" s="8">
        <v>4.2249000000000002E-2</v>
      </c>
      <c r="L18" s="8">
        <v>0.19983000000000001</v>
      </c>
      <c r="M18" s="8">
        <v>6.0810000000000003E-2</v>
      </c>
      <c r="N18" s="8">
        <v>0.14513999999999999</v>
      </c>
      <c r="O18" s="8">
        <v>4.3269000000000002E-2</v>
      </c>
      <c r="P18" s="8">
        <v>0.34139999999999998</v>
      </c>
      <c r="Q18" s="8">
        <v>0.18140999999999999</v>
      </c>
      <c r="R18" s="8">
        <v>3.7670000000000002E-2</v>
      </c>
      <c r="S18" s="8">
        <v>4.0309999999999999E-2</v>
      </c>
      <c r="T18" s="8">
        <v>7.3099999999999998E-2</v>
      </c>
      <c r="U18" s="8">
        <v>0.1202</v>
      </c>
      <c r="V18" s="8">
        <v>3.1970999999999999E-2</v>
      </c>
      <c r="W18" s="8">
        <v>0.14874000000000001</v>
      </c>
      <c r="X18" s="8">
        <v>4.1564999999999998E-2</v>
      </c>
      <c r="Y18" s="8">
        <v>0.44274000000000002</v>
      </c>
      <c r="Z18" s="8">
        <v>0.2515</v>
      </c>
      <c r="AA18" s="8">
        <v>6.8140999999999993E-2</v>
      </c>
      <c r="AB18" s="8">
        <v>0.16880000000000001</v>
      </c>
      <c r="AC18" s="8">
        <v>6.8390000000000006E-2</v>
      </c>
      <c r="AD18" s="8">
        <v>4.4671000000000002E-2</v>
      </c>
      <c r="AE18" s="8">
        <v>4.7981000000000003E-2</v>
      </c>
      <c r="AF18" s="8">
        <v>2.7990999999999999E-2</v>
      </c>
      <c r="AG18" s="8">
        <v>5.142E-2</v>
      </c>
      <c r="AH18" s="8">
        <v>4.2900000000000001E-2</v>
      </c>
      <c r="AI18" s="8">
        <v>0.19786999999999999</v>
      </c>
      <c r="AJ18" s="8">
        <v>4.3885E-2</v>
      </c>
      <c r="AK18" s="8">
        <v>5.2449000000000003E-2</v>
      </c>
      <c r="AL18" s="8">
        <v>7.506182926829269E-2</v>
      </c>
      <c r="AM18" s="8">
        <v>0.05</v>
      </c>
      <c r="AN18" s="8">
        <v>8.6886439024390263E-2</v>
      </c>
      <c r="AO18" s="8">
        <v>4.6061999999999999E-2</v>
      </c>
      <c r="AP18" s="8">
        <v>7.5223999999999999E-2</v>
      </c>
      <c r="AQ18" s="8">
        <v>0.4098</v>
      </c>
      <c r="AR18" s="8">
        <v>6.3743999999999995E-2</v>
      </c>
      <c r="AS18" s="8">
        <v>6.7100000000000007E-2</v>
      </c>
      <c r="AT18" s="8">
        <v>4.3900000000000002E-2</v>
      </c>
      <c r="AU18" s="8">
        <v>5.7599999999999998E-2</v>
      </c>
      <c r="AV18" s="8">
        <v>0.11260000000000001</v>
      </c>
      <c r="AW18" s="8">
        <v>0.14460000000000001</v>
      </c>
      <c r="AX18" s="8">
        <v>9.0887999999999997E-2</v>
      </c>
      <c r="AY18" s="8">
        <v>2.7199999999999998E-2</v>
      </c>
      <c r="AZ18" s="8">
        <v>9.3384999999999996E-2</v>
      </c>
      <c r="BA18" s="8">
        <v>0.11889</v>
      </c>
      <c r="BB18" s="8">
        <v>5.8014999999999997E-2</v>
      </c>
      <c r="BC18" s="8">
        <v>7.7899999999999997E-2</v>
      </c>
      <c r="BD18" s="8">
        <v>0.47189999999999999</v>
      </c>
      <c r="BE18" s="8">
        <v>0.39416000000000001</v>
      </c>
      <c r="BF18" s="8">
        <v>0.23150000000000001</v>
      </c>
      <c r="BG18" s="8">
        <v>0.13469999999999999</v>
      </c>
      <c r="BH18" s="8">
        <v>0.12531</v>
      </c>
      <c r="BI18" s="8">
        <v>0.4345</v>
      </c>
      <c r="BJ18" s="8">
        <v>0.55735000000000001</v>
      </c>
      <c r="BK18" s="8">
        <v>0.36976999999999999</v>
      </c>
      <c r="BL18" s="8">
        <v>0.20849000000000001</v>
      </c>
      <c r="BM18" s="8">
        <v>3.9557000000000002E-2</v>
      </c>
      <c r="BN18" s="8">
        <v>0.22325999999999999</v>
      </c>
      <c r="BO18" s="8">
        <v>2.9489000000000001E-2</v>
      </c>
      <c r="BP18" s="8">
        <v>0.1249</v>
      </c>
      <c r="BQ18" s="8">
        <v>0.14699999999999999</v>
      </c>
      <c r="BR18" s="8">
        <v>0.28244999999999998</v>
      </c>
      <c r="BS18" s="8">
        <v>0.16220000000000001</v>
      </c>
      <c r="BT18" s="8">
        <v>0.43536999999999998</v>
      </c>
      <c r="BU18" s="8">
        <v>5.04E-2</v>
      </c>
      <c r="BV18" s="8">
        <v>0.44022</v>
      </c>
      <c r="BW18" s="8">
        <v>0.23998</v>
      </c>
      <c r="BX18" s="8">
        <v>3.7827E-2</v>
      </c>
      <c r="BY18" s="8">
        <v>5.0900000000000001E-2</v>
      </c>
      <c r="BZ18" s="8">
        <v>0.28860000000000002</v>
      </c>
      <c r="CA18" s="8">
        <v>0.10592890243902439</v>
      </c>
      <c r="CB18" s="8">
        <v>0.1812</v>
      </c>
      <c r="CC18" s="8">
        <v>0.60662000000000005</v>
      </c>
      <c r="CD18" s="8">
        <v>0.42314000000000002</v>
      </c>
      <c r="CE18" s="8">
        <v>0.30442000000000002</v>
      </c>
      <c r="CF18" s="8">
        <v>0.73650000000000004</v>
      </c>
      <c r="CG18" s="8">
        <v>0.59570000000000001</v>
      </c>
      <c r="CH18" s="8">
        <v>4.1383000000000003E-2</v>
      </c>
      <c r="CI18" s="8">
        <v>3.8309999999999997E-2</v>
      </c>
      <c r="CJ18" s="8">
        <v>0.54635999999999996</v>
      </c>
      <c r="CK18" s="8">
        <v>0.14596000000000001</v>
      </c>
      <c r="CL18" s="8">
        <v>0.47489999999999999</v>
      </c>
      <c r="CM18" s="8">
        <v>0.11545999999999999</v>
      </c>
      <c r="CN18" s="8">
        <v>0.26169999999999999</v>
      </c>
      <c r="CO18" s="8">
        <v>0.13074539024390244</v>
      </c>
      <c r="CP18" s="8">
        <v>9.6700819512195127E-2</v>
      </c>
      <c r="CQ18" s="8">
        <v>0.28194999999999998</v>
      </c>
      <c r="CR18" s="8">
        <v>8.8099999999999998E-2</v>
      </c>
      <c r="CS18" s="8">
        <v>0.16428000000000001</v>
      </c>
      <c r="CT18" s="8">
        <v>0.43393999999999999</v>
      </c>
      <c r="CU18" s="8">
        <v>0.17660000000000001</v>
      </c>
      <c r="CV18" s="8">
        <v>0.31040000000000001</v>
      </c>
      <c r="CW18" s="8">
        <v>0.2092</v>
      </c>
    </row>
    <row r="19" spans="1:101">
      <c r="A19">
        <f t="shared" si="0"/>
        <v>405</v>
      </c>
      <c r="B19">
        <v>1</v>
      </c>
      <c r="C19" s="8">
        <v>0.64015</v>
      </c>
      <c r="D19" s="8">
        <v>0.26408999999999999</v>
      </c>
      <c r="E19" s="8">
        <v>5.1085000000000002E-3</v>
      </c>
      <c r="F19" s="8">
        <v>0.405590487804878</v>
      </c>
      <c r="G19" s="8">
        <v>0.13757</v>
      </c>
      <c r="H19" s="8">
        <v>0.10382</v>
      </c>
      <c r="I19" s="8">
        <v>5.7858E-2</v>
      </c>
      <c r="J19" s="8">
        <v>5.8578999999999999E-2</v>
      </c>
      <c r="K19" s="8">
        <v>4.2292000000000003E-2</v>
      </c>
      <c r="L19" s="8">
        <v>0.20627999999999999</v>
      </c>
      <c r="M19" s="8">
        <v>7.2327000000000002E-2</v>
      </c>
      <c r="N19" s="8">
        <v>0.12981000000000001</v>
      </c>
      <c r="O19" s="8">
        <v>4.3111999999999998E-2</v>
      </c>
      <c r="P19" s="8">
        <v>0.34300999999999998</v>
      </c>
      <c r="Q19" s="8">
        <v>0.18593000000000001</v>
      </c>
      <c r="R19" s="8">
        <v>3.8294000000000002E-2</v>
      </c>
      <c r="S19" s="8">
        <v>4.4431999999999999E-2</v>
      </c>
      <c r="T19" s="8">
        <v>7.5384000000000007E-2</v>
      </c>
      <c r="U19" s="8">
        <v>0.12316000000000001</v>
      </c>
      <c r="V19" s="8">
        <v>3.7141E-2</v>
      </c>
      <c r="W19" s="8">
        <v>0.16578000000000001</v>
      </c>
      <c r="X19" s="8">
        <v>5.2319999999999998E-2</v>
      </c>
      <c r="Y19" s="8">
        <v>0.45363999999999999</v>
      </c>
      <c r="Z19" s="8">
        <v>0.26605000000000001</v>
      </c>
      <c r="AA19" s="8">
        <v>6.2404000000000001E-2</v>
      </c>
      <c r="AB19" s="8">
        <v>0.16558</v>
      </c>
      <c r="AC19" s="8">
        <v>7.1851999999999999E-2</v>
      </c>
      <c r="AD19" s="8">
        <v>4.65E-2</v>
      </c>
      <c r="AE19" s="8">
        <v>4.8864999999999999E-2</v>
      </c>
      <c r="AF19" s="8">
        <v>2.9426999999999998E-2</v>
      </c>
      <c r="AG19" s="8">
        <v>5.6238000000000003E-2</v>
      </c>
      <c r="AH19" s="8">
        <v>4.2057999999999998E-2</v>
      </c>
      <c r="AI19" s="8">
        <v>0.20469999999999999</v>
      </c>
      <c r="AJ19" s="8">
        <v>4.3971999999999997E-2</v>
      </c>
      <c r="AK19" s="8">
        <v>5.2387999999999997E-2</v>
      </c>
      <c r="AL19" s="8">
        <v>9.7762804878048781E-2</v>
      </c>
      <c r="AM19" s="8">
        <v>5.0089000000000002E-2</v>
      </c>
      <c r="AN19" s="8">
        <v>8.2241170731707308E-2</v>
      </c>
      <c r="AO19" s="8">
        <v>4.5969000000000003E-2</v>
      </c>
      <c r="AP19" s="8">
        <v>7.4977000000000002E-2</v>
      </c>
      <c r="AQ19" s="8">
        <v>0.41775000000000001</v>
      </c>
      <c r="AR19" s="8">
        <v>6.2923999999999994E-2</v>
      </c>
      <c r="AS19" s="8">
        <v>6.2274999999999997E-2</v>
      </c>
      <c r="AT19" s="8">
        <v>4.4509E-2</v>
      </c>
      <c r="AU19" s="8">
        <v>5.7729000000000003E-2</v>
      </c>
      <c r="AV19" s="8">
        <v>0.11615</v>
      </c>
      <c r="AW19" s="8">
        <v>0.14513999999999999</v>
      </c>
      <c r="AX19" s="8">
        <v>9.1335E-2</v>
      </c>
      <c r="AY19" s="8">
        <v>3.4341000000000003E-2</v>
      </c>
      <c r="AZ19" s="8">
        <v>9.7266000000000005E-2</v>
      </c>
      <c r="BA19" s="8">
        <v>0.12416000000000001</v>
      </c>
      <c r="BB19" s="8">
        <v>5.7648999999999999E-2</v>
      </c>
      <c r="BC19" s="8">
        <v>7.9301999999999997E-2</v>
      </c>
      <c r="BD19" s="8">
        <v>0.48882999999999999</v>
      </c>
      <c r="BE19" s="8">
        <v>0.41553000000000001</v>
      </c>
      <c r="BF19" s="8">
        <v>0.25502999999999998</v>
      </c>
      <c r="BG19" s="8">
        <v>0.13983999999999999</v>
      </c>
      <c r="BH19" s="8">
        <v>0.13033</v>
      </c>
      <c r="BI19" s="8">
        <v>0.51356999999999997</v>
      </c>
      <c r="BJ19" s="8">
        <v>0.58082999999999996</v>
      </c>
      <c r="BK19" s="8">
        <v>0.39383000000000001</v>
      </c>
      <c r="BL19" s="8">
        <v>0.22042999999999999</v>
      </c>
      <c r="BM19" s="8">
        <v>4.8800999999999997E-2</v>
      </c>
      <c r="BN19" s="8">
        <v>0.23893</v>
      </c>
      <c r="BO19" s="8">
        <v>4.6087999999999997E-2</v>
      </c>
      <c r="BP19" s="8">
        <v>0.13231000000000001</v>
      </c>
      <c r="BQ19" s="8">
        <v>0.15842000000000001</v>
      </c>
      <c r="BR19" s="8">
        <v>0.30036000000000002</v>
      </c>
      <c r="BS19" s="8">
        <v>0.17097999999999999</v>
      </c>
      <c r="BT19" s="8">
        <v>0.46844999999999998</v>
      </c>
      <c r="BU19" s="8">
        <v>5.4850000000000003E-2</v>
      </c>
      <c r="BV19" s="8">
        <v>0.45815</v>
      </c>
      <c r="BW19" s="8">
        <v>0.2737</v>
      </c>
      <c r="BX19" s="8">
        <v>3.8932000000000001E-2</v>
      </c>
      <c r="BY19" s="8">
        <v>5.8657000000000001E-2</v>
      </c>
      <c r="BZ19" s="8">
        <v>0.31111</v>
      </c>
      <c r="CA19" s="8">
        <v>0.13046017073170732</v>
      </c>
      <c r="CB19" s="8">
        <v>0.20172000000000001</v>
      </c>
      <c r="CC19" s="8">
        <v>0.62422</v>
      </c>
      <c r="CD19" s="8">
        <v>0.45024999999999998</v>
      </c>
      <c r="CE19" s="8">
        <v>0.32357000000000002</v>
      </c>
      <c r="CF19" s="8">
        <v>0.74377000000000004</v>
      </c>
      <c r="CG19" s="8">
        <v>0.60396000000000005</v>
      </c>
      <c r="CH19" s="8">
        <v>4.3790999999999997E-2</v>
      </c>
      <c r="CI19" s="8">
        <v>4.9395000000000001E-2</v>
      </c>
      <c r="CJ19" s="8">
        <v>0.56055999999999995</v>
      </c>
      <c r="CK19" s="8">
        <v>0.16475999999999999</v>
      </c>
      <c r="CL19" s="8">
        <v>0.50053999999999998</v>
      </c>
      <c r="CM19" s="8">
        <v>0.13191</v>
      </c>
      <c r="CN19" s="8">
        <v>0.27271000000000001</v>
      </c>
      <c r="CO19" s="8">
        <v>0.17690534146341463</v>
      </c>
      <c r="CP19" s="8">
        <v>0.12048221951219514</v>
      </c>
      <c r="CQ19" s="8">
        <v>0.29459999999999997</v>
      </c>
      <c r="CR19" s="8">
        <v>9.6944000000000002E-2</v>
      </c>
      <c r="CS19" s="8">
        <v>0.19678000000000001</v>
      </c>
      <c r="CT19" s="8">
        <v>0.45859</v>
      </c>
      <c r="CU19" s="8">
        <v>0.19450999999999999</v>
      </c>
      <c r="CV19" s="8">
        <v>0.32028000000000001</v>
      </c>
      <c r="CW19" s="8">
        <v>0.22044</v>
      </c>
    </row>
    <row r="20" spans="1:101">
      <c r="A20">
        <f t="shared" si="0"/>
        <v>410</v>
      </c>
      <c r="B20">
        <v>1</v>
      </c>
      <c r="C20" s="8">
        <v>0.64539999999999997</v>
      </c>
      <c r="D20" s="8">
        <v>0.26700000000000002</v>
      </c>
      <c r="E20" s="8">
        <v>3.7854E-3</v>
      </c>
      <c r="F20" s="8">
        <v>0.3894960975609757</v>
      </c>
      <c r="G20" s="8">
        <v>0.14001</v>
      </c>
      <c r="H20" s="8">
        <v>0.11965000000000001</v>
      </c>
      <c r="I20" s="8">
        <v>5.7299999999999997E-2</v>
      </c>
      <c r="J20" s="8">
        <v>5.8360000000000002E-2</v>
      </c>
      <c r="K20" s="8">
        <v>4.2455E-2</v>
      </c>
      <c r="L20" s="8">
        <v>0.21152000000000001</v>
      </c>
      <c r="M20" s="8">
        <v>8.0324000000000007E-2</v>
      </c>
      <c r="N20" s="8">
        <v>0.11536</v>
      </c>
      <c r="O20" s="8">
        <v>4.3069999999999997E-2</v>
      </c>
      <c r="P20" s="8">
        <v>0.34510000000000002</v>
      </c>
      <c r="Q20" s="8">
        <v>0.18883</v>
      </c>
      <c r="R20" s="8">
        <v>3.9099000000000002E-2</v>
      </c>
      <c r="S20" s="8">
        <v>4.7504999999999999E-2</v>
      </c>
      <c r="T20" s="8">
        <v>7.85E-2</v>
      </c>
      <c r="U20" s="8">
        <v>0.12590000000000001</v>
      </c>
      <c r="V20" s="8">
        <v>3.9516999999999997E-2</v>
      </c>
      <c r="W20" s="8">
        <v>0.17316000000000001</v>
      </c>
      <c r="X20" s="8">
        <v>6.2286000000000001E-2</v>
      </c>
      <c r="Y20" s="8">
        <v>0.46388000000000001</v>
      </c>
      <c r="Z20" s="8">
        <v>0.28120000000000001</v>
      </c>
      <c r="AA20" s="8">
        <v>6.1578000000000001E-2</v>
      </c>
      <c r="AB20" s="8">
        <v>0.16159999999999999</v>
      </c>
      <c r="AC20" s="8">
        <v>8.1167000000000003E-2</v>
      </c>
      <c r="AD20" s="8">
        <v>4.7928999999999999E-2</v>
      </c>
      <c r="AE20" s="8">
        <v>5.1145000000000003E-2</v>
      </c>
      <c r="AF20" s="8">
        <v>3.1586999999999997E-2</v>
      </c>
      <c r="AG20" s="8">
        <v>6.182E-2</v>
      </c>
      <c r="AH20" s="8">
        <v>4.1099999999999998E-2</v>
      </c>
      <c r="AI20" s="8">
        <v>0.21023</v>
      </c>
      <c r="AJ20" s="8">
        <v>4.4040000000000003E-2</v>
      </c>
      <c r="AK20" s="8">
        <v>5.2165999999999997E-2</v>
      </c>
      <c r="AL20" s="8">
        <v>0.12728797560975608</v>
      </c>
      <c r="AM20" s="8">
        <v>0.05</v>
      </c>
      <c r="AN20" s="8">
        <v>8.1420975609756113E-2</v>
      </c>
      <c r="AO20" s="8">
        <v>4.6061999999999999E-2</v>
      </c>
      <c r="AP20" s="8">
        <v>7.5018000000000001E-2</v>
      </c>
      <c r="AQ20" s="8">
        <v>0.4269</v>
      </c>
      <c r="AR20" s="8">
        <v>6.2354E-2</v>
      </c>
      <c r="AS20" s="8">
        <v>5.62E-2</v>
      </c>
      <c r="AT20" s="8">
        <v>4.5199999999999997E-2</v>
      </c>
      <c r="AU20" s="8">
        <v>5.8414000000000001E-2</v>
      </c>
      <c r="AV20" s="8">
        <v>0.1202</v>
      </c>
      <c r="AW20" s="8">
        <v>0.14580000000000001</v>
      </c>
      <c r="AX20" s="8">
        <v>9.2451000000000005E-2</v>
      </c>
      <c r="AY20" s="8">
        <v>4.0514000000000001E-2</v>
      </c>
      <c r="AZ20" s="8">
        <v>0.10142</v>
      </c>
      <c r="BA20" s="8">
        <v>0.12970999999999999</v>
      </c>
      <c r="BB20" s="8">
        <v>5.7500000000000002E-2</v>
      </c>
      <c r="BC20" s="8">
        <v>8.1199999999999994E-2</v>
      </c>
      <c r="BD20" s="8">
        <v>0.51160000000000005</v>
      </c>
      <c r="BE20" s="8">
        <v>0.43631999999999999</v>
      </c>
      <c r="BF20" s="8">
        <v>0.28200999999999998</v>
      </c>
      <c r="BG20" s="8">
        <v>0.14599999999999999</v>
      </c>
      <c r="BH20" s="8">
        <v>0.13550000000000001</v>
      </c>
      <c r="BI20" s="8">
        <v>0.60419999999999996</v>
      </c>
      <c r="BJ20" s="8">
        <v>0.60182999999999998</v>
      </c>
      <c r="BK20" s="8">
        <v>0.41610999999999998</v>
      </c>
      <c r="BL20" s="8">
        <v>0.23133000000000001</v>
      </c>
      <c r="BM20" s="8">
        <v>5.5378999999999998E-2</v>
      </c>
      <c r="BN20" s="8">
        <v>0.25742999999999999</v>
      </c>
      <c r="BO20" s="8">
        <v>6.8113000000000007E-2</v>
      </c>
      <c r="BP20" s="8">
        <v>0.14130000000000001</v>
      </c>
      <c r="BQ20" s="8">
        <v>0.17219999999999999</v>
      </c>
      <c r="BR20" s="8">
        <v>0.31768999999999997</v>
      </c>
      <c r="BS20" s="8">
        <v>0.17960999999999999</v>
      </c>
      <c r="BT20" s="8">
        <v>0.49987999999999999</v>
      </c>
      <c r="BU20" s="8">
        <v>6.1699999999999998E-2</v>
      </c>
      <c r="BV20" s="8">
        <v>0.47443000000000002</v>
      </c>
      <c r="BW20" s="8">
        <v>0.29807</v>
      </c>
      <c r="BX20" s="8">
        <v>4.0010999999999998E-2</v>
      </c>
      <c r="BY20" s="8">
        <v>6.9099999999999995E-2</v>
      </c>
      <c r="BZ20" s="8">
        <v>0.33960000000000001</v>
      </c>
      <c r="CA20" s="8">
        <v>0.1559090243902439</v>
      </c>
      <c r="CB20" s="8">
        <v>0.21754000000000001</v>
      </c>
      <c r="CC20" s="8">
        <v>0.63353000000000004</v>
      </c>
      <c r="CD20" s="8">
        <v>0.47575000000000001</v>
      </c>
      <c r="CE20" s="8">
        <v>0.33682000000000001</v>
      </c>
      <c r="CF20" s="8">
        <v>0.75319999999999998</v>
      </c>
      <c r="CG20" s="8">
        <v>0.61319999999999997</v>
      </c>
      <c r="CH20" s="8">
        <v>4.6046999999999998E-2</v>
      </c>
      <c r="CI20" s="8">
        <v>6.3242999999999994E-2</v>
      </c>
      <c r="CJ20" s="8">
        <v>0.57138</v>
      </c>
      <c r="CK20" s="8">
        <v>0.17752999999999999</v>
      </c>
      <c r="CL20" s="8">
        <v>0.51283000000000001</v>
      </c>
      <c r="CM20" s="8">
        <v>0.14757000000000001</v>
      </c>
      <c r="CN20" s="8">
        <v>0.2838</v>
      </c>
      <c r="CO20" s="8">
        <v>0.22905112195121954</v>
      </c>
      <c r="CP20" s="8">
        <v>0.14705160975609757</v>
      </c>
      <c r="CQ20" s="8">
        <v>0.30753999999999998</v>
      </c>
      <c r="CR20" s="8">
        <v>0.10607</v>
      </c>
      <c r="CS20" s="8">
        <v>0.23541000000000001</v>
      </c>
      <c r="CT20" s="8">
        <v>0.48408000000000001</v>
      </c>
      <c r="CU20" s="8">
        <v>0.2147</v>
      </c>
      <c r="CV20" s="8">
        <v>0.33277000000000001</v>
      </c>
      <c r="CW20" s="8">
        <v>0.2319</v>
      </c>
    </row>
    <row r="21" spans="1:101">
      <c r="A21">
        <f t="shared" si="0"/>
        <v>415</v>
      </c>
      <c r="B21">
        <v>1</v>
      </c>
      <c r="C21" s="8">
        <v>0.64888000000000001</v>
      </c>
      <c r="D21" s="8">
        <v>0.26834000000000002</v>
      </c>
      <c r="E21" s="8">
        <v>8.7372999999999999E-3</v>
      </c>
      <c r="F21" s="8">
        <v>0.37566512195121954</v>
      </c>
      <c r="G21" s="8">
        <v>0.14194999999999999</v>
      </c>
      <c r="H21" s="8">
        <v>0.13053000000000001</v>
      </c>
      <c r="I21" s="8">
        <v>5.6918999999999997E-2</v>
      </c>
      <c r="J21" s="8">
        <v>5.7972999999999997E-2</v>
      </c>
      <c r="K21" s="8">
        <v>4.2748000000000001E-2</v>
      </c>
      <c r="L21" s="8">
        <v>0.20943999999999999</v>
      </c>
      <c r="M21" s="8">
        <v>8.5217000000000001E-2</v>
      </c>
      <c r="N21" s="8">
        <v>0.10584</v>
      </c>
      <c r="O21" s="8">
        <v>4.3201999999999997E-2</v>
      </c>
      <c r="P21" s="8">
        <v>0.34676000000000001</v>
      </c>
      <c r="Q21" s="8">
        <v>0.19137000000000001</v>
      </c>
      <c r="R21" s="8">
        <v>4.0030999999999997E-2</v>
      </c>
      <c r="S21" s="8">
        <v>4.9665000000000001E-2</v>
      </c>
      <c r="T21" s="8">
        <v>8.1295999999999993E-2</v>
      </c>
      <c r="U21" s="8">
        <v>0.12589</v>
      </c>
      <c r="V21" s="8">
        <v>3.9163999999999997E-2</v>
      </c>
      <c r="W21" s="8">
        <v>0.17444000000000001</v>
      </c>
      <c r="X21" s="8">
        <v>7.0334999999999995E-2</v>
      </c>
      <c r="Y21" s="8">
        <v>0.47366000000000003</v>
      </c>
      <c r="Z21" s="8">
        <v>0.28563</v>
      </c>
      <c r="AA21" s="8">
        <v>5.8535999999999998E-2</v>
      </c>
      <c r="AB21" s="8">
        <v>0.159</v>
      </c>
      <c r="AC21" s="8">
        <v>9.3890000000000001E-2</v>
      </c>
      <c r="AD21" s="8">
        <v>4.6986E-2</v>
      </c>
      <c r="AE21" s="8">
        <v>5.4778E-2</v>
      </c>
      <c r="AF21" s="8">
        <v>3.0540999999999999E-2</v>
      </c>
      <c r="AG21" s="8">
        <v>6.8087999999999996E-2</v>
      </c>
      <c r="AH21" s="8">
        <v>4.0689000000000003E-2</v>
      </c>
      <c r="AI21" s="8">
        <v>0.21321000000000001</v>
      </c>
      <c r="AJ21" s="8">
        <v>4.4012000000000003E-2</v>
      </c>
      <c r="AK21" s="8">
        <v>5.1702999999999999E-2</v>
      </c>
      <c r="AL21" s="8">
        <v>0.16370717073170732</v>
      </c>
      <c r="AM21" s="8">
        <v>4.9910999999999997E-2</v>
      </c>
      <c r="AN21" s="8">
        <v>8.6813902439024385E-2</v>
      </c>
      <c r="AO21" s="8">
        <v>4.6335000000000001E-2</v>
      </c>
      <c r="AP21" s="8">
        <v>7.5342000000000006E-2</v>
      </c>
      <c r="AQ21" s="8">
        <v>0.43208999999999997</v>
      </c>
      <c r="AR21" s="8">
        <v>6.2130999999999999E-2</v>
      </c>
      <c r="AS21" s="8">
        <v>5.1958999999999998E-2</v>
      </c>
      <c r="AT21" s="8">
        <v>4.5547999999999998E-2</v>
      </c>
      <c r="AU21" s="8">
        <v>5.8999999999999997E-2</v>
      </c>
      <c r="AV21" s="8">
        <v>0.12231</v>
      </c>
      <c r="AW21" s="8">
        <v>0.14646000000000001</v>
      </c>
      <c r="AX21" s="8">
        <v>9.5782999999999993E-2</v>
      </c>
      <c r="AY21" s="8">
        <v>4.4457000000000003E-2</v>
      </c>
      <c r="AZ21" s="8">
        <v>0.10575</v>
      </c>
      <c r="BA21" s="8">
        <v>0.13542999999999999</v>
      </c>
      <c r="BB21" s="8">
        <v>5.7532E-2</v>
      </c>
      <c r="BC21" s="8">
        <v>8.2908999999999997E-2</v>
      </c>
      <c r="BD21" s="8">
        <v>0.53113999999999995</v>
      </c>
      <c r="BE21" s="8">
        <v>0.45651999999999998</v>
      </c>
      <c r="BF21" s="8">
        <v>0.29615999999999998</v>
      </c>
      <c r="BG21" s="8">
        <v>0.14999000000000001</v>
      </c>
      <c r="BH21" s="8">
        <v>0.14113999999999999</v>
      </c>
      <c r="BI21" s="8">
        <v>0.65037999999999996</v>
      </c>
      <c r="BJ21" s="8">
        <v>0.62063000000000001</v>
      </c>
      <c r="BK21" s="8">
        <v>0.43653999999999998</v>
      </c>
      <c r="BL21" s="8">
        <v>0.24199000000000001</v>
      </c>
      <c r="BM21" s="8">
        <v>5.9728999999999997E-2</v>
      </c>
      <c r="BN21" s="8">
        <v>0.26841999999999999</v>
      </c>
      <c r="BO21" s="8">
        <v>9.0236999999999998E-2</v>
      </c>
      <c r="BP21" s="8">
        <v>0.14721000000000001</v>
      </c>
      <c r="BQ21" s="8">
        <v>0.18101999999999999</v>
      </c>
      <c r="BR21" s="8">
        <v>0.33467000000000002</v>
      </c>
      <c r="BS21" s="8">
        <v>0.18831000000000001</v>
      </c>
      <c r="BT21" s="8">
        <v>0.52990000000000004</v>
      </c>
      <c r="BU21" s="8">
        <v>6.9429000000000005E-2</v>
      </c>
      <c r="BV21" s="8">
        <v>0.48876999999999998</v>
      </c>
      <c r="BW21" s="8">
        <v>0.32072000000000001</v>
      </c>
      <c r="BX21" s="8">
        <v>4.1114999999999999E-2</v>
      </c>
      <c r="BY21" s="8">
        <v>7.8145000000000006E-2</v>
      </c>
      <c r="BZ21" s="8">
        <v>0.36065999999999998</v>
      </c>
      <c r="CA21" s="8">
        <v>0.18140446341463415</v>
      </c>
      <c r="CB21" s="8">
        <v>0.23408000000000001</v>
      </c>
      <c r="CC21" s="8">
        <v>0.63805000000000001</v>
      </c>
      <c r="CD21" s="8">
        <v>0.49823000000000001</v>
      </c>
      <c r="CE21" s="8">
        <v>0.34500999999999998</v>
      </c>
      <c r="CF21" s="8">
        <v>0.76058999999999999</v>
      </c>
      <c r="CG21" s="8">
        <v>0.61738999999999999</v>
      </c>
      <c r="CH21" s="8">
        <v>4.8304E-2</v>
      </c>
      <c r="CI21" s="8">
        <v>7.9551999999999998E-2</v>
      </c>
      <c r="CJ21" s="8">
        <v>0.57981000000000005</v>
      </c>
      <c r="CK21" s="8">
        <v>0.18653</v>
      </c>
      <c r="CL21" s="8">
        <v>0.51583999999999997</v>
      </c>
      <c r="CM21" s="8">
        <v>0.16011</v>
      </c>
      <c r="CN21" s="8">
        <v>0.28598000000000001</v>
      </c>
      <c r="CO21" s="8">
        <v>0.28446282926829264</v>
      </c>
      <c r="CP21" s="8">
        <v>0.17355353658536585</v>
      </c>
      <c r="CQ21" s="8">
        <v>0.32129999999999997</v>
      </c>
      <c r="CR21" s="8">
        <v>0.11496000000000001</v>
      </c>
      <c r="CS21" s="8">
        <v>0.27694999999999997</v>
      </c>
      <c r="CT21" s="8">
        <v>0.50807999999999998</v>
      </c>
      <c r="CU21" s="8">
        <v>0.22438</v>
      </c>
      <c r="CV21" s="8">
        <v>0.34183999999999998</v>
      </c>
      <c r="CW21" s="8">
        <v>0.23457</v>
      </c>
    </row>
    <row r="22" spans="1:101">
      <c r="A22">
        <f t="shared" si="0"/>
        <v>420</v>
      </c>
      <c r="B22">
        <v>1</v>
      </c>
      <c r="C22" s="8">
        <v>0.65069999999999995</v>
      </c>
      <c r="D22" s="8">
        <v>0.26840000000000003</v>
      </c>
      <c r="E22" s="8">
        <v>1.8883E-2</v>
      </c>
      <c r="F22" s="8">
        <v>0.36500560975609758</v>
      </c>
      <c r="G22" s="8">
        <v>0.14194000000000001</v>
      </c>
      <c r="H22" s="8">
        <v>0.13699</v>
      </c>
      <c r="I22" s="8">
        <v>5.6800000000000003E-2</v>
      </c>
      <c r="J22" s="8">
        <v>5.7689999999999998E-2</v>
      </c>
      <c r="K22" s="8">
        <v>4.3177E-2</v>
      </c>
      <c r="L22" s="8">
        <v>0.20352000000000001</v>
      </c>
      <c r="M22" s="8">
        <v>8.7419999999999998E-2</v>
      </c>
      <c r="N22" s="8">
        <v>0.1043</v>
      </c>
      <c r="O22" s="8">
        <v>4.3566000000000001E-2</v>
      </c>
      <c r="P22" s="8">
        <v>0.34820000000000001</v>
      </c>
      <c r="Q22" s="8">
        <v>0.19478999999999999</v>
      </c>
      <c r="R22" s="8">
        <v>4.1038999999999999E-2</v>
      </c>
      <c r="S22" s="8">
        <v>5.1053000000000001E-2</v>
      </c>
      <c r="T22" s="8">
        <v>8.4099999999999994E-2</v>
      </c>
      <c r="U22" s="8">
        <v>0.1245</v>
      </c>
      <c r="V22" s="8">
        <v>3.6142000000000001E-2</v>
      </c>
      <c r="W22" s="8">
        <v>0.17316000000000001</v>
      </c>
      <c r="X22" s="8">
        <v>7.6073000000000002E-2</v>
      </c>
      <c r="Y22" s="8">
        <v>0.48293999999999998</v>
      </c>
      <c r="Z22" s="8">
        <v>0.2838</v>
      </c>
      <c r="AA22" s="8">
        <v>5.4642000000000003E-2</v>
      </c>
      <c r="AB22" s="8">
        <v>0.15809999999999999</v>
      </c>
      <c r="AC22" s="8">
        <v>0.11434</v>
      </c>
      <c r="AD22" s="8">
        <v>4.6213999999999998E-2</v>
      </c>
      <c r="AE22" s="8">
        <v>5.9720000000000002E-2</v>
      </c>
      <c r="AF22" s="8">
        <v>3.0682000000000001E-2</v>
      </c>
      <c r="AG22" s="8">
        <v>7.5689999999999993E-2</v>
      </c>
      <c r="AH22" s="8">
        <v>4.1000000000000002E-2</v>
      </c>
      <c r="AI22" s="8">
        <v>0.21595</v>
      </c>
      <c r="AJ22" s="8">
        <v>4.3996E-2</v>
      </c>
      <c r="AK22" s="8">
        <v>5.108E-2</v>
      </c>
      <c r="AL22" s="8">
        <v>0.20727009756097564</v>
      </c>
      <c r="AM22" s="8">
        <v>0.05</v>
      </c>
      <c r="AN22" s="8">
        <v>0.10151226829268294</v>
      </c>
      <c r="AO22" s="8">
        <v>4.6782999999999998E-2</v>
      </c>
      <c r="AP22" s="8">
        <v>7.5944999999999999E-2</v>
      </c>
      <c r="AQ22" s="8">
        <v>0.43680000000000002</v>
      </c>
      <c r="AR22" s="8">
        <v>6.2354E-2</v>
      </c>
      <c r="AS22" s="8">
        <v>4.9700000000000001E-2</v>
      </c>
      <c r="AT22" s="8">
        <v>4.5699999999999998E-2</v>
      </c>
      <c r="AU22" s="8">
        <v>6.0756999999999999E-2</v>
      </c>
      <c r="AV22" s="8">
        <v>0.1235</v>
      </c>
      <c r="AW22" s="8">
        <v>0.1484</v>
      </c>
      <c r="AX22" s="8">
        <v>0.10460999999999999</v>
      </c>
      <c r="AY22" s="8">
        <v>4.6328000000000001E-2</v>
      </c>
      <c r="AZ22" s="8">
        <v>0.11015999999999999</v>
      </c>
      <c r="BA22" s="8">
        <v>0.14122000000000001</v>
      </c>
      <c r="BB22" s="8">
        <v>5.7706E-2</v>
      </c>
      <c r="BC22" s="8">
        <v>8.48E-2</v>
      </c>
      <c r="BD22" s="8">
        <v>0.54879999999999995</v>
      </c>
      <c r="BE22" s="8">
        <v>0.47667999999999999</v>
      </c>
      <c r="BF22" s="8">
        <v>0.30297000000000002</v>
      </c>
      <c r="BG22" s="8">
        <v>0.15359999999999999</v>
      </c>
      <c r="BH22" s="8">
        <v>0.14746999999999999</v>
      </c>
      <c r="BI22" s="8">
        <v>0.66449999999999998</v>
      </c>
      <c r="BJ22" s="8">
        <v>0.63776999999999995</v>
      </c>
      <c r="BK22" s="8">
        <v>0.45501999999999998</v>
      </c>
      <c r="BL22" s="8">
        <v>0.25317000000000001</v>
      </c>
      <c r="BM22" s="8">
        <v>6.2288999999999997E-2</v>
      </c>
      <c r="BN22" s="8">
        <v>0.27548</v>
      </c>
      <c r="BO22" s="8">
        <v>0.10713</v>
      </c>
      <c r="BP22" s="8">
        <v>0.15179999999999999</v>
      </c>
      <c r="BQ22" s="8">
        <v>0.18720000000000001</v>
      </c>
      <c r="BR22" s="8">
        <v>0.35149000000000002</v>
      </c>
      <c r="BS22" s="8">
        <v>0.19733000000000001</v>
      </c>
      <c r="BT22" s="8">
        <v>0.55871999999999999</v>
      </c>
      <c r="BU22" s="8">
        <v>7.8600000000000003E-2</v>
      </c>
      <c r="BV22" s="8">
        <v>0.50090999999999997</v>
      </c>
      <c r="BW22" s="8">
        <v>0.3493</v>
      </c>
      <c r="BX22" s="8">
        <v>4.2294999999999999E-2</v>
      </c>
      <c r="BY22" s="8">
        <v>8.6699999999999999E-2</v>
      </c>
      <c r="BZ22" s="8">
        <v>0.37769999999999998</v>
      </c>
      <c r="CA22" s="8">
        <v>0.20586048780487809</v>
      </c>
      <c r="CB22" s="8">
        <v>0.25675999999999999</v>
      </c>
      <c r="CC22" s="8">
        <v>0.64127000000000001</v>
      </c>
      <c r="CD22" s="8">
        <v>0.51751000000000003</v>
      </c>
      <c r="CE22" s="8">
        <v>0.34762999999999999</v>
      </c>
      <c r="CF22" s="8">
        <v>0.76659999999999995</v>
      </c>
      <c r="CG22" s="8">
        <v>0.61799999999999999</v>
      </c>
      <c r="CH22" s="8">
        <v>5.0712E-2</v>
      </c>
      <c r="CI22" s="8">
        <v>9.5229999999999995E-2</v>
      </c>
      <c r="CJ22" s="8">
        <v>0.58686000000000005</v>
      </c>
      <c r="CK22" s="8">
        <v>0.19400999999999999</v>
      </c>
      <c r="CL22" s="8">
        <v>0.51363000000000003</v>
      </c>
      <c r="CM22" s="8">
        <v>0.16724</v>
      </c>
      <c r="CN22" s="8">
        <v>0.28220000000000001</v>
      </c>
      <c r="CO22" s="8">
        <v>0.34278534146341466</v>
      </c>
      <c r="CP22" s="8">
        <v>0.19902502439024392</v>
      </c>
      <c r="CQ22" s="8">
        <v>0.33661999999999997</v>
      </c>
      <c r="CR22" s="8">
        <v>0.12311999999999999</v>
      </c>
      <c r="CS22" s="8">
        <v>0.31816</v>
      </c>
      <c r="CT22" s="8">
        <v>0.52829999999999999</v>
      </c>
      <c r="CU22" s="8">
        <v>0.22750000000000001</v>
      </c>
      <c r="CV22" s="8">
        <v>0.34836</v>
      </c>
      <c r="CW22" s="8">
        <v>0.2316</v>
      </c>
    </row>
    <row r="23" spans="1:101">
      <c r="A23">
        <f t="shared" si="0"/>
        <v>425</v>
      </c>
      <c r="B23">
        <v>1</v>
      </c>
      <c r="C23" s="8">
        <v>0.65146999999999999</v>
      </c>
      <c r="D23" s="8">
        <v>0.26778999999999997</v>
      </c>
      <c r="E23" s="8">
        <v>2.972E-2</v>
      </c>
      <c r="F23" s="8">
        <v>0.35610804878048785</v>
      </c>
      <c r="G23" s="8">
        <v>0.13886999999999999</v>
      </c>
      <c r="H23" s="8">
        <v>0.13975000000000001</v>
      </c>
      <c r="I23" s="8">
        <v>5.6938999999999997E-2</v>
      </c>
      <c r="J23" s="8">
        <v>5.7771999999999997E-2</v>
      </c>
      <c r="K23" s="8">
        <v>4.3742000000000003E-2</v>
      </c>
      <c r="L23" s="8">
        <v>0.19850000000000001</v>
      </c>
      <c r="M23" s="8">
        <v>8.7476999999999999E-2</v>
      </c>
      <c r="N23" s="8">
        <v>9.8708000000000004E-2</v>
      </c>
      <c r="O23" s="8">
        <v>4.4186999999999997E-2</v>
      </c>
      <c r="P23" s="8">
        <v>0.34976000000000002</v>
      </c>
      <c r="Q23" s="8">
        <v>0.20029</v>
      </c>
      <c r="R23" s="8">
        <v>4.2120999999999999E-2</v>
      </c>
      <c r="S23" s="8">
        <v>5.1864E-2</v>
      </c>
      <c r="T23" s="8">
        <v>8.7521000000000002E-2</v>
      </c>
      <c r="U23" s="8">
        <v>0.12359000000000001</v>
      </c>
      <c r="V23" s="8">
        <v>3.0935000000000001E-2</v>
      </c>
      <c r="W23" s="8">
        <v>0.17219999999999999</v>
      </c>
      <c r="X23" s="8">
        <v>7.9611000000000001E-2</v>
      </c>
      <c r="Y23" s="8">
        <v>0.49170999999999998</v>
      </c>
      <c r="Z23" s="8">
        <v>0.28249000000000002</v>
      </c>
      <c r="AA23" s="8">
        <v>5.5016000000000002E-2</v>
      </c>
      <c r="AB23" s="8">
        <v>0.15881000000000001</v>
      </c>
      <c r="AC23" s="8">
        <v>0.14548</v>
      </c>
      <c r="AD23" s="8">
        <v>4.3999999999999997E-2</v>
      </c>
      <c r="AE23" s="8">
        <v>6.6113000000000005E-2</v>
      </c>
      <c r="AF23" s="8">
        <v>3.5104000000000003E-2</v>
      </c>
      <c r="AG23" s="8">
        <v>8.5318000000000005E-2</v>
      </c>
      <c r="AH23" s="8">
        <v>4.2085999999999998E-2</v>
      </c>
      <c r="AI23" s="8">
        <v>0.22112000000000001</v>
      </c>
      <c r="AJ23" s="8">
        <v>4.4108000000000001E-2</v>
      </c>
      <c r="AK23" s="8">
        <v>5.0415000000000001E-2</v>
      </c>
      <c r="AL23" s="8">
        <v>0.25617663414634151</v>
      </c>
      <c r="AM23" s="8">
        <v>5.0391999999999999E-2</v>
      </c>
      <c r="AN23" s="8">
        <v>0.12741402439024391</v>
      </c>
      <c r="AO23" s="8">
        <v>4.7406999999999998E-2</v>
      </c>
      <c r="AP23" s="8">
        <v>7.6827999999999994E-2</v>
      </c>
      <c r="AQ23" s="8">
        <v>0.44546000000000002</v>
      </c>
      <c r="AR23" s="8">
        <v>6.3072000000000003E-2</v>
      </c>
      <c r="AS23" s="8">
        <v>4.8849999999999998E-2</v>
      </c>
      <c r="AT23" s="8">
        <v>4.5886999999999997E-2</v>
      </c>
      <c r="AU23" s="8">
        <v>6.1814000000000001E-2</v>
      </c>
      <c r="AV23" s="8">
        <v>0.12531999999999999</v>
      </c>
      <c r="AW23" s="8">
        <v>0.15293999999999999</v>
      </c>
      <c r="AX23" s="8">
        <v>0.12154</v>
      </c>
      <c r="AY23" s="8">
        <v>4.6751000000000001E-2</v>
      </c>
      <c r="AZ23" s="8">
        <v>0.11458</v>
      </c>
      <c r="BA23" s="8">
        <v>0.14702999999999999</v>
      </c>
      <c r="BB23" s="8">
        <v>5.8009999999999999E-2</v>
      </c>
      <c r="BC23" s="8">
        <v>8.7361999999999995E-2</v>
      </c>
      <c r="BD23" s="8">
        <v>0.56754000000000004</v>
      </c>
      <c r="BE23" s="8">
        <v>0.49725000000000003</v>
      </c>
      <c r="BF23" s="8">
        <v>0.31130000000000002</v>
      </c>
      <c r="BG23" s="8">
        <v>0.15934000000000001</v>
      </c>
      <c r="BH23" s="8">
        <v>0.15464</v>
      </c>
      <c r="BI23" s="8">
        <v>0.67117000000000004</v>
      </c>
      <c r="BJ23" s="8">
        <v>0.65381</v>
      </c>
      <c r="BK23" s="8">
        <v>0.47150999999999998</v>
      </c>
      <c r="BL23" s="8">
        <v>0.26551000000000002</v>
      </c>
      <c r="BM23" s="8">
        <v>6.3560000000000005E-2</v>
      </c>
      <c r="BN23" s="8">
        <v>0.28427000000000002</v>
      </c>
      <c r="BO23" s="8">
        <v>0.11533</v>
      </c>
      <c r="BP23" s="8">
        <v>0.1578</v>
      </c>
      <c r="BQ23" s="8">
        <v>0.19467000000000001</v>
      </c>
      <c r="BR23" s="8">
        <v>0.36825999999999998</v>
      </c>
      <c r="BS23" s="8">
        <v>0.20679</v>
      </c>
      <c r="BT23" s="8">
        <v>0.58643999999999996</v>
      </c>
      <c r="BU23" s="8">
        <v>9.0022000000000005E-2</v>
      </c>
      <c r="BV23" s="8">
        <v>0.51073000000000002</v>
      </c>
      <c r="BW23" s="8">
        <v>0.38927</v>
      </c>
      <c r="BX23" s="8">
        <v>4.3598999999999999E-2</v>
      </c>
      <c r="BY23" s="8">
        <v>9.6502000000000004E-2</v>
      </c>
      <c r="BZ23" s="8">
        <v>0.39674999999999999</v>
      </c>
      <c r="CA23" s="8">
        <v>0.22734951219512195</v>
      </c>
      <c r="CB23" s="8">
        <v>0.28939999999999999</v>
      </c>
      <c r="CC23" s="8">
        <v>0.64576</v>
      </c>
      <c r="CD23" s="8">
        <v>0.53376999999999997</v>
      </c>
      <c r="CE23" s="8">
        <v>0.35069</v>
      </c>
      <c r="CF23" s="8">
        <v>0.77259</v>
      </c>
      <c r="CG23" s="8">
        <v>0.61761999999999995</v>
      </c>
      <c r="CH23" s="8">
        <v>5.3344000000000003E-2</v>
      </c>
      <c r="CI23" s="8">
        <v>0.11233</v>
      </c>
      <c r="CJ23" s="8">
        <v>0.59284000000000003</v>
      </c>
      <c r="CK23" s="8">
        <v>0.20193</v>
      </c>
      <c r="CL23" s="8">
        <v>0.50938000000000005</v>
      </c>
      <c r="CM23" s="8">
        <v>0.16828000000000001</v>
      </c>
      <c r="CN23" s="8">
        <v>0.27711000000000002</v>
      </c>
      <c r="CO23" s="8">
        <v>0.40109634146341466</v>
      </c>
      <c r="CP23" s="8">
        <v>0.22337024390243893</v>
      </c>
      <c r="CQ23" s="8">
        <v>0.35357</v>
      </c>
      <c r="CR23" s="8">
        <v>0.13016</v>
      </c>
      <c r="CS23" s="8">
        <v>0.35643000000000002</v>
      </c>
      <c r="CT23" s="8">
        <v>0.54339999999999999</v>
      </c>
      <c r="CU23" s="8">
        <v>0.23063</v>
      </c>
      <c r="CV23" s="8">
        <v>0.35424</v>
      </c>
      <c r="CW23" s="8">
        <v>0.22794</v>
      </c>
    </row>
    <row r="24" spans="1:101">
      <c r="A24">
        <f t="shared" si="0"/>
        <v>430</v>
      </c>
      <c r="B24">
        <v>1</v>
      </c>
      <c r="C24" s="8">
        <v>0.65080000000000005</v>
      </c>
      <c r="D24" s="8">
        <v>0.26629999999999998</v>
      </c>
      <c r="E24" s="8">
        <v>4.1987999999999998E-2</v>
      </c>
      <c r="F24" s="8">
        <v>0.34935804878048782</v>
      </c>
      <c r="G24" s="8">
        <v>0.13327</v>
      </c>
      <c r="H24" s="8">
        <v>0.14015</v>
      </c>
      <c r="I24" s="8">
        <v>5.7200000000000001E-2</v>
      </c>
      <c r="J24" s="8">
        <v>5.7950000000000002E-2</v>
      </c>
      <c r="K24" s="8">
        <v>4.4413000000000001E-2</v>
      </c>
      <c r="L24" s="8">
        <v>0.19472999999999999</v>
      </c>
      <c r="M24" s="8">
        <v>8.6434999999999998E-2</v>
      </c>
      <c r="N24" s="8">
        <v>9.4833000000000001E-2</v>
      </c>
      <c r="O24" s="8">
        <v>4.4956000000000003E-2</v>
      </c>
      <c r="P24" s="8">
        <v>0.3513</v>
      </c>
      <c r="Q24" s="8">
        <v>0.2089</v>
      </c>
      <c r="R24" s="8">
        <v>4.3489E-2</v>
      </c>
      <c r="S24" s="8">
        <v>5.2531000000000001E-2</v>
      </c>
      <c r="T24" s="8">
        <v>9.1800000000000007E-2</v>
      </c>
      <c r="U24" s="8">
        <v>0.1232</v>
      </c>
      <c r="V24" s="8">
        <v>2.5715999999999999E-2</v>
      </c>
      <c r="W24" s="8">
        <v>0.17166999999999999</v>
      </c>
      <c r="X24" s="8">
        <v>8.2333000000000003E-2</v>
      </c>
      <c r="Y24" s="8">
        <v>0.50041000000000002</v>
      </c>
      <c r="Z24" s="8">
        <v>0.28199999999999997</v>
      </c>
      <c r="AA24" s="8">
        <v>5.8324000000000001E-2</v>
      </c>
      <c r="AB24" s="8">
        <v>0.1613</v>
      </c>
      <c r="AC24" s="8">
        <v>0.17979999999999999</v>
      </c>
      <c r="AD24" s="8">
        <v>4.4556999999999999E-2</v>
      </c>
      <c r="AE24" s="8">
        <v>7.4829000000000007E-2</v>
      </c>
      <c r="AF24" s="8">
        <v>4.6177999999999997E-2</v>
      </c>
      <c r="AG24" s="8">
        <v>9.7119999999999998E-2</v>
      </c>
      <c r="AH24" s="8">
        <v>4.3999999999999997E-2</v>
      </c>
      <c r="AI24" s="8">
        <v>0.22921</v>
      </c>
      <c r="AJ24" s="8">
        <v>4.4331000000000002E-2</v>
      </c>
      <c r="AK24" s="8">
        <v>4.9801999999999999E-2</v>
      </c>
      <c r="AL24" s="8">
        <v>0.30712334146341469</v>
      </c>
      <c r="AM24" s="8">
        <v>5.0999999999999997E-2</v>
      </c>
      <c r="AN24" s="8">
        <v>0.16431221951219513</v>
      </c>
      <c r="AO24" s="8">
        <v>4.8225999999999998E-2</v>
      </c>
      <c r="AP24" s="8">
        <v>7.8006000000000006E-2</v>
      </c>
      <c r="AQ24" s="8">
        <v>0.4577</v>
      </c>
      <c r="AR24" s="8">
        <v>6.4141000000000004E-2</v>
      </c>
      <c r="AS24" s="8">
        <v>4.8899999999999999E-2</v>
      </c>
      <c r="AT24" s="8">
        <v>4.6100000000000002E-2</v>
      </c>
      <c r="AU24" s="8">
        <v>6.3643000000000005E-2</v>
      </c>
      <c r="AV24" s="8">
        <v>0.128</v>
      </c>
      <c r="AW24" s="8">
        <v>0.16009999999999999</v>
      </c>
      <c r="AX24" s="8">
        <v>0.14474000000000001</v>
      </c>
      <c r="AY24" s="8">
        <v>4.6809000000000003E-2</v>
      </c>
      <c r="AZ24" s="8">
        <v>0.11919</v>
      </c>
      <c r="BA24" s="8">
        <v>0.15303</v>
      </c>
      <c r="BB24" s="8">
        <v>5.8531E-2</v>
      </c>
      <c r="BC24" s="8">
        <v>9.0499999999999997E-2</v>
      </c>
      <c r="BD24" s="8">
        <v>0.58620000000000005</v>
      </c>
      <c r="BE24" s="8">
        <v>0.51775000000000004</v>
      </c>
      <c r="BF24" s="8">
        <v>0.32157999999999998</v>
      </c>
      <c r="BG24" s="8">
        <v>0.16769999999999999</v>
      </c>
      <c r="BH24" s="8">
        <v>0.16259000000000001</v>
      </c>
      <c r="BI24" s="8">
        <v>0.67559999999999998</v>
      </c>
      <c r="BJ24" s="8">
        <v>0.66908000000000001</v>
      </c>
      <c r="BK24" s="8">
        <v>0.48618</v>
      </c>
      <c r="BL24" s="8">
        <v>0.27899000000000002</v>
      </c>
      <c r="BM24" s="8">
        <v>6.4292000000000002E-2</v>
      </c>
      <c r="BN24" s="8">
        <v>0.29487999999999998</v>
      </c>
      <c r="BO24" s="8">
        <v>0.11874999999999999</v>
      </c>
      <c r="BP24" s="8">
        <v>0.16550000000000001</v>
      </c>
      <c r="BQ24" s="8">
        <v>0.20419999999999999</v>
      </c>
      <c r="BR24" s="8">
        <v>0.38457000000000002</v>
      </c>
      <c r="BS24" s="8">
        <v>0.21629999999999999</v>
      </c>
      <c r="BT24" s="8">
        <v>0.61260999999999999</v>
      </c>
      <c r="BU24" s="8">
        <v>0.10340000000000001</v>
      </c>
      <c r="BV24" s="8">
        <v>0.51873999999999998</v>
      </c>
      <c r="BW24" s="8">
        <v>0.43736999999999998</v>
      </c>
      <c r="BX24" s="8">
        <v>4.5074999999999997E-2</v>
      </c>
      <c r="BY24" s="8">
        <v>0.1076</v>
      </c>
      <c r="BZ24" s="8">
        <v>0.41749999999999998</v>
      </c>
      <c r="CA24" s="8">
        <v>0.24649073170731714</v>
      </c>
      <c r="CB24" s="8">
        <v>0.32944000000000001</v>
      </c>
      <c r="CC24" s="8">
        <v>0.65031000000000005</v>
      </c>
      <c r="CD24" s="8">
        <v>0.54732999999999998</v>
      </c>
      <c r="CE24" s="8">
        <v>0.35499999999999998</v>
      </c>
      <c r="CF24" s="8">
        <v>0.77790000000000004</v>
      </c>
      <c r="CG24" s="8">
        <v>0.6159</v>
      </c>
      <c r="CH24" s="8">
        <v>5.5971E-2</v>
      </c>
      <c r="CI24" s="8">
        <v>0.13166</v>
      </c>
      <c r="CJ24" s="8">
        <v>0.59519999999999995</v>
      </c>
      <c r="CK24" s="8">
        <v>0.21099000000000001</v>
      </c>
      <c r="CL24" s="8">
        <v>0.50280000000000002</v>
      </c>
      <c r="CM24" s="8">
        <v>0.16927</v>
      </c>
      <c r="CN24" s="8">
        <v>0.27029999999999998</v>
      </c>
      <c r="CO24" s="8">
        <v>0.45478682926829272</v>
      </c>
      <c r="CP24" s="8">
        <v>0.24497268292682917</v>
      </c>
      <c r="CQ24" s="8">
        <v>0.36925000000000002</v>
      </c>
      <c r="CR24" s="8">
        <v>0.13628999999999999</v>
      </c>
      <c r="CS24" s="8">
        <v>0.39144000000000001</v>
      </c>
      <c r="CT24" s="8">
        <v>0.55591999999999997</v>
      </c>
      <c r="CU24" s="8">
        <v>0.23419999999999999</v>
      </c>
      <c r="CV24" s="8">
        <v>0.35854999999999998</v>
      </c>
      <c r="CW24" s="8">
        <v>0.22339999999999999</v>
      </c>
    </row>
    <row r="25" spans="1:101">
      <c r="A25">
        <f t="shared" si="0"/>
        <v>435</v>
      </c>
      <c r="B25">
        <v>1</v>
      </c>
      <c r="C25" s="8">
        <v>0.64822999999999997</v>
      </c>
      <c r="D25" s="8">
        <v>0.26349</v>
      </c>
      <c r="E25" s="8">
        <v>4.8964000000000001E-2</v>
      </c>
      <c r="F25" s="8">
        <v>0.34200024390243899</v>
      </c>
      <c r="G25" s="8">
        <v>0.12595000000000001</v>
      </c>
      <c r="H25" s="8">
        <v>0.13946</v>
      </c>
      <c r="I25" s="8">
        <v>5.7437000000000002E-2</v>
      </c>
      <c r="J25" s="8">
        <v>5.7902000000000002E-2</v>
      </c>
      <c r="K25" s="8">
        <v>4.5157000000000003E-2</v>
      </c>
      <c r="L25" s="8">
        <v>0.19148999999999999</v>
      </c>
      <c r="M25" s="8">
        <v>8.5195999999999994E-2</v>
      </c>
      <c r="N25" s="8">
        <v>9.7670999999999994E-2</v>
      </c>
      <c r="O25" s="8">
        <v>4.5714999999999999E-2</v>
      </c>
      <c r="P25" s="8">
        <v>0.35260999999999998</v>
      </c>
      <c r="Q25" s="8">
        <v>0.22103</v>
      </c>
      <c r="R25" s="8">
        <v>4.5310000000000003E-2</v>
      </c>
      <c r="S25" s="8">
        <v>5.3457999999999999E-2</v>
      </c>
      <c r="T25" s="8">
        <v>9.6957000000000002E-2</v>
      </c>
      <c r="U25" s="8">
        <v>0.12298000000000001</v>
      </c>
      <c r="V25" s="8">
        <v>2.2419999999999999E-2</v>
      </c>
      <c r="W25" s="8">
        <v>0.17113999999999999</v>
      </c>
      <c r="X25" s="8">
        <v>8.5643999999999998E-2</v>
      </c>
      <c r="Y25" s="8">
        <v>0.50936999999999999</v>
      </c>
      <c r="Z25" s="8">
        <v>0.28134999999999999</v>
      </c>
      <c r="AA25" s="8">
        <v>5.8403999999999998E-2</v>
      </c>
      <c r="AB25" s="8">
        <v>0.16571</v>
      </c>
      <c r="AC25" s="8">
        <v>0.20757999999999999</v>
      </c>
      <c r="AD25" s="8">
        <v>4.6529000000000001E-2</v>
      </c>
      <c r="AE25" s="8">
        <v>8.6830000000000004E-2</v>
      </c>
      <c r="AF25" s="8">
        <v>5.8576999999999997E-2</v>
      </c>
      <c r="AG25" s="8">
        <v>0.11108</v>
      </c>
      <c r="AH25" s="8">
        <v>4.6793000000000001E-2</v>
      </c>
      <c r="AI25" s="8">
        <v>0.24063000000000001</v>
      </c>
      <c r="AJ25" s="8">
        <v>4.4637999999999997E-2</v>
      </c>
      <c r="AK25" s="8">
        <v>4.9318000000000001E-2</v>
      </c>
      <c r="AL25" s="8">
        <v>0.35739463414634154</v>
      </c>
      <c r="AM25" s="8">
        <v>5.1769999999999997E-2</v>
      </c>
      <c r="AN25" s="8">
        <v>0.21014202439024393</v>
      </c>
      <c r="AO25" s="8">
        <v>4.9245999999999998E-2</v>
      </c>
      <c r="AP25" s="8">
        <v>7.9497999999999999E-2</v>
      </c>
      <c r="AQ25" s="8">
        <v>0.47231000000000001</v>
      </c>
      <c r="AR25" s="8">
        <v>6.5402000000000002E-2</v>
      </c>
      <c r="AS25" s="8">
        <v>4.9501999999999997E-2</v>
      </c>
      <c r="AT25" s="8">
        <v>4.6290999999999999E-2</v>
      </c>
      <c r="AU25" s="8">
        <v>6.5356999999999998E-2</v>
      </c>
      <c r="AV25" s="8">
        <v>0.13152</v>
      </c>
      <c r="AW25" s="8">
        <v>0.16969999999999999</v>
      </c>
      <c r="AX25" s="8">
        <v>0.17179</v>
      </c>
      <c r="AY25" s="8">
        <v>4.7482000000000003E-2</v>
      </c>
      <c r="AZ25" s="8">
        <v>0.12413</v>
      </c>
      <c r="BA25" s="8">
        <v>0.15937000000000001</v>
      </c>
      <c r="BB25" s="8">
        <v>5.9368999999999998E-2</v>
      </c>
      <c r="BC25" s="8">
        <v>9.4031000000000003E-2</v>
      </c>
      <c r="BD25" s="8">
        <v>0.60333000000000003</v>
      </c>
      <c r="BE25" s="8">
        <v>0.53774</v>
      </c>
      <c r="BF25" s="8">
        <v>0.33252999999999999</v>
      </c>
      <c r="BG25" s="8">
        <v>0.17857000000000001</v>
      </c>
      <c r="BH25" s="8">
        <v>0.17127999999999999</v>
      </c>
      <c r="BI25" s="8">
        <v>0.67830000000000001</v>
      </c>
      <c r="BJ25" s="8">
        <v>0.68369999999999997</v>
      </c>
      <c r="BK25" s="8">
        <v>0.49914999999999998</v>
      </c>
      <c r="BL25" s="8">
        <v>0.29357</v>
      </c>
      <c r="BM25" s="8">
        <v>6.5185000000000007E-2</v>
      </c>
      <c r="BN25" s="8">
        <v>0.30635000000000001</v>
      </c>
      <c r="BO25" s="8">
        <v>0.12207</v>
      </c>
      <c r="BP25" s="8">
        <v>0.17466999999999999</v>
      </c>
      <c r="BQ25" s="8">
        <v>0.21573000000000001</v>
      </c>
      <c r="BR25" s="8">
        <v>0.39996999999999999</v>
      </c>
      <c r="BS25" s="8">
        <v>0.22539999999999999</v>
      </c>
      <c r="BT25" s="8">
        <v>0.63671999999999995</v>
      </c>
      <c r="BU25" s="8">
        <v>0.11814</v>
      </c>
      <c r="BV25" s="8">
        <v>0.52556000000000003</v>
      </c>
      <c r="BW25" s="8">
        <v>0.48743999999999998</v>
      </c>
      <c r="BX25" s="8">
        <v>4.6781999999999997E-2</v>
      </c>
      <c r="BY25" s="8">
        <v>0.11962</v>
      </c>
      <c r="BZ25" s="8">
        <v>0.43808000000000002</v>
      </c>
      <c r="CA25" s="8">
        <v>0.26233853658536588</v>
      </c>
      <c r="CB25" s="8">
        <v>0.37206</v>
      </c>
      <c r="CC25" s="8">
        <v>0.65295000000000003</v>
      </c>
      <c r="CD25" s="8">
        <v>0.55847000000000002</v>
      </c>
      <c r="CE25" s="8">
        <v>0.35271000000000002</v>
      </c>
      <c r="CF25" s="8">
        <v>0.78171000000000002</v>
      </c>
      <c r="CG25" s="8">
        <v>0.61212999999999995</v>
      </c>
      <c r="CH25" s="8">
        <v>5.8292999999999998E-2</v>
      </c>
      <c r="CI25" s="8">
        <v>0.14949999999999999</v>
      </c>
      <c r="CJ25" s="8">
        <v>0.59175999999999995</v>
      </c>
      <c r="CK25" s="8">
        <v>0.22114</v>
      </c>
      <c r="CL25" s="8">
        <v>0.49313000000000001</v>
      </c>
      <c r="CM25" s="8">
        <v>0.17537</v>
      </c>
      <c r="CN25" s="8">
        <v>0.26062999999999997</v>
      </c>
      <c r="CO25" s="8">
        <v>0.50149780487804874</v>
      </c>
      <c r="CP25" s="8">
        <v>0.26321341463414621</v>
      </c>
      <c r="CQ25" s="8">
        <v>0.38105</v>
      </c>
      <c r="CR25" s="8">
        <v>0.14162</v>
      </c>
      <c r="CS25" s="8">
        <v>0.42266999999999999</v>
      </c>
      <c r="CT25" s="8">
        <v>0.56810000000000005</v>
      </c>
      <c r="CU25" s="8">
        <v>0.23707</v>
      </c>
      <c r="CV25" s="8">
        <v>0.35975000000000001</v>
      </c>
      <c r="CW25" s="8">
        <v>0.21695</v>
      </c>
    </row>
    <row r="26" spans="1:101">
      <c r="A26">
        <f t="shared" si="0"/>
        <v>440</v>
      </c>
      <c r="B26">
        <v>1</v>
      </c>
      <c r="C26" s="8">
        <v>0.64400000000000002</v>
      </c>
      <c r="D26" s="8">
        <v>0.25900000000000001</v>
      </c>
      <c r="E26" s="8">
        <v>5.4566000000000003E-2</v>
      </c>
      <c r="F26" s="8">
        <v>0.33382439024390242</v>
      </c>
      <c r="G26" s="8">
        <v>0.11738</v>
      </c>
      <c r="H26" s="8">
        <v>0.13788</v>
      </c>
      <c r="I26" s="8">
        <v>5.7599999999999998E-2</v>
      </c>
      <c r="J26" s="8">
        <v>5.7639999999999997E-2</v>
      </c>
      <c r="K26" s="8">
        <v>4.5959E-2</v>
      </c>
      <c r="L26" s="8">
        <v>0.18842</v>
      </c>
      <c r="M26" s="8">
        <v>8.3575999999999998E-2</v>
      </c>
      <c r="N26" s="8">
        <v>9.8292000000000004E-2</v>
      </c>
      <c r="O26" s="8">
        <v>4.6246000000000002E-2</v>
      </c>
      <c r="P26" s="8">
        <v>0.3538</v>
      </c>
      <c r="Q26" s="8">
        <v>0.23491999999999999</v>
      </c>
      <c r="R26" s="8">
        <v>4.7368E-2</v>
      </c>
      <c r="S26" s="8">
        <v>5.4698999999999998E-2</v>
      </c>
      <c r="T26" s="8">
        <v>0.10249999999999999</v>
      </c>
      <c r="U26" s="8">
        <v>0.123</v>
      </c>
      <c r="V26" s="8">
        <v>2.0354000000000001E-2</v>
      </c>
      <c r="W26" s="8">
        <v>0.17068</v>
      </c>
      <c r="X26" s="8">
        <v>8.9755000000000001E-2</v>
      </c>
      <c r="Y26" s="8">
        <v>0.51814000000000004</v>
      </c>
      <c r="Z26" s="8">
        <v>0.28100000000000003</v>
      </c>
      <c r="AA26" s="8">
        <v>5.4615999999999998E-2</v>
      </c>
      <c r="AB26" s="8">
        <v>0.17169999999999999</v>
      </c>
      <c r="AC26" s="8">
        <v>0.22586999999999999</v>
      </c>
      <c r="AD26" s="8">
        <v>4.7114000000000003E-2</v>
      </c>
      <c r="AE26" s="8">
        <v>0.1027</v>
      </c>
      <c r="AF26" s="8">
        <v>7.3777999999999996E-2</v>
      </c>
      <c r="AG26" s="8">
        <v>0.12709999999999999</v>
      </c>
      <c r="AH26" s="8">
        <v>5.0500000000000003E-2</v>
      </c>
      <c r="AI26" s="8">
        <v>0.25763999999999998</v>
      </c>
      <c r="AJ26" s="8">
        <v>4.5111999999999999E-2</v>
      </c>
      <c r="AK26" s="8">
        <v>4.8988999999999998E-2</v>
      </c>
      <c r="AL26" s="8">
        <v>0.40413048780487804</v>
      </c>
      <c r="AM26" s="8">
        <v>5.2999999999999999E-2</v>
      </c>
      <c r="AN26" s="8">
        <v>0.26264841463414634</v>
      </c>
      <c r="AO26" s="8">
        <v>5.0389999999999997E-2</v>
      </c>
      <c r="AP26" s="8">
        <v>8.1304000000000001E-2</v>
      </c>
      <c r="AQ26" s="8">
        <v>0.48949999999999999</v>
      </c>
      <c r="AR26" s="8">
        <v>6.6822000000000006E-2</v>
      </c>
      <c r="AS26" s="8">
        <v>5.0900000000000001E-2</v>
      </c>
      <c r="AT26" s="8">
        <v>4.65E-2</v>
      </c>
      <c r="AU26" s="8">
        <v>6.8414000000000003E-2</v>
      </c>
      <c r="AV26" s="8">
        <v>0.13619999999999999</v>
      </c>
      <c r="AW26" s="8">
        <v>0.182</v>
      </c>
      <c r="AX26" s="8">
        <v>0.20227000000000001</v>
      </c>
      <c r="AY26" s="8">
        <v>4.8894E-2</v>
      </c>
      <c r="AZ26" s="8">
        <v>0.12931000000000001</v>
      </c>
      <c r="BA26" s="8">
        <v>0.16583000000000001</v>
      </c>
      <c r="BB26" s="8">
        <v>6.0592E-2</v>
      </c>
      <c r="BC26" s="8">
        <v>9.8000000000000004E-2</v>
      </c>
      <c r="BD26" s="8">
        <v>0.62039999999999995</v>
      </c>
      <c r="BE26" s="8">
        <v>0.55789</v>
      </c>
      <c r="BF26" s="8">
        <v>0.34437000000000001</v>
      </c>
      <c r="BG26" s="8">
        <v>0.19159999999999999</v>
      </c>
      <c r="BH26" s="8">
        <v>0.18103</v>
      </c>
      <c r="BI26" s="8">
        <v>0.68049999999999999</v>
      </c>
      <c r="BJ26" s="8">
        <v>0.69721</v>
      </c>
      <c r="BK26" s="8">
        <v>0.51039000000000001</v>
      </c>
      <c r="BL26" s="8">
        <v>0.30975999999999998</v>
      </c>
      <c r="BM26" s="8">
        <v>6.6494999999999999E-2</v>
      </c>
      <c r="BN26" s="8">
        <v>0.31906000000000001</v>
      </c>
      <c r="BO26" s="8">
        <v>0.1255</v>
      </c>
      <c r="BP26" s="8">
        <v>0.18540000000000001</v>
      </c>
      <c r="BQ26" s="8">
        <v>0.2291</v>
      </c>
      <c r="BR26" s="8">
        <v>0.41415000000000002</v>
      </c>
      <c r="BS26" s="8">
        <v>0.23380999999999999</v>
      </c>
      <c r="BT26" s="8">
        <v>0.65856999999999999</v>
      </c>
      <c r="BU26" s="8">
        <v>0.1336</v>
      </c>
      <c r="BV26" s="8">
        <v>0.53161999999999998</v>
      </c>
      <c r="BW26" s="8">
        <v>0.53051000000000004</v>
      </c>
      <c r="BX26" s="8">
        <v>4.8847000000000002E-2</v>
      </c>
      <c r="BY26" s="8">
        <v>0.13220000000000001</v>
      </c>
      <c r="BZ26" s="8">
        <v>0.45679999999999998</v>
      </c>
      <c r="CA26" s="8">
        <v>0.27425390243902442</v>
      </c>
      <c r="CB26" s="8">
        <v>0.40977000000000002</v>
      </c>
      <c r="CC26" s="8">
        <v>0.65239000000000003</v>
      </c>
      <c r="CD26" s="8">
        <v>0.56720000000000004</v>
      </c>
      <c r="CE26" s="8">
        <v>0.34519</v>
      </c>
      <c r="CF26" s="8">
        <v>0.78449999999999998</v>
      </c>
      <c r="CG26" s="8">
        <v>0.60709999999999997</v>
      </c>
      <c r="CH26" s="8">
        <v>6.0040000000000003E-2</v>
      </c>
      <c r="CI26" s="8">
        <v>0.15820000000000001</v>
      </c>
      <c r="CJ26" s="8">
        <v>0.58448</v>
      </c>
      <c r="CK26" s="8">
        <v>0.23055</v>
      </c>
      <c r="CL26" s="8">
        <v>0.48115999999999998</v>
      </c>
      <c r="CM26" s="8">
        <v>0.18160000000000001</v>
      </c>
      <c r="CN26" s="8">
        <v>0.249</v>
      </c>
      <c r="CO26" s="8">
        <v>0.53963487804878052</v>
      </c>
      <c r="CP26" s="8">
        <v>0.2793195121951218</v>
      </c>
      <c r="CQ26" s="8">
        <v>0.39054</v>
      </c>
      <c r="CR26" s="8">
        <v>0.14546999999999999</v>
      </c>
      <c r="CS26" s="8">
        <v>0.44627</v>
      </c>
      <c r="CT26" s="8">
        <v>0.57701999999999998</v>
      </c>
      <c r="CU26" s="8">
        <v>0.23810000000000001</v>
      </c>
      <c r="CV26" s="8">
        <v>0.35649999999999998</v>
      </c>
      <c r="CW26" s="8">
        <v>0.2092</v>
      </c>
    </row>
    <row r="27" spans="1:101">
      <c r="A27">
        <f t="shared" si="0"/>
        <v>445</v>
      </c>
      <c r="B27">
        <v>1</v>
      </c>
      <c r="C27" s="8">
        <v>0.63824999999999998</v>
      </c>
      <c r="D27" s="8">
        <v>0.25241000000000002</v>
      </c>
      <c r="E27" s="8">
        <v>5.6742000000000001E-2</v>
      </c>
      <c r="F27" s="8">
        <v>0.32410560975609753</v>
      </c>
      <c r="G27" s="8">
        <v>0.10793999999999999</v>
      </c>
      <c r="H27" s="8">
        <v>0.13541</v>
      </c>
      <c r="I27" s="8">
        <v>5.7625000000000003E-2</v>
      </c>
      <c r="J27" s="8">
        <v>5.7285999999999997E-2</v>
      </c>
      <c r="K27" s="8">
        <v>4.6811999999999999E-2</v>
      </c>
      <c r="L27" s="8">
        <v>0.18529000000000001</v>
      </c>
      <c r="M27" s="8">
        <v>8.1206E-2</v>
      </c>
      <c r="N27" s="8">
        <v>9.4735E-2</v>
      </c>
      <c r="O27" s="8">
        <v>4.6407999999999998E-2</v>
      </c>
      <c r="P27" s="8">
        <v>0.35499000000000003</v>
      </c>
      <c r="Q27" s="8">
        <v>0.24851000000000001</v>
      </c>
      <c r="R27" s="8">
        <v>4.9438000000000003E-2</v>
      </c>
      <c r="S27" s="8">
        <v>5.6228E-2</v>
      </c>
      <c r="T27" s="8">
        <v>0.10789</v>
      </c>
      <c r="U27" s="8">
        <v>0.12334000000000001</v>
      </c>
      <c r="V27" s="8">
        <v>1.8589999999999999E-2</v>
      </c>
      <c r="W27" s="8">
        <v>0.17047000000000001</v>
      </c>
      <c r="X27" s="8">
        <v>9.4558000000000003E-2</v>
      </c>
      <c r="Y27" s="8">
        <v>0.52629999999999999</v>
      </c>
      <c r="Z27" s="8">
        <v>0.28161000000000003</v>
      </c>
      <c r="AA27" s="8">
        <v>5.2897E-2</v>
      </c>
      <c r="AB27" s="8">
        <v>0.17895</v>
      </c>
      <c r="AC27" s="8">
        <v>0.24071999999999999</v>
      </c>
      <c r="AD27" s="8">
        <v>4.7943E-2</v>
      </c>
      <c r="AE27" s="8">
        <v>0.12281</v>
      </c>
      <c r="AF27" s="8">
        <v>9.7105999999999998E-2</v>
      </c>
      <c r="AG27" s="8">
        <v>0.14513000000000001</v>
      </c>
      <c r="AH27" s="8">
        <v>5.5216000000000001E-2</v>
      </c>
      <c r="AI27" s="8">
        <v>0.28283000000000003</v>
      </c>
      <c r="AJ27" s="8">
        <v>4.5888999999999999E-2</v>
      </c>
      <c r="AK27" s="8">
        <v>4.8828000000000003E-2</v>
      </c>
      <c r="AL27" s="8">
        <v>0.44396853658536584</v>
      </c>
      <c r="AM27" s="8">
        <v>5.4900999999999998E-2</v>
      </c>
      <c r="AN27" s="8">
        <v>0.31889160975609759</v>
      </c>
      <c r="AO27" s="8">
        <v>5.16E-2</v>
      </c>
      <c r="AP27" s="8">
        <v>8.3472000000000005E-2</v>
      </c>
      <c r="AQ27" s="8">
        <v>0.50976999999999995</v>
      </c>
      <c r="AR27" s="8">
        <v>6.8445000000000006E-2</v>
      </c>
      <c r="AS27" s="8">
        <v>5.3554999999999998E-2</v>
      </c>
      <c r="AT27" s="8">
        <v>4.6760999999999997E-2</v>
      </c>
      <c r="AU27" s="8">
        <v>7.0628999999999997E-2</v>
      </c>
      <c r="AV27" s="8">
        <v>0.14244999999999999</v>
      </c>
      <c r="AW27" s="8">
        <v>0.19736999999999999</v>
      </c>
      <c r="AX27" s="8">
        <v>0.23616000000000001</v>
      </c>
      <c r="AY27" s="8">
        <v>5.1028999999999998E-2</v>
      </c>
      <c r="AZ27" s="8">
        <v>0.13467000000000001</v>
      </c>
      <c r="BA27" s="8">
        <v>0.17226</v>
      </c>
      <c r="BB27" s="8">
        <v>6.2293000000000001E-2</v>
      </c>
      <c r="BC27" s="8">
        <v>0.10263</v>
      </c>
      <c r="BD27" s="8">
        <v>0.63907000000000003</v>
      </c>
      <c r="BE27" s="8">
        <v>0.57898000000000005</v>
      </c>
      <c r="BF27" s="8">
        <v>0.35808000000000001</v>
      </c>
      <c r="BG27" s="8">
        <v>0.20654</v>
      </c>
      <c r="BH27" s="8">
        <v>0.19242000000000001</v>
      </c>
      <c r="BI27" s="8">
        <v>0.68332000000000004</v>
      </c>
      <c r="BJ27" s="8">
        <v>0.70918000000000003</v>
      </c>
      <c r="BK27" s="8">
        <v>0.51992000000000005</v>
      </c>
      <c r="BL27" s="8">
        <v>0.32795999999999997</v>
      </c>
      <c r="BM27" s="8">
        <v>6.8349999999999994E-2</v>
      </c>
      <c r="BN27" s="8">
        <v>0.33377000000000001</v>
      </c>
      <c r="BO27" s="8">
        <v>0.1285</v>
      </c>
      <c r="BP27" s="8">
        <v>0.19797999999999999</v>
      </c>
      <c r="BQ27" s="8">
        <v>0.24431</v>
      </c>
      <c r="BR27" s="8">
        <v>0.4269</v>
      </c>
      <c r="BS27" s="8">
        <v>0.24135999999999999</v>
      </c>
      <c r="BT27" s="8">
        <v>0.67805000000000004</v>
      </c>
      <c r="BU27" s="8">
        <v>0.14924999999999999</v>
      </c>
      <c r="BV27" s="8">
        <v>0.53715999999999997</v>
      </c>
      <c r="BW27" s="8">
        <v>0.55903999999999998</v>
      </c>
      <c r="BX27" s="8">
        <v>5.1325999999999997E-2</v>
      </c>
      <c r="BY27" s="8">
        <v>0.14512</v>
      </c>
      <c r="BZ27" s="8">
        <v>0.47192000000000001</v>
      </c>
      <c r="CA27" s="8">
        <v>0.2831258536585366</v>
      </c>
      <c r="CB27" s="8">
        <v>0.43567</v>
      </c>
      <c r="CC27" s="8">
        <v>0.64837</v>
      </c>
      <c r="CD27" s="8">
        <v>0.57340000000000002</v>
      </c>
      <c r="CE27" s="8">
        <v>0.33814</v>
      </c>
      <c r="CF27" s="8">
        <v>0.78681999999999996</v>
      </c>
      <c r="CG27" s="8">
        <v>0.60152000000000005</v>
      </c>
      <c r="CH27" s="8">
        <v>6.1045000000000002E-2</v>
      </c>
      <c r="CI27" s="8">
        <v>0.16275000000000001</v>
      </c>
      <c r="CJ27" s="8">
        <v>0.57574999999999998</v>
      </c>
      <c r="CK27" s="8">
        <v>0.23699999999999999</v>
      </c>
      <c r="CL27" s="8">
        <v>0.46804000000000001</v>
      </c>
      <c r="CM27" s="8">
        <v>0.18229999999999999</v>
      </c>
      <c r="CN27" s="8">
        <v>0.23663000000000001</v>
      </c>
      <c r="CO27" s="8">
        <v>0.56762170731707307</v>
      </c>
      <c r="CP27" s="8">
        <v>0.2920268292682926</v>
      </c>
      <c r="CQ27" s="8">
        <v>0.39974999999999999</v>
      </c>
      <c r="CR27" s="8">
        <v>0.14718000000000001</v>
      </c>
      <c r="CS27" s="8">
        <v>0.45905000000000001</v>
      </c>
      <c r="CT27" s="8">
        <v>0.5796</v>
      </c>
      <c r="CU27" s="8">
        <v>0.23624999999999999</v>
      </c>
      <c r="CV27" s="8">
        <v>0.34788999999999998</v>
      </c>
      <c r="CW27" s="8">
        <v>0.20100000000000001</v>
      </c>
    </row>
    <row r="28" spans="1:101">
      <c r="A28">
        <f t="shared" si="0"/>
        <v>450</v>
      </c>
      <c r="B28">
        <v>1</v>
      </c>
      <c r="C28" s="8">
        <v>0.63009999999999999</v>
      </c>
      <c r="D28" s="8">
        <v>0.24310000000000001</v>
      </c>
      <c r="E28" s="8">
        <v>5.4100000000000002E-2</v>
      </c>
      <c r="F28" s="8">
        <v>0.31282219512195109</v>
      </c>
      <c r="G28" s="8">
        <v>9.819E-2</v>
      </c>
      <c r="H28" s="8">
        <v>0.13217000000000001</v>
      </c>
      <c r="I28" s="8">
        <v>5.7299999999999997E-2</v>
      </c>
      <c r="J28" s="8">
        <v>5.7070000000000003E-2</v>
      </c>
      <c r="K28" s="8">
        <v>4.7711000000000003E-2</v>
      </c>
      <c r="L28" s="8">
        <v>0.18231</v>
      </c>
      <c r="M28" s="8">
        <v>7.8057000000000001E-2</v>
      </c>
      <c r="N28" s="8">
        <v>9.3947000000000003E-2</v>
      </c>
      <c r="O28" s="8">
        <v>4.6443999999999999E-2</v>
      </c>
      <c r="P28" s="8">
        <v>0.35620000000000002</v>
      </c>
      <c r="Q28" s="8">
        <v>0.26083000000000001</v>
      </c>
      <c r="R28" s="8">
        <v>5.1656000000000001E-2</v>
      </c>
      <c r="S28" s="8">
        <v>5.8049999999999997E-2</v>
      </c>
      <c r="T28" s="8">
        <v>0.1129</v>
      </c>
      <c r="U28" s="8">
        <v>0.12379999999999999</v>
      </c>
      <c r="V28" s="8">
        <v>1.7871999999999999E-2</v>
      </c>
      <c r="W28" s="8">
        <v>0.17068</v>
      </c>
      <c r="X28" s="8">
        <v>9.9863999999999994E-2</v>
      </c>
      <c r="Y28" s="8">
        <v>0.53427000000000002</v>
      </c>
      <c r="Z28" s="8">
        <v>0.28320000000000001</v>
      </c>
      <c r="AA28" s="8">
        <v>5.3036E-2</v>
      </c>
      <c r="AB28" s="8">
        <v>0.18759999999999999</v>
      </c>
      <c r="AC28" s="8">
        <v>0.25485999999999998</v>
      </c>
      <c r="AD28" s="8">
        <v>4.8014000000000001E-2</v>
      </c>
      <c r="AE28" s="8">
        <v>0.14710999999999999</v>
      </c>
      <c r="AF28" s="8">
        <v>0.12842999999999999</v>
      </c>
      <c r="AG28" s="8">
        <v>0.16550999999999999</v>
      </c>
      <c r="AH28" s="8">
        <v>6.13E-2</v>
      </c>
      <c r="AI28" s="8">
        <v>0.31841000000000003</v>
      </c>
      <c r="AJ28" s="8">
        <v>4.7210000000000002E-2</v>
      </c>
      <c r="AK28" s="8">
        <v>4.8845E-2</v>
      </c>
      <c r="AL28" s="8">
        <v>0.47549365853658532</v>
      </c>
      <c r="AM28" s="8">
        <v>5.7000000000000002E-2</v>
      </c>
      <c r="AN28" s="8">
        <v>0.37622463414634144</v>
      </c>
      <c r="AO28" s="8">
        <v>5.2965999999999999E-2</v>
      </c>
      <c r="AP28" s="8">
        <v>8.6249999999999993E-2</v>
      </c>
      <c r="AQ28" s="8">
        <v>0.5333</v>
      </c>
      <c r="AR28" s="8">
        <v>7.0496000000000003E-2</v>
      </c>
      <c r="AS28" s="8">
        <v>5.8200000000000002E-2</v>
      </c>
      <c r="AT28" s="8">
        <v>4.7E-2</v>
      </c>
      <c r="AU28" s="8">
        <v>7.3329000000000005E-2</v>
      </c>
      <c r="AV28" s="8">
        <v>0.1507</v>
      </c>
      <c r="AW28" s="8">
        <v>0.2162</v>
      </c>
      <c r="AX28" s="8">
        <v>0.27292</v>
      </c>
      <c r="AY28" s="8">
        <v>5.4181E-2</v>
      </c>
      <c r="AZ28" s="8">
        <v>0.14052000000000001</v>
      </c>
      <c r="BA28" s="8">
        <v>0.17913000000000001</v>
      </c>
      <c r="BB28" s="8">
        <v>6.4713000000000007E-2</v>
      </c>
      <c r="BC28" s="8">
        <v>0.1086</v>
      </c>
      <c r="BD28" s="8">
        <v>0.65890000000000004</v>
      </c>
      <c r="BE28" s="8">
        <v>0.60124999999999995</v>
      </c>
      <c r="BF28" s="8">
        <v>0.37612000000000001</v>
      </c>
      <c r="BG28" s="8">
        <v>0.2238</v>
      </c>
      <c r="BH28" s="8">
        <v>0.20673</v>
      </c>
      <c r="BI28" s="8">
        <v>0.68689999999999996</v>
      </c>
      <c r="BJ28" s="8">
        <v>0.71972999999999998</v>
      </c>
      <c r="BK28" s="8">
        <v>0.52805999999999997</v>
      </c>
      <c r="BL28" s="8">
        <v>0.34749000000000002</v>
      </c>
      <c r="BM28" s="8">
        <v>7.0801000000000003E-2</v>
      </c>
      <c r="BN28" s="8">
        <v>0.35149999999999998</v>
      </c>
      <c r="BO28" s="8">
        <v>0.13206000000000001</v>
      </c>
      <c r="BP28" s="8">
        <v>0.21299999999999999</v>
      </c>
      <c r="BQ28" s="8">
        <v>0.26200000000000001</v>
      </c>
      <c r="BR28" s="8">
        <v>0.43836000000000003</v>
      </c>
      <c r="BS28" s="8">
        <v>0.24814</v>
      </c>
      <c r="BT28" s="8">
        <v>0.69494999999999996</v>
      </c>
      <c r="BU28" s="8">
        <v>0.16520000000000001</v>
      </c>
      <c r="BV28" s="8">
        <v>0.54203000000000001</v>
      </c>
      <c r="BW28" s="8">
        <v>0.57418999999999998</v>
      </c>
      <c r="BX28" s="8">
        <v>5.3911000000000001E-2</v>
      </c>
      <c r="BY28" s="8">
        <v>0.15870000000000001</v>
      </c>
      <c r="BZ28" s="8">
        <v>0.48120000000000002</v>
      </c>
      <c r="CA28" s="8">
        <v>0.29061536585365849</v>
      </c>
      <c r="CB28" s="8">
        <v>0.44790000000000002</v>
      </c>
      <c r="CC28" s="8">
        <v>0.64415</v>
      </c>
      <c r="CD28" s="8">
        <v>0.57682999999999995</v>
      </c>
      <c r="CE28" s="8">
        <v>0.33334999999999998</v>
      </c>
      <c r="CF28" s="8">
        <v>0.78820000000000001</v>
      </c>
      <c r="CG28" s="8">
        <v>0.59440000000000004</v>
      </c>
      <c r="CH28" s="8">
        <v>6.1529E-2</v>
      </c>
      <c r="CI28" s="8">
        <v>0.17107</v>
      </c>
      <c r="CJ28" s="8">
        <v>0.56542000000000003</v>
      </c>
      <c r="CK28" s="8">
        <v>0.23849000000000001</v>
      </c>
      <c r="CL28" s="8">
        <v>0.45465</v>
      </c>
      <c r="CM28" s="8">
        <v>0.17906</v>
      </c>
      <c r="CN28" s="8">
        <v>0.22389999999999999</v>
      </c>
      <c r="CO28" s="8">
        <v>0.5870765853658535</v>
      </c>
      <c r="CP28" s="8">
        <v>0.29990170731707316</v>
      </c>
      <c r="CQ28" s="8">
        <v>0.40838999999999998</v>
      </c>
      <c r="CR28" s="8">
        <v>0.14699999999999999</v>
      </c>
      <c r="CS28" s="8">
        <v>0.46389999999999998</v>
      </c>
      <c r="CT28" s="8">
        <v>0.57732000000000006</v>
      </c>
      <c r="CU28" s="8">
        <v>0.23089999999999999</v>
      </c>
      <c r="CV28" s="8">
        <v>0.33439999999999998</v>
      </c>
      <c r="CW28" s="8">
        <v>0.19259999999999999</v>
      </c>
    </row>
    <row r="29" spans="1:101">
      <c r="A29">
        <f t="shared" si="0"/>
        <v>455</v>
      </c>
      <c r="B29">
        <v>1</v>
      </c>
      <c r="C29" s="8">
        <v>0.61895</v>
      </c>
      <c r="D29" s="8">
        <v>0.23086000000000001</v>
      </c>
      <c r="E29" s="8">
        <v>5.4871000000000003E-2</v>
      </c>
      <c r="F29" s="8">
        <v>0.29816219512195113</v>
      </c>
      <c r="G29" s="8">
        <v>8.8677000000000006E-2</v>
      </c>
      <c r="H29" s="8">
        <v>0.12834999999999999</v>
      </c>
      <c r="I29" s="8">
        <v>5.6462999999999999E-2</v>
      </c>
      <c r="J29" s="8">
        <v>5.7145000000000001E-2</v>
      </c>
      <c r="K29" s="8">
        <v>4.8615999999999999E-2</v>
      </c>
      <c r="L29" s="8">
        <v>0.17978</v>
      </c>
      <c r="M29" s="8">
        <v>7.4227000000000001E-2</v>
      </c>
      <c r="N29" s="8">
        <v>9.1912999999999995E-2</v>
      </c>
      <c r="O29" s="8">
        <v>4.6549E-2</v>
      </c>
      <c r="P29" s="8">
        <v>0.35737999999999998</v>
      </c>
      <c r="Q29" s="8">
        <v>0.27134999999999998</v>
      </c>
      <c r="R29" s="8">
        <v>5.4186999999999999E-2</v>
      </c>
      <c r="S29" s="8">
        <v>6.0160999999999999E-2</v>
      </c>
      <c r="T29" s="8">
        <v>0.11747</v>
      </c>
      <c r="U29" s="8">
        <v>0.12417</v>
      </c>
      <c r="V29" s="8">
        <v>1.9425999999999999E-2</v>
      </c>
      <c r="W29" s="8">
        <v>0.17150000000000001</v>
      </c>
      <c r="X29" s="8">
        <v>0.10553999999999999</v>
      </c>
      <c r="Y29" s="8">
        <v>0.54259999999999997</v>
      </c>
      <c r="Z29" s="8">
        <v>0.28566999999999998</v>
      </c>
      <c r="AA29" s="8">
        <v>5.2101000000000001E-2</v>
      </c>
      <c r="AB29" s="8">
        <v>0.19777</v>
      </c>
      <c r="AC29" s="8">
        <v>0.26272000000000001</v>
      </c>
      <c r="AD29" s="8">
        <v>4.5371000000000002E-2</v>
      </c>
      <c r="AE29" s="8">
        <v>0.17523</v>
      </c>
      <c r="AF29" s="8">
        <v>0.16070999999999999</v>
      </c>
      <c r="AG29" s="8">
        <v>0.1885</v>
      </c>
      <c r="AH29" s="8">
        <v>6.9130999999999998E-2</v>
      </c>
      <c r="AI29" s="8">
        <v>0.36487000000000003</v>
      </c>
      <c r="AJ29" s="8">
        <v>4.9230000000000003E-2</v>
      </c>
      <c r="AK29" s="8">
        <v>4.9030999999999998E-2</v>
      </c>
      <c r="AL29" s="8">
        <v>0.49917048780487799</v>
      </c>
      <c r="AM29" s="8">
        <v>5.8749000000000003E-2</v>
      </c>
      <c r="AN29" s="8">
        <v>0.43059780487804883</v>
      </c>
      <c r="AO29" s="8">
        <v>5.4525999999999998E-2</v>
      </c>
      <c r="AP29" s="8">
        <v>8.9636999999999994E-2</v>
      </c>
      <c r="AQ29" s="8">
        <v>0.55996000000000001</v>
      </c>
      <c r="AR29" s="8">
        <v>7.3280999999999999E-2</v>
      </c>
      <c r="AS29" s="8">
        <v>6.5438999999999997E-2</v>
      </c>
      <c r="AT29" s="8">
        <v>4.7141000000000002E-2</v>
      </c>
      <c r="AU29" s="8">
        <v>7.8313999999999995E-2</v>
      </c>
      <c r="AV29" s="8">
        <v>0.16141</v>
      </c>
      <c r="AW29" s="8">
        <v>0.23885999999999999</v>
      </c>
      <c r="AX29" s="8">
        <v>0.31152999999999997</v>
      </c>
      <c r="AY29" s="8">
        <v>5.8791000000000003E-2</v>
      </c>
      <c r="AZ29" s="8">
        <v>0.14713999999999999</v>
      </c>
      <c r="BA29" s="8">
        <v>0.18679999999999999</v>
      </c>
      <c r="BB29" s="8">
        <v>6.7838999999999997E-2</v>
      </c>
      <c r="BC29" s="8">
        <v>0.11658</v>
      </c>
      <c r="BD29" s="8">
        <v>0.67891000000000001</v>
      </c>
      <c r="BE29" s="8">
        <v>0.62458000000000002</v>
      </c>
      <c r="BF29" s="8">
        <v>0.40032000000000001</v>
      </c>
      <c r="BG29" s="8">
        <v>0.24393999999999999</v>
      </c>
      <c r="BH29" s="8">
        <v>0.22517999999999999</v>
      </c>
      <c r="BI29" s="8">
        <v>0.69118999999999997</v>
      </c>
      <c r="BJ29" s="8">
        <v>0.72911999999999999</v>
      </c>
      <c r="BK29" s="8">
        <v>0.53496999999999995</v>
      </c>
      <c r="BL29" s="8">
        <v>0.36732999999999999</v>
      </c>
      <c r="BM29" s="8">
        <v>7.3931999999999998E-2</v>
      </c>
      <c r="BN29" s="8">
        <v>0.37309999999999999</v>
      </c>
      <c r="BO29" s="8">
        <v>0.13733000000000001</v>
      </c>
      <c r="BP29" s="8">
        <v>0.23107</v>
      </c>
      <c r="BQ29" s="8">
        <v>0.28281000000000001</v>
      </c>
      <c r="BR29" s="8">
        <v>0.44836999999999999</v>
      </c>
      <c r="BS29" s="8">
        <v>0.25398999999999999</v>
      </c>
      <c r="BT29" s="8">
        <v>0.70889999999999997</v>
      </c>
      <c r="BU29" s="8">
        <v>0.18140999999999999</v>
      </c>
      <c r="BV29" s="8">
        <v>0.54598000000000002</v>
      </c>
      <c r="BW29" s="8">
        <v>0.57916000000000001</v>
      </c>
      <c r="BX29" s="8">
        <v>5.6226999999999999E-2</v>
      </c>
      <c r="BY29" s="8">
        <v>0.17307</v>
      </c>
      <c r="BZ29" s="8">
        <v>0.48293000000000003</v>
      </c>
      <c r="CA29" s="8">
        <v>0.29479975609756093</v>
      </c>
      <c r="CB29" s="8">
        <v>0.44653999999999999</v>
      </c>
      <c r="CC29" s="8">
        <v>0.64297000000000004</v>
      </c>
      <c r="CD29" s="8">
        <v>0.57723000000000002</v>
      </c>
      <c r="CE29" s="8">
        <v>0.32584999999999997</v>
      </c>
      <c r="CF29" s="8">
        <v>0.78803999999999996</v>
      </c>
      <c r="CG29" s="8">
        <v>0.58477999999999997</v>
      </c>
      <c r="CH29" s="8">
        <v>6.1712000000000003E-2</v>
      </c>
      <c r="CI29" s="8">
        <v>0.17496</v>
      </c>
      <c r="CJ29" s="8">
        <v>0.55286999999999997</v>
      </c>
      <c r="CK29" s="8">
        <v>0.23383999999999999</v>
      </c>
      <c r="CL29" s="8">
        <v>0.44163999999999998</v>
      </c>
      <c r="CM29" s="8">
        <v>0.17458000000000001</v>
      </c>
      <c r="CN29" s="8">
        <v>0.21107000000000001</v>
      </c>
      <c r="CO29" s="8">
        <v>0.60061146341463401</v>
      </c>
      <c r="CP29" s="8">
        <v>0.30269634146341462</v>
      </c>
      <c r="CQ29" s="8">
        <v>0.41538999999999998</v>
      </c>
      <c r="CR29" s="8">
        <v>0.14527999999999999</v>
      </c>
      <c r="CS29" s="8">
        <v>0.46464</v>
      </c>
      <c r="CT29" s="8">
        <v>0.57245000000000001</v>
      </c>
      <c r="CU29" s="8">
        <v>0.22181999999999999</v>
      </c>
      <c r="CV29" s="8">
        <v>0.31698999999999999</v>
      </c>
      <c r="CW29" s="8">
        <v>0.18414</v>
      </c>
    </row>
    <row r="30" spans="1:101">
      <c r="A30">
        <f t="shared" si="0"/>
        <v>460</v>
      </c>
      <c r="B30">
        <v>1</v>
      </c>
      <c r="C30" s="8">
        <v>0.60629999999999995</v>
      </c>
      <c r="D30" s="8">
        <v>0.2175</v>
      </c>
      <c r="E30" s="8">
        <v>5.9081000000000002E-2</v>
      </c>
      <c r="F30" s="8">
        <v>0.27982121951219507</v>
      </c>
      <c r="G30" s="8">
        <v>7.9780000000000004E-2</v>
      </c>
      <c r="H30" s="8">
        <v>0.12428</v>
      </c>
      <c r="I30" s="8">
        <v>5.5300000000000002E-2</v>
      </c>
      <c r="J30" s="8">
        <v>5.7250000000000002E-2</v>
      </c>
      <c r="K30" s="8">
        <v>4.9359E-2</v>
      </c>
      <c r="L30" s="8">
        <v>0.17804</v>
      </c>
      <c r="M30" s="8">
        <v>6.9975999999999997E-2</v>
      </c>
      <c r="N30" s="8">
        <v>8.6025000000000004E-2</v>
      </c>
      <c r="O30" s="8">
        <v>4.6344999999999997E-2</v>
      </c>
      <c r="P30" s="8">
        <v>0.35849999999999999</v>
      </c>
      <c r="Q30" s="8">
        <v>0.28027000000000002</v>
      </c>
      <c r="R30" s="8">
        <v>5.6964000000000001E-2</v>
      </c>
      <c r="S30" s="8">
        <v>6.2484999999999999E-2</v>
      </c>
      <c r="T30" s="8">
        <v>0.12180000000000001</v>
      </c>
      <c r="U30" s="8">
        <v>0.1245</v>
      </c>
      <c r="V30" s="8">
        <v>2.4722999999999998E-2</v>
      </c>
      <c r="W30" s="8">
        <v>0.17316000000000001</v>
      </c>
      <c r="X30" s="8">
        <v>0.11176999999999999</v>
      </c>
      <c r="Y30" s="8">
        <v>0.55150999999999994</v>
      </c>
      <c r="Z30" s="8">
        <v>0.28899999999999998</v>
      </c>
      <c r="AA30" s="8">
        <v>5.0747E-2</v>
      </c>
      <c r="AB30" s="8">
        <v>0.20899999999999999</v>
      </c>
      <c r="AC30" s="8">
        <v>0.26805000000000001</v>
      </c>
      <c r="AD30" s="8">
        <v>4.5557E-2</v>
      </c>
      <c r="AE30" s="8">
        <v>0.20610999999999999</v>
      </c>
      <c r="AF30" s="8">
        <v>0.18945000000000001</v>
      </c>
      <c r="AG30" s="8">
        <v>0.21364</v>
      </c>
      <c r="AH30" s="8">
        <v>7.8899999999999998E-2</v>
      </c>
      <c r="AI30" s="8">
        <v>0.41631000000000001</v>
      </c>
      <c r="AJ30" s="8">
        <v>5.1638999999999997E-2</v>
      </c>
      <c r="AK30" s="8">
        <v>4.9292000000000002E-2</v>
      </c>
      <c r="AL30" s="8">
        <v>0.51518804878048774</v>
      </c>
      <c r="AM30" s="8">
        <v>0.06</v>
      </c>
      <c r="AN30" s="8">
        <v>0.47844414634146348</v>
      </c>
      <c r="AO30" s="8">
        <v>5.5953999999999997E-2</v>
      </c>
      <c r="AP30" s="8">
        <v>9.2433000000000001E-2</v>
      </c>
      <c r="AQ30" s="8">
        <v>0.58879999999999999</v>
      </c>
      <c r="AR30" s="8">
        <v>7.7247999999999997E-2</v>
      </c>
      <c r="AS30" s="8">
        <v>7.51E-2</v>
      </c>
      <c r="AT30" s="8">
        <v>4.7199999999999999E-2</v>
      </c>
      <c r="AU30" s="8">
        <v>8.4699999999999998E-2</v>
      </c>
      <c r="AV30" s="8">
        <v>0.17519999999999999</v>
      </c>
      <c r="AW30" s="8">
        <v>0.2656</v>
      </c>
      <c r="AX30" s="8">
        <v>0.34939999999999999</v>
      </c>
      <c r="AY30" s="8">
        <v>6.5586000000000005E-2</v>
      </c>
      <c r="AZ30" s="8">
        <v>0.15412000000000001</v>
      </c>
      <c r="BA30" s="8">
        <v>0.19470999999999999</v>
      </c>
      <c r="BB30" s="8">
        <v>7.0484000000000005E-2</v>
      </c>
      <c r="BC30" s="8">
        <v>0.12670000000000001</v>
      </c>
      <c r="BD30" s="8">
        <v>0.69799999999999995</v>
      </c>
      <c r="BE30" s="8">
        <v>0.64803999999999995</v>
      </c>
      <c r="BF30" s="8">
        <v>0.42836000000000002</v>
      </c>
      <c r="BG30" s="8">
        <v>0.26740000000000003</v>
      </c>
      <c r="BH30" s="8">
        <v>0.24804000000000001</v>
      </c>
      <c r="BI30" s="8">
        <v>0.69650000000000001</v>
      </c>
      <c r="BJ30" s="8">
        <v>0.73751</v>
      </c>
      <c r="BK30" s="8">
        <v>0.53986999999999996</v>
      </c>
      <c r="BL30" s="8">
        <v>0.38621</v>
      </c>
      <c r="BM30" s="8">
        <v>7.8011999999999998E-2</v>
      </c>
      <c r="BN30" s="8">
        <v>0.39842</v>
      </c>
      <c r="BO30" s="8">
        <v>0.14466999999999999</v>
      </c>
      <c r="BP30" s="8">
        <v>0.25240000000000001</v>
      </c>
      <c r="BQ30" s="8">
        <v>0.30680000000000002</v>
      </c>
      <c r="BR30" s="8">
        <v>0.45535999999999999</v>
      </c>
      <c r="BS30" s="8">
        <v>0.25741000000000003</v>
      </c>
      <c r="BT30" s="8">
        <v>0.71896000000000004</v>
      </c>
      <c r="BU30" s="8">
        <v>0.19670000000000001</v>
      </c>
      <c r="BV30" s="8">
        <v>0.54903000000000002</v>
      </c>
      <c r="BW30" s="8">
        <v>0.57667999999999997</v>
      </c>
      <c r="BX30" s="8">
        <v>5.7980999999999998E-2</v>
      </c>
      <c r="BY30" s="8">
        <v>0.18690000000000001</v>
      </c>
      <c r="BZ30" s="8">
        <v>0.47789999999999999</v>
      </c>
      <c r="CA30" s="8">
        <v>0.29517121951219516</v>
      </c>
      <c r="CB30" s="8">
        <v>0.43439</v>
      </c>
      <c r="CC30" s="8">
        <v>0.64444999999999997</v>
      </c>
      <c r="CD30" s="8">
        <v>0.57440999999999998</v>
      </c>
      <c r="CE30" s="8">
        <v>0.31342999999999999</v>
      </c>
      <c r="CF30" s="8">
        <v>0.78620000000000001</v>
      </c>
      <c r="CG30" s="8">
        <v>0.5736</v>
      </c>
      <c r="CH30" s="8">
        <v>6.1429999999999998E-2</v>
      </c>
      <c r="CI30" s="8">
        <v>0.17394999999999999</v>
      </c>
      <c r="CJ30" s="8">
        <v>0.53820999999999997</v>
      </c>
      <c r="CK30" s="8">
        <v>0.22469</v>
      </c>
      <c r="CL30" s="8">
        <v>0.42903000000000002</v>
      </c>
      <c r="CM30" s="8">
        <v>0.16855999999999999</v>
      </c>
      <c r="CN30" s="8">
        <v>0.19869999999999999</v>
      </c>
      <c r="CO30" s="8">
        <v>0.60849536585365849</v>
      </c>
      <c r="CP30" s="8">
        <v>0.3015434146341463</v>
      </c>
      <c r="CQ30" s="8">
        <v>0.41876999999999998</v>
      </c>
      <c r="CR30" s="8">
        <v>0.14180000000000001</v>
      </c>
      <c r="CS30" s="8">
        <v>0.46288000000000001</v>
      </c>
      <c r="CT30" s="8">
        <v>0.56571000000000005</v>
      </c>
      <c r="CU30" s="8">
        <v>0.20979999999999999</v>
      </c>
      <c r="CV30" s="8">
        <v>0.29727999999999999</v>
      </c>
      <c r="CW30" s="8">
        <v>0.17580000000000001</v>
      </c>
    </row>
    <row r="31" spans="1:101">
      <c r="A31">
        <f t="shared" si="0"/>
        <v>465</v>
      </c>
      <c r="B31">
        <v>1</v>
      </c>
      <c r="C31" s="8">
        <v>0.59360999999999997</v>
      </c>
      <c r="D31" s="8">
        <v>0.20471</v>
      </c>
      <c r="E31" s="8">
        <v>6.0752E-2</v>
      </c>
      <c r="F31" s="8">
        <v>0.26042073170731705</v>
      </c>
      <c r="G31" s="8">
        <v>7.1822999999999998E-2</v>
      </c>
      <c r="H31" s="8">
        <v>0.12021</v>
      </c>
      <c r="I31" s="8">
        <v>5.4059999999999997E-2</v>
      </c>
      <c r="J31" s="8">
        <v>5.7112999999999997E-2</v>
      </c>
      <c r="K31" s="8">
        <v>4.9806000000000003E-2</v>
      </c>
      <c r="L31" s="8">
        <v>0.17718</v>
      </c>
      <c r="M31" s="8">
        <v>6.5542000000000003E-2</v>
      </c>
      <c r="N31" s="8">
        <v>8.1327999999999998E-2</v>
      </c>
      <c r="O31" s="8">
        <v>4.5567000000000003E-2</v>
      </c>
      <c r="P31" s="8">
        <v>0.35954999999999998</v>
      </c>
      <c r="Q31" s="8">
        <v>0.28799000000000002</v>
      </c>
      <c r="R31" s="8">
        <v>5.9891E-2</v>
      </c>
      <c r="S31" s="8">
        <v>6.4919000000000004E-2</v>
      </c>
      <c r="T31" s="8">
        <v>0.12611</v>
      </c>
      <c r="U31" s="8">
        <v>0.12484000000000001</v>
      </c>
      <c r="V31" s="8">
        <v>3.5774E-2</v>
      </c>
      <c r="W31" s="8">
        <v>0.17585999999999999</v>
      </c>
      <c r="X31" s="8">
        <v>0.11877</v>
      </c>
      <c r="Y31" s="8">
        <v>0.56098999999999999</v>
      </c>
      <c r="Z31" s="8">
        <v>0.29330000000000001</v>
      </c>
      <c r="AA31" s="8">
        <v>5.1275000000000001E-2</v>
      </c>
      <c r="AB31" s="8">
        <v>0.22112000000000001</v>
      </c>
      <c r="AC31" s="8">
        <v>0.27811999999999998</v>
      </c>
      <c r="AD31" s="8">
        <v>4.5742999999999999E-2</v>
      </c>
      <c r="AE31" s="8">
        <v>0.23841999999999999</v>
      </c>
      <c r="AF31" s="8">
        <v>0.21301</v>
      </c>
      <c r="AG31" s="8">
        <v>0.24081</v>
      </c>
      <c r="AH31" s="8">
        <v>9.0773000000000006E-2</v>
      </c>
      <c r="AI31" s="8">
        <v>0.46632000000000001</v>
      </c>
      <c r="AJ31" s="8">
        <v>5.4266000000000002E-2</v>
      </c>
      <c r="AK31" s="8">
        <v>4.9602E-2</v>
      </c>
      <c r="AL31" s="8">
        <v>0.52400243902439014</v>
      </c>
      <c r="AM31" s="8">
        <v>6.0727999999999997E-2</v>
      </c>
      <c r="AN31" s="8">
        <v>0.51829317073170733</v>
      </c>
      <c r="AO31" s="8">
        <v>5.6980999999999997E-2</v>
      </c>
      <c r="AP31" s="8">
        <v>9.3706999999999999E-2</v>
      </c>
      <c r="AQ31" s="8">
        <v>0.61853999999999998</v>
      </c>
      <c r="AR31" s="8">
        <v>8.2753999999999994E-2</v>
      </c>
      <c r="AS31" s="8">
        <v>8.7612999999999996E-2</v>
      </c>
      <c r="AT31" s="8">
        <v>4.7239000000000003E-2</v>
      </c>
      <c r="AU31" s="8">
        <v>9.3114000000000002E-2</v>
      </c>
      <c r="AV31" s="8">
        <v>0.19261</v>
      </c>
      <c r="AW31" s="8">
        <v>0.29649999999999999</v>
      </c>
      <c r="AX31" s="8">
        <v>0.38407999999999998</v>
      </c>
      <c r="AY31" s="8">
        <v>7.5241000000000002E-2</v>
      </c>
      <c r="AZ31" s="8">
        <v>0.16117999999999999</v>
      </c>
      <c r="BA31" s="8">
        <v>0.20244000000000001</v>
      </c>
      <c r="BB31" s="8">
        <v>7.1750999999999995E-2</v>
      </c>
      <c r="BC31" s="8">
        <v>0.13900000000000001</v>
      </c>
      <c r="BD31" s="8">
        <v>0.71523000000000003</v>
      </c>
      <c r="BE31" s="8">
        <v>0.67049000000000003</v>
      </c>
      <c r="BF31" s="8">
        <v>0.45815</v>
      </c>
      <c r="BG31" s="8">
        <v>0.29426999999999998</v>
      </c>
      <c r="BH31" s="8">
        <v>0.27485999999999999</v>
      </c>
      <c r="BI31" s="8">
        <v>0.70331999999999995</v>
      </c>
      <c r="BJ31" s="8">
        <v>0.745</v>
      </c>
      <c r="BK31" s="8">
        <v>0.54220000000000002</v>
      </c>
      <c r="BL31" s="8">
        <v>0.40281</v>
      </c>
      <c r="BM31" s="8">
        <v>8.3176E-2</v>
      </c>
      <c r="BN31" s="8">
        <v>0.42668</v>
      </c>
      <c r="BO31" s="8">
        <v>0.15417</v>
      </c>
      <c r="BP31" s="8">
        <v>0.27660000000000001</v>
      </c>
      <c r="BQ31" s="8">
        <v>0.33329999999999999</v>
      </c>
      <c r="BR31" s="8">
        <v>0.45810000000000001</v>
      </c>
      <c r="BS31" s="8">
        <v>0.25724000000000002</v>
      </c>
      <c r="BT31" s="8">
        <v>0.72438000000000002</v>
      </c>
      <c r="BU31" s="8">
        <v>0.20952999999999999</v>
      </c>
      <c r="BV31" s="8">
        <v>0.55122000000000004</v>
      </c>
      <c r="BW31" s="8">
        <v>0.56906999999999996</v>
      </c>
      <c r="BX31" s="8">
        <v>5.8984000000000002E-2</v>
      </c>
      <c r="BY31" s="8">
        <v>0.19843</v>
      </c>
      <c r="BZ31" s="8">
        <v>0.46766000000000002</v>
      </c>
      <c r="CA31" s="8">
        <v>0.29326536585365859</v>
      </c>
      <c r="CB31" s="8">
        <v>0.41471999999999998</v>
      </c>
      <c r="CC31" s="8">
        <v>0.64683999999999997</v>
      </c>
      <c r="CD31" s="8">
        <v>0.56815000000000004</v>
      </c>
      <c r="CE31" s="8">
        <v>0.30296000000000001</v>
      </c>
      <c r="CF31" s="8">
        <v>0.78261000000000003</v>
      </c>
      <c r="CG31" s="8">
        <v>0.56172999999999995</v>
      </c>
      <c r="CH31" s="8">
        <v>6.0536E-2</v>
      </c>
      <c r="CI31" s="8">
        <v>0.17369999999999999</v>
      </c>
      <c r="CJ31" s="8">
        <v>0.52173999999999998</v>
      </c>
      <c r="CK31" s="8">
        <v>0.21321999999999999</v>
      </c>
      <c r="CL31" s="8">
        <v>0.41661999999999999</v>
      </c>
      <c r="CM31" s="8">
        <v>0.16017000000000001</v>
      </c>
      <c r="CN31" s="8">
        <v>0.18718000000000001</v>
      </c>
      <c r="CO31" s="8">
        <v>0.61063878048780496</v>
      </c>
      <c r="CP31" s="8">
        <v>0.29826341463414635</v>
      </c>
      <c r="CQ31" s="8">
        <v>0.41719000000000001</v>
      </c>
      <c r="CR31" s="8">
        <v>0.13636999999999999</v>
      </c>
      <c r="CS31" s="8">
        <v>0.45926</v>
      </c>
      <c r="CT31" s="8">
        <v>0.55730999999999997</v>
      </c>
      <c r="CU31" s="8">
        <v>0.19595000000000001</v>
      </c>
      <c r="CV31" s="8">
        <v>0.27687</v>
      </c>
      <c r="CW31" s="8">
        <v>0.16772999999999999</v>
      </c>
    </row>
    <row r="32" spans="1:101">
      <c r="A32">
        <f t="shared" si="0"/>
        <v>470</v>
      </c>
      <c r="B32">
        <v>1</v>
      </c>
      <c r="C32" s="8">
        <v>0.58020000000000005</v>
      </c>
      <c r="D32" s="8">
        <v>0.1918</v>
      </c>
      <c r="E32" s="8">
        <v>6.2591999999999995E-2</v>
      </c>
      <c r="F32" s="8">
        <v>0.24078121951219505</v>
      </c>
      <c r="G32" s="8">
        <v>6.5079999999999999E-2</v>
      </c>
      <c r="H32" s="8">
        <v>0.11600000000000001</v>
      </c>
      <c r="I32" s="8">
        <v>5.2900000000000003E-2</v>
      </c>
      <c r="J32" s="8">
        <v>5.6849999999999998E-2</v>
      </c>
      <c r="K32" s="8">
        <v>5.0081000000000001E-2</v>
      </c>
      <c r="L32" s="8">
        <v>0.17637</v>
      </c>
      <c r="M32" s="8">
        <v>6.0907999999999997E-2</v>
      </c>
      <c r="N32" s="8">
        <v>7.5411000000000006E-2</v>
      </c>
      <c r="O32" s="8">
        <v>4.4956000000000003E-2</v>
      </c>
      <c r="P32" s="8">
        <v>0.36070000000000002</v>
      </c>
      <c r="Q32" s="8">
        <v>0.29480000000000001</v>
      </c>
      <c r="R32" s="8">
        <v>6.2987000000000001E-2</v>
      </c>
      <c r="S32" s="8">
        <v>6.7315E-2</v>
      </c>
      <c r="T32" s="8">
        <v>0.13039999999999999</v>
      </c>
      <c r="U32" s="8">
        <v>0.12509999999999999</v>
      </c>
      <c r="V32" s="8">
        <v>5.6495999999999998E-2</v>
      </c>
      <c r="W32" s="8">
        <v>0.17962</v>
      </c>
      <c r="X32" s="8">
        <v>0.12662000000000001</v>
      </c>
      <c r="Y32" s="8">
        <v>0.57040999999999997</v>
      </c>
      <c r="Z32" s="8">
        <v>0.29909999999999998</v>
      </c>
      <c r="AA32" s="8">
        <v>5.2996000000000001E-2</v>
      </c>
      <c r="AB32" s="8">
        <v>0.2356</v>
      </c>
      <c r="AC32" s="8">
        <v>0.28681000000000001</v>
      </c>
      <c r="AD32" s="8">
        <v>4.7043000000000001E-2</v>
      </c>
      <c r="AE32" s="8">
        <v>0.27043</v>
      </c>
      <c r="AF32" s="8">
        <v>0.23025000000000001</v>
      </c>
      <c r="AG32" s="8">
        <v>0.27189000000000002</v>
      </c>
      <c r="AH32" s="8">
        <v>0.105</v>
      </c>
      <c r="AI32" s="8">
        <v>0.51290000000000002</v>
      </c>
      <c r="AJ32" s="8">
        <v>5.7963000000000001E-2</v>
      </c>
      <c r="AK32" s="8">
        <v>5.0293999999999998E-2</v>
      </c>
      <c r="AL32" s="8">
        <v>0.52781121951219512</v>
      </c>
      <c r="AM32" s="8">
        <v>6.0999999999999999E-2</v>
      </c>
      <c r="AN32" s="8">
        <v>0.55029121951219517</v>
      </c>
      <c r="AO32" s="8">
        <v>5.7911999999999998E-2</v>
      </c>
      <c r="AP32" s="8">
        <v>9.4802999999999998E-2</v>
      </c>
      <c r="AQ32" s="8">
        <v>0.64749999999999996</v>
      </c>
      <c r="AR32" s="8">
        <v>8.9659000000000003E-2</v>
      </c>
      <c r="AS32" s="8">
        <v>0.1066</v>
      </c>
      <c r="AT32" s="8">
        <v>4.7399999999999998E-2</v>
      </c>
      <c r="AU32" s="8">
        <v>0.10313</v>
      </c>
      <c r="AV32" s="8">
        <v>0.2137</v>
      </c>
      <c r="AW32" s="8">
        <v>0.33100000000000002</v>
      </c>
      <c r="AX32" s="8">
        <v>0.41515999999999997</v>
      </c>
      <c r="AY32" s="8">
        <v>8.7947999999999998E-2</v>
      </c>
      <c r="AZ32" s="8">
        <v>0.16930000000000001</v>
      </c>
      <c r="BA32" s="8">
        <v>0.21118000000000001</v>
      </c>
      <c r="BB32" s="8">
        <v>7.306E-2</v>
      </c>
      <c r="BC32" s="8">
        <v>0.15379999999999999</v>
      </c>
      <c r="BD32" s="8">
        <v>0.73050000000000004</v>
      </c>
      <c r="BE32" s="8">
        <v>0.69066000000000005</v>
      </c>
      <c r="BF32" s="8">
        <v>0.49262</v>
      </c>
      <c r="BG32" s="8">
        <v>0.32340000000000002</v>
      </c>
      <c r="BH32" s="8">
        <v>0.30338999999999999</v>
      </c>
      <c r="BI32" s="8">
        <v>0.71260000000000001</v>
      </c>
      <c r="BJ32" s="8">
        <v>0.75158999999999998</v>
      </c>
      <c r="BK32" s="8">
        <v>0.54344000000000003</v>
      </c>
      <c r="BL32" s="8">
        <v>0.41599999999999998</v>
      </c>
      <c r="BM32" s="8">
        <v>8.8827000000000003E-2</v>
      </c>
      <c r="BN32" s="8">
        <v>0.45565</v>
      </c>
      <c r="BO32" s="8">
        <v>0.16581000000000001</v>
      </c>
      <c r="BP32" s="8">
        <v>0.30109999999999998</v>
      </c>
      <c r="BQ32" s="8">
        <v>0.3594</v>
      </c>
      <c r="BR32" s="8">
        <v>0.45804</v>
      </c>
      <c r="BS32" s="8">
        <v>0.25494</v>
      </c>
      <c r="BT32" s="8">
        <v>0.72575999999999996</v>
      </c>
      <c r="BU32" s="8">
        <v>0.21820000000000001</v>
      </c>
      <c r="BV32" s="8">
        <v>0.55254000000000003</v>
      </c>
      <c r="BW32" s="8">
        <v>0.55740999999999996</v>
      </c>
      <c r="BX32" s="8">
        <v>5.9371E-2</v>
      </c>
      <c r="BY32" s="8">
        <v>0.20549999999999999</v>
      </c>
      <c r="BZ32" s="8">
        <v>0.45429999999999998</v>
      </c>
      <c r="CA32" s="8">
        <v>0.28875121951219507</v>
      </c>
      <c r="CB32" s="8">
        <v>0.39001000000000002</v>
      </c>
      <c r="CC32" s="8">
        <v>0.64673000000000003</v>
      </c>
      <c r="CD32" s="8">
        <v>0.55801000000000001</v>
      </c>
      <c r="CE32" s="8">
        <v>0.29343000000000002</v>
      </c>
      <c r="CF32" s="8">
        <v>0.77710000000000001</v>
      </c>
      <c r="CG32" s="8">
        <v>0.54790000000000005</v>
      </c>
      <c r="CH32" s="8">
        <v>5.9346000000000003E-2</v>
      </c>
      <c r="CI32" s="8">
        <v>0.17216000000000001</v>
      </c>
      <c r="CJ32" s="8">
        <v>0.50366</v>
      </c>
      <c r="CK32" s="8">
        <v>0.20075999999999999</v>
      </c>
      <c r="CL32" s="8">
        <v>0.40400999999999998</v>
      </c>
      <c r="CM32" s="8">
        <v>0.14940000000000001</v>
      </c>
      <c r="CN32" s="8">
        <v>0.1759</v>
      </c>
      <c r="CO32" s="8">
        <v>0.60879170731707299</v>
      </c>
      <c r="CP32" s="8">
        <v>0.29385658536585368</v>
      </c>
      <c r="CQ32" s="8">
        <v>0.41282999999999997</v>
      </c>
      <c r="CR32" s="8">
        <v>0.12955</v>
      </c>
      <c r="CS32" s="8">
        <v>0.45279000000000003</v>
      </c>
      <c r="CT32" s="8">
        <v>0.54695000000000005</v>
      </c>
      <c r="CU32" s="8">
        <v>0.1817</v>
      </c>
      <c r="CV32" s="8">
        <v>0.25673000000000001</v>
      </c>
      <c r="CW32" s="8">
        <v>0.1598</v>
      </c>
    </row>
    <row r="33" spans="1:101">
      <c r="A33">
        <f t="shared" si="0"/>
        <v>475</v>
      </c>
      <c r="B33">
        <v>1</v>
      </c>
      <c r="C33" s="8">
        <v>0.56547999999999998</v>
      </c>
      <c r="D33" s="8">
        <v>0.17813000000000001</v>
      </c>
      <c r="E33" s="8">
        <v>6.3044000000000003E-2</v>
      </c>
      <c r="F33" s="8">
        <v>0.2220568292682927</v>
      </c>
      <c r="G33" s="8">
        <v>5.9762000000000003E-2</v>
      </c>
      <c r="H33" s="8">
        <v>0.11157</v>
      </c>
      <c r="I33" s="8">
        <v>5.1922999999999997E-2</v>
      </c>
      <c r="J33" s="8">
        <v>5.6631000000000001E-2</v>
      </c>
      <c r="K33" s="8">
        <v>5.0441E-2</v>
      </c>
      <c r="L33" s="8">
        <v>0.17466999999999999</v>
      </c>
      <c r="M33" s="8">
        <v>5.6122999999999999E-2</v>
      </c>
      <c r="N33" s="8">
        <v>6.8276000000000003E-2</v>
      </c>
      <c r="O33" s="8">
        <v>4.5554999999999998E-2</v>
      </c>
      <c r="P33" s="8">
        <v>0.36204999999999998</v>
      </c>
      <c r="Q33" s="8">
        <v>0.30092999999999998</v>
      </c>
      <c r="R33" s="8">
        <v>6.6283999999999996E-2</v>
      </c>
      <c r="S33" s="8">
        <v>6.9524000000000002E-2</v>
      </c>
      <c r="T33" s="8">
        <v>0.13466</v>
      </c>
      <c r="U33" s="8">
        <v>0.12518000000000001</v>
      </c>
      <c r="V33" s="8">
        <v>8.9960999999999999E-2</v>
      </c>
      <c r="W33" s="8">
        <v>0.18429999999999999</v>
      </c>
      <c r="X33" s="8">
        <v>0.13528999999999999</v>
      </c>
      <c r="Y33" s="8">
        <v>0.57915000000000005</v>
      </c>
      <c r="Z33" s="8">
        <v>0.30695</v>
      </c>
      <c r="AA33" s="8">
        <v>5.3163000000000002E-2</v>
      </c>
      <c r="AB33" s="8">
        <v>0.25362000000000001</v>
      </c>
      <c r="AC33" s="8">
        <v>0.29048000000000002</v>
      </c>
      <c r="AD33" s="8">
        <v>4.8885999999999999E-2</v>
      </c>
      <c r="AE33" s="8">
        <v>0.30065999999999998</v>
      </c>
      <c r="AF33" s="8">
        <v>0.23860000000000001</v>
      </c>
      <c r="AG33" s="8">
        <v>0.30813000000000001</v>
      </c>
      <c r="AH33" s="8">
        <v>0.12180000000000001</v>
      </c>
      <c r="AI33" s="8">
        <v>0.55466000000000004</v>
      </c>
      <c r="AJ33" s="8">
        <v>6.3611000000000001E-2</v>
      </c>
      <c r="AK33" s="8">
        <v>5.1776999999999997E-2</v>
      </c>
      <c r="AL33" s="8">
        <v>0.52870146341463431</v>
      </c>
      <c r="AM33" s="8">
        <v>6.1090999999999999E-2</v>
      </c>
      <c r="AN33" s="8">
        <v>0.57598975609756098</v>
      </c>
      <c r="AO33" s="8">
        <v>5.9317000000000002E-2</v>
      </c>
      <c r="AP33" s="8">
        <v>9.7936999999999996E-2</v>
      </c>
      <c r="AQ33" s="8">
        <v>0.67396</v>
      </c>
      <c r="AR33" s="8">
        <v>9.7861000000000004E-2</v>
      </c>
      <c r="AS33" s="8">
        <v>0.13514999999999999</v>
      </c>
      <c r="AT33" s="8">
        <v>4.7792000000000001E-2</v>
      </c>
      <c r="AU33" s="8">
        <v>0.11523</v>
      </c>
      <c r="AV33" s="8">
        <v>0.23821999999999999</v>
      </c>
      <c r="AW33" s="8">
        <v>0.36799999999999999</v>
      </c>
      <c r="AX33" s="8">
        <v>0.44281999999999999</v>
      </c>
      <c r="AY33" s="8">
        <v>0.10363</v>
      </c>
      <c r="AZ33" s="8">
        <v>0.18</v>
      </c>
      <c r="BA33" s="8">
        <v>0.22283</v>
      </c>
      <c r="BB33" s="8">
        <v>7.6793E-2</v>
      </c>
      <c r="BC33" s="8">
        <v>0.17152000000000001</v>
      </c>
      <c r="BD33" s="8">
        <v>0.74378999999999995</v>
      </c>
      <c r="BE33" s="8">
        <v>0.70753999999999995</v>
      </c>
      <c r="BF33" s="8">
        <v>0.53398999999999996</v>
      </c>
      <c r="BG33" s="8">
        <v>0.35336000000000001</v>
      </c>
      <c r="BH33" s="8">
        <v>0.33116000000000001</v>
      </c>
      <c r="BI33" s="8">
        <v>0.72513000000000005</v>
      </c>
      <c r="BJ33" s="8">
        <v>0.75729000000000002</v>
      </c>
      <c r="BK33" s="8">
        <v>0.54562999999999995</v>
      </c>
      <c r="BL33" s="8">
        <v>0.42492999999999997</v>
      </c>
      <c r="BM33" s="8">
        <v>9.4270999999999994E-2</v>
      </c>
      <c r="BN33" s="8">
        <v>0.48270999999999997</v>
      </c>
      <c r="BO33" s="8">
        <v>0.17902000000000001</v>
      </c>
      <c r="BP33" s="8">
        <v>0.32295000000000001</v>
      </c>
      <c r="BQ33" s="8">
        <v>0.38191999999999998</v>
      </c>
      <c r="BR33" s="8">
        <v>0.45745000000000002</v>
      </c>
      <c r="BS33" s="8">
        <v>0.25267000000000001</v>
      </c>
      <c r="BT33" s="8">
        <v>0.72392000000000001</v>
      </c>
      <c r="BU33" s="8">
        <v>0.22140000000000001</v>
      </c>
      <c r="BV33" s="8">
        <v>0.55300000000000005</v>
      </c>
      <c r="BW33" s="8">
        <v>0.54266999999999999</v>
      </c>
      <c r="BX33" s="8">
        <v>5.9374000000000003E-2</v>
      </c>
      <c r="BY33" s="8">
        <v>0.20635999999999999</v>
      </c>
      <c r="BZ33" s="8">
        <v>0.43958999999999998</v>
      </c>
      <c r="CA33" s="8">
        <v>0.28175585365853645</v>
      </c>
      <c r="CB33" s="8">
        <v>0.36264999999999997</v>
      </c>
      <c r="CC33" s="8">
        <v>0.64119000000000004</v>
      </c>
      <c r="CD33" s="8">
        <v>0.54359999999999997</v>
      </c>
      <c r="CE33" s="8">
        <v>0.27906999999999998</v>
      </c>
      <c r="CF33" s="8">
        <v>0.76963999999999999</v>
      </c>
      <c r="CG33" s="8">
        <v>0.53110999999999997</v>
      </c>
      <c r="CH33" s="8">
        <v>5.8333000000000003E-2</v>
      </c>
      <c r="CI33" s="8">
        <v>0.16727</v>
      </c>
      <c r="CJ33" s="8">
        <v>0.48437000000000002</v>
      </c>
      <c r="CK33" s="8">
        <v>0.18829000000000001</v>
      </c>
      <c r="CL33" s="8">
        <v>0.39068000000000003</v>
      </c>
      <c r="CM33" s="8">
        <v>0.13678999999999999</v>
      </c>
      <c r="CN33" s="8">
        <v>0.16417000000000001</v>
      </c>
      <c r="CO33" s="8">
        <v>0.60405609756097545</v>
      </c>
      <c r="CP33" s="8">
        <v>0.28892121951219518</v>
      </c>
      <c r="CQ33" s="8">
        <v>0.40771000000000002</v>
      </c>
      <c r="CR33" s="8">
        <v>0.12194000000000001</v>
      </c>
      <c r="CS33" s="8">
        <v>0.44268999999999997</v>
      </c>
      <c r="CT33" s="8">
        <v>0.53442999999999996</v>
      </c>
      <c r="CU33" s="8">
        <v>0.16814000000000001</v>
      </c>
      <c r="CV33" s="8">
        <v>0.23768</v>
      </c>
      <c r="CW33" s="8">
        <v>0.15182999999999999</v>
      </c>
    </row>
    <row r="34" spans="1:101">
      <c r="A34">
        <f t="shared" si="0"/>
        <v>480</v>
      </c>
      <c r="B34">
        <v>1</v>
      </c>
      <c r="C34" s="8">
        <v>0.55149999999999999</v>
      </c>
      <c r="D34" s="8">
        <v>0.1656</v>
      </c>
      <c r="E34" s="8">
        <v>6.0686999999999998E-2</v>
      </c>
      <c r="F34" s="8">
        <v>0.20461707317073172</v>
      </c>
      <c r="G34" s="8">
        <v>5.586E-2</v>
      </c>
      <c r="H34" s="8">
        <v>0.10743</v>
      </c>
      <c r="I34" s="8">
        <v>5.11E-2</v>
      </c>
      <c r="J34" s="8">
        <v>5.6469999999999999E-2</v>
      </c>
      <c r="K34" s="8">
        <v>5.142E-2</v>
      </c>
      <c r="L34" s="8">
        <v>0.17191999999999999</v>
      </c>
      <c r="M34" s="8">
        <v>5.1742000000000003E-2</v>
      </c>
      <c r="N34" s="8">
        <v>6.1592000000000001E-2</v>
      </c>
      <c r="O34" s="8">
        <v>4.8627999999999998E-2</v>
      </c>
      <c r="P34" s="8">
        <v>0.3634</v>
      </c>
      <c r="Q34" s="8">
        <v>0.30659999999999998</v>
      </c>
      <c r="R34" s="8">
        <v>6.9724999999999995E-2</v>
      </c>
      <c r="S34" s="8">
        <v>7.1454000000000004E-2</v>
      </c>
      <c r="T34" s="8">
        <v>0.13900000000000001</v>
      </c>
      <c r="U34" s="8">
        <v>0.12509999999999999</v>
      </c>
      <c r="V34" s="8">
        <v>0.13394</v>
      </c>
      <c r="W34" s="8">
        <v>0.18934999999999999</v>
      </c>
      <c r="X34" s="8">
        <v>0.1444</v>
      </c>
      <c r="Y34" s="8">
        <v>0.58731999999999995</v>
      </c>
      <c r="Z34" s="8">
        <v>0.317</v>
      </c>
      <c r="AA34" s="8">
        <v>5.1878000000000001E-2</v>
      </c>
      <c r="AB34" s="8">
        <v>0.27339999999999998</v>
      </c>
      <c r="AC34" s="8">
        <v>0.29199999999999998</v>
      </c>
      <c r="AD34" s="8">
        <v>4.9986000000000003E-2</v>
      </c>
      <c r="AE34" s="8">
        <v>0.32891999999999999</v>
      </c>
      <c r="AF34" s="8">
        <v>0.24313000000000001</v>
      </c>
      <c r="AG34" s="8">
        <v>0.34621000000000002</v>
      </c>
      <c r="AH34" s="8">
        <v>0.14119999999999999</v>
      </c>
      <c r="AI34" s="8">
        <v>0.58809</v>
      </c>
      <c r="AJ34" s="8">
        <v>7.1209999999999996E-2</v>
      </c>
      <c r="AK34" s="8">
        <v>5.4399000000000003E-2</v>
      </c>
      <c r="AL34" s="8">
        <v>0.5283156097560977</v>
      </c>
      <c r="AM34" s="8">
        <v>6.2E-2</v>
      </c>
      <c r="AN34" s="8">
        <v>0.5956165853658536</v>
      </c>
      <c r="AO34" s="8">
        <v>6.2239999999999997E-2</v>
      </c>
      <c r="AP34" s="8">
        <v>0.10655000000000001</v>
      </c>
      <c r="AQ34" s="8">
        <v>0.69650000000000001</v>
      </c>
      <c r="AR34" s="8">
        <v>0.10793</v>
      </c>
      <c r="AS34" s="8">
        <v>0.17100000000000001</v>
      </c>
      <c r="AT34" s="8">
        <v>4.8300000000000003E-2</v>
      </c>
      <c r="AU34" s="8">
        <v>0.13064000000000001</v>
      </c>
      <c r="AV34" s="8">
        <v>0.2651</v>
      </c>
      <c r="AW34" s="8">
        <v>0.40479999999999999</v>
      </c>
      <c r="AX34" s="8">
        <v>0.46753</v>
      </c>
      <c r="AY34" s="8">
        <v>0.12163</v>
      </c>
      <c r="AZ34" s="8">
        <v>0.1958</v>
      </c>
      <c r="BA34" s="8">
        <v>0.24056</v>
      </c>
      <c r="BB34" s="8">
        <v>8.6868000000000001E-2</v>
      </c>
      <c r="BC34" s="8">
        <v>0.1928</v>
      </c>
      <c r="BD34" s="8">
        <v>0.75470000000000004</v>
      </c>
      <c r="BE34" s="8">
        <v>0.72131999999999996</v>
      </c>
      <c r="BF34" s="8">
        <v>0.57657999999999998</v>
      </c>
      <c r="BG34" s="8">
        <v>0.38269999999999998</v>
      </c>
      <c r="BH34" s="8">
        <v>0.35681000000000002</v>
      </c>
      <c r="BI34" s="8">
        <v>0.74050000000000005</v>
      </c>
      <c r="BJ34" s="8">
        <v>0.76219999999999999</v>
      </c>
      <c r="BK34" s="8">
        <v>0.55127999999999999</v>
      </c>
      <c r="BL34" s="8">
        <v>0.4299</v>
      </c>
      <c r="BM34" s="8">
        <v>9.9141999999999994E-2</v>
      </c>
      <c r="BN34" s="8">
        <v>0.50514000000000003</v>
      </c>
      <c r="BO34" s="8">
        <v>0.19103000000000001</v>
      </c>
      <c r="BP34" s="8">
        <v>0.3397</v>
      </c>
      <c r="BQ34" s="8">
        <v>0.39889999999999998</v>
      </c>
      <c r="BR34" s="8">
        <v>0.45896999999999999</v>
      </c>
      <c r="BS34" s="8">
        <v>0.25276999999999999</v>
      </c>
      <c r="BT34" s="8">
        <v>0.71916000000000002</v>
      </c>
      <c r="BU34" s="8">
        <v>0.2195</v>
      </c>
      <c r="BV34" s="8">
        <v>0.55264000000000002</v>
      </c>
      <c r="BW34" s="8">
        <v>0.52663000000000004</v>
      </c>
      <c r="BX34" s="8">
        <v>5.9271999999999998E-2</v>
      </c>
      <c r="BY34" s="8">
        <v>0.20119999999999999</v>
      </c>
      <c r="BZ34" s="8">
        <v>0.42359999999999998</v>
      </c>
      <c r="CA34" s="8">
        <v>0.27334414634146342</v>
      </c>
      <c r="CB34" s="8">
        <v>0.33550000000000002</v>
      </c>
      <c r="CC34" s="8">
        <v>0.63104000000000005</v>
      </c>
      <c r="CD34" s="8">
        <v>0.52497000000000005</v>
      </c>
      <c r="CE34" s="8">
        <v>0.26179000000000002</v>
      </c>
      <c r="CF34" s="8">
        <v>0.76100000000000001</v>
      </c>
      <c r="CG34" s="8">
        <v>0.51359999999999995</v>
      </c>
      <c r="CH34" s="8">
        <v>5.8154999999999998E-2</v>
      </c>
      <c r="CI34" s="8">
        <v>0.16006999999999999</v>
      </c>
      <c r="CJ34" s="8">
        <v>0.46483999999999998</v>
      </c>
      <c r="CK34" s="8">
        <v>0.17613999999999999</v>
      </c>
      <c r="CL34" s="8">
        <v>0.37591000000000002</v>
      </c>
      <c r="CM34" s="8">
        <v>0.12422999999999999</v>
      </c>
      <c r="CN34" s="8">
        <v>0.152</v>
      </c>
      <c r="CO34" s="8">
        <v>0.59734317073170717</v>
      </c>
      <c r="CP34" s="8">
        <v>0.28246829268292695</v>
      </c>
      <c r="CQ34" s="8">
        <v>0.39971000000000001</v>
      </c>
      <c r="CR34" s="8">
        <v>0.11362</v>
      </c>
      <c r="CS34" s="8">
        <v>0.43067</v>
      </c>
      <c r="CT34" s="8">
        <v>0.52046000000000003</v>
      </c>
      <c r="CU34" s="8">
        <v>0.15479999999999999</v>
      </c>
      <c r="CV34" s="8">
        <v>0.22048999999999999</v>
      </c>
      <c r="CW34" s="8">
        <v>0.14380000000000001</v>
      </c>
    </row>
    <row r="35" spans="1:101">
      <c r="A35">
        <f t="shared" si="0"/>
        <v>485</v>
      </c>
      <c r="B35">
        <v>1</v>
      </c>
      <c r="C35" s="8">
        <v>0.54015999999999997</v>
      </c>
      <c r="D35" s="8">
        <v>0.15601999999999999</v>
      </c>
      <c r="E35" s="8">
        <v>5.9669E-2</v>
      </c>
      <c r="F35" s="8">
        <v>0.18883682926829273</v>
      </c>
      <c r="G35" s="8">
        <v>5.3231000000000001E-2</v>
      </c>
      <c r="H35" s="8">
        <v>0.10413</v>
      </c>
      <c r="I35" s="8">
        <v>5.0384999999999999E-2</v>
      </c>
      <c r="J35" s="8">
        <v>5.6326000000000001E-2</v>
      </c>
      <c r="K35" s="8">
        <v>5.3397E-2</v>
      </c>
      <c r="L35" s="8">
        <v>0.16833999999999999</v>
      </c>
      <c r="M35" s="8">
        <v>4.8326000000000001E-2</v>
      </c>
      <c r="N35" s="8">
        <v>5.7188000000000003E-2</v>
      </c>
      <c r="O35" s="8">
        <v>5.4969999999999998E-2</v>
      </c>
      <c r="P35" s="8">
        <v>0.36453999999999998</v>
      </c>
      <c r="Q35" s="8">
        <v>0.31208000000000002</v>
      </c>
      <c r="R35" s="8">
        <v>7.3225999999999999E-2</v>
      </c>
      <c r="S35" s="8">
        <v>7.3054999999999995E-2</v>
      </c>
      <c r="T35" s="8">
        <v>0.14355000000000001</v>
      </c>
      <c r="U35" s="8">
        <v>0.12501000000000001</v>
      </c>
      <c r="V35" s="8">
        <v>0.18287999999999999</v>
      </c>
      <c r="W35" s="8">
        <v>0.19425000000000001</v>
      </c>
      <c r="X35" s="8">
        <v>0.15365000000000001</v>
      </c>
      <c r="Y35" s="8">
        <v>0.59526000000000001</v>
      </c>
      <c r="Z35" s="8">
        <v>0.32939000000000002</v>
      </c>
      <c r="AA35" s="8">
        <v>5.2395999999999998E-2</v>
      </c>
      <c r="AB35" s="8">
        <v>0.29329</v>
      </c>
      <c r="AC35" s="8">
        <v>0.29515999999999998</v>
      </c>
      <c r="AD35" s="8">
        <v>5.1129000000000001E-2</v>
      </c>
      <c r="AE35" s="8">
        <v>0.35532999999999998</v>
      </c>
      <c r="AF35" s="8">
        <v>0.24970000000000001</v>
      </c>
      <c r="AG35" s="8">
        <v>0.38299</v>
      </c>
      <c r="AH35" s="8">
        <v>0.16306999999999999</v>
      </c>
      <c r="AI35" s="8">
        <v>0.61048000000000002</v>
      </c>
      <c r="AJ35" s="8">
        <v>8.0625000000000002E-2</v>
      </c>
      <c r="AK35" s="8">
        <v>5.8408000000000002E-2</v>
      </c>
      <c r="AL35" s="8">
        <v>0.52853414634146356</v>
      </c>
      <c r="AM35" s="8">
        <v>6.4534999999999995E-2</v>
      </c>
      <c r="AN35" s="8">
        <v>0.61049365853658533</v>
      </c>
      <c r="AO35" s="8">
        <v>6.7419000000000007E-2</v>
      </c>
      <c r="AP35" s="8">
        <v>0.12302</v>
      </c>
      <c r="AQ35" s="8">
        <v>0.71397999999999995</v>
      </c>
      <c r="AR35" s="8">
        <v>0.12099</v>
      </c>
      <c r="AS35" s="8">
        <v>0.21203</v>
      </c>
      <c r="AT35" s="8">
        <v>4.8793000000000003E-2</v>
      </c>
      <c r="AU35" s="8">
        <v>0.14960999999999999</v>
      </c>
      <c r="AV35" s="8">
        <v>0.29288999999999998</v>
      </c>
      <c r="AW35" s="8">
        <v>0.43811</v>
      </c>
      <c r="AX35" s="8">
        <v>0.48970999999999998</v>
      </c>
      <c r="AY35" s="8">
        <v>0.14087</v>
      </c>
      <c r="AZ35" s="8">
        <v>0.21831999999999999</v>
      </c>
      <c r="BA35" s="8">
        <v>0.26640000000000003</v>
      </c>
      <c r="BB35" s="8">
        <v>0.106</v>
      </c>
      <c r="BC35" s="8">
        <v>0.21822</v>
      </c>
      <c r="BD35" s="8">
        <v>0.76285000000000003</v>
      </c>
      <c r="BE35" s="8">
        <v>0.73246</v>
      </c>
      <c r="BF35" s="8">
        <v>0.61368</v>
      </c>
      <c r="BG35" s="8">
        <v>0.40983000000000003</v>
      </c>
      <c r="BH35" s="8">
        <v>0.37901000000000001</v>
      </c>
      <c r="BI35" s="8">
        <v>0.75795999999999997</v>
      </c>
      <c r="BJ35" s="8">
        <v>0.76636000000000004</v>
      </c>
      <c r="BK35" s="8">
        <v>0.56200000000000006</v>
      </c>
      <c r="BL35" s="8">
        <v>0.43128</v>
      </c>
      <c r="BM35" s="8">
        <v>0.10306</v>
      </c>
      <c r="BN35" s="8">
        <v>0.52063999999999999</v>
      </c>
      <c r="BO35" s="8">
        <v>0.1988</v>
      </c>
      <c r="BP35" s="8">
        <v>0.34943000000000002</v>
      </c>
      <c r="BQ35" s="8">
        <v>0.40877999999999998</v>
      </c>
      <c r="BR35" s="8">
        <v>0.46434999999999998</v>
      </c>
      <c r="BS35" s="8">
        <v>0.25679000000000002</v>
      </c>
      <c r="BT35" s="8">
        <v>0.71160999999999996</v>
      </c>
      <c r="BU35" s="8">
        <v>0.21332999999999999</v>
      </c>
      <c r="BV35" s="8">
        <v>0.55149000000000004</v>
      </c>
      <c r="BW35" s="8">
        <v>0.51095000000000002</v>
      </c>
      <c r="BX35" s="8">
        <v>5.9226000000000001E-2</v>
      </c>
      <c r="BY35" s="8">
        <v>0.19094</v>
      </c>
      <c r="BZ35" s="8">
        <v>0.40603</v>
      </c>
      <c r="CA35" s="8">
        <v>0.26346121951219509</v>
      </c>
      <c r="CB35" s="8">
        <v>0.31098999999999999</v>
      </c>
      <c r="CC35" s="8">
        <v>0.61778</v>
      </c>
      <c r="CD35" s="8">
        <v>0.50256000000000001</v>
      </c>
      <c r="CE35" s="8">
        <v>0.24643999999999999</v>
      </c>
      <c r="CF35" s="8">
        <v>0.75185999999999997</v>
      </c>
      <c r="CG35" s="8">
        <v>0.49765999999999999</v>
      </c>
      <c r="CH35" s="8">
        <v>5.9255000000000002E-2</v>
      </c>
      <c r="CI35" s="8">
        <v>0.15576000000000001</v>
      </c>
      <c r="CJ35" s="8">
        <v>0.44596999999999998</v>
      </c>
      <c r="CK35" s="8">
        <v>0.16447999999999999</v>
      </c>
      <c r="CL35" s="8">
        <v>0.35911999999999999</v>
      </c>
      <c r="CM35" s="8">
        <v>0.11336</v>
      </c>
      <c r="CN35" s="8">
        <v>0.13979</v>
      </c>
      <c r="CO35" s="8">
        <v>0.59009170731707328</v>
      </c>
      <c r="CP35" s="8">
        <v>0.27445390243902451</v>
      </c>
      <c r="CQ35" s="8">
        <v>0.38682</v>
      </c>
      <c r="CR35" s="8">
        <v>0.10476000000000001</v>
      </c>
      <c r="CS35" s="8">
        <v>0.41861999999999999</v>
      </c>
      <c r="CT35" s="8">
        <v>0.50592999999999999</v>
      </c>
      <c r="CU35" s="8">
        <v>0.14093</v>
      </c>
      <c r="CV35" s="8">
        <v>0.20560999999999999</v>
      </c>
      <c r="CW35" s="8">
        <v>0.13580999999999999</v>
      </c>
    </row>
    <row r="36" spans="1:101">
      <c r="A36">
        <f t="shared" si="0"/>
        <v>490</v>
      </c>
      <c r="B36">
        <v>1</v>
      </c>
      <c r="C36" s="8">
        <v>0.53</v>
      </c>
      <c r="D36" s="8">
        <v>0.14810000000000001</v>
      </c>
      <c r="E36" s="8">
        <v>5.9438999999999999E-2</v>
      </c>
      <c r="F36" s="8">
        <v>0.17488487804878056</v>
      </c>
      <c r="G36" s="8">
        <v>5.1400000000000001E-2</v>
      </c>
      <c r="H36" s="8">
        <v>0.10170999999999999</v>
      </c>
      <c r="I36" s="8">
        <v>4.9799999999999997E-2</v>
      </c>
      <c r="J36" s="8">
        <v>5.6090000000000001E-2</v>
      </c>
      <c r="K36" s="8">
        <v>5.5850999999999998E-2</v>
      </c>
      <c r="L36" s="8">
        <v>0.16488</v>
      </c>
      <c r="M36" s="8">
        <v>4.5927999999999997E-2</v>
      </c>
      <c r="N36" s="8">
        <v>5.4162000000000002E-2</v>
      </c>
      <c r="O36" s="8">
        <v>6.3314999999999996E-2</v>
      </c>
      <c r="P36" s="8">
        <v>0.36559999999999998</v>
      </c>
      <c r="Q36" s="8">
        <v>0.318</v>
      </c>
      <c r="R36" s="8">
        <v>7.6666999999999999E-2</v>
      </c>
      <c r="S36" s="8">
        <v>7.4411000000000005E-2</v>
      </c>
      <c r="T36" s="8">
        <v>0.1484</v>
      </c>
      <c r="U36" s="8">
        <v>0.12559999999999999</v>
      </c>
      <c r="V36" s="8">
        <v>0.22320000000000001</v>
      </c>
      <c r="W36" s="8">
        <v>0.19927</v>
      </c>
      <c r="X36" s="8">
        <v>0.16336999999999999</v>
      </c>
      <c r="Y36" s="8">
        <v>0.60357000000000005</v>
      </c>
      <c r="Z36" s="8">
        <v>0.34470000000000001</v>
      </c>
      <c r="AA36" s="8">
        <v>5.5098000000000001E-2</v>
      </c>
      <c r="AB36" s="8">
        <v>0.315</v>
      </c>
      <c r="AC36" s="8">
        <v>0.30287999999999998</v>
      </c>
      <c r="AD36" s="8">
        <v>5.1843E-2</v>
      </c>
      <c r="AE36" s="8">
        <v>0.37996999999999997</v>
      </c>
      <c r="AF36" s="8">
        <v>0.25714999999999999</v>
      </c>
      <c r="AG36" s="8">
        <v>0.42054999999999998</v>
      </c>
      <c r="AH36" s="8">
        <v>0.18690000000000001</v>
      </c>
      <c r="AI36" s="8">
        <v>0.62424000000000002</v>
      </c>
      <c r="AJ36" s="8">
        <v>9.2067999999999997E-2</v>
      </c>
      <c r="AK36" s="8">
        <v>6.3704999999999998E-2</v>
      </c>
      <c r="AL36" s="8">
        <v>0.52959121951219523</v>
      </c>
      <c r="AM36" s="8">
        <v>6.8000000000000005E-2</v>
      </c>
      <c r="AN36" s="8">
        <v>0.62077341463414626</v>
      </c>
      <c r="AO36" s="8">
        <v>7.3885000000000006E-2</v>
      </c>
      <c r="AP36" s="8">
        <v>0.14427000000000001</v>
      </c>
      <c r="AQ36" s="8">
        <v>0.72619999999999996</v>
      </c>
      <c r="AR36" s="8">
        <v>0.13980000000000001</v>
      </c>
      <c r="AS36" s="8">
        <v>0.26190000000000002</v>
      </c>
      <c r="AT36" s="8">
        <v>4.9299999999999997E-2</v>
      </c>
      <c r="AU36" s="8">
        <v>0.17358999999999999</v>
      </c>
      <c r="AV36" s="8">
        <v>0.31950000000000001</v>
      </c>
      <c r="AW36" s="8">
        <v>0.46400000000000002</v>
      </c>
      <c r="AX36" s="8">
        <v>0.50917999999999997</v>
      </c>
      <c r="AY36" s="8">
        <v>0.15920999999999999</v>
      </c>
      <c r="AZ36" s="8">
        <v>0.24453</v>
      </c>
      <c r="BA36" s="8">
        <v>0.29663</v>
      </c>
      <c r="BB36" s="8">
        <v>0.13056000000000001</v>
      </c>
      <c r="BC36" s="8">
        <v>0.24790000000000001</v>
      </c>
      <c r="BD36" s="8">
        <v>0.76839999999999997</v>
      </c>
      <c r="BE36" s="8">
        <v>0.74114999999999998</v>
      </c>
      <c r="BF36" s="8">
        <v>0.64244000000000001</v>
      </c>
      <c r="BG36" s="8">
        <v>0.4325</v>
      </c>
      <c r="BH36" s="8">
        <v>0.39556999999999998</v>
      </c>
      <c r="BI36" s="8">
        <v>0.77649999999999997</v>
      </c>
      <c r="BJ36" s="8">
        <v>0.76953000000000005</v>
      </c>
      <c r="BK36" s="8">
        <v>0.57548999999999995</v>
      </c>
      <c r="BL36" s="8">
        <v>0.4289</v>
      </c>
      <c r="BM36" s="8">
        <v>0.10525</v>
      </c>
      <c r="BN36" s="8">
        <v>0.52858000000000005</v>
      </c>
      <c r="BO36" s="8">
        <v>0.20027</v>
      </c>
      <c r="BP36" s="8">
        <v>0.35189999999999999</v>
      </c>
      <c r="BQ36" s="8">
        <v>0.4103</v>
      </c>
      <c r="BR36" s="8">
        <v>0.47144000000000003</v>
      </c>
      <c r="BS36" s="8">
        <v>0.26297999999999999</v>
      </c>
      <c r="BT36" s="8">
        <v>0.70123000000000002</v>
      </c>
      <c r="BU36" s="8">
        <v>0.2039</v>
      </c>
      <c r="BV36" s="8">
        <v>0.54954999999999998</v>
      </c>
      <c r="BW36" s="8">
        <v>0.49575000000000002</v>
      </c>
      <c r="BX36" s="8">
        <v>5.8874999999999997E-2</v>
      </c>
      <c r="BY36" s="8">
        <v>0.1774</v>
      </c>
      <c r="BZ36" s="8">
        <v>0.38690000000000002</v>
      </c>
      <c r="CA36" s="8">
        <v>0.25140560975609755</v>
      </c>
      <c r="CB36" s="8">
        <v>0.28943000000000002</v>
      </c>
      <c r="CC36" s="8">
        <v>0.60175999999999996</v>
      </c>
      <c r="CD36" s="8">
        <v>0.4778</v>
      </c>
      <c r="CE36" s="8">
        <v>0.23007</v>
      </c>
      <c r="CF36" s="8">
        <v>0.74180000000000001</v>
      </c>
      <c r="CG36" s="8">
        <v>0.48270000000000002</v>
      </c>
      <c r="CH36" s="8">
        <v>6.1032999999999997E-2</v>
      </c>
      <c r="CI36" s="8">
        <v>0.14927000000000001</v>
      </c>
      <c r="CJ36" s="8">
        <v>0.42760999999999999</v>
      </c>
      <c r="CK36" s="8">
        <v>0.15340000000000001</v>
      </c>
      <c r="CL36" s="8">
        <v>0.34055999999999997</v>
      </c>
      <c r="CM36" s="8">
        <v>0.10344</v>
      </c>
      <c r="CN36" s="8">
        <v>0.12870000000000001</v>
      </c>
      <c r="CO36" s="8">
        <v>0.58275243902439045</v>
      </c>
      <c r="CP36" s="8">
        <v>0.26514414634146355</v>
      </c>
      <c r="CQ36" s="8">
        <v>0.37157000000000001</v>
      </c>
      <c r="CR36" s="8">
        <v>9.6368999999999996E-2</v>
      </c>
      <c r="CS36" s="8">
        <v>0.40661999999999998</v>
      </c>
      <c r="CT36" s="8">
        <v>0.49141000000000001</v>
      </c>
      <c r="CU36" s="8">
        <v>0.12640000000000001</v>
      </c>
      <c r="CV36" s="8">
        <v>0.1923</v>
      </c>
      <c r="CW36" s="8">
        <v>0.12839999999999999</v>
      </c>
    </row>
    <row r="37" spans="1:101">
      <c r="A37">
        <f t="shared" si="0"/>
        <v>495</v>
      </c>
      <c r="B37">
        <v>1</v>
      </c>
      <c r="C37" s="8">
        <v>0.51941999999999999</v>
      </c>
      <c r="D37" s="8">
        <v>0.14026</v>
      </c>
      <c r="E37" s="8">
        <v>5.6008000000000002E-2</v>
      </c>
      <c r="F37" s="8">
        <v>0.16336536585365863</v>
      </c>
      <c r="G37" s="8">
        <v>4.9907E-2</v>
      </c>
      <c r="H37" s="8">
        <v>9.9987000000000006E-2</v>
      </c>
      <c r="I37" s="8">
        <v>4.9361000000000002E-2</v>
      </c>
      <c r="J37" s="8">
        <v>5.5691999999999998E-2</v>
      </c>
      <c r="K37" s="8">
        <v>5.8044999999999999E-2</v>
      </c>
      <c r="L37" s="8">
        <v>0.16250000000000001</v>
      </c>
      <c r="M37" s="8">
        <v>4.4409999999999998E-2</v>
      </c>
      <c r="N37" s="8">
        <v>5.0865E-2</v>
      </c>
      <c r="O37" s="8">
        <v>7.1904999999999997E-2</v>
      </c>
      <c r="P37" s="8">
        <v>0.36675999999999997</v>
      </c>
      <c r="Q37" s="8">
        <v>0.32475999999999999</v>
      </c>
      <c r="R37" s="8">
        <v>7.9963000000000006E-2</v>
      </c>
      <c r="S37" s="8">
        <v>7.5590000000000004E-2</v>
      </c>
      <c r="T37" s="8">
        <v>0.15359</v>
      </c>
      <c r="U37" s="8">
        <v>0.12801000000000001</v>
      </c>
      <c r="V37" s="8">
        <v>0.2432</v>
      </c>
      <c r="W37" s="8">
        <v>0.20499000000000001</v>
      </c>
      <c r="X37" s="8">
        <v>0.17397000000000001</v>
      </c>
      <c r="Y37" s="8">
        <v>0.61277999999999999</v>
      </c>
      <c r="Z37" s="8">
        <v>0.36342999999999998</v>
      </c>
      <c r="AA37" s="8">
        <v>5.8513999999999997E-2</v>
      </c>
      <c r="AB37" s="8">
        <v>0.34048</v>
      </c>
      <c r="AC37" s="8">
        <v>0.31468000000000002</v>
      </c>
      <c r="AD37" s="8">
        <v>5.2657000000000002E-2</v>
      </c>
      <c r="AE37" s="8">
        <v>0.40328000000000003</v>
      </c>
      <c r="AF37" s="8">
        <v>0.26432</v>
      </c>
      <c r="AG37" s="8">
        <v>0.46096999999999999</v>
      </c>
      <c r="AH37" s="8">
        <v>0.21218000000000001</v>
      </c>
      <c r="AI37" s="8">
        <v>0.6331</v>
      </c>
      <c r="AJ37" s="8">
        <v>0.10573</v>
      </c>
      <c r="AK37" s="8">
        <v>6.9985000000000006E-2</v>
      </c>
      <c r="AL37" s="8">
        <v>0.53055170731707335</v>
      </c>
      <c r="AM37" s="8">
        <v>7.1145E-2</v>
      </c>
      <c r="AN37" s="8">
        <v>0.62698268292682946</v>
      </c>
      <c r="AO37" s="8">
        <v>8.0307000000000003E-2</v>
      </c>
      <c r="AP37" s="8">
        <v>0.16617000000000001</v>
      </c>
      <c r="AQ37" s="8">
        <v>0.73336000000000001</v>
      </c>
      <c r="AR37" s="8">
        <v>0.16761000000000001</v>
      </c>
      <c r="AS37" s="8">
        <v>0.32329999999999998</v>
      </c>
      <c r="AT37" s="8">
        <v>4.9861999999999997E-2</v>
      </c>
      <c r="AU37" s="8">
        <v>0.20369000000000001</v>
      </c>
      <c r="AV37" s="8">
        <v>0.34297</v>
      </c>
      <c r="AW37" s="8">
        <v>0.47932999999999998</v>
      </c>
      <c r="AX37" s="8">
        <v>0.52583000000000002</v>
      </c>
      <c r="AY37" s="8">
        <v>0.17469000000000001</v>
      </c>
      <c r="AZ37" s="8">
        <v>0.27018999999999999</v>
      </c>
      <c r="BA37" s="8">
        <v>0.32596999999999998</v>
      </c>
      <c r="BB37" s="8">
        <v>0.15570999999999999</v>
      </c>
      <c r="BC37" s="8">
        <v>0.28105000000000002</v>
      </c>
      <c r="BD37" s="8">
        <v>0.77166000000000001</v>
      </c>
      <c r="BE37" s="8">
        <v>0.74751999999999996</v>
      </c>
      <c r="BF37" s="8">
        <v>0.66137000000000001</v>
      </c>
      <c r="BG37" s="8">
        <v>0.44869999999999999</v>
      </c>
      <c r="BH37" s="8">
        <v>0.40467999999999998</v>
      </c>
      <c r="BI37" s="8">
        <v>0.79473000000000005</v>
      </c>
      <c r="BJ37" s="8">
        <v>0.77144999999999997</v>
      </c>
      <c r="BK37" s="8">
        <v>0.58884000000000003</v>
      </c>
      <c r="BL37" s="8">
        <v>0.42262</v>
      </c>
      <c r="BM37" s="8">
        <v>0.10508000000000001</v>
      </c>
      <c r="BN37" s="8">
        <v>0.52895000000000003</v>
      </c>
      <c r="BO37" s="8">
        <v>0.19442999999999999</v>
      </c>
      <c r="BP37" s="8">
        <v>0.34737000000000001</v>
      </c>
      <c r="BQ37" s="8">
        <v>0.40282000000000001</v>
      </c>
      <c r="BR37" s="8">
        <v>0.47732000000000002</v>
      </c>
      <c r="BS37" s="8">
        <v>0.26901999999999998</v>
      </c>
      <c r="BT37" s="8">
        <v>0.68799999999999994</v>
      </c>
      <c r="BU37" s="8">
        <v>0.19206000000000001</v>
      </c>
      <c r="BV37" s="8">
        <v>0.54681000000000002</v>
      </c>
      <c r="BW37" s="8">
        <v>0.48059000000000002</v>
      </c>
      <c r="BX37" s="8">
        <v>5.7854000000000003E-2</v>
      </c>
      <c r="BY37" s="8">
        <v>0.16234000000000001</v>
      </c>
      <c r="BZ37" s="8">
        <v>0.36620999999999998</v>
      </c>
      <c r="CA37" s="8">
        <v>0.23809317073170735</v>
      </c>
      <c r="CB37" s="8">
        <v>0.27027000000000001</v>
      </c>
      <c r="CC37" s="8">
        <v>0.58330000000000004</v>
      </c>
      <c r="CD37" s="8">
        <v>0.45229000000000003</v>
      </c>
      <c r="CE37" s="8">
        <v>0.21651999999999999</v>
      </c>
      <c r="CF37" s="8">
        <v>0.73043999999999998</v>
      </c>
      <c r="CG37" s="8">
        <v>0.46771000000000001</v>
      </c>
      <c r="CH37" s="8">
        <v>6.2670000000000003E-2</v>
      </c>
      <c r="CI37" s="8">
        <v>0.14321</v>
      </c>
      <c r="CJ37" s="8">
        <v>0.40933999999999998</v>
      </c>
      <c r="CK37" s="8">
        <v>0.1429</v>
      </c>
      <c r="CL37" s="8">
        <v>0.32102999999999998</v>
      </c>
      <c r="CM37" s="8">
        <v>9.3580999999999998E-2</v>
      </c>
      <c r="CN37" s="8">
        <v>0.11977</v>
      </c>
      <c r="CO37" s="8">
        <v>0.57510902439024392</v>
      </c>
      <c r="CP37" s="8">
        <v>0.25487560975609763</v>
      </c>
      <c r="CQ37" s="8">
        <v>0.35699999999999998</v>
      </c>
      <c r="CR37" s="8">
        <v>8.9368000000000003E-2</v>
      </c>
      <c r="CS37" s="8">
        <v>0.39437</v>
      </c>
      <c r="CT37" s="8">
        <v>0.47728999999999999</v>
      </c>
      <c r="CU37" s="8">
        <v>0.11162999999999999</v>
      </c>
      <c r="CV37" s="8">
        <v>0.1797</v>
      </c>
      <c r="CW37" s="8">
        <v>0.12204</v>
      </c>
    </row>
    <row r="38" spans="1:101">
      <c r="A38">
        <f t="shared" si="0"/>
        <v>500</v>
      </c>
      <c r="B38">
        <v>1</v>
      </c>
      <c r="C38" s="8">
        <v>0.50949999999999995</v>
      </c>
      <c r="D38" s="8">
        <v>0.13270000000000001</v>
      </c>
      <c r="E38" s="8">
        <v>5.3919000000000002E-2</v>
      </c>
      <c r="F38" s="8">
        <v>0.15560000000000004</v>
      </c>
      <c r="G38" s="8">
        <v>4.8689999999999997E-2</v>
      </c>
      <c r="H38" s="8">
        <v>9.8557000000000006E-2</v>
      </c>
      <c r="I38" s="8">
        <v>4.9000000000000002E-2</v>
      </c>
      <c r="J38" s="8">
        <v>5.5289999999999999E-2</v>
      </c>
      <c r="K38" s="8">
        <v>5.9251999999999999E-2</v>
      </c>
      <c r="L38" s="8">
        <v>0.16134999999999999</v>
      </c>
      <c r="M38" s="8">
        <v>4.3365000000000001E-2</v>
      </c>
      <c r="N38" s="8">
        <v>4.8672E-2</v>
      </c>
      <c r="O38" s="8">
        <v>7.9093999999999998E-2</v>
      </c>
      <c r="P38" s="8">
        <v>0.36820000000000003</v>
      </c>
      <c r="Q38" s="8">
        <v>0.33167999999999997</v>
      </c>
      <c r="R38" s="8">
        <v>8.3199999999999996E-2</v>
      </c>
      <c r="S38" s="8">
        <v>7.6480000000000006E-2</v>
      </c>
      <c r="T38" s="8">
        <v>0.159</v>
      </c>
      <c r="U38" s="8">
        <v>0.1348</v>
      </c>
      <c r="V38" s="8">
        <v>0.24664</v>
      </c>
      <c r="W38" s="8">
        <v>0.21238000000000001</v>
      </c>
      <c r="X38" s="8">
        <v>0.18568999999999999</v>
      </c>
      <c r="Y38" s="8">
        <v>0.62302999999999997</v>
      </c>
      <c r="Z38" s="8">
        <v>0.38540000000000002</v>
      </c>
      <c r="AA38" s="8">
        <v>6.343E-2</v>
      </c>
      <c r="AB38" s="8">
        <v>0.36919999999999997</v>
      </c>
      <c r="AC38" s="8">
        <v>0.32906999999999997</v>
      </c>
      <c r="AD38" s="8">
        <v>5.7799999999999997E-2</v>
      </c>
      <c r="AE38" s="8">
        <v>0.42723</v>
      </c>
      <c r="AF38" s="8">
        <v>0.27011000000000002</v>
      </c>
      <c r="AG38" s="8">
        <v>0.50100999999999996</v>
      </c>
      <c r="AH38" s="8">
        <v>0.2387</v>
      </c>
      <c r="AI38" s="8">
        <v>0.64078999999999997</v>
      </c>
      <c r="AJ38" s="8">
        <v>0.12138</v>
      </c>
      <c r="AK38" s="8">
        <v>7.6480999999999993E-2</v>
      </c>
      <c r="AL38" s="8">
        <v>0.53092195121951236</v>
      </c>
      <c r="AM38" s="8">
        <v>7.1999999999999995E-2</v>
      </c>
      <c r="AN38" s="8">
        <v>0.6327036585365855</v>
      </c>
      <c r="AO38" s="8">
        <v>8.5632E-2</v>
      </c>
      <c r="AP38" s="8">
        <v>0.186</v>
      </c>
      <c r="AQ38" s="8">
        <v>0.73640000000000005</v>
      </c>
      <c r="AR38" s="8">
        <v>0.20821000000000001</v>
      </c>
      <c r="AS38" s="8">
        <v>0.3891</v>
      </c>
      <c r="AT38" s="8">
        <v>5.04E-2</v>
      </c>
      <c r="AU38" s="8">
        <v>0.23996000000000001</v>
      </c>
      <c r="AV38" s="8">
        <v>0.3624</v>
      </c>
      <c r="AW38" s="8">
        <v>0.48480000000000001</v>
      </c>
      <c r="AX38" s="8">
        <v>0.54042000000000001</v>
      </c>
      <c r="AY38" s="8">
        <v>0.18701000000000001</v>
      </c>
      <c r="AZ38" s="8">
        <v>0.29107</v>
      </c>
      <c r="BA38" s="8">
        <v>0.34882999999999997</v>
      </c>
      <c r="BB38" s="8">
        <v>0.17817</v>
      </c>
      <c r="BC38" s="8">
        <v>0.31369999999999998</v>
      </c>
      <c r="BD38" s="8">
        <v>0.77300000000000002</v>
      </c>
      <c r="BE38" s="8">
        <v>0.75151000000000001</v>
      </c>
      <c r="BF38" s="8">
        <v>0.67062999999999995</v>
      </c>
      <c r="BG38" s="8">
        <v>0.45800000000000002</v>
      </c>
      <c r="BH38" s="8">
        <v>0.40689999999999998</v>
      </c>
      <c r="BI38" s="8">
        <v>0.81</v>
      </c>
      <c r="BJ38" s="8">
        <v>0.77193000000000001</v>
      </c>
      <c r="BK38" s="8">
        <v>0.60070000000000001</v>
      </c>
      <c r="BL38" s="8">
        <v>0.41302</v>
      </c>
      <c r="BM38" s="8">
        <v>0.10285</v>
      </c>
      <c r="BN38" s="8">
        <v>0.52249999999999996</v>
      </c>
      <c r="BO38" s="8">
        <v>0.18339</v>
      </c>
      <c r="BP38" s="8">
        <v>0.33650000000000002</v>
      </c>
      <c r="BQ38" s="8">
        <v>0.38790000000000002</v>
      </c>
      <c r="BR38" s="8">
        <v>0.47999000000000003</v>
      </c>
      <c r="BS38" s="8">
        <v>0.27359</v>
      </c>
      <c r="BT38" s="8">
        <v>0.67186999999999997</v>
      </c>
      <c r="BU38" s="8">
        <v>0.17799999999999999</v>
      </c>
      <c r="BV38" s="8">
        <v>0.54325999999999997</v>
      </c>
      <c r="BW38" s="8">
        <v>0.46417999999999998</v>
      </c>
      <c r="BX38" s="8">
        <v>5.6293999999999997E-2</v>
      </c>
      <c r="BY38" s="8">
        <v>0.14649999999999999</v>
      </c>
      <c r="BZ38" s="8">
        <v>0.34350000000000003</v>
      </c>
      <c r="CA38" s="8">
        <v>0.22534682926829272</v>
      </c>
      <c r="CB38" s="8">
        <v>0.25169999999999998</v>
      </c>
      <c r="CC38" s="8">
        <v>0.56372999999999995</v>
      </c>
      <c r="CD38" s="8">
        <v>0.42720000000000002</v>
      </c>
      <c r="CE38" s="8">
        <v>0.20355999999999999</v>
      </c>
      <c r="CF38" s="8">
        <v>0.71879999999999999</v>
      </c>
      <c r="CG38" s="8">
        <v>0.45300000000000001</v>
      </c>
      <c r="CH38" s="8">
        <v>6.3514000000000001E-2</v>
      </c>
      <c r="CI38" s="8">
        <v>0.13436000000000001</v>
      </c>
      <c r="CJ38" s="8">
        <v>0.39068000000000003</v>
      </c>
      <c r="CK38" s="8">
        <v>0.13255</v>
      </c>
      <c r="CL38" s="8">
        <v>0.30253999999999998</v>
      </c>
      <c r="CM38" s="8">
        <v>8.4585999999999995E-2</v>
      </c>
      <c r="CN38" s="8">
        <v>0.11260000000000001</v>
      </c>
      <c r="CO38" s="8">
        <v>0.56692341463414642</v>
      </c>
      <c r="CP38" s="8">
        <v>0.24532219512195125</v>
      </c>
      <c r="CQ38" s="8">
        <v>0.34355999999999998</v>
      </c>
      <c r="CR38" s="8">
        <v>8.3405000000000007E-2</v>
      </c>
      <c r="CS38" s="8">
        <v>0.38166</v>
      </c>
      <c r="CT38" s="8">
        <v>0.46359</v>
      </c>
      <c r="CU38" s="8">
        <v>9.8799999999999999E-2</v>
      </c>
      <c r="CV38" s="8">
        <v>0.16764999999999999</v>
      </c>
      <c r="CW38" s="8">
        <v>0.11650000000000001</v>
      </c>
    </row>
    <row r="39" spans="1:101">
      <c r="A39">
        <f t="shared" si="0"/>
        <v>505</v>
      </c>
      <c r="B39">
        <v>1</v>
      </c>
      <c r="C39" s="8">
        <v>0.50163000000000002</v>
      </c>
      <c r="D39" s="8">
        <v>0.12604000000000001</v>
      </c>
      <c r="E39" s="8">
        <v>5.2020999999999998E-2</v>
      </c>
      <c r="F39" s="8">
        <v>0.15189536585365859</v>
      </c>
      <c r="G39" s="8">
        <v>4.7834000000000002E-2</v>
      </c>
      <c r="H39" s="8">
        <v>9.7115000000000007E-2</v>
      </c>
      <c r="I39" s="8">
        <v>4.8659000000000001E-2</v>
      </c>
      <c r="J39" s="8">
        <v>5.5051000000000003E-2</v>
      </c>
      <c r="K39" s="8">
        <v>5.8986999999999998E-2</v>
      </c>
      <c r="L39" s="8">
        <v>0.16120000000000001</v>
      </c>
      <c r="M39" s="8">
        <v>4.2431999999999997E-2</v>
      </c>
      <c r="N39" s="8">
        <v>4.9947999999999999E-2</v>
      </c>
      <c r="O39" s="8">
        <v>8.3734000000000003E-2</v>
      </c>
      <c r="P39" s="8">
        <v>0.37008999999999997</v>
      </c>
      <c r="Q39" s="8">
        <v>0.33767000000000003</v>
      </c>
      <c r="R39" s="8">
        <v>8.6472999999999994E-2</v>
      </c>
      <c r="S39" s="8">
        <v>7.7010999999999996E-2</v>
      </c>
      <c r="T39" s="8">
        <v>0.16433</v>
      </c>
      <c r="U39" s="8">
        <v>0.14804999999999999</v>
      </c>
      <c r="V39" s="8">
        <v>0.2407</v>
      </c>
      <c r="W39" s="8">
        <v>0.22278000000000001</v>
      </c>
      <c r="X39" s="8">
        <v>0.19875999999999999</v>
      </c>
      <c r="Y39" s="8">
        <v>0.63424999999999998</v>
      </c>
      <c r="Z39" s="8">
        <v>0.41038999999999998</v>
      </c>
      <c r="AA39" s="8">
        <v>7.0616999999999999E-2</v>
      </c>
      <c r="AB39" s="8">
        <v>0.40017000000000003</v>
      </c>
      <c r="AC39" s="8">
        <v>0.34462999999999999</v>
      </c>
      <c r="AD39" s="8">
        <v>6.5828999999999999E-2</v>
      </c>
      <c r="AE39" s="8">
        <v>0.45368999999999998</v>
      </c>
      <c r="AF39" s="8">
        <v>0.27155000000000001</v>
      </c>
      <c r="AG39" s="8">
        <v>0.53702000000000005</v>
      </c>
      <c r="AH39" s="8">
        <v>0.26635999999999999</v>
      </c>
      <c r="AI39" s="8">
        <v>0.65017999999999998</v>
      </c>
      <c r="AJ39" s="8">
        <v>0.13905999999999999</v>
      </c>
      <c r="AK39" s="8">
        <v>8.2441E-2</v>
      </c>
      <c r="AL39" s="8">
        <v>0.53193317073170732</v>
      </c>
      <c r="AM39" s="8">
        <v>7.0384000000000002E-2</v>
      </c>
      <c r="AN39" s="8">
        <v>0.64011317073170737</v>
      </c>
      <c r="AO39" s="8">
        <v>8.9154999999999998E-2</v>
      </c>
      <c r="AP39" s="8">
        <v>0.20197999999999999</v>
      </c>
      <c r="AQ39" s="8">
        <v>0.73638000000000003</v>
      </c>
      <c r="AR39" s="8">
        <v>0.26399</v>
      </c>
      <c r="AS39" s="8">
        <v>0.45023999999999997</v>
      </c>
      <c r="AT39" s="8">
        <v>5.0823E-2</v>
      </c>
      <c r="AU39" s="8">
        <v>0.27413999999999999</v>
      </c>
      <c r="AV39" s="8">
        <v>0.37735000000000002</v>
      </c>
      <c r="AW39" s="8">
        <v>0.48229</v>
      </c>
      <c r="AX39" s="8">
        <v>0.55383000000000004</v>
      </c>
      <c r="AY39" s="8">
        <v>0.19627</v>
      </c>
      <c r="AZ39" s="8">
        <v>0.30412</v>
      </c>
      <c r="BA39" s="8">
        <v>0.36119000000000001</v>
      </c>
      <c r="BB39" s="8">
        <v>0.19575000000000001</v>
      </c>
      <c r="BC39" s="8">
        <v>0.34111000000000002</v>
      </c>
      <c r="BD39" s="8">
        <v>0.77288999999999997</v>
      </c>
      <c r="BE39" s="8">
        <v>0.75312000000000001</v>
      </c>
      <c r="BF39" s="8">
        <v>0.67105999999999999</v>
      </c>
      <c r="BG39" s="8">
        <v>0.46055000000000001</v>
      </c>
      <c r="BH39" s="8">
        <v>0.40340999999999999</v>
      </c>
      <c r="BI39" s="8">
        <v>0.81989999999999996</v>
      </c>
      <c r="BJ39" s="8">
        <v>0.77081999999999995</v>
      </c>
      <c r="BK39" s="8">
        <v>0.61031000000000002</v>
      </c>
      <c r="BL39" s="8">
        <v>0.40100999999999998</v>
      </c>
      <c r="BM39" s="8">
        <v>9.9080000000000001E-2</v>
      </c>
      <c r="BN39" s="8">
        <v>0.51015999999999995</v>
      </c>
      <c r="BO39" s="8">
        <v>0.16986999999999999</v>
      </c>
      <c r="BP39" s="8">
        <v>0.32016</v>
      </c>
      <c r="BQ39" s="8">
        <v>0.36753999999999998</v>
      </c>
      <c r="BR39" s="8">
        <v>0.47815999999999997</v>
      </c>
      <c r="BS39" s="8">
        <v>0.27587</v>
      </c>
      <c r="BT39" s="8">
        <v>0.65288000000000002</v>
      </c>
      <c r="BU39" s="8">
        <v>0.16197</v>
      </c>
      <c r="BV39" s="8">
        <v>0.53893999999999997</v>
      </c>
      <c r="BW39" s="8">
        <v>0.44544</v>
      </c>
      <c r="BX39" s="8">
        <v>5.4477999999999999E-2</v>
      </c>
      <c r="BY39" s="8">
        <v>0.13039999999999999</v>
      </c>
      <c r="BZ39" s="8">
        <v>0.31847999999999999</v>
      </c>
      <c r="CA39" s="8">
        <v>0.21296609756097565</v>
      </c>
      <c r="CB39" s="8">
        <v>0.23219000000000001</v>
      </c>
      <c r="CC39" s="8">
        <v>0.54442999999999997</v>
      </c>
      <c r="CD39" s="8">
        <v>0.40344000000000002</v>
      </c>
      <c r="CE39" s="8">
        <v>0.18994</v>
      </c>
      <c r="CF39" s="8">
        <v>0.70796000000000003</v>
      </c>
      <c r="CG39" s="8">
        <v>0.43915999999999999</v>
      </c>
      <c r="CH39" s="8">
        <v>6.3145999999999994E-2</v>
      </c>
      <c r="CI39" s="8">
        <v>0.12644</v>
      </c>
      <c r="CJ39" s="8">
        <v>0.37145</v>
      </c>
      <c r="CK39" s="8">
        <v>0.12197</v>
      </c>
      <c r="CL39" s="8">
        <v>0.28661999999999999</v>
      </c>
      <c r="CM39" s="8">
        <v>7.7413999999999997E-2</v>
      </c>
      <c r="CN39" s="8">
        <v>0.10642</v>
      </c>
      <c r="CO39" s="8">
        <v>0.55948585365853654</v>
      </c>
      <c r="CP39" s="8">
        <v>0.23678707317073167</v>
      </c>
      <c r="CQ39" s="8">
        <v>0.33107999999999999</v>
      </c>
      <c r="CR39" s="8">
        <v>7.7947000000000002E-2</v>
      </c>
      <c r="CS39" s="8">
        <v>0.36831999999999998</v>
      </c>
      <c r="CT39" s="8">
        <v>0.45024999999999998</v>
      </c>
      <c r="CU39" s="8">
        <v>8.9927999999999994E-2</v>
      </c>
      <c r="CV39" s="8">
        <v>0.15642</v>
      </c>
      <c r="CW39" s="8">
        <v>0.11137</v>
      </c>
    </row>
    <row r="40" spans="1:101">
      <c r="A40">
        <f t="shared" si="0"/>
        <v>510</v>
      </c>
      <c r="B40">
        <v>1</v>
      </c>
      <c r="C40" s="8">
        <v>0.49580000000000002</v>
      </c>
      <c r="D40" s="8">
        <v>0.12089999999999999</v>
      </c>
      <c r="E40" s="8">
        <v>4.8947999999999998E-2</v>
      </c>
      <c r="F40" s="8">
        <v>0.15143439024390248</v>
      </c>
      <c r="G40" s="8">
        <v>4.761E-2</v>
      </c>
      <c r="H40" s="8">
        <v>9.5994999999999997E-2</v>
      </c>
      <c r="I40" s="8">
        <v>4.8399999999999999E-2</v>
      </c>
      <c r="J40" s="8">
        <v>5.4960000000000002E-2</v>
      </c>
      <c r="K40" s="8">
        <v>5.7706E-2</v>
      </c>
      <c r="L40" s="8">
        <v>0.16111</v>
      </c>
      <c r="M40" s="8">
        <v>4.1689999999999998E-2</v>
      </c>
      <c r="N40" s="8">
        <v>5.2351000000000002E-2</v>
      </c>
      <c r="O40" s="8">
        <v>8.6537000000000003E-2</v>
      </c>
      <c r="P40" s="8">
        <v>0.37269999999999998</v>
      </c>
      <c r="Q40" s="8">
        <v>0.34118999999999999</v>
      </c>
      <c r="R40" s="8">
        <v>8.9733999999999994E-2</v>
      </c>
      <c r="S40" s="8">
        <v>7.7465999999999993E-2</v>
      </c>
      <c r="T40" s="8">
        <v>0.16880000000000001</v>
      </c>
      <c r="U40" s="8">
        <v>0.16639999999999999</v>
      </c>
      <c r="V40" s="8">
        <v>0.23085</v>
      </c>
      <c r="W40" s="8">
        <v>0.23849000000000001</v>
      </c>
      <c r="X40" s="8">
        <v>0.21356</v>
      </c>
      <c r="Y40" s="8">
        <v>0.64598999999999995</v>
      </c>
      <c r="Z40" s="8">
        <v>0.43859999999999999</v>
      </c>
      <c r="AA40" s="8">
        <v>8.2175999999999999E-2</v>
      </c>
      <c r="AB40" s="8">
        <v>0.43290000000000001</v>
      </c>
      <c r="AC40" s="8">
        <v>0.35691000000000001</v>
      </c>
      <c r="AD40" s="8">
        <v>7.9228999999999994E-2</v>
      </c>
      <c r="AE40" s="8">
        <v>0.48276999999999998</v>
      </c>
      <c r="AF40" s="8">
        <v>0.27200000000000002</v>
      </c>
      <c r="AG40" s="8">
        <v>0.56908000000000003</v>
      </c>
      <c r="AH40" s="8">
        <v>0.29520000000000002</v>
      </c>
      <c r="AI40" s="8">
        <v>0.66068000000000005</v>
      </c>
      <c r="AJ40" s="8">
        <v>0.16048000000000001</v>
      </c>
      <c r="AK40" s="8">
        <v>8.7626999999999997E-2</v>
      </c>
      <c r="AL40" s="8">
        <v>0.53346804878048781</v>
      </c>
      <c r="AM40" s="8">
        <v>7.3999999999999996E-2</v>
      </c>
      <c r="AN40" s="8">
        <v>0.64719146341463407</v>
      </c>
      <c r="AO40" s="8">
        <v>9.1299000000000005E-2</v>
      </c>
      <c r="AP40" s="8">
        <v>0.21465000000000001</v>
      </c>
      <c r="AQ40" s="8">
        <v>0.73419999999999996</v>
      </c>
      <c r="AR40" s="8">
        <v>0.33133000000000001</v>
      </c>
      <c r="AS40" s="8">
        <v>0.49969999999999998</v>
      </c>
      <c r="AT40" s="8">
        <v>5.11E-2</v>
      </c>
      <c r="AU40" s="8">
        <v>0.30442999999999998</v>
      </c>
      <c r="AV40" s="8">
        <v>0.38800000000000001</v>
      </c>
      <c r="AW40" s="8">
        <v>0.47449999999999998</v>
      </c>
      <c r="AX40" s="8">
        <v>0.56645999999999996</v>
      </c>
      <c r="AY40" s="8">
        <v>0.20241000000000001</v>
      </c>
      <c r="AZ40" s="8">
        <v>0.31122</v>
      </c>
      <c r="BA40" s="8">
        <v>0.36570000000000003</v>
      </c>
      <c r="BB40" s="8">
        <v>0.20907999999999999</v>
      </c>
      <c r="BC40" s="8">
        <v>0.35849999999999999</v>
      </c>
      <c r="BD40" s="8">
        <v>0.7722</v>
      </c>
      <c r="BE40" s="8">
        <v>0.75258999999999998</v>
      </c>
      <c r="BF40" s="8">
        <v>0.66461000000000003</v>
      </c>
      <c r="BG40" s="8">
        <v>0.45710000000000001</v>
      </c>
      <c r="BH40" s="8">
        <v>0.39562000000000003</v>
      </c>
      <c r="BI40" s="8">
        <v>0.82440000000000002</v>
      </c>
      <c r="BJ40" s="8">
        <v>0.76795999999999998</v>
      </c>
      <c r="BK40" s="8">
        <v>0.61756999999999995</v>
      </c>
      <c r="BL40" s="8">
        <v>0.38819999999999999</v>
      </c>
      <c r="BM40" s="8">
        <v>9.4134999999999996E-2</v>
      </c>
      <c r="BN40" s="8">
        <v>0.49295</v>
      </c>
      <c r="BO40" s="8">
        <v>0.15589</v>
      </c>
      <c r="BP40" s="8">
        <v>0.29980000000000001</v>
      </c>
      <c r="BQ40" s="8">
        <v>0.34329999999999999</v>
      </c>
      <c r="BR40" s="8">
        <v>0.47256999999999999</v>
      </c>
      <c r="BS40" s="8">
        <v>0.27606000000000003</v>
      </c>
      <c r="BT40" s="8">
        <v>0.63146999999999998</v>
      </c>
      <c r="BU40" s="8">
        <v>0.1452</v>
      </c>
      <c r="BV40" s="8">
        <v>0.53388999999999998</v>
      </c>
      <c r="BW40" s="8">
        <v>0.42486000000000002</v>
      </c>
      <c r="BX40" s="8">
        <v>5.2818999999999998E-2</v>
      </c>
      <c r="BY40" s="8">
        <v>0.1148</v>
      </c>
      <c r="BZ40" s="8">
        <v>0.29189999999999999</v>
      </c>
      <c r="CA40" s="8">
        <v>0.20097853658536588</v>
      </c>
      <c r="CB40" s="8">
        <v>0.21257999999999999</v>
      </c>
      <c r="CC40" s="8">
        <v>0.52600000000000002</v>
      </c>
      <c r="CD40" s="8">
        <v>0.38140000000000002</v>
      </c>
      <c r="CE40" s="8">
        <v>0.17480999999999999</v>
      </c>
      <c r="CF40" s="8">
        <v>0.69789999999999996</v>
      </c>
      <c r="CG40" s="8">
        <v>0.42670000000000002</v>
      </c>
      <c r="CH40" s="8">
        <v>6.1926000000000002E-2</v>
      </c>
      <c r="CI40" s="8">
        <v>0.12123</v>
      </c>
      <c r="CJ40" s="8">
        <v>0.35265000000000002</v>
      </c>
      <c r="CK40" s="8">
        <v>0.11119999999999999</v>
      </c>
      <c r="CL40" s="8">
        <v>0.27176</v>
      </c>
      <c r="CM40" s="8">
        <v>7.1948999999999999E-2</v>
      </c>
      <c r="CN40" s="8">
        <v>0.1002</v>
      </c>
      <c r="CO40" s="8">
        <v>0.55296560975609743</v>
      </c>
      <c r="CP40" s="8">
        <v>0.2275580487804878</v>
      </c>
      <c r="CQ40" s="8">
        <v>0.31952000000000003</v>
      </c>
      <c r="CR40" s="8">
        <v>7.2992000000000001E-2</v>
      </c>
      <c r="CS40" s="8">
        <v>0.35444999999999999</v>
      </c>
      <c r="CT40" s="8">
        <v>0.43719999999999998</v>
      </c>
      <c r="CU40" s="8">
        <v>8.48E-2</v>
      </c>
      <c r="CV40" s="8">
        <v>0.14727000000000001</v>
      </c>
      <c r="CW40" s="8">
        <v>0.1061</v>
      </c>
    </row>
    <row r="41" spans="1:101">
      <c r="A41">
        <f t="shared" si="0"/>
        <v>515</v>
      </c>
      <c r="B41">
        <v>1</v>
      </c>
      <c r="C41" s="8">
        <v>0.49170999999999998</v>
      </c>
      <c r="D41" s="8">
        <v>0.11769</v>
      </c>
      <c r="E41" s="8">
        <v>4.7624E-2</v>
      </c>
      <c r="F41" s="8">
        <v>0.15411975609756104</v>
      </c>
      <c r="G41" s="8">
        <v>4.8309999999999999E-2</v>
      </c>
      <c r="H41" s="8">
        <v>9.5629000000000006E-2</v>
      </c>
      <c r="I41" s="8">
        <v>4.8278000000000001E-2</v>
      </c>
      <c r="J41" s="8">
        <v>5.4947999999999997E-2</v>
      </c>
      <c r="K41" s="8">
        <v>5.602E-2</v>
      </c>
      <c r="L41" s="8">
        <v>0.16047</v>
      </c>
      <c r="M41" s="8">
        <v>4.1311E-2</v>
      </c>
      <c r="N41" s="8">
        <v>5.5646000000000001E-2</v>
      </c>
      <c r="O41" s="8">
        <v>8.8405999999999998E-2</v>
      </c>
      <c r="P41" s="8">
        <v>0.37624999999999997</v>
      </c>
      <c r="Q41" s="8">
        <v>0.34098000000000001</v>
      </c>
      <c r="R41" s="8">
        <v>9.2884999999999995E-2</v>
      </c>
      <c r="S41" s="8">
        <v>7.8168000000000001E-2</v>
      </c>
      <c r="T41" s="8">
        <v>0.17166000000000001</v>
      </c>
      <c r="U41" s="8">
        <v>0.18711</v>
      </c>
      <c r="V41" s="8">
        <v>0.22122</v>
      </c>
      <c r="W41" s="8">
        <v>0.26173999999999997</v>
      </c>
      <c r="X41" s="8">
        <v>0.23039000000000001</v>
      </c>
      <c r="Y41" s="8">
        <v>0.65788999999999997</v>
      </c>
      <c r="Z41" s="8">
        <v>0.47037000000000001</v>
      </c>
      <c r="AA41" s="8">
        <v>0.10589</v>
      </c>
      <c r="AB41" s="8">
        <v>0.46716999999999997</v>
      </c>
      <c r="AC41" s="8">
        <v>0.36974000000000001</v>
      </c>
      <c r="AD41" s="8">
        <v>9.3157000000000004E-2</v>
      </c>
      <c r="AE41" s="8">
        <v>0.51378000000000001</v>
      </c>
      <c r="AF41" s="8">
        <v>0.27353</v>
      </c>
      <c r="AG41" s="8">
        <v>0.59785999999999995</v>
      </c>
      <c r="AH41" s="8">
        <v>0.32517000000000001</v>
      </c>
      <c r="AI41" s="8">
        <v>0.67101</v>
      </c>
      <c r="AJ41" s="8">
        <v>0.18726999999999999</v>
      </c>
      <c r="AK41" s="8">
        <v>9.2257000000000006E-2</v>
      </c>
      <c r="AL41" s="8">
        <v>0.53401878048780482</v>
      </c>
      <c r="AM41" s="8">
        <v>8.9942999999999995E-2</v>
      </c>
      <c r="AN41" s="8">
        <v>0.6517087804878049</v>
      </c>
      <c r="AO41" s="8">
        <v>9.2554999999999998E-2</v>
      </c>
      <c r="AP41" s="8">
        <v>0.22434999999999999</v>
      </c>
      <c r="AQ41" s="8">
        <v>0.73060999999999998</v>
      </c>
      <c r="AR41" s="8">
        <v>0.40351999999999999</v>
      </c>
      <c r="AS41" s="8">
        <v>0.53263000000000005</v>
      </c>
      <c r="AT41" s="8">
        <v>5.1221000000000003E-2</v>
      </c>
      <c r="AU41" s="8">
        <v>0.32536999999999999</v>
      </c>
      <c r="AV41" s="8">
        <v>0.39477000000000001</v>
      </c>
      <c r="AW41" s="8">
        <v>0.46401999999999999</v>
      </c>
      <c r="AX41" s="8">
        <v>0.57838000000000001</v>
      </c>
      <c r="AY41" s="8">
        <v>0.20541999999999999</v>
      </c>
      <c r="AZ41" s="8">
        <v>0.31476999999999999</v>
      </c>
      <c r="BA41" s="8">
        <v>0.36586000000000002</v>
      </c>
      <c r="BB41" s="8">
        <v>0.21853</v>
      </c>
      <c r="BC41" s="8">
        <v>0.36251</v>
      </c>
      <c r="BD41" s="8">
        <v>0.77163999999999999</v>
      </c>
      <c r="BE41" s="8">
        <v>0.75009999999999999</v>
      </c>
      <c r="BF41" s="8">
        <v>0.65332000000000001</v>
      </c>
      <c r="BG41" s="8">
        <v>0.44861000000000001</v>
      </c>
      <c r="BH41" s="8">
        <v>0.38483000000000001</v>
      </c>
      <c r="BI41" s="8">
        <v>0.82406999999999997</v>
      </c>
      <c r="BJ41" s="8">
        <v>0.76324000000000003</v>
      </c>
      <c r="BK41" s="8">
        <v>0.62183999999999995</v>
      </c>
      <c r="BL41" s="8">
        <v>0.37623000000000001</v>
      </c>
      <c r="BM41" s="8">
        <v>8.8375999999999996E-2</v>
      </c>
      <c r="BN41" s="8">
        <v>0.47184999999999999</v>
      </c>
      <c r="BO41" s="8">
        <v>0.14313000000000001</v>
      </c>
      <c r="BP41" s="8">
        <v>0.27692</v>
      </c>
      <c r="BQ41" s="8">
        <v>0.31661</v>
      </c>
      <c r="BR41" s="8">
        <v>0.46378000000000003</v>
      </c>
      <c r="BS41" s="8">
        <v>0.27412999999999998</v>
      </c>
      <c r="BT41" s="8">
        <v>0.60795999999999994</v>
      </c>
      <c r="BU41" s="8">
        <v>0.12916</v>
      </c>
      <c r="BV41" s="8">
        <v>0.52808999999999995</v>
      </c>
      <c r="BW41" s="8">
        <v>0.40322999999999998</v>
      </c>
      <c r="BX41" s="8">
        <v>5.1643000000000001E-2</v>
      </c>
      <c r="BY41" s="8">
        <v>0.10054</v>
      </c>
      <c r="BZ41" s="8">
        <v>0.26502999999999999</v>
      </c>
      <c r="CA41" s="8">
        <v>0.18933512195121951</v>
      </c>
      <c r="CB41" s="8">
        <v>0.19420999999999999</v>
      </c>
      <c r="CC41" s="8">
        <v>0.50863000000000003</v>
      </c>
      <c r="CD41" s="8">
        <v>0.36126999999999998</v>
      </c>
      <c r="CE41" s="8">
        <v>0.15837999999999999</v>
      </c>
      <c r="CF41" s="8">
        <v>0.68833999999999995</v>
      </c>
      <c r="CG41" s="8">
        <v>0.41592000000000001</v>
      </c>
      <c r="CH41" s="8">
        <v>6.0271999999999999E-2</v>
      </c>
      <c r="CI41" s="8">
        <v>0.11599</v>
      </c>
      <c r="CJ41" s="8">
        <v>0.33549000000000001</v>
      </c>
      <c r="CK41" s="8">
        <v>0.10054</v>
      </c>
      <c r="CL41" s="8">
        <v>0.25597999999999999</v>
      </c>
      <c r="CM41" s="8">
        <v>6.7756999999999998E-2</v>
      </c>
      <c r="CN41" s="8">
        <v>9.3206999999999998E-2</v>
      </c>
      <c r="CO41" s="8">
        <v>0.54596975609756104</v>
      </c>
      <c r="CP41" s="8">
        <v>0.21695682926829271</v>
      </c>
      <c r="CQ41" s="8">
        <v>0.30897000000000002</v>
      </c>
      <c r="CR41" s="8">
        <v>6.8644999999999998E-2</v>
      </c>
      <c r="CS41" s="8">
        <v>0.34032000000000001</v>
      </c>
      <c r="CT41" s="8">
        <v>0.42459000000000002</v>
      </c>
      <c r="CU41" s="8">
        <v>8.2340999999999998E-2</v>
      </c>
      <c r="CV41" s="8">
        <v>0.14136000000000001</v>
      </c>
      <c r="CW41" s="8">
        <v>0.10032000000000001</v>
      </c>
    </row>
    <row r="42" spans="1:101">
      <c r="A42">
        <f t="shared" si="0"/>
        <v>520</v>
      </c>
      <c r="B42">
        <v>1</v>
      </c>
      <c r="C42" s="8">
        <v>0.4894</v>
      </c>
      <c r="D42" s="8">
        <v>0.11609999999999999</v>
      </c>
      <c r="E42" s="8">
        <v>4.6470999999999998E-2</v>
      </c>
      <c r="F42" s="8">
        <v>0.16036341463414638</v>
      </c>
      <c r="G42" s="8">
        <v>5.0110000000000002E-2</v>
      </c>
      <c r="H42" s="8">
        <v>9.6192E-2</v>
      </c>
      <c r="I42" s="8">
        <v>4.82E-2</v>
      </c>
      <c r="J42" s="8">
        <v>5.491E-2</v>
      </c>
      <c r="K42" s="8">
        <v>5.4203000000000001E-2</v>
      </c>
      <c r="L42" s="8">
        <v>0.16075</v>
      </c>
      <c r="M42" s="8">
        <v>4.1394E-2</v>
      </c>
      <c r="N42" s="8">
        <v>5.9795000000000001E-2</v>
      </c>
      <c r="O42" s="8">
        <v>8.9118000000000003E-2</v>
      </c>
      <c r="P42" s="8">
        <v>0.38080000000000003</v>
      </c>
      <c r="Q42" s="8">
        <v>0.33711999999999998</v>
      </c>
      <c r="R42" s="8">
        <v>9.5756999999999995E-2</v>
      </c>
      <c r="S42" s="8">
        <v>7.9240000000000005E-2</v>
      </c>
      <c r="T42" s="8">
        <v>0.17280000000000001</v>
      </c>
      <c r="U42" s="8">
        <v>0.20519999999999999</v>
      </c>
      <c r="V42" s="8">
        <v>0.21248</v>
      </c>
      <c r="W42" s="8">
        <v>0.29339999999999999</v>
      </c>
      <c r="X42" s="8">
        <v>0.24906</v>
      </c>
      <c r="Y42" s="8">
        <v>0.67035999999999996</v>
      </c>
      <c r="Z42" s="8">
        <v>0.50619999999999998</v>
      </c>
      <c r="AA42" s="8">
        <v>0.14388000000000001</v>
      </c>
      <c r="AB42" s="8">
        <v>0.50319999999999998</v>
      </c>
      <c r="AC42" s="8">
        <v>0.38422000000000001</v>
      </c>
      <c r="AD42" s="8">
        <v>0.10443</v>
      </c>
      <c r="AE42" s="8">
        <v>0.54473000000000005</v>
      </c>
      <c r="AF42" s="8">
        <v>0.27629999999999999</v>
      </c>
      <c r="AG42" s="8">
        <v>0.62260000000000004</v>
      </c>
      <c r="AH42" s="8">
        <v>0.35580000000000001</v>
      </c>
      <c r="AI42" s="8">
        <v>0.68047999999999997</v>
      </c>
      <c r="AJ42" s="8">
        <v>0.21931999999999999</v>
      </c>
      <c r="AK42" s="8">
        <v>9.7852999999999996E-2</v>
      </c>
      <c r="AL42" s="8">
        <v>0.53283024390243894</v>
      </c>
      <c r="AM42" s="8">
        <v>0.115</v>
      </c>
      <c r="AN42" s="8">
        <v>0.65373365853658527</v>
      </c>
      <c r="AO42" s="8">
        <v>9.2535999999999993E-2</v>
      </c>
      <c r="AP42" s="8">
        <v>0.22825000000000001</v>
      </c>
      <c r="AQ42" s="8">
        <v>0.72609999999999997</v>
      </c>
      <c r="AR42" s="8">
        <v>0.46745999999999999</v>
      </c>
      <c r="AS42" s="8">
        <v>0.55069999999999997</v>
      </c>
      <c r="AT42" s="8">
        <v>5.1200000000000002E-2</v>
      </c>
      <c r="AU42" s="8">
        <v>0.33756000000000003</v>
      </c>
      <c r="AV42" s="8">
        <v>0.39829999999999999</v>
      </c>
      <c r="AW42" s="8">
        <v>0.45219999999999999</v>
      </c>
      <c r="AX42" s="8">
        <v>0.58865999999999996</v>
      </c>
      <c r="AY42" s="8">
        <v>0.20552999999999999</v>
      </c>
      <c r="AZ42" s="8">
        <v>0.31448999999999999</v>
      </c>
      <c r="BA42" s="8">
        <v>0.36203000000000002</v>
      </c>
      <c r="BB42" s="8">
        <v>0.22051999999999999</v>
      </c>
      <c r="BC42" s="8">
        <v>0.35539999999999999</v>
      </c>
      <c r="BD42" s="8">
        <v>0.77090000000000003</v>
      </c>
      <c r="BE42" s="8">
        <v>0.74536999999999998</v>
      </c>
      <c r="BF42" s="8">
        <v>0.63836000000000004</v>
      </c>
      <c r="BG42" s="8">
        <v>0.43619999999999998</v>
      </c>
      <c r="BH42" s="8">
        <v>0.37179000000000001</v>
      </c>
      <c r="BI42" s="8">
        <v>0.8196</v>
      </c>
      <c r="BJ42" s="8">
        <v>0.75680000000000003</v>
      </c>
      <c r="BK42" s="8">
        <v>0.61965000000000003</v>
      </c>
      <c r="BL42" s="8">
        <v>0.36636000000000002</v>
      </c>
      <c r="BM42" s="8">
        <v>8.2318000000000002E-2</v>
      </c>
      <c r="BN42" s="8">
        <v>0.44761000000000001</v>
      </c>
      <c r="BO42" s="8">
        <v>0.13275000000000001</v>
      </c>
      <c r="BP42" s="8">
        <v>0.25269999999999998</v>
      </c>
      <c r="BQ42" s="8">
        <v>0.28889999999999999</v>
      </c>
      <c r="BR42" s="8">
        <v>0.44969999999999999</v>
      </c>
      <c r="BS42" s="8">
        <v>0.26801999999999998</v>
      </c>
      <c r="BT42" s="8">
        <v>0.58201000000000003</v>
      </c>
      <c r="BU42" s="8">
        <v>0.1153</v>
      </c>
      <c r="BV42" s="8">
        <v>0.52120999999999995</v>
      </c>
      <c r="BW42" s="8">
        <v>0.38078000000000001</v>
      </c>
      <c r="BX42" s="8">
        <v>5.0833000000000003E-2</v>
      </c>
      <c r="BY42" s="8">
        <v>8.8599999999999998E-2</v>
      </c>
      <c r="BZ42" s="8">
        <v>0.2402</v>
      </c>
      <c r="CA42" s="8">
        <v>0.17749512195121953</v>
      </c>
      <c r="CB42" s="8">
        <v>0.17802999999999999</v>
      </c>
      <c r="CC42" s="8">
        <v>0.49145</v>
      </c>
      <c r="CD42" s="8">
        <v>0.34288999999999997</v>
      </c>
      <c r="CE42" s="8">
        <v>0.14046</v>
      </c>
      <c r="CF42" s="8">
        <v>0.67900000000000005</v>
      </c>
      <c r="CG42" s="8">
        <v>0.40639999999999998</v>
      </c>
      <c r="CH42" s="8">
        <v>5.8055000000000002E-2</v>
      </c>
      <c r="CI42" s="8">
        <v>0.11004</v>
      </c>
      <c r="CJ42" s="8">
        <v>0.32078000000000001</v>
      </c>
      <c r="CK42" s="8">
        <v>9.085E-2</v>
      </c>
      <c r="CL42" s="8">
        <v>0.23869000000000001</v>
      </c>
      <c r="CM42" s="8">
        <v>6.4203999999999997E-2</v>
      </c>
      <c r="CN42" s="8">
        <v>8.5999999999999993E-2</v>
      </c>
      <c r="CO42" s="8">
        <v>0.53793414634146353</v>
      </c>
      <c r="CP42" s="8">
        <v>0.20634439024390239</v>
      </c>
      <c r="CQ42" s="8">
        <v>0.30003000000000002</v>
      </c>
      <c r="CR42" s="8">
        <v>6.4926999999999999E-2</v>
      </c>
      <c r="CS42" s="8">
        <v>0.32702999999999999</v>
      </c>
      <c r="CT42" s="8">
        <v>0.41354999999999997</v>
      </c>
      <c r="CU42" s="8">
        <v>8.0299999999999996E-2</v>
      </c>
      <c r="CV42" s="8">
        <v>0.13849</v>
      </c>
      <c r="CW42" s="8">
        <v>9.4399999999999998E-2</v>
      </c>
    </row>
    <row r="43" spans="1:101">
      <c r="A43">
        <f t="shared" si="0"/>
        <v>525</v>
      </c>
      <c r="B43">
        <v>1</v>
      </c>
      <c r="C43" s="8">
        <v>0.48884</v>
      </c>
      <c r="D43" s="8">
        <v>0.11569</v>
      </c>
      <c r="E43" s="8">
        <v>4.3976000000000001E-2</v>
      </c>
      <c r="F43" s="8">
        <v>0.17074999999999999</v>
      </c>
      <c r="G43" s="8">
        <v>5.3024000000000002E-2</v>
      </c>
      <c r="H43" s="8">
        <v>9.7767999999999994E-2</v>
      </c>
      <c r="I43" s="8">
        <v>4.8066999999999999E-2</v>
      </c>
      <c r="J43" s="8">
        <v>5.4767999999999997E-2</v>
      </c>
      <c r="K43" s="8">
        <v>5.2401999999999997E-2</v>
      </c>
      <c r="L43" s="8">
        <v>0.16356999999999999</v>
      </c>
      <c r="M43" s="8">
        <v>4.2067E-2</v>
      </c>
      <c r="N43" s="8">
        <v>6.3376000000000002E-2</v>
      </c>
      <c r="O43" s="8">
        <v>8.8356000000000004E-2</v>
      </c>
      <c r="P43" s="8">
        <v>0.38613999999999998</v>
      </c>
      <c r="Q43" s="8">
        <v>0.33040999999999998</v>
      </c>
      <c r="R43" s="8">
        <v>9.8241999999999996E-2</v>
      </c>
      <c r="S43" s="8">
        <v>8.0854999999999996E-2</v>
      </c>
      <c r="T43" s="8">
        <v>0.17246</v>
      </c>
      <c r="U43" s="8">
        <v>0.21662000000000001</v>
      </c>
      <c r="V43" s="8">
        <v>0.20455000000000001</v>
      </c>
      <c r="W43" s="8">
        <v>0.33352999999999999</v>
      </c>
      <c r="X43" s="8">
        <v>0.26934999999999998</v>
      </c>
      <c r="Y43" s="8">
        <v>0.68406</v>
      </c>
      <c r="Z43" s="8">
        <v>0.54625999999999997</v>
      </c>
      <c r="AA43" s="8">
        <v>0.19506000000000001</v>
      </c>
      <c r="AB43" s="8">
        <v>0.54088000000000003</v>
      </c>
      <c r="AC43" s="8">
        <v>0.39685999999999999</v>
      </c>
      <c r="AD43" s="8">
        <v>0.11237</v>
      </c>
      <c r="AE43" s="8">
        <v>0.57367000000000001</v>
      </c>
      <c r="AF43" s="8">
        <v>0.27818999999999999</v>
      </c>
      <c r="AG43" s="8">
        <v>0.64263999999999999</v>
      </c>
      <c r="AH43" s="8">
        <v>0.38644000000000001</v>
      </c>
      <c r="AI43" s="8">
        <v>0.68881000000000003</v>
      </c>
      <c r="AJ43" s="8">
        <v>0.25474000000000002</v>
      </c>
      <c r="AK43" s="8">
        <v>0.1057</v>
      </c>
      <c r="AL43" s="8">
        <v>0.53038707317073164</v>
      </c>
      <c r="AM43" s="8">
        <v>0.14308999999999999</v>
      </c>
      <c r="AN43" s="8">
        <v>0.65447000000000011</v>
      </c>
      <c r="AO43" s="8">
        <v>9.0858999999999995E-2</v>
      </c>
      <c r="AP43" s="8">
        <v>0.22392999999999999</v>
      </c>
      <c r="AQ43" s="8">
        <v>0.72101999999999999</v>
      </c>
      <c r="AR43" s="8">
        <v>0.51124000000000003</v>
      </c>
      <c r="AS43" s="8">
        <v>0.55722000000000005</v>
      </c>
      <c r="AT43" s="8">
        <v>5.1067000000000001E-2</v>
      </c>
      <c r="AU43" s="8">
        <v>0.34253</v>
      </c>
      <c r="AV43" s="8">
        <v>0.39931</v>
      </c>
      <c r="AW43" s="8">
        <v>0.43995000000000001</v>
      </c>
      <c r="AX43" s="8">
        <v>0.59648000000000001</v>
      </c>
      <c r="AY43" s="8">
        <v>0.20313000000000001</v>
      </c>
      <c r="AZ43" s="8">
        <v>0.30979000000000001</v>
      </c>
      <c r="BA43" s="8">
        <v>0.35400999999999999</v>
      </c>
      <c r="BB43" s="8">
        <v>0.21204000000000001</v>
      </c>
      <c r="BC43" s="8">
        <v>0.34057999999999999</v>
      </c>
      <c r="BD43" s="8">
        <v>0.76949999999999996</v>
      </c>
      <c r="BE43" s="8">
        <v>0.73809999999999998</v>
      </c>
      <c r="BF43" s="8">
        <v>0.62051999999999996</v>
      </c>
      <c r="BG43" s="8">
        <v>0.42087999999999998</v>
      </c>
      <c r="BH43" s="8">
        <v>0.35707</v>
      </c>
      <c r="BI43" s="8">
        <v>0.81159999999999999</v>
      </c>
      <c r="BJ43" s="8">
        <v>0.74895</v>
      </c>
      <c r="BK43" s="8">
        <v>0.60824</v>
      </c>
      <c r="BL43" s="8">
        <v>0.35908000000000001</v>
      </c>
      <c r="BM43" s="8">
        <v>7.6437000000000005E-2</v>
      </c>
      <c r="BN43" s="8">
        <v>0.42094999999999999</v>
      </c>
      <c r="BO43" s="8">
        <v>0.12537000000000001</v>
      </c>
      <c r="BP43" s="8">
        <v>0.22819999999999999</v>
      </c>
      <c r="BQ43" s="8">
        <v>0.26145000000000002</v>
      </c>
      <c r="BR43" s="8">
        <v>0.42856</v>
      </c>
      <c r="BS43" s="8">
        <v>0.25608999999999998</v>
      </c>
      <c r="BT43" s="8">
        <v>0.55342999999999998</v>
      </c>
      <c r="BU43" s="8">
        <v>0.10467</v>
      </c>
      <c r="BV43" s="8">
        <v>0.51297999999999999</v>
      </c>
      <c r="BW43" s="8">
        <v>0.35769000000000001</v>
      </c>
      <c r="BX43" s="8">
        <v>5.0125999999999997E-2</v>
      </c>
      <c r="BY43" s="8">
        <v>7.9728999999999994E-2</v>
      </c>
      <c r="BZ43" s="8">
        <v>0.21929000000000001</v>
      </c>
      <c r="CA43" s="8">
        <v>0.16597804878048777</v>
      </c>
      <c r="CB43" s="8">
        <v>0.16458</v>
      </c>
      <c r="CC43" s="8">
        <v>0.47370000000000001</v>
      </c>
      <c r="CD43" s="8">
        <v>0.32612000000000002</v>
      </c>
      <c r="CE43" s="8">
        <v>0.12315</v>
      </c>
      <c r="CF43" s="8">
        <v>0.66979999999999995</v>
      </c>
      <c r="CG43" s="8">
        <v>0.39768999999999999</v>
      </c>
      <c r="CH43" s="8">
        <v>5.5114999999999997E-2</v>
      </c>
      <c r="CI43" s="8">
        <v>0.104</v>
      </c>
      <c r="CJ43" s="8">
        <v>0.30890000000000001</v>
      </c>
      <c r="CK43" s="8">
        <v>8.2960999999999993E-2</v>
      </c>
      <c r="CL43" s="8">
        <v>0.22042</v>
      </c>
      <c r="CM43" s="8">
        <v>6.0780000000000001E-2</v>
      </c>
      <c r="CN43" s="8">
        <v>7.9445000000000002E-2</v>
      </c>
      <c r="CO43" s="8">
        <v>0.52943463414634151</v>
      </c>
      <c r="CP43" s="8">
        <v>0.19676146341463416</v>
      </c>
      <c r="CQ43" s="8">
        <v>0.29315999999999998</v>
      </c>
      <c r="CR43" s="8">
        <v>6.1853999999999999E-2</v>
      </c>
      <c r="CS43" s="8">
        <v>0.31562000000000001</v>
      </c>
      <c r="CT43" s="8">
        <v>0.40516999999999997</v>
      </c>
      <c r="CU43" s="8">
        <v>7.6593999999999995E-2</v>
      </c>
      <c r="CV43" s="8">
        <v>0.13788</v>
      </c>
      <c r="CW43" s="8">
        <v>8.8942999999999994E-2</v>
      </c>
    </row>
    <row r="44" spans="1:101">
      <c r="A44">
        <f t="shared" si="0"/>
        <v>530</v>
      </c>
      <c r="B44">
        <v>1</v>
      </c>
      <c r="C44" s="8">
        <v>0.4894</v>
      </c>
      <c r="D44" s="8">
        <v>0.11609999999999999</v>
      </c>
      <c r="E44" s="8">
        <v>4.1023999999999998E-2</v>
      </c>
      <c r="F44" s="8">
        <v>0.18585756097560971</v>
      </c>
      <c r="G44" s="8">
        <v>5.654E-2</v>
      </c>
      <c r="H44" s="8">
        <v>0.10033</v>
      </c>
      <c r="I44" s="8">
        <v>4.7899999999999998E-2</v>
      </c>
      <c r="J44" s="8">
        <v>5.459E-2</v>
      </c>
      <c r="K44" s="8">
        <v>5.0596000000000002E-2</v>
      </c>
      <c r="L44" s="8">
        <v>0.16904</v>
      </c>
      <c r="M44" s="8">
        <v>4.3660999999999998E-2</v>
      </c>
      <c r="N44" s="8">
        <v>7.1189000000000002E-2</v>
      </c>
      <c r="O44" s="8">
        <v>8.6537000000000003E-2</v>
      </c>
      <c r="P44" s="8">
        <v>0.3911</v>
      </c>
      <c r="Q44" s="8">
        <v>0.32312000000000002</v>
      </c>
      <c r="R44" s="8">
        <v>0.10056</v>
      </c>
      <c r="S44" s="8">
        <v>8.3575999999999998E-2</v>
      </c>
      <c r="T44" s="8">
        <v>0.1716</v>
      </c>
      <c r="U44" s="8">
        <v>0.2233</v>
      </c>
      <c r="V44" s="8">
        <v>0.19769</v>
      </c>
      <c r="W44" s="8">
        <v>0.38028000000000001</v>
      </c>
      <c r="X44" s="8">
        <v>0.29154000000000002</v>
      </c>
      <c r="Y44" s="8">
        <v>0.69996999999999998</v>
      </c>
      <c r="Z44" s="8">
        <v>0.58940000000000003</v>
      </c>
      <c r="AA44" s="8">
        <v>0.25331999999999999</v>
      </c>
      <c r="AB44" s="8">
        <v>0.57840000000000003</v>
      </c>
      <c r="AC44" s="8">
        <v>0.40592</v>
      </c>
      <c r="AD44" s="8">
        <v>0.11717</v>
      </c>
      <c r="AE44" s="8">
        <v>0.60006000000000004</v>
      </c>
      <c r="AF44" s="8">
        <v>0.27861999999999998</v>
      </c>
      <c r="AG44" s="8">
        <v>0.65920999999999996</v>
      </c>
      <c r="AH44" s="8">
        <v>0.41620000000000001</v>
      </c>
      <c r="AI44" s="8">
        <v>0.69672000000000001</v>
      </c>
      <c r="AJ44" s="8">
        <v>0.28642000000000001</v>
      </c>
      <c r="AK44" s="8">
        <v>0.11484999999999999</v>
      </c>
      <c r="AL44" s="8">
        <v>0.52859999999999985</v>
      </c>
      <c r="AM44" s="8">
        <v>0.16700000000000001</v>
      </c>
      <c r="AN44" s="8">
        <v>0.65537634146341472</v>
      </c>
      <c r="AO44" s="8">
        <v>8.8001999999999997E-2</v>
      </c>
      <c r="AP44" s="8">
        <v>0.21393000000000001</v>
      </c>
      <c r="AQ44" s="8">
        <v>0.71550000000000002</v>
      </c>
      <c r="AR44" s="8">
        <v>0.53408</v>
      </c>
      <c r="AS44" s="8">
        <v>0.55549999999999999</v>
      </c>
      <c r="AT44" s="8">
        <v>5.0900000000000001E-2</v>
      </c>
      <c r="AU44" s="8">
        <v>0.34239000000000003</v>
      </c>
      <c r="AV44" s="8">
        <v>0.39860000000000001</v>
      </c>
      <c r="AW44" s="8">
        <v>0.42770000000000002</v>
      </c>
      <c r="AX44" s="8">
        <v>0.60236000000000001</v>
      </c>
      <c r="AY44" s="8">
        <v>0.19894999999999999</v>
      </c>
      <c r="AZ44" s="8">
        <v>0.30148999999999998</v>
      </c>
      <c r="BA44" s="8">
        <v>0.34248000000000001</v>
      </c>
      <c r="BB44" s="8">
        <v>0.1963</v>
      </c>
      <c r="BC44" s="8">
        <v>0.32029999999999997</v>
      </c>
      <c r="BD44" s="8">
        <v>0.76729999999999998</v>
      </c>
      <c r="BE44" s="8">
        <v>0.72853000000000001</v>
      </c>
      <c r="BF44" s="8">
        <v>0.59994000000000003</v>
      </c>
      <c r="BG44" s="8">
        <v>0.40300000000000002</v>
      </c>
      <c r="BH44" s="8">
        <v>0.34094000000000002</v>
      </c>
      <c r="BI44" s="8">
        <v>0.80030000000000001</v>
      </c>
      <c r="BJ44" s="8">
        <v>0.74036000000000002</v>
      </c>
      <c r="BK44" s="8">
        <v>0.59038000000000002</v>
      </c>
      <c r="BL44" s="8">
        <v>0.35246</v>
      </c>
      <c r="BM44" s="8">
        <v>7.0902000000000007E-2</v>
      </c>
      <c r="BN44" s="8">
        <v>0.39280999999999999</v>
      </c>
      <c r="BO44" s="8">
        <v>0.12003999999999999</v>
      </c>
      <c r="BP44" s="8">
        <v>0.20430000000000001</v>
      </c>
      <c r="BQ44" s="8">
        <v>0.2351</v>
      </c>
      <c r="BR44" s="8">
        <v>0.40271000000000001</v>
      </c>
      <c r="BS44" s="8">
        <v>0.24031</v>
      </c>
      <c r="BT44" s="8">
        <v>0.52327000000000001</v>
      </c>
      <c r="BU44" s="8">
        <v>9.69E-2</v>
      </c>
      <c r="BV44" s="8">
        <v>0.50390000000000001</v>
      </c>
      <c r="BW44" s="8">
        <v>0.33450999999999997</v>
      </c>
      <c r="BX44" s="8">
        <v>4.9145000000000001E-2</v>
      </c>
      <c r="BY44" s="8">
        <v>7.3599999999999999E-2</v>
      </c>
      <c r="BZ44" s="8">
        <v>0.20150000000000001</v>
      </c>
      <c r="CA44" s="8">
        <v>0.15478097560975609</v>
      </c>
      <c r="CB44" s="8">
        <v>0.15329999999999999</v>
      </c>
      <c r="CC44" s="8">
        <v>0.45601000000000003</v>
      </c>
      <c r="CD44" s="8">
        <v>0.31137999999999999</v>
      </c>
      <c r="CE44" s="8">
        <v>0.11069</v>
      </c>
      <c r="CF44" s="8">
        <v>0.66149999999999998</v>
      </c>
      <c r="CG44" s="8">
        <v>0.39</v>
      </c>
      <c r="CH44" s="8">
        <v>5.1704E-2</v>
      </c>
      <c r="CI44" s="8">
        <v>9.7158999999999995E-2</v>
      </c>
      <c r="CJ44" s="8">
        <v>0.29883999999999999</v>
      </c>
      <c r="CK44" s="8">
        <v>7.7049000000000006E-2</v>
      </c>
      <c r="CL44" s="8">
        <v>0.20493</v>
      </c>
      <c r="CM44" s="8">
        <v>5.7681000000000003E-2</v>
      </c>
      <c r="CN44" s="8">
        <v>7.4300000000000005E-2</v>
      </c>
      <c r="CO44" s="8">
        <v>0.52206634146341446</v>
      </c>
      <c r="CP44" s="8">
        <v>0.18816170731707313</v>
      </c>
      <c r="CQ44" s="8">
        <v>0.28788000000000002</v>
      </c>
      <c r="CR44" s="8">
        <v>5.9515999999999999E-2</v>
      </c>
      <c r="CS44" s="8">
        <v>0.30624000000000001</v>
      </c>
      <c r="CT44" s="8">
        <v>0.39949000000000001</v>
      </c>
      <c r="CU44" s="8">
        <v>7.0999999999999994E-2</v>
      </c>
      <c r="CV44" s="8">
        <v>0.13780999999999999</v>
      </c>
      <c r="CW44" s="8">
        <v>8.4699999999999998E-2</v>
      </c>
    </row>
    <row r="45" spans="1:101">
      <c r="A45">
        <f t="shared" si="0"/>
        <v>535</v>
      </c>
      <c r="B45">
        <v>1</v>
      </c>
      <c r="C45" s="8">
        <v>0.49068000000000001</v>
      </c>
      <c r="D45" s="8">
        <v>0.1171</v>
      </c>
      <c r="E45" s="8">
        <v>4.0464E-2</v>
      </c>
      <c r="F45" s="8">
        <v>0.20558487804878051</v>
      </c>
      <c r="G45" s="8">
        <v>6.0081000000000002E-2</v>
      </c>
      <c r="H45" s="8">
        <v>0.10388</v>
      </c>
      <c r="I45" s="8">
        <v>4.7752999999999997E-2</v>
      </c>
      <c r="J45" s="8">
        <v>5.4463999999999999E-2</v>
      </c>
      <c r="K45" s="8">
        <v>4.8717000000000003E-2</v>
      </c>
      <c r="L45" s="8">
        <v>0.17688999999999999</v>
      </c>
      <c r="M45" s="8">
        <v>4.6790999999999999E-2</v>
      </c>
      <c r="N45" s="8">
        <v>8.2031999999999994E-2</v>
      </c>
      <c r="O45" s="8">
        <v>8.4143999999999997E-2</v>
      </c>
      <c r="P45" s="8">
        <v>0.39456999999999998</v>
      </c>
      <c r="Q45" s="8">
        <v>0.31756000000000001</v>
      </c>
      <c r="R45" s="8">
        <v>0.10292999999999999</v>
      </c>
      <c r="S45" s="8">
        <v>8.8106000000000004E-2</v>
      </c>
      <c r="T45" s="8">
        <v>0.17132</v>
      </c>
      <c r="U45" s="8">
        <v>0.22905</v>
      </c>
      <c r="V45" s="8">
        <v>0.19234000000000001</v>
      </c>
      <c r="W45" s="8">
        <v>0.43125999999999998</v>
      </c>
      <c r="X45" s="8">
        <v>0.31594</v>
      </c>
      <c r="Y45" s="8">
        <v>0.71855999999999998</v>
      </c>
      <c r="Z45" s="8">
        <v>0.6341</v>
      </c>
      <c r="AA45" s="8">
        <v>0.3075</v>
      </c>
      <c r="AB45" s="8">
        <v>0.61399999999999999</v>
      </c>
      <c r="AC45" s="8">
        <v>0.41044999999999998</v>
      </c>
      <c r="AD45" s="8">
        <v>0.11799</v>
      </c>
      <c r="AE45" s="8">
        <v>0.62365000000000004</v>
      </c>
      <c r="AF45" s="8">
        <v>0.27889000000000003</v>
      </c>
      <c r="AG45" s="8">
        <v>0.67373000000000005</v>
      </c>
      <c r="AH45" s="8">
        <v>0.44402000000000003</v>
      </c>
      <c r="AI45" s="8">
        <v>0.70489000000000002</v>
      </c>
      <c r="AJ45" s="8">
        <v>0.30780000000000002</v>
      </c>
      <c r="AK45" s="8">
        <v>0.12372</v>
      </c>
      <c r="AL45" s="8">
        <v>0.52848170731707311</v>
      </c>
      <c r="AM45" s="8">
        <v>0.18168000000000001</v>
      </c>
      <c r="AN45" s="8">
        <v>0.65739195121951211</v>
      </c>
      <c r="AO45" s="8">
        <v>8.4608000000000003E-2</v>
      </c>
      <c r="AP45" s="8">
        <v>0.20158000000000001</v>
      </c>
      <c r="AQ45" s="8">
        <v>0.70967000000000002</v>
      </c>
      <c r="AR45" s="8">
        <v>0.53861000000000003</v>
      </c>
      <c r="AS45" s="8">
        <v>0.54854000000000003</v>
      </c>
      <c r="AT45" s="8">
        <v>5.0762000000000002E-2</v>
      </c>
      <c r="AU45" s="8">
        <v>0.33796999999999999</v>
      </c>
      <c r="AV45" s="8">
        <v>0.39682000000000001</v>
      </c>
      <c r="AW45" s="8">
        <v>0.41576999999999997</v>
      </c>
      <c r="AX45" s="8">
        <v>0.60682999999999998</v>
      </c>
      <c r="AY45" s="8">
        <v>0.19369</v>
      </c>
      <c r="AZ45" s="8">
        <v>0.29047000000000001</v>
      </c>
      <c r="BA45" s="8">
        <v>0.32800000000000001</v>
      </c>
      <c r="BB45" s="8">
        <v>0.1777</v>
      </c>
      <c r="BC45" s="8">
        <v>0.29646</v>
      </c>
      <c r="BD45" s="8">
        <v>0.76420999999999994</v>
      </c>
      <c r="BE45" s="8">
        <v>0.71689000000000003</v>
      </c>
      <c r="BF45" s="8">
        <v>0.57664000000000004</v>
      </c>
      <c r="BG45" s="8">
        <v>0.38263999999999998</v>
      </c>
      <c r="BH45" s="8">
        <v>0.32357000000000002</v>
      </c>
      <c r="BI45" s="8">
        <v>0.78591</v>
      </c>
      <c r="BJ45" s="8">
        <v>0.73158999999999996</v>
      </c>
      <c r="BK45" s="8">
        <v>0.56964999999999999</v>
      </c>
      <c r="BL45" s="8">
        <v>0.34450999999999998</v>
      </c>
      <c r="BM45" s="8">
        <v>6.5859000000000001E-2</v>
      </c>
      <c r="BN45" s="8">
        <v>0.36403000000000002</v>
      </c>
      <c r="BO45" s="8">
        <v>0.11552</v>
      </c>
      <c r="BP45" s="8">
        <v>0.18174000000000001</v>
      </c>
      <c r="BQ45" s="8">
        <v>0.21043000000000001</v>
      </c>
      <c r="BR45" s="8">
        <v>0.37519999999999998</v>
      </c>
      <c r="BS45" s="8">
        <v>0.22327</v>
      </c>
      <c r="BT45" s="8">
        <v>0.49282999999999999</v>
      </c>
      <c r="BU45" s="8">
        <v>9.0997999999999996E-2</v>
      </c>
      <c r="BV45" s="8">
        <v>0.49460999999999999</v>
      </c>
      <c r="BW45" s="8">
        <v>0.31157000000000001</v>
      </c>
      <c r="BX45" s="8">
        <v>4.7638E-2</v>
      </c>
      <c r="BY45" s="8">
        <v>6.9468000000000002E-2</v>
      </c>
      <c r="BZ45" s="8">
        <v>0.18521000000000001</v>
      </c>
      <c r="CA45" s="8">
        <v>0.14463902439024384</v>
      </c>
      <c r="CB45" s="8">
        <v>0.14323</v>
      </c>
      <c r="CC45" s="8">
        <v>0.43928</v>
      </c>
      <c r="CD45" s="8">
        <v>0.29903000000000002</v>
      </c>
      <c r="CE45" s="8">
        <v>0.10618</v>
      </c>
      <c r="CF45" s="8">
        <v>0.65483999999999998</v>
      </c>
      <c r="CG45" s="8">
        <v>0.38378000000000001</v>
      </c>
      <c r="CH45" s="8">
        <v>4.8138E-2</v>
      </c>
      <c r="CI45" s="8">
        <v>9.3592999999999996E-2</v>
      </c>
      <c r="CJ45" s="8">
        <v>0.28927000000000003</v>
      </c>
      <c r="CK45" s="8">
        <v>7.2875999999999996E-2</v>
      </c>
      <c r="CL45" s="8">
        <v>0.1958</v>
      </c>
      <c r="CM45" s="8">
        <v>5.5263E-2</v>
      </c>
      <c r="CN45" s="8">
        <v>7.1138999999999994E-2</v>
      </c>
      <c r="CO45" s="8">
        <v>0.51669317073170729</v>
      </c>
      <c r="CP45" s="8">
        <v>0.18044804878048779</v>
      </c>
      <c r="CQ45" s="8">
        <v>0.28365000000000001</v>
      </c>
      <c r="CR45" s="8">
        <v>5.7997E-2</v>
      </c>
      <c r="CS45" s="8">
        <v>0.29880000000000001</v>
      </c>
      <c r="CT45" s="8">
        <v>0.39624999999999999</v>
      </c>
      <c r="CU45" s="8">
        <v>6.4144000000000007E-2</v>
      </c>
      <c r="CV45" s="8">
        <v>0.13678999999999999</v>
      </c>
      <c r="CW45" s="8">
        <v>8.2271999999999998E-2</v>
      </c>
    </row>
    <row r="46" spans="1:101">
      <c r="A46">
        <f t="shared" si="0"/>
        <v>540</v>
      </c>
      <c r="B46">
        <v>1</v>
      </c>
      <c r="C46" s="8">
        <v>0.49380000000000002</v>
      </c>
      <c r="D46" s="8">
        <v>0.1187</v>
      </c>
      <c r="E46" s="8">
        <v>4.1868000000000002E-2</v>
      </c>
      <c r="F46" s="8">
        <v>0.22891756097560978</v>
      </c>
      <c r="G46" s="8">
        <v>6.3350000000000004E-2</v>
      </c>
      <c r="H46" s="8">
        <v>0.10861</v>
      </c>
      <c r="I46" s="8">
        <v>4.7699999999999999E-2</v>
      </c>
      <c r="J46" s="8">
        <v>5.441E-2</v>
      </c>
      <c r="K46" s="8">
        <v>4.6679999999999999E-2</v>
      </c>
      <c r="L46" s="8">
        <v>0.18673000000000001</v>
      </c>
      <c r="M46" s="8">
        <v>5.3024000000000002E-2</v>
      </c>
      <c r="N46" s="8">
        <v>9.6584000000000003E-2</v>
      </c>
      <c r="O46" s="8">
        <v>8.1178E-2</v>
      </c>
      <c r="P46" s="8">
        <v>0.39660000000000001</v>
      </c>
      <c r="Q46" s="8">
        <v>0.31475999999999998</v>
      </c>
      <c r="R46" s="8">
        <v>0.10535</v>
      </c>
      <c r="S46" s="8">
        <v>9.5305000000000001E-2</v>
      </c>
      <c r="T46" s="8">
        <v>0.17249999999999999</v>
      </c>
      <c r="U46" s="8">
        <v>0.23930000000000001</v>
      </c>
      <c r="V46" s="8">
        <v>0.18925</v>
      </c>
      <c r="W46" s="8">
        <v>0.48393999999999998</v>
      </c>
      <c r="X46" s="8">
        <v>0.34258</v>
      </c>
      <c r="Y46" s="8">
        <v>0.73784000000000005</v>
      </c>
      <c r="Z46" s="8">
        <v>0.67879999999999996</v>
      </c>
      <c r="AA46" s="8">
        <v>0.35271000000000002</v>
      </c>
      <c r="AB46" s="8">
        <v>0.64770000000000005</v>
      </c>
      <c r="AC46" s="8">
        <v>0.41237000000000001</v>
      </c>
      <c r="AD46" s="8">
        <v>0.11842999999999999</v>
      </c>
      <c r="AE46" s="8">
        <v>0.64365000000000006</v>
      </c>
      <c r="AF46" s="8">
        <v>0.27955000000000002</v>
      </c>
      <c r="AG46" s="8">
        <v>0.68657000000000001</v>
      </c>
      <c r="AH46" s="8">
        <v>0.46829999999999999</v>
      </c>
      <c r="AI46" s="8">
        <v>0.71287</v>
      </c>
      <c r="AJ46" s="8">
        <v>0.31974999999999998</v>
      </c>
      <c r="AK46" s="8">
        <v>0.13045000000000001</v>
      </c>
      <c r="AL46" s="8">
        <v>0.52889658536585371</v>
      </c>
      <c r="AM46" s="8">
        <v>0.192</v>
      </c>
      <c r="AN46" s="8">
        <v>0.65954097560975633</v>
      </c>
      <c r="AO46" s="8">
        <v>8.1098000000000003E-2</v>
      </c>
      <c r="AP46" s="8">
        <v>0.18858</v>
      </c>
      <c r="AQ46" s="8">
        <v>0.70389999999999997</v>
      </c>
      <c r="AR46" s="8">
        <v>0.52990999999999999</v>
      </c>
      <c r="AS46" s="8">
        <v>0.53800000000000003</v>
      </c>
      <c r="AT46" s="8">
        <v>5.0599999999999999E-2</v>
      </c>
      <c r="AU46" s="8">
        <v>0.33044000000000001</v>
      </c>
      <c r="AV46" s="8">
        <v>0.39400000000000002</v>
      </c>
      <c r="AW46" s="8">
        <v>0.40450000000000003</v>
      </c>
      <c r="AX46" s="8">
        <v>0.60921000000000003</v>
      </c>
      <c r="AY46" s="8">
        <v>0.18754000000000001</v>
      </c>
      <c r="AZ46" s="8">
        <v>0.27638000000000001</v>
      </c>
      <c r="BA46" s="8">
        <v>0.30982999999999999</v>
      </c>
      <c r="BB46" s="8">
        <v>0.159</v>
      </c>
      <c r="BC46" s="8">
        <v>0.27060000000000001</v>
      </c>
      <c r="BD46" s="8">
        <v>0.76</v>
      </c>
      <c r="BE46" s="8">
        <v>0.70284000000000002</v>
      </c>
      <c r="BF46" s="8">
        <v>0.55071000000000003</v>
      </c>
      <c r="BG46" s="8">
        <v>0.3594</v>
      </c>
      <c r="BH46" s="8">
        <v>0.3049</v>
      </c>
      <c r="BI46" s="8">
        <v>0.76890000000000003</v>
      </c>
      <c r="BJ46" s="8">
        <v>0.72236999999999996</v>
      </c>
      <c r="BK46" s="8">
        <v>0.54730999999999996</v>
      </c>
      <c r="BL46" s="8">
        <v>0.33557999999999999</v>
      </c>
      <c r="BM46" s="8">
        <v>6.1688E-2</v>
      </c>
      <c r="BN46" s="8">
        <v>0.33487</v>
      </c>
      <c r="BO46" s="8">
        <v>0.11101</v>
      </c>
      <c r="BP46" s="8">
        <v>0.16089999999999999</v>
      </c>
      <c r="BQ46" s="8">
        <v>0.18759999999999999</v>
      </c>
      <c r="BR46" s="8">
        <v>0.34809000000000001</v>
      </c>
      <c r="BS46" s="8">
        <v>0.2064</v>
      </c>
      <c r="BT46" s="8">
        <v>0.4632</v>
      </c>
      <c r="BU46" s="8">
        <v>8.5000000000000006E-2</v>
      </c>
      <c r="BV46" s="8">
        <v>0.48565999999999998</v>
      </c>
      <c r="BW46" s="8">
        <v>0.28793999999999997</v>
      </c>
      <c r="BX46" s="8">
        <v>4.5968000000000002E-2</v>
      </c>
      <c r="BY46" s="8">
        <v>6.6000000000000003E-2</v>
      </c>
      <c r="BZ46" s="8">
        <v>0.16839999999999999</v>
      </c>
      <c r="CA46" s="8">
        <v>0.13534146341463407</v>
      </c>
      <c r="CB46" s="8">
        <v>0.13285</v>
      </c>
      <c r="CC46" s="8">
        <v>0.42403999999999997</v>
      </c>
      <c r="CD46" s="8">
        <v>0.28877000000000003</v>
      </c>
      <c r="CE46" s="8">
        <v>0.1031</v>
      </c>
      <c r="CF46" s="8">
        <v>0.64970000000000006</v>
      </c>
      <c r="CG46" s="8">
        <v>0.37969999999999998</v>
      </c>
      <c r="CH46" s="8">
        <v>4.4559000000000001E-2</v>
      </c>
      <c r="CI46" s="8">
        <v>9.2133999999999994E-2</v>
      </c>
      <c r="CJ46" s="8">
        <v>0.27878999999999998</v>
      </c>
      <c r="CK46" s="8">
        <v>6.9205000000000003E-2</v>
      </c>
      <c r="CL46" s="8">
        <v>0.19252</v>
      </c>
      <c r="CM46" s="8">
        <v>5.3809000000000003E-2</v>
      </c>
      <c r="CN46" s="8">
        <v>6.9900000000000004E-2</v>
      </c>
      <c r="CO46" s="8">
        <v>0.51244219512195133</v>
      </c>
      <c r="CP46" s="8">
        <v>0.17339658536585364</v>
      </c>
      <c r="CQ46" s="8">
        <v>0.28066000000000002</v>
      </c>
      <c r="CR46" s="8">
        <v>5.7270000000000001E-2</v>
      </c>
      <c r="CS46" s="8">
        <v>0.29298999999999997</v>
      </c>
      <c r="CT46" s="8">
        <v>0.39511000000000002</v>
      </c>
      <c r="CU46" s="8">
        <v>5.8200000000000002E-2</v>
      </c>
      <c r="CV46" s="8">
        <v>0.13517999999999999</v>
      </c>
      <c r="CW46" s="8">
        <v>8.1500000000000003E-2</v>
      </c>
    </row>
    <row r="47" spans="1:101">
      <c r="A47">
        <f t="shared" si="0"/>
        <v>545</v>
      </c>
      <c r="B47">
        <v>1</v>
      </c>
      <c r="C47" s="8">
        <v>0.50011000000000005</v>
      </c>
      <c r="D47" s="8">
        <v>0.12114</v>
      </c>
      <c r="E47" s="8">
        <v>4.1972000000000002E-2</v>
      </c>
      <c r="F47" s="8">
        <v>0.25477195121951218</v>
      </c>
      <c r="G47" s="8">
        <v>6.6281000000000007E-2</v>
      </c>
      <c r="H47" s="8">
        <v>0.11472</v>
      </c>
      <c r="I47" s="8">
        <v>4.7795999999999998E-2</v>
      </c>
      <c r="J47" s="8">
        <v>5.4420999999999997E-2</v>
      </c>
      <c r="K47" s="8">
        <v>4.4455000000000001E-2</v>
      </c>
      <c r="L47" s="8">
        <v>0.19850000000000001</v>
      </c>
      <c r="M47" s="8">
        <v>6.4186000000000007E-2</v>
      </c>
      <c r="N47" s="8">
        <v>0.11373999999999999</v>
      </c>
      <c r="O47" s="8">
        <v>7.7668000000000001E-2</v>
      </c>
      <c r="P47" s="8">
        <v>0.39752999999999999</v>
      </c>
      <c r="Q47" s="8">
        <v>0.31513000000000002</v>
      </c>
      <c r="R47" s="8">
        <v>0.10777</v>
      </c>
      <c r="S47" s="8">
        <v>0.10580000000000001</v>
      </c>
      <c r="T47" s="8">
        <v>0.17559</v>
      </c>
      <c r="U47" s="8">
        <v>0.25935999999999998</v>
      </c>
      <c r="V47" s="8">
        <v>0.18912999999999999</v>
      </c>
      <c r="W47" s="8">
        <v>0.53576999999999997</v>
      </c>
      <c r="X47" s="8">
        <v>0.37130999999999997</v>
      </c>
      <c r="Y47" s="8">
        <v>0.75548000000000004</v>
      </c>
      <c r="Z47" s="8">
        <v>0.72175999999999996</v>
      </c>
      <c r="AA47" s="8">
        <v>0.38845000000000002</v>
      </c>
      <c r="AB47" s="8">
        <v>0.67979000000000001</v>
      </c>
      <c r="AC47" s="8">
        <v>0.41646</v>
      </c>
      <c r="AD47" s="8">
        <v>0.11869</v>
      </c>
      <c r="AE47" s="8">
        <v>0.65956000000000004</v>
      </c>
      <c r="AF47" s="8">
        <v>0.28172999999999998</v>
      </c>
      <c r="AG47" s="8">
        <v>0.69789999999999996</v>
      </c>
      <c r="AH47" s="8">
        <v>0.48755999999999999</v>
      </c>
      <c r="AI47" s="8">
        <v>0.72001000000000004</v>
      </c>
      <c r="AJ47" s="8">
        <v>0.32496999999999998</v>
      </c>
      <c r="AK47" s="8">
        <v>0.13367999999999999</v>
      </c>
      <c r="AL47" s="8">
        <v>0.52836975609756109</v>
      </c>
      <c r="AM47" s="8">
        <v>0.20293</v>
      </c>
      <c r="AN47" s="8">
        <v>0.66026829268292686</v>
      </c>
      <c r="AO47" s="8">
        <v>7.7765000000000001E-2</v>
      </c>
      <c r="AP47" s="8">
        <v>0.17596000000000001</v>
      </c>
      <c r="AQ47" s="8">
        <v>0.6986</v>
      </c>
      <c r="AR47" s="8">
        <v>0.51304000000000005</v>
      </c>
      <c r="AS47" s="8">
        <v>0.52505999999999997</v>
      </c>
      <c r="AT47" s="8">
        <v>5.0360000000000002E-2</v>
      </c>
      <c r="AU47" s="8">
        <v>0.32146999999999998</v>
      </c>
      <c r="AV47" s="8">
        <v>0.39002999999999999</v>
      </c>
      <c r="AW47" s="8">
        <v>0.39412000000000003</v>
      </c>
      <c r="AX47" s="8">
        <v>0.60857000000000006</v>
      </c>
      <c r="AY47" s="8">
        <v>0.18056</v>
      </c>
      <c r="AZ47" s="8">
        <v>0.25896000000000002</v>
      </c>
      <c r="BA47" s="8">
        <v>0.28742000000000001</v>
      </c>
      <c r="BB47" s="8">
        <v>0.14199999999999999</v>
      </c>
      <c r="BC47" s="8">
        <v>0.24412</v>
      </c>
      <c r="BD47" s="8">
        <v>0.75436999999999999</v>
      </c>
      <c r="BE47" s="8">
        <v>0.68608000000000002</v>
      </c>
      <c r="BF47" s="8">
        <v>0.52241000000000004</v>
      </c>
      <c r="BG47" s="8">
        <v>0.33312999999999998</v>
      </c>
      <c r="BH47" s="8">
        <v>0.28488000000000002</v>
      </c>
      <c r="BI47" s="8">
        <v>0.74963000000000002</v>
      </c>
      <c r="BJ47" s="8">
        <v>0.71240999999999999</v>
      </c>
      <c r="BK47" s="8">
        <v>0.52398999999999996</v>
      </c>
      <c r="BL47" s="8">
        <v>0.3266</v>
      </c>
      <c r="BM47" s="8">
        <v>5.8775000000000001E-2</v>
      </c>
      <c r="BN47" s="8">
        <v>0.30556</v>
      </c>
      <c r="BO47" s="8">
        <v>0.10609</v>
      </c>
      <c r="BP47" s="8">
        <v>0.14202000000000001</v>
      </c>
      <c r="BQ47" s="8">
        <v>0.16666</v>
      </c>
      <c r="BR47" s="8">
        <v>0.32279000000000002</v>
      </c>
      <c r="BS47" s="8">
        <v>0.19064</v>
      </c>
      <c r="BT47" s="8">
        <v>0.43523000000000001</v>
      </c>
      <c r="BU47" s="8">
        <v>7.7175999999999995E-2</v>
      </c>
      <c r="BV47" s="8">
        <v>0.47742000000000001</v>
      </c>
      <c r="BW47" s="8">
        <v>0.26280999999999999</v>
      </c>
      <c r="BX47" s="8">
        <v>4.4627E-2</v>
      </c>
      <c r="BY47" s="8">
        <v>6.1974000000000001E-2</v>
      </c>
      <c r="BZ47" s="8">
        <v>0.14935000000000001</v>
      </c>
      <c r="CA47" s="8">
        <v>0.12632146341463413</v>
      </c>
      <c r="CB47" s="8">
        <v>0.12098</v>
      </c>
      <c r="CC47" s="8">
        <v>0.41066000000000003</v>
      </c>
      <c r="CD47" s="8">
        <v>0.28021000000000001</v>
      </c>
      <c r="CE47" s="8">
        <v>9.9973000000000006E-2</v>
      </c>
      <c r="CF47" s="8">
        <v>0.64587000000000006</v>
      </c>
      <c r="CG47" s="8">
        <v>0.37817000000000001</v>
      </c>
      <c r="CH47" s="8">
        <v>4.1071999999999997E-2</v>
      </c>
      <c r="CI47" s="8">
        <v>9.2614000000000002E-2</v>
      </c>
      <c r="CJ47" s="8">
        <v>0.26663999999999999</v>
      </c>
      <c r="CK47" s="8">
        <v>6.4821000000000004E-2</v>
      </c>
      <c r="CL47" s="8">
        <v>0.19314999999999999</v>
      </c>
      <c r="CM47" s="8">
        <v>5.3582999999999999E-2</v>
      </c>
      <c r="CN47" s="8">
        <v>7.0186999999999999E-2</v>
      </c>
      <c r="CO47" s="8">
        <v>0.50806829268292697</v>
      </c>
      <c r="CP47" s="8">
        <v>0.16725439024390243</v>
      </c>
      <c r="CQ47" s="8">
        <v>0.27914</v>
      </c>
      <c r="CR47" s="8">
        <v>5.7272000000000003E-2</v>
      </c>
      <c r="CS47" s="8">
        <v>0.28848000000000001</v>
      </c>
      <c r="CT47" s="8">
        <v>0.39574999999999999</v>
      </c>
      <c r="CU47" s="8">
        <v>5.6231000000000003E-2</v>
      </c>
      <c r="CV47" s="8">
        <v>0.13405</v>
      </c>
      <c r="CW47" s="8">
        <v>8.1932000000000005E-2</v>
      </c>
    </row>
    <row r="48" spans="1:101">
      <c r="A48">
        <f t="shared" si="0"/>
        <v>550</v>
      </c>
      <c r="B48">
        <v>1</v>
      </c>
      <c r="C48" s="8">
        <v>0.51029999999999998</v>
      </c>
      <c r="D48" s="8">
        <v>0.12520000000000001</v>
      </c>
      <c r="E48" s="8">
        <v>4.1234E-2</v>
      </c>
      <c r="F48" s="8">
        <v>0.28272097560975618</v>
      </c>
      <c r="G48" s="8">
        <v>6.9459999999999994E-2</v>
      </c>
      <c r="H48" s="8">
        <v>0.12221</v>
      </c>
      <c r="I48" s="8">
        <v>4.8000000000000001E-2</v>
      </c>
      <c r="J48" s="8">
        <v>5.4440000000000002E-2</v>
      </c>
      <c r="K48" s="8">
        <v>4.2249000000000002E-2</v>
      </c>
      <c r="L48" s="8">
        <v>0.21354999999999999</v>
      </c>
      <c r="M48" s="8">
        <v>8.2197000000000006E-2</v>
      </c>
      <c r="N48" s="8">
        <v>0.13250000000000001</v>
      </c>
      <c r="O48" s="8">
        <v>7.4232000000000006E-2</v>
      </c>
      <c r="P48" s="8">
        <v>0.39760000000000001</v>
      </c>
      <c r="Q48" s="8">
        <v>0.31809999999999999</v>
      </c>
      <c r="R48" s="8">
        <v>0.11015</v>
      </c>
      <c r="S48" s="8">
        <v>0.11916</v>
      </c>
      <c r="T48" s="8">
        <v>0.17960000000000001</v>
      </c>
      <c r="U48" s="8">
        <v>0.29249999999999998</v>
      </c>
      <c r="V48" s="8">
        <v>0.19252</v>
      </c>
      <c r="W48" s="8">
        <v>0.58431999999999995</v>
      </c>
      <c r="X48" s="8">
        <v>0.40142</v>
      </c>
      <c r="Y48" s="8">
        <v>0.77019000000000004</v>
      </c>
      <c r="Z48" s="8">
        <v>0.76060000000000005</v>
      </c>
      <c r="AA48" s="8">
        <v>0.41659000000000002</v>
      </c>
      <c r="AB48" s="8">
        <v>0.7097</v>
      </c>
      <c r="AC48" s="8">
        <v>0.42207</v>
      </c>
      <c r="AD48" s="8">
        <v>0.11877</v>
      </c>
      <c r="AE48" s="8">
        <v>0.67223999999999995</v>
      </c>
      <c r="AF48" s="8">
        <v>0.28523999999999999</v>
      </c>
      <c r="AG48" s="8">
        <v>0.70804</v>
      </c>
      <c r="AH48" s="8">
        <v>0.50129999999999997</v>
      </c>
      <c r="AI48" s="8">
        <v>0.72587999999999997</v>
      </c>
      <c r="AJ48" s="8">
        <v>0.32621</v>
      </c>
      <c r="AK48" s="8">
        <v>0.13428000000000001</v>
      </c>
      <c r="AL48" s="8">
        <v>0.52699780487804881</v>
      </c>
      <c r="AM48" s="8">
        <v>0.21</v>
      </c>
      <c r="AN48" s="8">
        <v>0.6592343902439024</v>
      </c>
      <c r="AO48" s="8">
        <v>7.4606000000000006E-2</v>
      </c>
      <c r="AP48" s="8">
        <v>0.16384000000000001</v>
      </c>
      <c r="AQ48" s="8">
        <v>0.69410000000000005</v>
      </c>
      <c r="AR48" s="8">
        <v>0.49059000000000003</v>
      </c>
      <c r="AS48" s="8">
        <v>0.51019999999999999</v>
      </c>
      <c r="AT48" s="8">
        <v>5.0099999999999999E-2</v>
      </c>
      <c r="AU48" s="8">
        <v>0.31229000000000001</v>
      </c>
      <c r="AV48" s="8">
        <v>0.38490000000000002</v>
      </c>
      <c r="AW48" s="8">
        <v>0.38450000000000001</v>
      </c>
      <c r="AX48" s="8">
        <v>0.60426999999999997</v>
      </c>
      <c r="AY48" s="8">
        <v>0.17279</v>
      </c>
      <c r="AZ48" s="8">
        <v>0.23937</v>
      </c>
      <c r="BA48" s="8">
        <v>0.26249</v>
      </c>
      <c r="BB48" s="8">
        <v>0.12623000000000001</v>
      </c>
      <c r="BC48" s="8">
        <v>0.21820000000000001</v>
      </c>
      <c r="BD48" s="8">
        <v>0.74680000000000002</v>
      </c>
      <c r="BE48" s="8">
        <v>0.66693999999999998</v>
      </c>
      <c r="BF48" s="8">
        <v>0.49258999999999997</v>
      </c>
      <c r="BG48" s="8">
        <v>0.30509999999999998</v>
      </c>
      <c r="BH48" s="8">
        <v>0.26379999999999998</v>
      </c>
      <c r="BI48" s="8">
        <v>0.72789999999999999</v>
      </c>
      <c r="BJ48" s="8">
        <v>0.70206000000000002</v>
      </c>
      <c r="BK48" s="8">
        <v>0.50026999999999999</v>
      </c>
      <c r="BL48" s="8">
        <v>0.31869999999999998</v>
      </c>
      <c r="BM48" s="8">
        <v>5.7282E-2</v>
      </c>
      <c r="BN48" s="8">
        <v>0.27667000000000003</v>
      </c>
      <c r="BO48" s="8">
        <v>0.10156999999999999</v>
      </c>
      <c r="BP48" s="8">
        <v>0.12520000000000001</v>
      </c>
      <c r="BQ48" s="8">
        <v>0.1477</v>
      </c>
      <c r="BR48" s="8">
        <v>0.29914000000000002</v>
      </c>
      <c r="BS48" s="8">
        <v>0.17599999999999999</v>
      </c>
      <c r="BT48" s="8">
        <v>0.40899000000000002</v>
      </c>
      <c r="BU48" s="8">
        <v>6.7699999999999996E-2</v>
      </c>
      <c r="BV48" s="8">
        <v>0.46978999999999999</v>
      </c>
      <c r="BW48" s="8">
        <v>0.23701</v>
      </c>
      <c r="BX48" s="8">
        <v>4.3982E-2</v>
      </c>
      <c r="BY48" s="8">
        <v>5.7200000000000001E-2</v>
      </c>
      <c r="BZ48" s="8">
        <v>0.128</v>
      </c>
      <c r="CA48" s="8">
        <v>0.11733826829268296</v>
      </c>
      <c r="CB48" s="8">
        <v>0.10823000000000001</v>
      </c>
      <c r="CC48" s="8">
        <v>0.39922000000000002</v>
      </c>
      <c r="CD48" s="8">
        <v>0.27333000000000002</v>
      </c>
      <c r="CE48" s="8">
        <v>9.7486000000000003E-2</v>
      </c>
      <c r="CF48" s="8">
        <v>0.64380000000000004</v>
      </c>
      <c r="CG48" s="8">
        <v>0.37830000000000003</v>
      </c>
      <c r="CH48" s="8">
        <v>3.7810000000000003E-2</v>
      </c>
      <c r="CI48" s="8">
        <v>9.0657000000000001E-2</v>
      </c>
      <c r="CJ48" s="8">
        <v>0.25456000000000001</v>
      </c>
      <c r="CK48" s="8">
        <v>5.9574000000000002E-2</v>
      </c>
      <c r="CL48" s="8">
        <v>0.19400999999999999</v>
      </c>
      <c r="CM48" s="8">
        <v>5.4828000000000002E-2</v>
      </c>
      <c r="CN48" s="8">
        <v>7.0900000000000005E-2</v>
      </c>
      <c r="CO48" s="8">
        <v>0.5037090243902439</v>
      </c>
      <c r="CP48" s="8">
        <v>0.1626258536585366</v>
      </c>
      <c r="CQ48" s="8">
        <v>0.27879999999999999</v>
      </c>
      <c r="CR48" s="8">
        <v>5.7882999999999997E-2</v>
      </c>
      <c r="CS48" s="8">
        <v>0.28494000000000003</v>
      </c>
      <c r="CT48" s="8">
        <v>0.39816000000000001</v>
      </c>
      <c r="CU48" s="8">
        <v>6.3299999999999995E-2</v>
      </c>
      <c r="CV48" s="8">
        <v>0.13542999999999999</v>
      </c>
      <c r="CW48" s="8">
        <v>8.2699999999999996E-2</v>
      </c>
    </row>
    <row r="49" spans="1:101">
      <c r="A49">
        <f t="shared" si="0"/>
        <v>555</v>
      </c>
      <c r="B49">
        <v>1</v>
      </c>
      <c r="C49" s="8">
        <v>0.52488000000000001</v>
      </c>
      <c r="D49" s="8">
        <v>0.13197999999999999</v>
      </c>
      <c r="E49" s="8">
        <v>4.1848999999999997E-2</v>
      </c>
      <c r="F49" s="8">
        <v>0.31202268292682928</v>
      </c>
      <c r="G49" s="8">
        <v>7.3762999999999995E-2</v>
      </c>
      <c r="H49" s="8">
        <v>0.13103999999999999</v>
      </c>
      <c r="I49" s="8">
        <v>4.8287999999999998E-2</v>
      </c>
      <c r="J49" s="8">
        <v>5.4442999999999998E-2</v>
      </c>
      <c r="K49" s="8">
        <v>4.0377999999999997E-2</v>
      </c>
      <c r="L49" s="8">
        <v>0.23344999999999999</v>
      </c>
      <c r="M49" s="8">
        <v>0.10861</v>
      </c>
      <c r="N49" s="8">
        <v>0.15515999999999999</v>
      </c>
      <c r="O49" s="8">
        <v>7.1485999999999994E-2</v>
      </c>
      <c r="P49" s="8">
        <v>0.39728000000000002</v>
      </c>
      <c r="Q49" s="8">
        <v>0.32240999999999997</v>
      </c>
      <c r="R49" s="8">
        <v>0.1125</v>
      </c>
      <c r="S49" s="8">
        <v>0.13450000000000001</v>
      </c>
      <c r="T49" s="8">
        <v>0.18329000000000001</v>
      </c>
      <c r="U49" s="8">
        <v>0.33928000000000003</v>
      </c>
      <c r="V49" s="8">
        <v>0.19974</v>
      </c>
      <c r="W49" s="8">
        <v>0.62790999999999997</v>
      </c>
      <c r="X49" s="8">
        <v>0.43235000000000001</v>
      </c>
      <c r="Y49" s="8">
        <v>0.78134999999999999</v>
      </c>
      <c r="Z49" s="8">
        <v>0.79313999999999996</v>
      </c>
      <c r="AA49" s="8">
        <v>0.43752999999999997</v>
      </c>
      <c r="AB49" s="8">
        <v>0.73677000000000004</v>
      </c>
      <c r="AC49" s="8">
        <v>0.42657</v>
      </c>
      <c r="AD49" s="8">
        <v>0.1174</v>
      </c>
      <c r="AE49" s="8">
        <v>0.68279999999999996</v>
      </c>
      <c r="AF49" s="8">
        <v>0.28832999999999998</v>
      </c>
      <c r="AG49" s="8">
        <v>0.71733999999999998</v>
      </c>
      <c r="AH49" s="8">
        <v>0.50941000000000003</v>
      </c>
      <c r="AI49" s="8">
        <v>0.73048000000000002</v>
      </c>
      <c r="AJ49" s="8">
        <v>0.32579000000000002</v>
      </c>
      <c r="AK49" s="8">
        <v>0.13355</v>
      </c>
      <c r="AL49" s="8">
        <v>0.52649463414634146</v>
      </c>
      <c r="AM49" s="8">
        <v>0.20810999999999999</v>
      </c>
      <c r="AN49" s="8">
        <v>0.65778853658536574</v>
      </c>
      <c r="AO49" s="8">
        <v>7.1650000000000005E-2</v>
      </c>
      <c r="AP49" s="8">
        <v>0.15243999999999999</v>
      </c>
      <c r="AQ49" s="8">
        <v>0.69062000000000001</v>
      </c>
      <c r="AR49" s="8">
        <v>0.46466000000000002</v>
      </c>
      <c r="AS49" s="8">
        <v>0.49381999999999998</v>
      </c>
      <c r="AT49" s="8">
        <v>4.9873000000000001E-2</v>
      </c>
      <c r="AU49" s="8">
        <v>0.29914000000000002</v>
      </c>
      <c r="AV49" s="8">
        <v>0.37869999999999998</v>
      </c>
      <c r="AW49" s="8">
        <v>0.37542999999999999</v>
      </c>
      <c r="AX49" s="8">
        <v>0.59606999999999999</v>
      </c>
      <c r="AY49" s="8">
        <v>0.16436000000000001</v>
      </c>
      <c r="AZ49" s="8">
        <v>0.21933</v>
      </c>
      <c r="BA49" s="8">
        <v>0.23757</v>
      </c>
      <c r="BB49" s="8">
        <v>0.11115</v>
      </c>
      <c r="BC49" s="8">
        <v>0.19386999999999999</v>
      </c>
      <c r="BD49" s="8">
        <v>0.73690999999999995</v>
      </c>
      <c r="BE49" s="8">
        <v>0.64607000000000003</v>
      </c>
      <c r="BF49" s="8">
        <v>0.46217999999999998</v>
      </c>
      <c r="BG49" s="8">
        <v>0.27694000000000002</v>
      </c>
      <c r="BH49" s="8">
        <v>0.24215</v>
      </c>
      <c r="BI49" s="8">
        <v>0.70379999999999998</v>
      </c>
      <c r="BJ49" s="8">
        <v>0.69189000000000001</v>
      </c>
      <c r="BK49" s="8">
        <v>0.47704000000000002</v>
      </c>
      <c r="BL49" s="8">
        <v>0.31302999999999997</v>
      </c>
      <c r="BM49" s="8">
        <v>5.7319000000000002E-2</v>
      </c>
      <c r="BN49" s="8">
        <v>0.24893000000000001</v>
      </c>
      <c r="BO49" s="8">
        <v>9.8566000000000001E-2</v>
      </c>
      <c r="BP49" s="8">
        <v>0.11054</v>
      </c>
      <c r="BQ49" s="8">
        <v>0.13089999999999999</v>
      </c>
      <c r="BR49" s="8">
        <v>0.27704000000000001</v>
      </c>
      <c r="BS49" s="8">
        <v>0.16259999999999999</v>
      </c>
      <c r="BT49" s="8">
        <v>0.38457999999999998</v>
      </c>
      <c r="BU49" s="8">
        <v>5.7338E-2</v>
      </c>
      <c r="BV49" s="8">
        <v>0.46262999999999999</v>
      </c>
      <c r="BW49" s="8">
        <v>0.21187</v>
      </c>
      <c r="BX49" s="8">
        <v>4.4290999999999997E-2</v>
      </c>
      <c r="BY49" s="8">
        <v>5.1874999999999998E-2</v>
      </c>
      <c r="BZ49" s="8">
        <v>0.10516</v>
      </c>
      <c r="CA49" s="8">
        <v>0.1086997804878049</v>
      </c>
      <c r="CB49" s="8">
        <v>9.5695000000000002E-2</v>
      </c>
      <c r="CC49" s="8">
        <v>0.38961000000000001</v>
      </c>
      <c r="CD49" s="8">
        <v>0.26819999999999999</v>
      </c>
      <c r="CE49" s="8">
        <v>9.1213000000000002E-2</v>
      </c>
      <c r="CF49" s="8">
        <v>0.64380999999999999</v>
      </c>
      <c r="CG49" s="8">
        <v>0.37928000000000001</v>
      </c>
      <c r="CH49" s="8">
        <v>3.4956000000000001E-2</v>
      </c>
      <c r="CI49" s="8">
        <v>8.9015999999999998E-2</v>
      </c>
      <c r="CJ49" s="8">
        <v>0.24482999999999999</v>
      </c>
      <c r="CK49" s="8">
        <v>5.3745000000000001E-2</v>
      </c>
      <c r="CL49" s="8">
        <v>0.19189999999999999</v>
      </c>
      <c r="CM49" s="8">
        <v>5.7626999999999998E-2</v>
      </c>
      <c r="CN49" s="8">
        <v>7.109E-2</v>
      </c>
      <c r="CO49" s="8">
        <v>0.50097292682926831</v>
      </c>
      <c r="CP49" s="8">
        <v>0.1600041463414634</v>
      </c>
      <c r="CQ49" s="8">
        <v>0.27934999999999999</v>
      </c>
      <c r="CR49" s="8">
        <v>5.8962000000000001E-2</v>
      </c>
      <c r="CS49" s="8">
        <v>0.28227000000000002</v>
      </c>
      <c r="CT49" s="8">
        <v>0.40244000000000002</v>
      </c>
      <c r="CU49" s="8">
        <v>8.3956000000000003E-2</v>
      </c>
      <c r="CV49" s="8">
        <v>0.14163000000000001</v>
      </c>
      <c r="CW49" s="8">
        <v>8.3087999999999995E-2</v>
      </c>
    </row>
    <row r="50" spans="1:101">
      <c r="A50">
        <f t="shared" si="0"/>
        <v>560</v>
      </c>
      <c r="B50">
        <v>1</v>
      </c>
      <c r="C50" s="8">
        <v>0.54420000000000002</v>
      </c>
      <c r="D50" s="8">
        <v>0.14330000000000001</v>
      </c>
      <c r="E50" s="8">
        <v>4.3050999999999999E-2</v>
      </c>
      <c r="F50" s="8">
        <v>0.34200317073170727</v>
      </c>
      <c r="G50" s="8">
        <v>8.0589999999999995E-2</v>
      </c>
      <c r="H50" s="8">
        <v>0.14122999999999999</v>
      </c>
      <c r="I50" s="8">
        <v>4.8800000000000003E-2</v>
      </c>
      <c r="J50" s="8">
        <v>5.4579999999999997E-2</v>
      </c>
      <c r="K50" s="8">
        <v>3.9364000000000003E-2</v>
      </c>
      <c r="L50" s="8">
        <v>0.25938</v>
      </c>
      <c r="M50" s="8">
        <v>0.1434</v>
      </c>
      <c r="N50" s="8">
        <v>0.18331</v>
      </c>
      <c r="O50" s="8">
        <v>6.9468000000000002E-2</v>
      </c>
      <c r="P50" s="8">
        <v>0.39789999999999998</v>
      </c>
      <c r="Q50" s="8">
        <v>0.3251</v>
      </c>
      <c r="R50" s="8">
        <v>0.11484999999999999</v>
      </c>
      <c r="S50" s="8">
        <v>0.15040000000000001</v>
      </c>
      <c r="T50" s="8">
        <v>0.18579999999999999</v>
      </c>
      <c r="U50" s="8">
        <v>0.39140000000000003</v>
      </c>
      <c r="V50" s="8">
        <v>0.21059</v>
      </c>
      <c r="W50" s="8">
        <v>0.66762999999999995</v>
      </c>
      <c r="X50" s="8">
        <v>0.46450000000000002</v>
      </c>
      <c r="Y50" s="8">
        <v>0.78986000000000001</v>
      </c>
      <c r="Z50" s="8">
        <v>0.81869999999999998</v>
      </c>
      <c r="AA50" s="8">
        <v>0.45206000000000002</v>
      </c>
      <c r="AB50" s="8">
        <v>0.76070000000000004</v>
      </c>
      <c r="AC50" s="8">
        <v>0.42941000000000001</v>
      </c>
      <c r="AD50" s="8">
        <v>0.11502999999999999</v>
      </c>
      <c r="AE50" s="8">
        <v>0.69184000000000001</v>
      </c>
      <c r="AF50" s="8">
        <v>0.29176999999999997</v>
      </c>
      <c r="AG50" s="8">
        <v>0.72614999999999996</v>
      </c>
      <c r="AH50" s="8">
        <v>0.51239999999999997</v>
      </c>
      <c r="AI50" s="8">
        <v>0.73521999999999998</v>
      </c>
      <c r="AJ50" s="8">
        <v>0.32446000000000003</v>
      </c>
      <c r="AK50" s="8">
        <v>0.13216</v>
      </c>
      <c r="AL50" s="8">
        <v>0.52843170731707334</v>
      </c>
      <c r="AM50" s="8">
        <v>0.19900000000000001</v>
      </c>
      <c r="AN50" s="8">
        <v>0.65798780487804864</v>
      </c>
      <c r="AO50" s="8">
        <v>6.9349999999999995E-2</v>
      </c>
      <c r="AP50" s="8">
        <v>0.14313000000000001</v>
      </c>
      <c r="AQ50" s="8">
        <v>0.68810000000000004</v>
      </c>
      <c r="AR50" s="8">
        <v>0.43776999999999999</v>
      </c>
      <c r="AS50" s="8">
        <v>0.4768</v>
      </c>
      <c r="AT50" s="8">
        <v>4.9599999999999998E-2</v>
      </c>
      <c r="AU50" s="8">
        <v>0.28478999999999999</v>
      </c>
      <c r="AV50" s="8">
        <v>0.37190000000000001</v>
      </c>
      <c r="AW50" s="8">
        <v>0.3669</v>
      </c>
      <c r="AX50" s="8">
        <v>0.58489999999999998</v>
      </c>
      <c r="AY50" s="8">
        <v>0.15573999999999999</v>
      </c>
      <c r="AZ50" s="8">
        <v>0.20136000000000001</v>
      </c>
      <c r="BA50" s="8">
        <v>0.21634</v>
      </c>
      <c r="BB50" s="8">
        <v>9.8100999999999994E-2</v>
      </c>
      <c r="BC50" s="8">
        <v>0.17169999999999999</v>
      </c>
      <c r="BD50" s="8">
        <v>0.72519999999999996</v>
      </c>
      <c r="BE50" s="8">
        <v>0.62480000000000002</v>
      </c>
      <c r="BF50" s="8">
        <v>0.43191000000000002</v>
      </c>
      <c r="BG50" s="8">
        <v>0.25030000000000002</v>
      </c>
      <c r="BH50" s="8">
        <v>0.22076999999999999</v>
      </c>
      <c r="BI50" s="8">
        <v>0.67930000000000001</v>
      </c>
      <c r="BJ50" s="8">
        <v>0.68267999999999995</v>
      </c>
      <c r="BK50" s="8">
        <v>0.45660000000000001</v>
      </c>
      <c r="BL50" s="8">
        <v>0.31075999999999998</v>
      </c>
      <c r="BM50" s="8">
        <v>5.8985000000000003E-2</v>
      </c>
      <c r="BN50" s="8">
        <v>0.22344</v>
      </c>
      <c r="BO50" s="8">
        <v>9.8098000000000005E-2</v>
      </c>
      <c r="BP50" s="8">
        <v>9.8299999999999998E-2</v>
      </c>
      <c r="BQ50" s="8">
        <v>0.1167</v>
      </c>
      <c r="BR50" s="8">
        <v>0.25792999999999999</v>
      </c>
      <c r="BS50" s="8">
        <v>0.15168000000000001</v>
      </c>
      <c r="BT50" s="8">
        <v>0.36303000000000002</v>
      </c>
      <c r="BU50" s="8">
        <v>4.7300000000000002E-2</v>
      </c>
      <c r="BV50" s="8">
        <v>0.45609</v>
      </c>
      <c r="BW50" s="8">
        <v>0.18905</v>
      </c>
      <c r="BX50" s="8">
        <v>4.5471999999999999E-2</v>
      </c>
      <c r="BY50" s="8">
        <v>4.6699999999999998E-2</v>
      </c>
      <c r="BZ50" s="8">
        <v>8.3400000000000002E-2</v>
      </c>
      <c r="CA50" s="8">
        <v>0.10113297560975612</v>
      </c>
      <c r="CB50" s="8">
        <v>8.4694000000000005E-2</v>
      </c>
      <c r="CC50" s="8">
        <v>0.38145000000000001</v>
      </c>
      <c r="CD50" s="8">
        <v>0.26479000000000003</v>
      </c>
      <c r="CE50" s="8">
        <v>8.2113000000000005E-2</v>
      </c>
      <c r="CF50" s="8">
        <v>0.64510000000000001</v>
      </c>
      <c r="CG50" s="8">
        <v>0.38179999999999997</v>
      </c>
      <c r="CH50" s="8">
        <v>3.2848000000000002E-2</v>
      </c>
      <c r="CI50" s="8">
        <v>8.9067999999999994E-2</v>
      </c>
      <c r="CJ50" s="8">
        <v>0.23946999999999999</v>
      </c>
      <c r="CK50" s="8">
        <v>4.8254999999999999E-2</v>
      </c>
      <c r="CL50" s="8">
        <v>0.18706</v>
      </c>
      <c r="CM50" s="8">
        <v>6.1452E-2</v>
      </c>
      <c r="CN50" s="8">
        <v>7.1099999999999997E-2</v>
      </c>
      <c r="CO50" s="8">
        <v>0.50109463414634148</v>
      </c>
      <c r="CP50" s="8">
        <v>0.15892951219512197</v>
      </c>
      <c r="CQ50" s="8">
        <v>0.28106999999999999</v>
      </c>
      <c r="CR50" s="8">
        <v>6.0332999999999998E-2</v>
      </c>
      <c r="CS50" s="8">
        <v>0.28116999999999998</v>
      </c>
      <c r="CT50" s="8">
        <v>0.40897</v>
      </c>
      <c r="CU50" s="8">
        <v>0.1187</v>
      </c>
      <c r="CV50" s="8">
        <v>0.15518999999999999</v>
      </c>
      <c r="CW50" s="8">
        <v>8.3400000000000002E-2</v>
      </c>
    </row>
    <row r="51" spans="1:101">
      <c r="A51">
        <f t="shared" si="0"/>
        <v>565</v>
      </c>
      <c r="B51">
        <v>1</v>
      </c>
      <c r="C51" s="8">
        <v>0.56832000000000005</v>
      </c>
      <c r="D51" s="8">
        <v>0.16092000000000001</v>
      </c>
      <c r="E51" s="8">
        <v>4.4837000000000002E-2</v>
      </c>
      <c r="F51" s="8">
        <v>0.37116268292682919</v>
      </c>
      <c r="G51" s="8">
        <v>9.1151999999999997E-2</v>
      </c>
      <c r="H51" s="8">
        <v>0.15275</v>
      </c>
      <c r="I51" s="8">
        <v>4.9729000000000002E-2</v>
      </c>
      <c r="J51" s="8">
        <v>5.5004999999999998E-2</v>
      </c>
      <c r="K51" s="8">
        <v>3.9604E-2</v>
      </c>
      <c r="L51" s="8">
        <v>0.29341</v>
      </c>
      <c r="M51" s="8">
        <v>0.18551999999999999</v>
      </c>
      <c r="N51" s="8">
        <v>0.21657999999999999</v>
      </c>
      <c r="O51" s="8">
        <v>6.8192000000000003E-2</v>
      </c>
      <c r="P51" s="8">
        <v>0.40103</v>
      </c>
      <c r="Q51" s="8">
        <v>0.32407000000000002</v>
      </c>
      <c r="R51" s="8">
        <v>0.1173</v>
      </c>
      <c r="S51" s="8">
        <v>0.16541</v>
      </c>
      <c r="T51" s="8">
        <v>0.18684999999999999</v>
      </c>
      <c r="U51" s="8">
        <v>0.43924999999999997</v>
      </c>
      <c r="V51" s="8">
        <v>0.22470000000000001</v>
      </c>
      <c r="W51" s="8">
        <v>0.70476000000000005</v>
      </c>
      <c r="X51" s="8">
        <v>0.49808000000000002</v>
      </c>
      <c r="Y51" s="8">
        <v>0.79688999999999999</v>
      </c>
      <c r="Z51" s="8">
        <v>0.83726999999999996</v>
      </c>
      <c r="AA51" s="8">
        <v>0.46315000000000001</v>
      </c>
      <c r="AB51" s="8">
        <v>0.78141000000000005</v>
      </c>
      <c r="AC51" s="8">
        <v>0.43090000000000001</v>
      </c>
      <c r="AD51" s="8">
        <v>0.12031</v>
      </c>
      <c r="AE51" s="8">
        <v>0.69974999999999998</v>
      </c>
      <c r="AF51" s="8">
        <v>0.29664000000000001</v>
      </c>
      <c r="AG51" s="8">
        <v>0.73467000000000005</v>
      </c>
      <c r="AH51" s="8">
        <v>0.51112999999999997</v>
      </c>
      <c r="AI51" s="8">
        <v>0.74123000000000006</v>
      </c>
      <c r="AJ51" s="8">
        <v>0.32252999999999998</v>
      </c>
      <c r="AK51" s="8">
        <v>0.13053999999999999</v>
      </c>
      <c r="AL51" s="8">
        <v>0.53210292682926841</v>
      </c>
      <c r="AM51" s="8">
        <v>0.18615000000000001</v>
      </c>
      <c r="AN51" s="8">
        <v>0.65939536585365865</v>
      </c>
      <c r="AO51" s="8">
        <v>6.8110000000000004E-2</v>
      </c>
      <c r="AP51" s="8">
        <v>0.13716</v>
      </c>
      <c r="AQ51" s="8">
        <v>0.68630000000000002</v>
      </c>
      <c r="AR51" s="8">
        <v>0.41210999999999998</v>
      </c>
      <c r="AS51" s="8">
        <v>0.46001999999999998</v>
      </c>
      <c r="AT51" s="8">
        <v>4.9221000000000001E-2</v>
      </c>
      <c r="AU51" s="8">
        <v>0.27639000000000002</v>
      </c>
      <c r="AV51" s="8">
        <v>0.3649</v>
      </c>
      <c r="AW51" s="8">
        <v>0.35894999999999999</v>
      </c>
      <c r="AX51" s="8">
        <v>0.57159000000000004</v>
      </c>
      <c r="AY51" s="8">
        <v>0.14741000000000001</v>
      </c>
      <c r="AZ51" s="8">
        <v>0.18742</v>
      </c>
      <c r="BA51" s="8">
        <v>0.20166999999999999</v>
      </c>
      <c r="BB51" s="8">
        <v>8.8406999999999999E-2</v>
      </c>
      <c r="BC51" s="8">
        <v>0.15204000000000001</v>
      </c>
      <c r="BD51" s="8">
        <v>0.71226</v>
      </c>
      <c r="BE51" s="8">
        <v>0.60443999999999998</v>
      </c>
      <c r="BF51" s="8">
        <v>0.40231</v>
      </c>
      <c r="BG51" s="8">
        <v>0.22650999999999999</v>
      </c>
      <c r="BH51" s="8">
        <v>0.20033000000000001</v>
      </c>
      <c r="BI51" s="8">
        <v>0.65656999999999999</v>
      </c>
      <c r="BJ51" s="8">
        <v>0.67515000000000003</v>
      </c>
      <c r="BK51" s="8">
        <v>0.44087999999999999</v>
      </c>
      <c r="BL51" s="8">
        <v>0.31237999999999999</v>
      </c>
      <c r="BM51" s="8">
        <v>6.2265000000000001E-2</v>
      </c>
      <c r="BN51" s="8">
        <v>0.20115</v>
      </c>
      <c r="BO51" s="8">
        <v>0.10068000000000001</v>
      </c>
      <c r="BP51" s="8">
        <v>8.8664000000000007E-2</v>
      </c>
      <c r="BQ51" s="8">
        <v>0.10545</v>
      </c>
      <c r="BR51" s="8">
        <v>0.24313000000000001</v>
      </c>
      <c r="BS51" s="8">
        <v>0.14438000000000001</v>
      </c>
      <c r="BT51" s="8">
        <v>0.34527999999999998</v>
      </c>
      <c r="BU51" s="8">
        <v>3.9010999999999997E-2</v>
      </c>
      <c r="BV51" s="8">
        <v>0.45034000000000002</v>
      </c>
      <c r="BW51" s="8">
        <v>0.16994000000000001</v>
      </c>
      <c r="BX51" s="8">
        <v>4.7240999999999998E-2</v>
      </c>
      <c r="BY51" s="8">
        <v>4.2549999999999998E-2</v>
      </c>
      <c r="BZ51" s="8">
        <v>6.5627000000000005E-2</v>
      </c>
      <c r="CA51" s="8">
        <v>9.4913463414634164E-2</v>
      </c>
      <c r="CB51" s="8">
        <v>7.6330999999999996E-2</v>
      </c>
      <c r="CC51" s="8">
        <v>0.37419999999999998</v>
      </c>
      <c r="CD51" s="8">
        <v>0.26307000000000003</v>
      </c>
      <c r="CE51" s="8">
        <v>7.4395000000000003E-2</v>
      </c>
      <c r="CF51" s="8">
        <v>0.64673999999999998</v>
      </c>
      <c r="CG51" s="8">
        <v>0.38643</v>
      </c>
      <c r="CH51" s="8">
        <v>3.1765000000000002E-2</v>
      </c>
      <c r="CI51" s="8">
        <v>8.7917999999999996E-2</v>
      </c>
      <c r="CJ51" s="8">
        <v>0.23968999999999999</v>
      </c>
      <c r="CK51" s="8">
        <v>4.4033999999999997E-2</v>
      </c>
      <c r="CL51" s="8">
        <v>0.18151</v>
      </c>
      <c r="CM51" s="8">
        <v>6.5639000000000003E-2</v>
      </c>
      <c r="CN51" s="8">
        <v>7.1753999999999998E-2</v>
      </c>
      <c r="CO51" s="8">
        <v>0.50341707317073159</v>
      </c>
      <c r="CP51" s="8">
        <v>0.15868390243902439</v>
      </c>
      <c r="CQ51" s="8">
        <v>0.28419</v>
      </c>
      <c r="CR51" s="8">
        <v>6.1873999999999998E-2</v>
      </c>
      <c r="CS51" s="8">
        <v>0.28238000000000002</v>
      </c>
      <c r="CT51" s="8">
        <v>0.41799999999999998</v>
      </c>
      <c r="CU51" s="8">
        <v>0.16497999999999999</v>
      </c>
      <c r="CV51" s="8">
        <v>0.17835000000000001</v>
      </c>
      <c r="CW51" s="8">
        <v>8.4404999999999994E-2</v>
      </c>
    </row>
    <row r="52" spans="1:101">
      <c r="A52">
        <f t="shared" si="0"/>
        <v>570</v>
      </c>
      <c r="B52">
        <v>1</v>
      </c>
      <c r="C52" s="8">
        <v>0.59630000000000005</v>
      </c>
      <c r="D52" s="8">
        <v>0.1855</v>
      </c>
      <c r="E52" s="8">
        <v>4.4294E-2</v>
      </c>
      <c r="F52" s="8">
        <v>0.39782317073170709</v>
      </c>
      <c r="G52" s="8">
        <v>0.10539</v>
      </c>
      <c r="H52" s="8">
        <v>0.16517999999999999</v>
      </c>
      <c r="I52" s="8">
        <v>5.1299999999999998E-2</v>
      </c>
      <c r="J52" s="8">
        <v>5.5710000000000003E-2</v>
      </c>
      <c r="K52" s="8">
        <v>4.0807000000000003E-2</v>
      </c>
      <c r="L52" s="8">
        <v>0.34156999999999998</v>
      </c>
      <c r="M52" s="8">
        <v>0.23130999999999999</v>
      </c>
      <c r="N52" s="8">
        <v>0.25334000000000001</v>
      </c>
      <c r="O52" s="8">
        <v>6.8178000000000002E-2</v>
      </c>
      <c r="P52" s="8">
        <v>0.4083</v>
      </c>
      <c r="Q52" s="8">
        <v>0.32228000000000001</v>
      </c>
      <c r="R52" s="8">
        <v>0.12026000000000001</v>
      </c>
      <c r="S52" s="8">
        <v>0.17859</v>
      </c>
      <c r="T52" s="8">
        <v>0.18809999999999999</v>
      </c>
      <c r="U52" s="8">
        <v>0.47689999999999999</v>
      </c>
      <c r="V52" s="8">
        <v>0.24146999999999999</v>
      </c>
      <c r="W52" s="8">
        <v>0.73851999999999995</v>
      </c>
      <c r="X52" s="8">
        <v>0.53141000000000005</v>
      </c>
      <c r="Y52" s="8">
        <v>0.80310000000000004</v>
      </c>
      <c r="Z52" s="8">
        <v>0.85</v>
      </c>
      <c r="AA52" s="8">
        <v>0.47193000000000002</v>
      </c>
      <c r="AB52" s="8">
        <v>0.7994</v>
      </c>
      <c r="AC52" s="8">
        <v>0.43186000000000002</v>
      </c>
      <c r="AD52" s="8">
        <v>0.12027</v>
      </c>
      <c r="AE52" s="8">
        <v>0.70674000000000003</v>
      </c>
      <c r="AF52" s="8">
        <v>0.30153999999999997</v>
      </c>
      <c r="AG52" s="8">
        <v>0.74241000000000001</v>
      </c>
      <c r="AH52" s="8">
        <v>0.50719999999999998</v>
      </c>
      <c r="AI52" s="8">
        <v>0.74699000000000004</v>
      </c>
      <c r="AJ52" s="8">
        <v>0.32019999999999998</v>
      </c>
      <c r="AK52" s="8">
        <v>0.12886</v>
      </c>
      <c r="AL52" s="8">
        <v>0.53515585365853668</v>
      </c>
      <c r="AM52" s="8">
        <v>0.17299999999999999</v>
      </c>
      <c r="AN52" s="8">
        <v>0.66049341463414657</v>
      </c>
      <c r="AO52" s="8">
        <v>6.7701999999999998E-2</v>
      </c>
      <c r="AP52" s="8">
        <v>0.13396</v>
      </c>
      <c r="AQ52" s="8">
        <v>0.68459999999999999</v>
      </c>
      <c r="AR52" s="8">
        <v>0.38793</v>
      </c>
      <c r="AS52" s="8">
        <v>0.44390000000000002</v>
      </c>
      <c r="AT52" s="8">
        <v>4.8899999999999999E-2</v>
      </c>
      <c r="AU52" s="8">
        <v>0.26307000000000003</v>
      </c>
      <c r="AV52" s="8">
        <v>0.35749999999999998</v>
      </c>
      <c r="AW52" s="8">
        <v>0.3518</v>
      </c>
      <c r="AX52" s="8">
        <v>0.55520999999999998</v>
      </c>
      <c r="AY52" s="8">
        <v>0.13947000000000001</v>
      </c>
      <c r="AZ52" s="8">
        <v>0.17665</v>
      </c>
      <c r="BA52" s="8">
        <v>0.19213</v>
      </c>
      <c r="BB52" s="8">
        <v>8.1509999999999999E-2</v>
      </c>
      <c r="BC52" s="8">
        <v>0.13469999999999999</v>
      </c>
      <c r="BD52" s="8">
        <v>0.69820000000000004</v>
      </c>
      <c r="BE52" s="8">
        <v>0.58562000000000003</v>
      </c>
      <c r="BF52" s="8">
        <v>0.37328</v>
      </c>
      <c r="BG52" s="8">
        <v>0.20549999999999999</v>
      </c>
      <c r="BH52" s="8">
        <v>0.18040999999999999</v>
      </c>
      <c r="BI52" s="8">
        <v>0.63660000000000005</v>
      </c>
      <c r="BJ52" s="8">
        <v>0.66956000000000004</v>
      </c>
      <c r="BK52" s="8">
        <v>0.42892000000000002</v>
      </c>
      <c r="BL52" s="8">
        <v>0.31572</v>
      </c>
      <c r="BM52" s="8">
        <v>6.6696000000000005E-2</v>
      </c>
      <c r="BN52" s="8">
        <v>0.18221000000000001</v>
      </c>
      <c r="BO52" s="8">
        <v>0.10475</v>
      </c>
      <c r="BP52" s="8">
        <v>8.1299999999999997E-2</v>
      </c>
      <c r="BQ52" s="8">
        <v>9.6799999999999997E-2</v>
      </c>
      <c r="BR52" s="8">
        <v>0.23196</v>
      </c>
      <c r="BS52" s="8">
        <v>0.14004</v>
      </c>
      <c r="BT52" s="8">
        <v>0.33078000000000002</v>
      </c>
      <c r="BU52" s="8">
        <v>3.4299999999999997E-2</v>
      </c>
      <c r="BV52" s="8">
        <v>0.44536999999999999</v>
      </c>
      <c r="BW52" s="8">
        <v>0.15459000000000001</v>
      </c>
      <c r="BX52" s="8">
        <v>4.8847000000000002E-2</v>
      </c>
      <c r="BY52" s="8">
        <v>4.0500000000000001E-2</v>
      </c>
      <c r="BZ52" s="8">
        <v>5.4199999999999998E-2</v>
      </c>
      <c r="CA52" s="8">
        <v>8.9671024390243909E-2</v>
      </c>
      <c r="CB52" s="8">
        <v>7.0694000000000007E-2</v>
      </c>
      <c r="CC52" s="8">
        <v>0.36714999999999998</v>
      </c>
      <c r="CD52" s="8">
        <v>0.26304</v>
      </c>
      <c r="CE52" s="8">
        <v>6.7993999999999999E-2</v>
      </c>
      <c r="CF52" s="8">
        <v>0.64829999999999999</v>
      </c>
      <c r="CG52" s="8">
        <v>0.39179999999999998</v>
      </c>
      <c r="CH52" s="8">
        <v>3.1558000000000003E-2</v>
      </c>
      <c r="CI52" s="8">
        <v>8.7941000000000005E-2</v>
      </c>
      <c r="CJ52" s="8">
        <v>0.24364</v>
      </c>
      <c r="CK52" s="8">
        <v>4.1404000000000003E-2</v>
      </c>
      <c r="CL52" s="8">
        <v>0.18071000000000001</v>
      </c>
      <c r="CM52" s="8">
        <v>6.9605E-2</v>
      </c>
      <c r="CN52" s="8">
        <v>7.4499999999999997E-2</v>
      </c>
      <c r="CO52" s="8">
        <v>0.50601024390243898</v>
      </c>
      <c r="CP52" s="8">
        <v>0.15917560975609754</v>
      </c>
      <c r="CQ52" s="8">
        <v>0.28827000000000003</v>
      </c>
      <c r="CR52" s="8">
        <v>6.3701999999999995E-2</v>
      </c>
      <c r="CS52" s="8">
        <v>0.28595999999999999</v>
      </c>
      <c r="CT52" s="8">
        <v>0.42914999999999998</v>
      </c>
      <c r="CU52" s="8">
        <v>0.21210000000000001</v>
      </c>
      <c r="CV52" s="8">
        <v>0.21210000000000001</v>
      </c>
      <c r="CW52" s="8">
        <v>8.77E-2</v>
      </c>
    </row>
    <row r="53" spans="1:101">
      <c r="A53">
        <f t="shared" si="0"/>
        <v>575</v>
      </c>
      <c r="B53">
        <v>1</v>
      </c>
      <c r="C53" s="8">
        <v>0.62678999999999996</v>
      </c>
      <c r="D53" s="8">
        <v>0.21707000000000001</v>
      </c>
      <c r="E53" s="8">
        <v>4.6315000000000002E-2</v>
      </c>
      <c r="F53" s="8">
        <v>0.42122609756097551</v>
      </c>
      <c r="G53" s="8">
        <v>0.12247</v>
      </c>
      <c r="H53" s="8">
        <v>0.17796000000000001</v>
      </c>
      <c r="I53" s="8">
        <v>5.3897E-2</v>
      </c>
      <c r="J53" s="8">
        <v>5.6818E-2</v>
      </c>
      <c r="K53" s="8">
        <v>4.2577999999999998E-2</v>
      </c>
      <c r="L53" s="8">
        <v>0.4083</v>
      </c>
      <c r="M53" s="8">
        <v>0.27650999999999998</v>
      </c>
      <c r="N53" s="8">
        <v>0.29135</v>
      </c>
      <c r="O53" s="8">
        <v>7.0693000000000006E-2</v>
      </c>
      <c r="P53" s="8">
        <v>0.42058000000000001</v>
      </c>
      <c r="Q53" s="8">
        <v>0.32449</v>
      </c>
      <c r="R53" s="8">
        <v>0.12415</v>
      </c>
      <c r="S53" s="8">
        <v>0.18928</v>
      </c>
      <c r="T53" s="8">
        <v>0.19170000000000001</v>
      </c>
      <c r="U53" s="8">
        <v>0.50097000000000003</v>
      </c>
      <c r="V53" s="8">
        <v>0.26062000000000002</v>
      </c>
      <c r="W53" s="8">
        <v>0.76792000000000005</v>
      </c>
      <c r="X53" s="8">
        <v>0.56281000000000003</v>
      </c>
      <c r="Y53" s="8">
        <v>0.80879000000000001</v>
      </c>
      <c r="Z53" s="8">
        <v>0.85829999999999995</v>
      </c>
      <c r="AA53" s="8">
        <v>0.47899999999999998</v>
      </c>
      <c r="AB53" s="8">
        <v>0.81523000000000001</v>
      </c>
      <c r="AC53" s="8">
        <v>0.43417</v>
      </c>
      <c r="AD53" s="8">
        <v>0.12087000000000001</v>
      </c>
      <c r="AE53" s="8">
        <v>0.71304999999999996</v>
      </c>
      <c r="AF53" s="8">
        <v>0.30507000000000001</v>
      </c>
      <c r="AG53" s="8">
        <v>0.74895</v>
      </c>
      <c r="AH53" s="8">
        <v>0.50234999999999996</v>
      </c>
      <c r="AI53" s="8">
        <v>0.75090999999999997</v>
      </c>
      <c r="AJ53" s="8">
        <v>0.31762000000000001</v>
      </c>
      <c r="AK53" s="8">
        <v>0.12720000000000001</v>
      </c>
      <c r="AL53" s="8">
        <v>0.53670390243902444</v>
      </c>
      <c r="AM53" s="8">
        <v>0.16242000000000001</v>
      </c>
      <c r="AN53" s="8">
        <v>0.66094170731707325</v>
      </c>
      <c r="AO53" s="8">
        <v>6.7838999999999997E-2</v>
      </c>
      <c r="AP53" s="8">
        <v>0.13286000000000001</v>
      </c>
      <c r="AQ53" s="8">
        <v>0.68242999999999998</v>
      </c>
      <c r="AR53" s="8">
        <v>0.36526999999999998</v>
      </c>
      <c r="AS53" s="8">
        <v>0.42860999999999999</v>
      </c>
      <c r="AT53" s="8">
        <v>4.8792000000000002E-2</v>
      </c>
      <c r="AU53" s="8">
        <v>0.24861</v>
      </c>
      <c r="AV53" s="8">
        <v>0.34938000000000002</v>
      </c>
      <c r="AW53" s="8">
        <v>0.34575</v>
      </c>
      <c r="AX53" s="8">
        <v>0.53495000000000004</v>
      </c>
      <c r="AY53" s="8">
        <v>0.13197</v>
      </c>
      <c r="AZ53" s="8">
        <v>0.1678</v>
      </c>
      <c r="BA53" s="8">
        <v>0.18575</v>
      </c>
      <c r="BB53" s="8">
        <v>7.6496999999999996E-2</v>
      </c>
      <c r="BC53" s="8">
        <v>0.11940000000000001</v>
      </c>
      <c r="BD53" s="8">
        <v>0.68279999999999996</v>
      </c>
      <c r="BE53" s="8">
        <v>0.56855999999999995</v>
      </c>
      <c r="BF53" s="8">
        <v>0.34465000000000001</v>
      </c>
      <c r="BG53" s="8">
        <v>0.18673999999999999</v>
      </c>
      <c r="BH53" s="8">
        <v>0.16051000000000001</v>
      </c>
      <c r="BI53" s="8">
        <v>0.61990000000000001</v>
      </c>
      <c r="BJ53" s="8">
        <v>0.66588999999999998</v>
      </c>
      <c r="BK53" s="8">
        <v>0.41930000000000001</v>
      </c>
      <c r="BL53" s="8">
        <v>0.31824999999999998</v>
      </c>
      <c r="BM53" s="8">
        <v>7.1677000000000005E-2</v>
      </c>
      <c r="BN53" s="8">
        <v>0.16642999999999999</v>
      </c>
      <c r="BO53" s="8">
        <v>0.10827000000000001</v>
      </c>
      <c r="BP53" s="8">
        <v>7.5745000000000007E-2</v>
      </c>
      <c r="BQ53" s="8">
        <v>9.0205999999999995E-2</v>
      </c>
      <c r="BR53" s="8">
        <v>0.22348999999999999</v>
      </c>
      <c r="BS53" s="8">
        <v>0.13802</v>
      </c>
      <c r="BT53" s="8">
        <v>0.31879999999999997</v>
      </c>
      <c r="BU53" s="8">
        <v>3.4779999999999998E-2</v>
      </c>
      <c r="BV53" s="8">
        <v>0.44114999999999999</v>
      </c>
      <c r="BW53" s="8">
        <v>0.14279</v>
      </c>
      <c r="BX53" s="8">
        <v>4.9577000000000003E-2</v>
      </c>
      <c r="BY53" s="8">
        <v>4.1447999999999999E-2</v>
      </c>
      <c r="BZ53" s="8">
        <v>5.1034999999999997E-2</v>
      </c>
      <c r="CA53" s="8">
        <v>8.5257756097560977E-2</v>
      </c>
      <c r="CB53" s="8">
        <v>6.7655999999999994E-2</v>
      </c>
      <c r="CC53" s="8">
        <v>0.35994999999999999</v>
      </c>
      <c r="CD53" s="8">
        <v>0.26462000000000002</v>
      </c>
      <c r="CE53" s="8">
        <v>6.7377999999999993E-2</v>
      </c>
      <c r="CF53" s="8">
        <v>0.64956000000000003</v>
      </c>
      <c r="CG53" s="8">
        <v>0.39639000000000002</v>
      </c>
      <c r="CH53" s="8">
        <v>3.2121999999999998E-2</v>
      </c>
      <c r="CI53" s="8">
        <v>8.5875000000000007E-2</v>
      </c>
      <c r="CJ53" s="8">
        <v>0.24875</v>
      </c>
      <c r="CK53" s="8">
        <v>4.1105999999999997E-2</v>
      </c>
      <c r="CL53" s="8">
        <v>0.18983</v>
      </c>
      <c r="CM53" s="8">
        <v>7.3039999999999994E-2</v>
      </c>
      <c r="CN53" s="8">
        <v>8.0843999999999999E-2</v>
      </c>
      <c r="CO53" s="8">
        <v>0.50809097560975613</v>
      </c>
      <c r="CP53" s="8">
        <v>0.16048365853658536</v>
      </c>
      <c r="CQ53" s="8">
        <v>0.29294999999999999</v>
      </c>
      <c r="CR53" s="8">
        <v>6.5991999999999995E-2</v>
      </c>
      <c r="CS53" s="8">
        <v>0.29205999999999999</v>
      </c>
      <c r="CT53" s="8">
        <v>0.44206000000000001</v>
      </c>
      <c r="CU53" s="8">
        <v>0.24926999999999999</v>
      </c>
      <c r="CV53" s="8">
        <v>0.25629000000000002</v>
      </c>
      <c r="CW53" s="8">
        <v>9.5079999999999998E-2</v>
      </c>
    </row>
    <row r="54" spans="1:101">
      <c r="A54">
        <f t="shared" si="0"/>
        <v>580</v>
      </c>
      <c r="B54">
        <v>1</v>
      </c>
      <c r="C54" s="8">
        <v>0.65780000000000005</v>
      </c>
      <c r="D54" s="8">
        <v>0.25419999999999998</v>
      </c>
      <c r="E54" s="8">
        <v>4.9140999999999997E-2</v>
      </c>
      <c r="F54" s="8">
        <v>0.44136121951219498</v>
      </c>
      <c r="G54" s="8">
        <v>0.13976</v>
      </c>
      <c r="H54" s="8">
        <v>0.19031000000000001</v>
      </c>
      <c r="I54" s="8">
        <v>5.8500000000000003E-2</v>
      </c>
      <c r="J54" s="8">
        <v>5.9150000000000001E-2</v>
      </c>
      <c r="K54" s="8">
        <v>4.4824999999999997E-2</v>
      </c>
      <c r="L54" s="8">
        <v>0.48748999999999998</v>
      </c>
      <c r="M54" s="8">
        <v>0.31696000000000002</v>
      </c>
      <c r="N54" s="8">
        <v>0.33391999999999999</v>
      </c>
      <c r="O54" s="8">
        <v>7.9491000000000006E-2</v>
      </c>
      <c r="P54" s="8">
        <v>0.4355</v>
      </c>
      <c r="Q54" s="8">
        <v>0.33774999999999999</v>
      </c>
      <c r="R54" s="8">
        <v>0.12934000000000001</v>
      </c>
      <c r="S54" s="8">
        <v>0.19761000000000001</v>
      </c>
      <c r="T54" s="8">
        <v>0.19989999999999999</v>
      </c>
      <c r="U54" s="8">
        <v>0.51459999999999995</v>
      </c>
      <c r="V54" s="8">
        <v>0.28316999999999998</v>
      </c>
      <c r="W54" s="8">
        <v>0.79342999999999997</v>
      </c>
      <c r="X54" s="8">
        <v>0.59236</v>
      </c>
      <c r="Y54" s="8">
        <v>0.81340999999999997</v>
      </c>
      <c r="Z54" s="8">
        <v>0.86339999999999995</v>
      </c>
      <c r="AA54" s="8">
        <v>0.48643999999999998</v>
      </c>
      <c r="AB54" s="8">
        <v>0.82920000000000005</v>
      </c>
      <c r="AC54" s="8">
        <v>0.43798999999999999</v>
      </c>
      <c r="AD54" s="8">
        <v>0.12009</v>
      </c>
      <c r="AE54" s="8">
        <v>0.71909999999999996</v>
      </c>
      <c r="AF54" s="8">
        <v>0.30870999999999998</v>
      </c>
      <c r="AG54" s="8">
        <v>0.75483999999999996</v>
      </c>
      <c r="AH54" s="8">
        <v>0.498</v>
      </c>
      <c r="AI54" s="8">
        <v>0.75383</v>
      </c>
      <c r="AJ54" s="8">
        <v>0.31485999999999997</v>
      </c>
      <c r="AK54" s="8">
        <v>0.12554000000000001</v>
      </c>
      <c r="AL54" s="8">
        <v>0.53797756097560967</v>
      </c>
      <c r="AM54" s="8">
        <v>0.155</v>
      </c>
      <c r="AN54" s="8">
        <v>0.66122414634146343</v>
      </c>
      <c r="AO54" s="8">
        <v>6.8628999999999996E-2</v>
      </c>
      <c r="AP54" s="8">
        <v>0.13458000000000001</v>
      </c>
      <c r="AQ54" s="8">
        <v>0.67989999999999995</v>
      </c>
      <c r="AR54" s="8">
        <v>0.34522999999999998</v>
      </c>
      <c r="AS54" s="8">
        <v>0.41389999999999999</v>
      </c>
      <c r="AT54" s="8">
        <v>4.8800000000000003E-2</v>
      </c>
      <c r="AU54" s="8">
        <v>0.23426</v>
      </c>
      <c r="AV54" s="8">
        <v>0.34029999999999999</v>
      </c>
      <c r="AW54" s="8">
        <v>0.34129999999999999</v>
      </c>
      <c r="AX54" s="8">
        <v>0.51210999999999995</v>
      </c>
      <c r="AY54" s="8">
        <v>0.12523000000000001</v>
      </c>
      <c r="AZ54" s="8">
        <v>0.16106999999999999</v>
      </c>
      <c r="BA54" s="8">
        <v>0.18279999999999999</v>
      </c>
      <c r="BB54" s="8">
        <v>7.2956999999999994E-2</v>
      </c>
      <c r="BC54" s="8">
        <v>0.10589999999999999</v>
      </c>
      <c r="BD54" s="8">
        <v>0.66490000000000005</v>
      </c>
      <c r="BE54" s="8">
        <v>0.55242000000000002</v>
      </c>
      <c r="BF54" s="8">
        <v>0.31651000000000001</v>
      </c>
      <c r="BG54" s="8">
        <v>0.1694</v>
      </c>
      <c r="BH54" s="8">
        <v>0.14091000000000001</v>
      </c>
      <c r="BI54" s="8">
        <v>0.60609999999999997</v>
      </c>
      <c r="BJ54" s="8">
        <v>0.66335999999999995</v>
      </c>
      <c r="BK54" s="8">
        <v>0.41175</v>
      </c>
      <c r="BL54" s="8">
        <v>0.31869999999999998</v>
      </c>
      <c r="BM54" s="8">
        <v>7.6509999999999995E-2</v>
      </c>
      <c r="BN54" s="8">
        <v>0.15310000000000001</v>
      </c>
      <c r="BO54" s="8">
        <v>0.10922</v>
      </c>
      <c r="BP54" s="8">
        <v>7.1499999999999994E-2</v>
      </c>
      <c r="BQ54" s="8">
        <v>8.5099999999999995E-2</v>
      </c>
      <c r="BR54" s="8">
        <v>0.21784000000000001</v>
      </c>
      <c r="BS54" s="8">
        <v>0.13932</v>
      </c>
      <c r="BT54" s="8">
        <v>0.30924000000000001</v>
      </c>
      <c r="BU54" s="8">
        <v>4.0800000000000003E-2</v>
      </c>
      <c r="BV54" s="8">
        <v>0.43795000000000001</v>
      </c>
      <c r="BW54" s="8">
        <v>0.13464000000000001</v>
      </c>
      <c r="BX54" s="8">
        <v>4.9343999999999999E-2</v>
      </c>
      <c r="BY54" s="8">
        <v>4.5400000000000003E-2</v>
      </c>
      <c r="BZ54" s="8">
        <v>5.6800000000000003E-2</v>
      </c>
      <c r="CA54" s="8">
        <v>8.1693414634146352E-2</v>
      </c>
      <c r="CB54" s="8">
        <v>6.7219000000000001E-2</v>
      </c>
      <c r="CC54" s="8">
        <v>0.35393999999999998</v>
      </c>
      <c r="CD54" s="8">
        <v>0.26728000000000002</v>
      </c>
      <c r="CE54" s="8">
        <v>7.1705000000000005E-2</v>
      </c>
      <c r="CF54" s="8">
        <v>0.65069999999999995</v>
      </c>
      <c r="CG54" s="8">
        <v>0.40010000000000001</v>
      </c>
      <c r="CH54" s="8">
        <v>3.3939999999999998E-2</v>
      </c>
      <c r="CI54" s="8">
        <v>8.4628999999999996E-2</v>
      </c>
      <c r="CJ54" s="8">
        <v>0.25258000000000003</v>
      </c>
      <c r="CK54" s="8">
        <v>4.6170000000000003E-2</v>
      </c>
      <c r="CL54" s="8">
        <v>0.2094</v>
      </c>
      <c r="CM54" s="8">
        <v>7.6636999999999997E-2</v>
      </c>
      <c r="CN54" s="8">
        <v>9.1899999999999996E-2</v>
      </c>
      <c r="CO54" s="8">
        <v>0.51071536585365862</v>
      </c>
      <c r="CP54" s="8">
        <v>0.16282999999999997</v>
      </c>
      <c r="CQ54" s="8">
        <v>0.29888999999999999</v>
      </c>
      <c r="CR54" s="8">
        <v>6.8907999999999997E-2</v>
      </c>
      <c r="CS54" s="8">
        <v>0.30186000000000002</v>
      </c>
      <c r="CT54" s="8">
        <v>0.45737</v>
      </c>
      <c r="CU54" s="8">
        <v>0.27350000000000002</v>
      </c>
      <c r="CV54" s="8">
        <v>0.30764999999999998</v>
      </c>
      <c r="CW54" s="8">
        <v>0.10829999999999999</v>
      </c>
    </row>
    <row r="55" spans="1:101">
      <c r="A55">
        <f t="shared" si="0"/>
        <v>585</v>
      </c>
      <c r="B55">
        <v>1</v>
      </c>
      <c r="C55" s="8">
        <v>0.68742999999999999</v>
      </c>
      <c r="D55" s="8">
        <v>0.29504999999999998</v>
      </c>
      <c r="E55" s="8">
        <v>5.151E-2</v>
      </c>
      <c r="F55" s="8">
        <v>0.45795463414634124</v>
      </c>
      <c r="G55" s="8">
        <v>0.15470999999999999</v>
      </c>
      <c r="H55" s="8">
        <v>0.20157</v>
      </c>
      <c r="I55" s="8">
        <v>6.6356999999999999E-2</v>
      </c>
      <c r="J55" s="8">
        <v>6.3787999999999997E-2</v>
      </c>
      <c r="K55" s="8">
        <v>4.7495000000000002E-2</v>
      </c>
      <c r="L55" s="8">
        <v>0.57052999999999998</v>
      </c>
      <c r="M55" s="8">
        <v>0.34932999999999997</v>
      </c>
      <c r="N55" s="8">
        <v>0.37966</v>
      </c>
      <c r="O55" s="8">
        <v>9.7538E-2</v>
      </c>
      <c r="P55" s="8">
        <v>0.45008999999999999</v>
      </c>
      <c r="Q55" s="8">
        <v>0.36681999999999998</v>
      </c>
      <c r="R55" s="8">
        <v>0.13622000000000001</v>
      </c>
      <c r="S55" s="8">
        <v>0.20396</v>
      </c>
      <c r="T55" s="8">
        <v>0.21409</v>
      </c>
      <c r="U55" s="8">
        <v>0.52210000000000001</v>
      </c>
      <c r="V55" s="8">
        <v>0.31075000000000003</v>
      </c>
      <c r="W55" s="8">
        <v>0.81552999999999998</v>
      </c>
      <c r="X55" s="8">
        <v>0.62034</v>
      </c>
      <c r="Y55" s="8">
        <v>0.81640000000000001</v>
      </c>
      <c r="Z55" s="8">
        <v>0.86636999999999997</v>
      </c>
      <c r="AA55" s="8">
        <v>0.49281999999999998</v>
      </c>
      <c r="AB55" s="8">
        <v>0.84155000000000002</v>
      </c>
      <c r="AC55" s="8">
        <v>0.44134000000000001</v>
      </c>
      <c r="AD55" s="8">
        <v>0.12214</v>
      </c>
      <c r="AE55" s="8">
        <v>0.72521000000000002</v>
      </c>
      <c r="AF55" s="8">
        <v>0.31340000000000001</v>
      </c>
      <c r="AG55" s="8">
        <v>0.76070000000000004</v>
      </c>
      <c r="AH55" s="8">
        <v>0.49512</v>
      </c>
      <c r="AI55" s="8">
        <v>0.75692000000000004</v>
      </c>
      <c r="AJ55" s="8">
        <v>0.31189</v>
      </c>
      <c r="AK55" s="8">
        <v>0.12381</v>
      </c>
      <c r="AL55" s="8">
        <v>0.54007097560975625</v>
      </c>
      <c r="AM55" s="8">
        <v>0.15106</v>
      </c>
      <c r="AN55" s="8">
        <v>0.66190073170731711</v>
      </c>
      <c r="AO55" s="8">
        <v>7.0181999999999994E-2</v>
      </c>
      <c r="AP55" s="8">
        <v>0.13977999999999999</v>
      </c>
      <c r="AQ55" s="8">
        <v>0.67728999999999995</v>
      </c>
      <c r="AR55" s="8">
        <v>0.32877000000000001</v>
      </c>
      <c r="AS55" s="8">
        <v>0.39905000000000002</v>
      </c>
      <c r="AT55" s="8">
        <v>4.8799000000000002E-2</v>
      </c>
      <c r="AU55" s="8">
        <v>0.21942999999999999</v>
      </c>
      <c r="AV55" s="8">
        <v>0.33</v>
      </c>
      <c r="AW55" s="8">
        <v>0.3387</v>
      </c>
      <c r="AX55" s="8">
        <v>0.48820999999999998</v>
      </c>
      <c r="AY55" s="8">
        <v>0.11951000000000001</v>
      </c>
      <c r="AZ55" s="8">
        <v>0.15676000000000001</v>
      </c>
      <c r="BA55" s="8">
        <v>0.18373</v>
      </c>
      <c r="BB55" s="8">
        <v>7.0630999999999999E-2</v>
      </c>
      <c r="BC55" s="8">
        <v>9.4028E-2</v>
      </c>
      <c r="BD55" s="8">
        <v>0.64336000000000004</v>
      </c>
      <c r="BE55" s="8">
        <v>0.53610999999999998</v>
      </c>
      <c r="BF55" s="8">
        <v>0.28904000000000002</v>
      </c>
      <c r="BG55" s="8">
        <v>0.15246999999999999</v>
      </c>
      <c r="BH55" s="8">
        <v>0.12209</v>
      </c>
      <c r="BI55" s="8">
        <v>0.59450999999999998</v>
      </c>
      <c r="BJ55" s="8">
        <v>0.66107000000000005</v>
      </c>
      <c r="BK55" s="8">
        <v>0.40621000000000002</v>
      </c>
      <c r="BL55" s="8">
        <v>0.31651000000000001</v>
      </c>
      <c r="BM55" s="8">
        <v>8.0491999999999994E-2</v>
      </c>
      <c r="BN55" s="8">
        <v>0.14144999999999999</v>
      </c>
      <c r="BO55" s="8">
        <v>0.10612000000000001</v>
      </c>
      <c r="BP55" s="8">
        <v>6.8107000000000001E-2</v>
      </c>
      <c r="BQ55" s="8">
        <v>8.0948999999999993E-2</v>
      </c>
      <c r="BR55" s="8">
        <v>0.21518999999999999</v>
      </c>
      <c r="BS55" s="8">
        <v>0.14480999999999999</v>
      </c>
      <c r="BT55" s="8">
        <v>0.30208000000000002</v>
      </c>
      <c r="BU55" s="8">
        <v>5.1341999999999999E-2</v>
      </c>
      <c r="BV55" s="8">
        <v>0.43597999999999998</v>
      </c>
      <c r="BW55" s="8">
        <v>0.13012000000000001</v>
      </c>
      <c r="BX55" s="8">
        <v>4.8293999999999997E-2</v>
      </c>
      <c r="BY55" s="8">
        <v>5.1558E-2</v>
      </c>
      <c r="BZ55" s="8">
        <v>7.0682999999999996E-2</v>
      </c>
      <c r="CA55" s="8">
        <v>7.9136243902439035E-2</v>
      </c>
      <c r="CB55" s="8">
        <v>6.9318000000000005E-2</v>
      </c>
      <c r="CC55" s="8">
        <v>0.35060000000000002</v>
      </c>
      <c r="CD55" s="8">
        <v>0.27051999999999998</v>
      </c>
      <c r="CE55" s="8">
        <v>8.1240999999999994E-2</v>
      </c>
      <c r="CF55" s="8">
        <v>0.65200000000000002</v>
      </c>
      <c r="CG55" s="8">
        <v>0.40309</v>
      </c>
      <c r="CH55" s="8">
        <v>3.7419000000000001E-2</v>
      </c>
      <c r="CI55" s="8">
        <v>8.7251999999999996E-2</v>
      </c>
      <c r="CJ55" s="8">
        <v>0.25330999999999998</v>
      </c>
      <c r="CK55" s="8">
        <v>5.9264999999999998E-2</v>
      </c>
      <c r="CL55" s="8">
        <v>0.23794999999999999</v>
      </c>
      <c r="CM55" s="8">
        <v>8.1195000000000003E-2</v>
      </c>
      <c r="CN55" s="8">
        <v>0.10811</v>
      </c>
      <c r="CO55" s="8">
        <v>0.51512658536585365</v>
      </c>
      <c r="CP55" s="8">
        <v>0.16661243902439024</v>
      </c>
      <c r="CQ55" s="8">
        <v>0.30682999999999999</v>
      </c>
      <c r="CR55" s="8">
        <v>7.2638999999999995E-2</v>
      </c>
      <c r="CS55" s="8">
        <v>0.31662000000000001</v>
      </c>
      <c r="CT55" s="8">
        <v>0.47574</v>
      </c>
      <c r="CU55" s="8">
        <v>0.28466000000000002</v>
      </c>
      <c r="CV55" s="8">
        <v>0.36204999999999998</v>
      </c>
      <c r="CW55" s="8">
        <v>0.12914</v>
      </c>
    </row>
    <row r="56" spans="1:101">
      <c r="A56">
        <f t="shared" si="0"/>
        <v>590</v>
      </c>
      <c r="B56">
        <v>1</v>
      </c>
      <c r="C56" s="8">
        <v>0.71489999999999998</v>
      </c>
      <c r="D56" s="8">
        <v>0.33760000000000001</v>
      </c>
      <c r="E56" s="8">
        <v>5.3052000000000002E-2</v>
      </c>
      <c r="F56" s="8">
        <v>0.47105219512195134</v>
      </c>
      <c r="G56" s="8">
        <v>0.16697999999999999</v>
      </c>
      <c r="H56" s="8">
        <v>0.21160000000000001</v>
      </c>
      <c r="I56" s="8">
        <v>7.9200000000000007E-2</v>
      </c>
      <c r="J56" s="8">
        <v>7.2160000000000002E-2</v>
      </c>
      <c r="K56" s="8">
        <v>5.0389999999999997E-2</v>
      </c>
      <c r="L56" s="8">
        <v>0.64907999999999999</v>
      </c>
      <c r="M56" s="8">
        <v>0.37352999999999997</v>
      </c>
      <c r="N56" s="8">
        <v>0.42691000000000001</v>
      </c>
      <c r="O56" s="8">
        <v>0.12216</v>
      </c>
      <c r="P56" s="8">
        <v>0.4622</v>
      </c>
      <c r="Q56" s="8">
        <v>0.40525</v>
      </c>
      <c r="R56" s="8">
        <v>0.14527000000000001</v>
      </c>
      <c r="S56" s="8">
        <v>0.20913999999999999</v>
      </c>
      <c r="T56" s="8">
        <v>0.23219999999999999</v>
      </c>
      <c r="U56" s="8">
        <v>0.52600000000000002</v>
      </c>
      <c r="V56" s="8">
        <v>0.34583000000000003</v>
      </c>
      <c r="W56" s="8">
        <v>0.83333999999999997</v>
      </c>
      <c r="X56" s="8">
        <v>0.6462</v>
      </c>
      <c r="Y56" s="8">
        <v>0.81801000000000001</v>
      </c>
      <c r="Z56" s="8">
        <v>0.86780000000000002</v>
      </c>
      <c r="AA56" s="8">
        <v>0.49629000000000001</v>
      </c>
      <c r="AB56" s="8">
        <v>0.85240000000000005</v>
      </c>
      <c r="AC56" s="8">
        <v>0.44275999999999999</v>
      </c>
      <c r="AD56" s="8">
        <v>0.12237000000000001</v>
      </c>
      <c r="AE56" s="8">
        <v>0.73114000000000001</v>
      </c>
      <c r="AF56" s="8">
        <v>0.31902999999999998</v>
      </c>
      <c r="AG56" s="8">
        <v>0.76648000000000005</v>
      </c>
      <c r="AH56" s="8">
        <v>0.49309999999999998</v>
      </c>
      <c r="AI56" s="8">
        <v>0.76021000000000005</v>
      </c>
      <c r="AJ56" s="8">
        <v>0.30848999999999999</v>
      </c>
      <c r="AK56" s="8">
        <v>0.12196</v>
      </c>
      <c r="AL56" s="8">
        <v>0.54309878048780491</v>
      </c>
      <c r="AM56" s="8">
        <v>0.152</v>
      </c>
      <c r="AN56" s="8">
        <v>0.66314829268292697</v>
      </c>
      <c r="AO56" s="8">
        <v>7.2235999999999995E-2</v>
      </c>
      <c r="AP56" s="8">
        <v>0.14735999999999999</v>
      </c>
      <c r="AQ56" s="8">
        <v>0.67490000000000006</v>
      </c>
      <c r="AR56" s="8">
        <v>0.31534000000000001</v>
      </c>
      <c r="AS56" s="8">
        <v>0.38200000000000001</v>
      </c>
      <c r="AT56" s="8">
        <v>4.8800000000000003E-2</v>
      </c>
      <c r="AU56" s="8">
        <v>0.20576</v>
      </c>
      <c r="AV56" s="8">
        <v>0.31809999999999999</v>
      </c>
      <c r="AW56" s="8">
        <v>0.33700000000000002</v>
      </c>
      <c r="AX56" s="8">
        <v>0.46354000000000001</v>
      </c>
      <c r="AY56" s="8">
        <v>0.11448999999999999</v>
      </c>
      <c r="AZ56" s="8">
        <v>0.15442</v>
      </c>
      <c r="BA56" s="8">
        <v>0.18765999999999999</v>
      </c>
      <c r="BB56" s="8">
        <v>6.9349999999999995E-2</v>
      </c>
      <c r="BC56" s="8">
        <v>8.3900000000000002E-2</v>
      </c>
      <c r="BD56" s="8">
        <v>0.61799999999999999</v>
      </c>
      <c r="BE56" s="8">
        <v>0.51865000000000006</v>
      </c>
      <c r="BF56" s="8">
        <v>0.26262999999999997</v>
      </c>
      <c r="BG56" s="8">
        <v>0.13469999999999999</v>
      </c>
      <c r="BH56" s="8">
        <v>0.10463</v>
      </c>
      <c r="BI56" s="8">
        <v>0.58409999999999995</v>
      </c>
      <c r="BJ56" s="8">
        <v>0.65854000000000001</v>
      </c>
      <c r="BK56" s="8">
        <v>0.40242</v>
      </c>
      <c r="BL56" s="8">
        <v>0.31274000000000002</v>
      </c>
      <c r="BM56" s="8">
        <v>8.3018999999999996E-2</v>
      </c>
      <c r="BN56" s="8">
        <v>0.13099</v>
      </c>
      <c r="BO56" s="8">
        <v>9.9488999999999994E-2</v>
      </c>
      <c r="BP56" s="8">
        <v>6.5299999999999997E-2</v>
      </c>
      <c r="BQ56" s="8">
        <v>7.7399999999999997E-2</v>
      </c>
      <c r="BR56" s="8">
        <v>0.21485000000000001</v>
      </c>
      <c r="BS56" s="8">
        <v>0.15312999999999999</v>
      </c>
      <c r="BT56" s="8">
        <v>0.29698000000000002</v>
      </c>
      <c r="BU56" s="8">
        <v>6.1199999999999997E-2</v>
      </c>
      <c r="BV56" s="8">
        <v>0.43496000000000001</v>
      </c>
      <c r="BW56" s="8">
        <v>0.12858</v>
      </c>
      <c r="BX56" s="8">
        <v>4.6862000000000001E-2</v>
      </c>
      <c r="BY56" s="8">
        <v>5.6800000000000003E-2</v>
      </c>
      <c r="BZ56" s="8">
        <v>8.72E-2</v>
      </c>
      <c r="CA56" s="8">
        <v>7.76430731707317E-2</v>
      </c>
      <c r="CB56" s="8">
        <v>7.3474999999999999E-2</v>
      </c>
      <c r="CC56" s="8">
        <v>0.35016999999999998</v>
      </c>
      <c r="CD56" s="8">
        <v>0.27437</v>
      </c>
      <c r="CE56" s="8">
        <v>9.0241000000000002E-2</v>
      </c>
      <c r="CF56" s="8">
        <v>0.65380000000000005</v>
      </c>
      <c r="CG56" s="8">
        <v>0.4052</v>
      </c>
      <c r="CH56" s="8">
        <v>4.2077999999999997E-2</v>
      </c>
      <c r="CI56" s="8">
        <v>9.0874999999999997E-2</v>
      </c>
      <c r="CJ56" s="8">
        <v>0.25139</v>
      </c>
      <c r="CK56" s="8">
        <v>7.9333000000000001E-2</v>
      </c>
      <c r="CL56" s="8">
        <v>0.27076</v>
      </c>
      <c r="CM56" s="8">
        <v>8.6929999999999993E-2</v>
      </c>
      <c r="CN56" s="8">
        <v>0.12759999999999999</v>
      </c>
      <c r="CO56" s="8">
        <v>0.52154487804878047</v>
      </c>
      <c r="CP56" s="8">
        <v>0.17221902439024389</v>
      </c>
      <c r="CQ56" s="8">
        <v>0.31669999999999998</v>
      </c>
      <c r="CR56" s="8">
        <v>7.7483999999999997E-2</v>
      </c>
      <c r="CS56" s="8">
        <v>0.33692</v>
      </c>
      <c r="CT56" s="8">
        <v>0.49691999999999997</v>
      </c>
      <c r="CU56" s="8">
        <v>0.28610000000000002</v>
      </c>
      <c r="CV56" s="8">
        <v>0.41520000000000001</v>
      </c>
      <c r="CW56" s="8">
        <v>0.1595</v>
      </c>
    </row>
    <row r="57" spans="1:101">
      <c r="A57">
        <f t="shared" si="0"/>
        <v>595</v>
      </c>
      <c r="B57">
        <v>1</v>
      </c>
      <c r="C57" s="8">
        <v>0.73973999999999995</v>
      </c>
      <c r="D57" s="8">
        <v>0.37991000000000003</v>
      </c>
      <c r="E57" s="8">
        <v>5.4632E-2</v>
      </c>
      <c r="F57" s="8">
        <v>0.48106609756097574</v>
      </c>
      <c r="G57" s="8">
        <v>0.17763000000000001</v>
      </c>
      <c r="H57" s="8">
        <v>0.2203</v>
      </c>
      <c r="I57" s="8">
        <v>9.8937999999999998E-2</v>
      </c>
      <c r="J57" s="8">
        <v>8.5768999999999998E-2</v>
      </c>
      <c r="K57" s="8">
        <v>5.323E-2</v>
      </c>
      <c r="L57" s="8">
        <v>0.71596000000000004</v>
      </c>
      <c r="M57" s="8">
        <v>0.39051000000000002</v>
      </c>
      <c r="N57" s="8">
        <v>0.47137000000000001</v>
      </c>
      <c r="O57" s="8">
        <v>0.14932999999999999</v>
      </c>
      <c r="P57" s="8">
        <v>0.47043000000000001</v>
      </c>
      <c r="Q57" s="8">
        <v>0.44457000000000002</v>
      </c>
      <c r="R57" s="8">
        <v>0.15695999999999999</v>
      </c>
      <c r="S57" s="8">
        <v>0.21381</v>
      </c>
      <c r="T57" s="8">
        <v>0.25140000000000001</v>
      </c>
      <c r="U57" s="8">
        <v>0.52810000000000001</v>
      </c>
      <c r="V57" s="8">
        <v>0.39045000000000002</v>
      </c>
      <c r="W57" s="8">
        <v>0.84628000000000003</v>
      </c>
      <c r="X57" s="8">
        <v>0.66927999999999999</v>
      </c>
      <c r="Y57" s="8">
        <v>0.81876000000000004</v>
      </c>
      <c r="Z57" s="8">
        <v>0.86812</v>
      </c>
      <c r="AA57" s="8">
        <v>0.50019999999999998</v>
      </c>
      <c r="AB57" s="8">
        <v>0.86185</v>
      </c>
      <c r="AC57" s="8">
        <v>0.44409999999999999</v>
      </c>
      <c r="AD57" s="8">
        <v>0.12116</v>
      </c>
      <c r="AE57" s="8">
        <v>0.73663000000000001</v>
      </c>
      <c r="AF57" s="8">
        <v>0.32508999999999999</v>
      </c>
      <c r="AG57" s="8">
        <v>0.77190000000000003</v>
      </c>
      <c r="AH57" s="8">
        <v>0.49092999999999998</v>
      </c>
      <c r="AI57" s="8">
        <v>0.76361000000000001</v>
      </c>
      <c r="AJ57" s="8">
        <v>0.30442999999999998</v>
      </c>
      <c r="AK57" s="8">
        <v>0.11992</v>
      </c>
      <c r="AL57" s="8">
        <v>0.54623999999999995</v>
      </c>
      <c r="AM57" s="8">
        <v>0.15770999999999999</v>
      </c>
      <c r="AN57" s="8">
        <v>0.6645814634146342</v>
      </c>
      <c r="AO57" s="8">
        <v>7.4440000000000006E-2</v>
      </c>
      <c r="AP57" s="8">
        <v>0.15579000000000001</v>
      </c>
      <c r="AQ57" s="8">
        <v>0.67300000000000004</v>
      </c>
      <c r="AR57" s="8">
        <v>0.30403999999999998</v>
      </c>
      <c r="AS57" s="8">
        <v>0.36163000000000001</v>
      </c>
      <c r="AT57" s="8">
        <v>4.8822999999999998E-2</v>
      </c>
      <c r="AU57" s="8">
        <v>0.19114</v>
      </c>
      <c r="AV57" s="8">
        <v>0.30447000000000002</v>
      </c>
      <c r="AW57" s="8">
        <v>0.33506000000000002</v>
      </c>
      <c r="AX57" s="8">
        <v>0.43824000000000002</v>
      </c>
      <c r="AY57" s="8">
        <v>0.10977000000000001</v>
      </c>
      <c r="AZ57" s="8">
        <v>0.15328</v>
      </c>
      <c r="BA57" s="8">
        <v>0.19303999999999999</v>
      </c>
      <c r="BB57" s="8">
        <v>6.8908999999999998E-2</v>
      </c>
      <c r="BC57" s="8">
        <v>7.5671000000000002E-2</v>
      </c>
      <c r="BD57" s="8">
        <v>0.58958999999999995</v>
      </c>
      <c r="BE57" s="8">
        <v>0.49975000000000003</v>
      </c>
      <c r="BF57" s="8">
        <v>0.23787</v>
      </c>
      <c r="BG57" s="8">
        <v>0.11572</v>
      </c>
      <c r="BH57" s="8">
        <v>8.9136999999999994E-2</v>
      </c>
      <c r="BI57" s="8">
        <v>0.57394000000000001</v>
      </c>
      <c r="BJ57" s="8">
        <v>0.65552999999999995</v>
      </c>
      <c r="BK57" s="8">
        <v>0.39998</v>
      </c>
      <c r="BL57" s="8">
        <v>0.30880999999999997</v>
      </c>
      <c r="BM57" s="8">
        <v>8.3664000000000002E-2</v>
      </c>
      <c r="BN57" s="8">
        <v>0.12146999999999999</v>
      </c>
      <c r="BO57" s="8">
        <v>9.0473999999999999E-2</v>
      </c>
      <c r="BP57" s="8">
        <v>6.2900999999999999E-2</v>
      </c>
      <c r="BQ57" s="8">
        <v>7.4210999999999999E-2</v>
      </c>
      <c r="BR57" s="8">
        <v>0.21593000000000001</v>
      </c>
      <c r="BS57" s="8">
        <v>0.16242000000000001</v>
      </c>
      <c r="BT57" s="8">
        <v>0.29354999999999998</v>
      </c>
      <c r="BU57" s="8">
        <v>6.5402000000000002E-2</v>
      </c>
      <c r="BV57" s="8">
        <v>0.43459999999999999</v>
      </c>
      <c r="BW57" s="8">
        <v>0.12914</v>
      </c>
      <c r="BX57" s="8">
        <v>4.5504999999999997E-2</v>
      </c>
      <c r="BY57" s="8">
        <v>5.8231999999999999E-2</v>
      </c>
      <c r="BZ57" s="8">
        <v>0.10057000000000001</v>
      </c>
      <c r="CA57" s="8">
        <v>7.7073097560975606E-2</v>
      </c>
      <c r="CB57" s="8">
        <v>7.9003000000000004E-2</v>
      </c>
      <c r="CC57" s="8">
        <v>0.35247000000000001</v>
      </c>
      <c r="CD57" s="8">
        <v>0.27889999999999998</v>
      </c>
      <c r="CE57" s="8">
        <v>9.6299999999999997E-2</v>
      </c>
      <c r="CF57" s="8">
        <v>0.65629000000000004</v>
      </c>
      <c r="CG57" s="8">
        <v>0.40629999999999999</v>
      </c>
      <c r="CH57" s="8">
        <v>4.7160000000000001E-2</v>
      </c>
      <c r="CI57" s="8">
        <v>9.7581000000000001E-2</v>
      </c>
      <c r="CJ57" s="8">
        <v>0.24833</v>
      </c>
      <c r="CK57" s="8">
        <v>0.10352</v>
      </c>
      <c r="CL57" s="8">
        <v>0.30302000000000001</v>
      </c>
      <c r="CM57" s="8">
        <v>9.3861E-2</v>
      </c>
      <c r="CN57" s="8">
        <v>0.14791000000000001</v>
      </c>
      <c r="CO57" s="8">
        <v>0.52925341463414644</v>
      </c>
      <c r="CP57" s="8">
        <v>0.18040829268292682</v>
      </c>
      <c r="CQ57" s="8">
        <v>0.32832</v>
      </c>
      <c r="CR57" s="8">
        <v>8.3812999999999999E-2</v>
      </c>
      <c r="CS57" s="8">
        <v>0.36292999999999997</v>
      </c>
      <c r="CT57" s="8">
        <v>0.52053000000000005</v>
      </c>
      <c r="CU57" s="8">
        <v>0.28181</v>
      </c>
      <c r="CV57" s="8">
        <v>0.46276</v>
      </c>
      <c r="CW57" s="8">
        <v>0.20019999999999999</v>
      </c>
    </row>
    <row r="58" spans="1:101">
      <c r="A58">
        <f t="shared" si="0"/>
        <v>600</v>
      </c>
      <c r="B58">
        <v>1</v>
      </c>
      <c r="C58" s="8">
        <v>0.76170000000000004</v>
      </c>
      <c r="D58" s="8">
        <v>0.42049999999999998</v>
      </c>
      <c r="E58" s="8">
        <v>5.8628E-2</v>
      </c>
      <c r="F58" s="8">
        <v>0.488419756097561</v>
      </c>
      <c r="G58" s="8">
        <v>0.19117999999999999</v>
      </c>
      <c r="H58" s="8">
        <v>0.22708</v>
      </c>
      <c r="I58" s="8">
        <v>0.12770000000000001</v>
      </c>
      <c r="J58" s="8">
        <v>0.10607999999999999</v>
      </c>
      <c r="K58" s="8">
        <v>5.5542000000000001E-2</v>
      </c>
      <c r="L58" s="8">
        <v>0.76829999999999998</v>
      </c>
      <c r="M58" s="8">
        <v>0.40200999999999998</v>
      </c>
      <c r="N58" s="8">
        <v>0.51259999999999994</v>
      </c>
      <c r="O58" s="8">
        <v>0.17516000000000001</v>
      </c>
      <c r="P58" s="8">
        <v>0.47560000000000002</v>
      </c>
      <c r="Q58" s="8">
        <v>0.47933999999999999</v>
      </c>
      <c r="R58" s="8">
        <v>0.1714</v>
      </c>
      <c r="S58" s="8">
        <v>0.21770999999999999</v>
      </c>
      <c r="T58" s="8">
        <v>0.26939999999999997</v>
      </c>
      <c r="U58" s="8">
        <v>0.52900000000000003</v>
      </c>
      <c r="V58" s="8">
        <v>0.44412000000000001</v>
      </c>
      <c r="W58" s="8">
        <v>0.85638000000000003</v>
      </c>
      <c r="X58" s="8">
        <v>0.68945000000000001</v>
      </c>
      <c r="Y58" s="8">
        <v>0.81933999999999996</v>
      </c>
      <c r="Z58" s="8">
        <v>0.86770000000000003</v>
      </c>
      <c r="AA58" s="8">
        <v>0.50456000000000001</v>
      </c>
      <c r="AB58" s="8">
        <v>0.86990000000000001</v>
      </c>
      <c r="AC58" s="8">
        <v>0.44574000000000003</v>
      </c>
      <c r="AD58" s="8">
        <v>0.11951000000000001</v>
      </c>
      <c r="AE58" s="8">
        <v>0.74195999999999995</v>
      </c>
      <c r="AF58" s="8">
        <v>0.32973999999999998</v>
      </c>
      <c r="AG58" s="8">
        <v>0.77654999999999996</v>
      </c>
      <c r="AH58" s="8">
        <v>0.48759999999999998</v>
      </c>
      <c r="AI58" s="8">
        <v>0.76763000000000003</v>
      </c>
      <c r="AJ58" s="8">
        <v>0.29970999999999998</v>
      </c>
      <c r="AK58" s="8">
        <v>0.11767</v>
      </c>
      <c r="AL58" s="8">
        <v>0.54817048780487798</v>
      </c>
      <c r="AM58" s="8">
        <v>0.161</v>
      </c>
      <c r="AN58" s="8">
        <v>0.6654439024390244</v>
      </c>
      <c r="AO58" s="8">
        <v>7.6461000000000001E-2</v>
      </c>
      <c r="AP58" s="8">
        <v>0.16364000000000001</v>
      </c>
      <c r="AQ58" s="8">
        <v>0.67179999999999995</v>
      </c>
      <c r="AR58" s="8">
        <v>0.29409999999999997</v>
      </c>
      <c r="AS58" s="8">
        <v>0.34189999999999998</v>
      </c>
      <c r="AT58" s="8">
        <v>4.8800000000000003E-2</v>
      </c>
      <c r="AU58" s="8">
        <v>0.1799</v>
      </c>
      <c r="AV58" s="8">
        <v>0.29020000000000001</v>
      </c>
      <c r="AW58" s="8">
        <v>0.3322</v>
      </c>
      <c r="AX58" s="8">
        <v>0.41298000000000001</v>
      </c>
      <c r="AY58" s="8">
        <v>0.10532</v>
      </c>
      <c r="AZ58" s="8">
        <v>0.15223</v>
      </c>
      <c r="BA58" s="8">
        <v>0.19699</v>
      </c>
      <c r="BB58" s="8">
        <v>6.8834999999999993E-2</v>
      </c>
      <c r="BC58" s="8">
        <v>6.9400000000000003E-2</v>
      </c>
      <c r="BD58" s="8">
        <v>0.56169999999999998</v>
      </c>
      <c r="BE58" s="8">
        <v>0.48196</v>
      </c>
      <c r="BF58" s="8">
        <v>0.21609</v>
      </c>
      <c r="BG58" s="8">
        <v>9.9000000000000005E-2</v>
      </c>
      <c r="BH58" s="8">
        <v>7.639E-2</v>
      </c>
      <c r="BI58" s="8">
        <v>0.56399999999999995</v>
      </c>
      <c r="BJ58" s="8">
        <v>0.65249000000000001</v>
      </c>
      <c r="BK58" s="8">
        <v>0.39815</v>
      </c>
      <c r="BL58" s="8">
        <v>0.30579000000000001</v>
      </c>
      <c r="BM58" s="8">
        <v>8.2617999999999997E-2</v>
      </c>
      <c r="BN58" s="8">
        <v>0.1132</v>
      </c>
      <c r="BO58" s="8">
        <v>8.0723000000000003E-2</v>
      </c>
      <c r="BP58" s="8">
        <v>6.0900000000000003E-2</v>
      </c>
      <c r="BQ58" s="8">
        <v>7.1400000000000005E-2</v>
      </c>
      <c r="BR58" s="8">
        <v>0.21762999999999999</v>
      </c>
      <c r="BS58" s="8">
        <v>0.17116000000000001</v>
      </c>
      <c r="BT58" s="8">
        <v>0.29142000000000001</v>
      </c>
      <c r="BU58" s="8">
        <v>6.4100000000000004E-2</v>
      </c>
      <c r="BV58" s="8">
        <v>0.43496000000000001</v>
      </c>
      <c r="BW58" s="8">
        <v>0.13086</v>
      </c>
      <c r="BX58" s="8">
        <v>4.4478999999999998E-2</v>
      </c>
      <c r="BY58" s="8">
        <v>5.62E-2</v>
      </c>
      <c r="BZ58" s="8">
        <v>0.1085</v>
      </c>
      <c r="CA58" s="8">
        <v>7.7304219512195085E-2</v>
      </c>
      <c r="CB58" s="8">
        <v>8.4793999999999994E-2</v>
      </c>
      <c r="CC58" s="8">
        <v>0.35671999999999998</v>
      </c>
      <c r="CD58" s="8">
        <v>0.28389999999999999</v>
      </c>
      <c r="CE58" s="8">
        <v>0.10233</v>
      </c>
      <c r="CF58" s="8">
        <v>0.65910000000000002</v>
      </c>
      <c r="CG58" s="8">
        <v>0.40670000000000001</v>
      </c>
      <c r="CH58" s="8">
        <v>5.1704E-2</v>
      </c>
      <c r="CI58" s="8">
        <v>0.10274</v>
      </c>
      <c r="CJ58" s="8">
        <v>0.24771000000000001</v>
      </c>
      <c r="CK58" s="8">
        <v>0.1255</v>
      </c>
      <c r="CL58" s="8">
        <v>0.33272000000000002</v>
      </c>
      <c r="CM58" s="8">
        <v>0.10181</v>
      </c>
      <c r="CN58" s="8">
        <v>0.16650000000000001</v>
      </c>
      <c r="CO58" s="8">
        <v>0.53705292682926842</v>
      </c>
      <c r="CP58" s="8">
        <v>0.19232756097560977</v>
      </c>
      <c r="CQ58" s="8">
        <v>0.34189000000000003</v>
      </c>
      <c r="CR58" s="8">
        <v>9.2184000000000002E-2</v>
      </c>
      <c r="CS58" s="8">
        <v>0.39399000000000001</v>
      </c>
      <c r="CT58" s="8">
        <v>0.54654999999999998</v>
      </c>
      <c r="CU58" s="8">
        <v>0.2747</v>
      </c>
      <c r="CV58" s="8">
        <v>0.50046999999999997</v>
      </c>
      <c r="CW58" s="8">
        <v>0.2475</v>
      </c>
    </row>
    <row r="59" spans="1:101">
      <c r="A59">
        <f t="shared" si="0"/>
        <v>605</v>
      </c>
      <c r="B59">
        <v>1</v>
      </c>
      <c r="C59" s="8">
        <v>0.78071999999999997</v>
      </c>
      <c r="D59" s="8">
        <v>0.45828000000000002</v>
      </c>
      <c r="E59" s="8">
        <v>6.6034999999999996E-2</v>
      </c>
      <c r="F59" s="8">
        <v>0.49386365853658526</v>
      </c>
      <c r="G59" s="8">
        <v>0.21263000000000001</v>
      </c>
      <c r="H59" s="8">
        <v>0.23139000000000001</v>
      </c>
      <c r="I59" s="8">
        <v>0.16683000000000001</v>
      </c>
      <c r="J59" s="8">
        <v>0.13417000000000001</v>
      </c>
      <c r="K59" s="8">
        <v>5.6957000000000001E-2</v>
      </c>
      <c r="L59" s="8">
        <v>0.80508000000000002</v>
      </c>
      <c r="M59" s="8">
        <v>0.40995999999999999</v>
      </c>
      <c r="N59" s="8">
        <v>0.54874000000000001</v>
      </c>
      <c r="O59" s="8">
        <v>0.19672000000000001</v>
      </c>
      <c r="P59" s="8">
        <v>0.47894999999999999</v>
      </c>
      <c r="Q59" s="8">
        <v>0.50614000000000003</v>
      </c>
      <c r="R59" s="8">
        <v>0.18851999999999999</v>
      </c>
      <c r="S59" s="8">
        <v>0.22040999999999999</v>
      </c>
      <c r="T59" s="8">
        <v>0.28449999999999998</v>
      </c>
      <c r="U59" s="8">
        <v>0.52902000000000005</v>
      </c>
      <c r="V59" s="8">
        <v>0.50458000000000003</v>
      </c>
      <c r="W59" s="8">
        <v>0.86565000000000003</v>
      </c>
      <c r="X59" s="8">
        <v>0.70682</v>
      </c>
      <c r="Y59" s="8">
        <v>0.82030999999999998</v>
      </c>
      <c r="Z59" s="8">
        <v>0.86687999999999998</v>
      </c>
      <c r="AA59" s="8">
        <v>0.50626000000000004</v>
      </c>
      <c r="AB59" s="8">
        <v>0.87658999999999998</v>
      </c>
      <c r="AC59" s="8">
        <v>0.44656000000000001</v>
      </c>
      <c r="AD59" s="8">
        <v>0.11896</v>
      </c>
      <c r="AE59" s="8">
        <v>0.74751000000000001</v>
      </c>
      <c r="AF59" s="8">
        <v>0.33388000000000001</v>
      </c>
      <c r="AG59" s="8">
        <v>0.78017000000000003</v>
      </c>
      <c r="AH59" s="8">
        <v>0.48248000000000002</v>
      </c>
      <c r="AI59" s="8">
        <v>0.77264999999999995</v>
      </c>
      <c r="AJ59" s="8">
        <v>0.29443000000000003</v>
      </c>
      <c r="AK59" s="8">
        <v>0.11522</v>
      </c>
      <c r="AL59" s="8">
        <v>0.54898658536585354</v>
      </c>
      <c r="AM59" s="8">
        <v>0.15559000000000001</v>
      </c>
      <c r="AN59" s="8">
        <v>0.66585341463414638</v>
      </c>
      <c r="AO59" s="8">
        <v>7.8045000000000003E-2</v>
      </c>
      <c r="AP59" s="8">
        <v>0.16980000000000001</v>
      </c>
      <c r="AQ59" s="8">
        <v>0.67137000000000002</v>
      </c>
      <c r="AR59" s="8">
        <v>0.2848</v>
      </c>
      <c r="AS59" s="8">
        <v>0.32717000000000002</v>
      </c>
      <c r="AT59" s="8">
        <v>4.8682999999999997E-2</v>
      </c>
      <c r="AU59" s="8">
        <v>0.17158999999999999</v>
      </c>
      <c r="AV59" s="8">
        <v>0.27655999999999997</v>
      </c>
      <c r="AW59" s="8">
        <v>0.32807999999999998</v>
      </c>
      <c r="AX59" s="8">
        <v>0.38846000000000003</v>
      </c>
      <c r="AY59" s="8">
        <v>0.1012</v>
      </c>
      <c r="AZ59" s="8">
        <v>0.15040000000000001</v>
      </c>
      <c r="BA59" s="8">
        <v>0.19725000000000001</v>
      </c>
      <c r="BB59" s="8">
        <v>6.8717E-2</v>
      </c>
      <c r="BC59" s="8">
        <v>6.5037999999999999E-2</v>
      </c>
      <c r="BD59" s="8">
        <v>0.53802000000000005</v>
      </c>
      <c r="BE59" s="8">
        <v>0.46790999999999999</v>
      </c>
      <c r="BF59" s="8">
        <v>0.19855999999999999</v>
      </c>
      <c r="BG59" s="8">
        <v>8.7902999999999995E-2</v>
      </c>
      <c r="BH59" s="8">
        <v>6.6962999999999995E-2</v>
      </c>
      <c r="BI59" s="8">
        <v>0.55461000000000005</v>
      </c>
      <c r="BJ59" s="8">
        <v>0.65002000000000004</v>
      </c>
      <c r="BK59" s="8">
        <v>0.39634000000000003</v>
      </c>
      <c r="BL59" s="8">
        <v>0.30448999999999998</v>
      </c>
      <c r="BM59" s="8">
        <v>8.0276E-2</v>
      </c>
      <c r="BN59" s="8">
        <v>0.10657</v>
      </c>
      <c r="BO59" s="8">
        <v>7.1686E-2</v>
      </c>
      <c r="BP59" s="8">
        <v>5.9325000000000003E-2</v>
      </c>
      <c r="BQ59" s="8">
        <v>6.9070000000000006E-2</v>
      </c>
      <c r="BR59" s="8">
        <v>0.21934000000000001</v>
      </c>
      <c r="BS59" s="8">
        <v>0.1782</v>
      </c>
      <c r="BT59" s="8">
        <v>0.29026999999999997</v>
      </c>
      <c r="BU59" s="8">
        <v>5.9013999999999997E-2</v>
      </c>
      <c r="BV59" s="8">
        <v>0.43609999999999999</v>
      </c>
      <c r="BW59" s="8">
        <v>0.13275000000000001</v>
      </c>
      <c r="BX59" s="8">
        <v>4.3930999999999998E-2</v>
      </c>
      <c r="BY59" s="8">
        <v>5.1977000000000002E-2</v>
      </c>
      <c r="BZ59" s="8">
        <v>0.11045000000000001</v>
      </c>
      <c r="CA59" s="8">
        <v>7.8251048780487775E-2</v>
      </c>
      <c r="CB59" s="8">
        <v>8.9659000000000003E-2</v>
      </c>
      <c r="CC59" s="8">
        <v>0.36207</v>
      </c>
      <c r="CD59" s="8">
        <v>0.28921000000000002</v>
      </c>
      <c r="CE59" s="8">
        <v>0.10517</v>
      </c>
      <c r="CF59" s="8">
        <v>0.66176999999999997</v>
      </c>
      <c r="CG59" s="8">
        <v>0.40672000000000003</v>
      </c>
      <c r="CH59" s="8">
        <v>5.4963999999999999E-2</v>
      </c>
      <c r="CI59" s="8">
        <v>0.10874</v>
      </c>
      <c r="CJ59" s="8">
        <v>0.25339</v>
      </c>
      <c r="CK59" s="8">
        <v>0.13983999999999999</v>
      </c>
      <c r="CL59" s="8">
        <v>0.35882999999999998</v>
      </c>
      <c r="CM59" s="8">
        <v>0.11045000000000001</v>
      </c>
      <c r="CN59" s="8">
        <v>0.18129999999999999</v>
      </c>
      <c r="CO59" s="8">
        <v>0.54511000000000009</v>
      </c>
      <c r="CP59" s="8">
        <v>0.20952658536585372</v>
      </c>
      <c r="CQ59" s="8">
        <v>0.35764000000000001</v>
      </c>
      <c r="CR59" s="8">
        <v>0.10310999999999999</v>
      </c>
      <c r="CS59" s="8">
        <v>0.42914999999999998</v>
      </c>
      <c r="CT59" s="8">
        <v>0.57499999999999996</v>
      </c>
      <c r="CU59" s="8">
        <v>0.26721</v>
      </c>
      <c r="CV59" s="8">
        <v>0.52541000000000004</v>
      </c>
      <c r="CW59" s="8">
        <v>0.29719000000000001</v>
      </c>
    </row>
    <row r="60" spans="1:101">
      <c r="A60">
        <f t="shared" si="0"/>
        <v>610</v>
      </c>
      <c r="B60">
        <v>1</v>
      </c>
      <c r="C60" s="8">
        <v>0.79720000000000002</v>
      </c>
      <c r="D60" s="8">
        <v>0.49320000000000003</v>
      </c>
      <c r="E60" s="8">
        <v>7.4268000000000001E-2</v>
      </c>
      <c r="F60" s="8">
        <v>0.49824439024390244</v>
      </c>
      <c r="G60" s="8">
        <v>0.24557000000000001</v>
      </c>
      <c r="H60" s="8">
        <v>0.23327999999999999</v>
      </c>
      <c r="I60" s="8">
        <v>0.21429999999999999</v>
      </c>
      <c r="J60" s="8">
        <v>0.16961999999999999</v>
      </c>
      <c r="K60" s="8">
        <v>5.7706E-2</v>
      </c>
      <c r="L60" s="8">
        <v>0.82848999999999995</v>
      </c>
      <c r="M60" s="8">
        <v>0.41600999999999999</v>
      </c>
      <c r="N60" s="8">
        <v>0.5796</v>
      </c>
      <c r="O60" s="8">
        <v>0.21476000000000001</v>
      </c>
      <c r="P60" s="8">
        <v>0.48120000000000002</v>
      </c>
      <c r="Q60" s="8">
        <v>0.52637</v>
      </c>
      <c r="R60" s="8">
        <v>0.20763999999999999</v>
      </c>
      <c r="S60" s="8">
        <v>0.22166</v>
      </c>
      <c r="T60" s="8">
        <v>0.2969</v>
      </c>
      <c r="U60" s="8">
        <v>0.52859999999999996</v>
      </c>
      <c r="V60" s="8">
        <v>0.56506000000000001</v>
      </c>
      <c r="W60" s="8">
        <v>0.87355000000000005</v>
      </c>
      <c r="X60" s="8">
        <v>0.72194000000000003</v>
      </c>
      <c r="Y60" s="8">
        <v>0.82162999999999997</v>
      </c>
      <c r="Z60" s="8">
        <v>0.8659</v>
      </c>
      <c r="AA60" s="8">
        <v>0.50778999999999996</v>
      </c>
      <c r="AB60" s="8">
        <v>0.88229999999999997</v>
      </c>
      <c r="AC60" s="8">
        <v>0.44617000000000001</v>
      </c>
      <c r="AD60" s="8">
        <v>0.11864</v>
      </c>
      <c r="AE60" s="8">
        <v>0.75349999999999995</v>
      </c>
      <c r="AF60" s="8">
        <v>0.33894000000000002</v>
      </c>
      <c r="AG60" s="8">
        <v>0.78325999999999996</v>
      </c>
      <c r="AH60" s="8">
        <v>0.4763</v>
      </c>
      <c r="AI60" s="8">
        <v>0.77797000000000005</v>
      </c>
      <c r="AJ60" s="8">
        <v>0.28916999999999998</v>
      </c>
      <c r="AK60" s="8">
        <v>0.11283</v>
      </c>
      <c r="AL60" s="8">
        <v>0.55034853658536576</v>
      </c>
      <c r="AM60" s="8">
        <v>0.14599999999999999</v>
      </c>
      <c r="AN60" s="8">
        <v>0.6668441463414635</v>
      </c>
      <c r="AO60" s="8">
        <v>7.9242999999999994E-2</v>
      </c>
      <c r="AP60" s="8">
        <v>0.17455999999999999</v>
      </c>
      <c r="AQ60" s="8">
        <v>0.6714</v>
      </c>
      <c r="AR60" s="8">
        <v>0.27562999999999999</v>
      </c>
      <c r="AS60" s="8">
        <v>0.31840000000000002</v>
      </c>
      <c r="AT60" s="8">
        <v>4.8599999999999997E-2</v>
      </c>
      <c r="AU60" s="8">
        <v>0.16571</v>
      </c>
      <c r="AV60" s="8">
        <v>0.26440000000000002</v>
      </c>
      <c r="AW60" s="8">
        <v>0.32319999999999999</v>
      </c>
      <c r="AX60" s="8">
        <v>0.36486000000000002</v>
      </c>
      <c r="AY60" s="8">
        <v>9.7503999999999993E-2</v>
      </c>
      <c r="AZ60" s="8">
        <v>0.14826</v>
      </c>
      <c r="BA60" s="8">
        <v>0.19520999999999999</v>
      </c>
      <c r="BB60" s="8">
        <v>6.8628999999999996E-2</v>
      </c>
      <c r="BC60" s="8">
        <v>6.2199999999999998E-2</v>
      </c>
      <c r="BD60" s="8">
        <v>0.51990000000000003</v>
      </c>
      <c r="BE60" s="8">
        <v>0.45788000000000001</v>
      </c>
      <c r="BF60" s="8">
        <v>0.18547</v>
      </c>
      <c r="BG60" s="8">
        <v>8.1600000000000006E-2</v>
      </c>
      <c r="BH60" s="8">
        <v>6.0479999999999999E-2</v>
      </c>
      <c r="BI60" s="8">
        <v>0.54679999999999995</v>
      </c>
      <c r="BJ60" s="8">
        <v>0.64873999999999998</v>
      </c>
      <c r="BK60" s="8">
        <v>0.39478000000000002</v>
      </c>
      <c r="BL60" s="8">
        <v>0.30480000000000002</v>
      </c>
      <c r="BM60" s="8">
        <v>7.7211000000000002E-2</v>
      </c>
      <c r="BN60" s="8">
        <v>0.10170999999999999</v>
      </c>
      <c r="BO60" s="8">
        <v>6.3546000000000005E-2</v>
      </c>
      <c r="BP60" s="8">
        <v>5.8200000000000002E-2</v>
      </c>
      <c r="BQ60" s="8">
        <v>6.7400000000000002E-2</v>
      </c>
      <c r="BR60" s="8">
        <v>0.22103999999999999</v>
      </c>
      <c r="BS60" s="8">
        <v>0.18373</v>
      </c>
      <c r="BT60" s="8">
        <v>0.28997000000000001</v>
      </c>
      <c r="BU60" s="8">
        <v>5.2999999999999999E-2</v>
      </c>
      <c r="BV60" s="8">
        <v>0.43774000000000002</v>
      </c>
      <c r="BW60" s="8">
        <v>0.13364000000000001</v>
      </c>
      <c r="BX60" s="8">
        <v>4.3784000000000003E-2</v>
      </c>
      <c r="BY60" s="8">
        <v>4.7300000000000002E-2</v>
      </c>
      <c r="BZ60" s="8">
        <v>0.1094</v>
      </c>
      <c r="CA60" s="8">
        <v>8.0233731707317055E-2</v>
      </c>
      <c r="CB60" s="8">
        <v>9.2537999999999995E-2</v>
      </c>
      <c r="CC60" s="8">
        <v>0.36793999999999999</v>
      </c>
      <c r="CD60" s="8">
        <v>0.29508000000000001</v>
      </c>
      <c r="CE60" s="8">
        <v>0.10009999999999999</v>
      </c>
      <c r="CF60" s="8">
        <v>0.66390000000000005</v>
      </c>
      <c r="CG60" s="8">
        <v>0.40620000000000001</v>
      </c>
      <c r="CH60" s="8">
        <v>5.7260999999999999E-2</v>
      </c>
      <c r="CI60" s="8">
        <v>0.10959000000000001</v>
      </c>
      <c r="CJ60" s="8">
        <v>0.26835999999999999</v>
      </c>
      <c r="CK60" s="8">
        <v>0.14804</v>
      </c>
      <c r="CL60" s="8">
        <v>0.38146999999999998</v>
      </c>
      <c r="CM60" s="8">
        <v>0.11913</v>
      </c>
      <c r="CN60" s="8">
        <v>0.1923</v>
      </c>
      <c r="CO60" s="8">
        <v>0.55458390243902433</v>
      </c>
      <c r="CP60" s="8">
        <v>0.23349878048780487</v>
      </c>
      <c r="CQ60" s="8">
        <v>0.37558000000000002</v>
      </c>
      <c r="CR60" s="8">
        <v>0.11679</v>
      </c>
      <c r="CS60" s="8">
        <v>0.46745999999999999</v>
      </c>
      <c r="CT60" s="8">
        <v>0.60596000000000005</v>
      </c>
      <c r="CU60" s="8">
        <v>0.26090000000000002</v>
      </c>
      <c r="CV60" s="8">
        <v>0.54005999999999998</v>
      </c>
      <c r="CW60" s="8">
        <v>0.34770000000000001</v>
      </c>
    </row>
    <row r="61" spans="1:101">
      <c r="A61">
        <f t="shared" si="0"/>
        <v>615</v>
      </c>
      <c r="B61">
        <v>1</v>
      </c>
      <c r="C61" s="8">
        <v>0.81155999999999995</v>
      </c>
      <c r="D61" s="8">
        <v>0.52532999999999996</v>
      </c>
      <c r="E61" s="8">
        <v>8.5163000000000003E-2</v>
      </c>
      <c r="F61" s="8">
        <v>0.50228951219512197</v>
      </c>
      <c r="G61" s="8">
        <v>0.29221000000000003</v>
      </c>
      <c r="H61" s="8">
        <v>0.23318</v>
      </c>
      <c r="I61" s="8">
        <v>0.26677000000000001</v>
      </c>
      <c r="J61" s="8">
        <v>0.21129999999999999</v>
      </c>
      <c r="K61" s="8">
        <v>5.8133999999999998E-2</v>
      </c>
      <c r="L61" s="8">
        <v>0.84184999999999999</v>
      </c>
      <c r="M61" s="8">
        <v>0.42171999999999998</v>
      </c>
      <c r="N61" s="8">
        <v>0.60302</v>
      </c>
      <c r="O61" s="8">
        <v>0.23036999999999999</v>
      </c>
      <c r="P61" s="8">
        <v>0.48286000000000001</v>
      </c>
      <c r="Q61" s="8">
        <v>0.54227000000000003</v>
      </c>
      <c r="R61" s="8">
        <v>0.2281</v>
      </c>
      <c r="S61" s="8">
        <v>0.22145999999999999</v>
      </c>
      <c r="T61" s="8">
        <v>0.30719999999999997</v>
      </c>
      <c r="U61" s="8">
        <v>0.52810000000000001</v>
      </c>
      <c r="V61" s="8">
        <v>0.61851999999999996</v>
      </c>
      <c r="W61" s="8">
        <v>0.87931999999999999</v>
      </c>
      <c r="X61" s="8">
        <v>0.73531000000000002</v>
      </c>
      <c r="Y61" s="8">
        <v>0.82311000000000001</v>
      </c>
      <c r="Z61" s="8">
        <v>0.86494000000000004</v>
      </c>
      <c r="AA61" s="8">
        <v>0.51041999999999998</v>
      </c>
      <c r="AB61" s="8">
        <v>0.88734999999999997</v>
      </c>
      <c r="AC61" s="8">
        <v>0.44794</v>
      </c>
      <c r="AD61" s="8">
        <v>0.11826</v>
      </c>
      <c r="AE61" s="8">
        <v>0.75999000000000005</v>
      </c>
      <c r="AF61" s="8">
        <v>0.3422</v>
      </c>
      <c r="AG61" s="8">
        <v>0.78641000000000005</v>
      </c>
      <c r="AH61" s="8">
        <v>0.4703</v>
      </c>
      <c r="AI61" s="8">
        <v>0.78271000000000002</v>
      </c>
      <c r="AJ61" s="8">
        <v>0.28445999999999999</v>
      </c>
      <c r="AK61" s="8">
        <v>0.11074000000000001</v>
      </c>
      <c r="AL61" s="8">
        <v>0.55266268292682941</v>
      </c>
      <c r="AM61" s="8">
        <v>0.13791999999999999</v>
      </c>
      <c r="AN61" s="8">
        <v>0.668810975609756</v>
      </c>
      <c r="AO61" s="8">
        <v>8.0168000000000003E-2</v>
      </c>
      <c r="AP61" s="8">
        <v>0.17846000000000001</v>
      </c>
      <c r="AQ61" s="8">
        <v>0.67164000000000001</v>
      </c>
      <c r="AR61" s="8">
        <v>0.26624999999999999</v>
      </c>
      <c r="AS61" s="8">
        <v>0.31512000000000001</v>
      </c>
      <c r="AT61" s="8">
        <v>4.8683999999999998E-2</v>
      </c>
      <c r="AU61" s="8">
        <v>0.16047</v>
      </c>
      <c r="AV61" s="8">
        <v>0.25433</v>
      </c>
      <c r="AW61" s="8">
        <v>0.31847999999999999</v>
      </c>
      <c r="AX61" s="8">
        <v>0.34231</v>
      </c>
      <c r="AY61" s="8">
        <v>9.4354999999999994E-2</v>
      </c>
      <c r="AZ61" s="8">
        <v>0.14662</v>
      </c>
      <c r="BA61" s="8">
        <v>0.19302</v>
      </c>
      <c r="BB61" s="8">
        <v>6.8719000000000002E-2</v>
      </c>
      <c r="BC61" s="8">
        <v>6.0439E-2</v>
      </c>
      <c r="BD61" s="8">
        <v>0.50780000000000003</v>
      </c>
      <c r="BE61" s="8">
        <v>0.45145999999999997</v>
      </c>
      <c r="BF61" s="8">
        <v>0.17652999999999999</v>
      </c>
      <c r="BG61" s="8">
        <v>7.8267000000000003E-2</v>
      </c>
      <c r="BH61" s="8">
        <v>5.6321999999999997E-2</v>
      </c>
      <c r="BI61" s="8">
        <v>0.54139999999999999</v>
      </c>
      <c r="BJ61" s="8">
        <v>0.64903</v>
      </c>
      <c r="BK61" s="8">
        <v>0.39387</v>
      </c>
      <c r="BL61" s="8">
        <v>0.30626999999999999</v>
      </c>
      <c r="BM61" s="8">
        <v>7.3969999999999994E-2</v>
      </c>
      <c r="BN61" s="8">
        <v>9.8590999999999998E-2</v>
      </c>
      <c r="BO61" s="8">
        <v>5.6159000000000001E-2</v>
      </c>
      <c r="BP61" s="8">
        <v>5.7512000000000001E-2</v>
      </c>
      <c r="BQ61" s="8">
        <v>6.6498000000000002E-2</v>
      </c>
      <c r="BR61" s="8">
        <v>0.22281000000000001</v>
      </c>
      <c r="BS61" s="8">
        <v>0.18815999999999999</v>
      </c>
      <c r="BT61" s="8">
        <v>0.29041</v>
      </c>
      <c r="BU61" s="8">
        <v>4.8592999999999997E-2</v>
      </c>
      <c r="BV61" s="8">
        <v>0.43955</v>
      </c>
      <c r="BW61" s="8">
        <v>0.13270999999999999</v>
      </c>
      <c r="BX61" s="8">
        <v>4.3895000000000003E-2</v>
      </c>
      <c r="BY61" s="8">
        <v>4.3686000000000003E-2</v>
      </c>
      <c r="BZ61" s="8">
        <v>0.10857</v>
      </c>
      <c r="CA61" s="8">
        <v>8.3571609756097551E-2</v>
      </c>
      <c r="CB61" s="8">
        <v>9.2743000000000006E-2</v>
      </c>
      <c r="CC61" s="8">
        <v>0.37408000000000002</v>
      </c>
      <c r="CD61" s="8">
        <v>0.30177999999999999</v>
      </c>
      <c r="CE61" s="8">
        <v>9.5354999999999995E-2</v>
      </c>
      <c r="CF61" s="8">
        <v>0.66527999999999998</v>
      </c>
      <c r="CG61" s="8">
        <v>0.40499000000000002</v>
      </c>
      <c r="CH61" s="8">
        <v>5.9074000000000002E-2</v>
      </c>
      <c r="CI61" s="8">
        <v>0.11171</v>
      </c>
      <c r="CJ61" s="8">
        <v>0.29491000000000001</v>
      </c>
      <c r="CK61" s="8">
        <v>0.15301000000000001</v>
      </c>
      <c r="CL61" s="8">
        <v>0.40076000000000001</v>
      </c>
      <c r="CM61" s="8">
        <v>0.12714</v>
      </c>
      <c r="CN61" s="8">
        <v>0.20011000000000001</v>
      </c>
      <c r="CO61" s="8">
        <v>0.56536682926829274</v>
      </c>
      <c r="CP61" s="8">
        <v>0.26384219512195128</v>
      </c>
      <c r="CQ61" s="8">
        <v>0.39567000000000002</v>
      </c>
      <c r="CR61" s="8">
        <v>0.13341</v>
      </c>
      <c r="CS61" s="8">
        <v>0.50749999999999995</v>
      </c>
      <c r="CT61" s="8">
        <v>0.63909000000000005</v>
      </c>
      <c r="CU61" s="8">
        <v>0.25685000000000002</v>
      </c>
      <c r="CV61" s="8">
        <v>0.54796</v>
      </c>
      <c r="CW61" s="8">
        <v>0.39782000000000001</v>
      </c>
    </row>
    <row r="62" spans="1:101">
      <c r="A62">
        <f t="shared" si="0"/>
        <v>620</v>
      </c>
      <c r="B62">
        <v>1</v>
      </c>
      <c r="C62" s="8">
        <v>0.82389999999999997</v>
      </c>
      <c r="D62" s="8">
        <v>0.55400000000000005</v>
      </c>
      <c r="E62" s="8">
        <v>9.7902000000000003E-2</v>
      </c>
      <c r="F62" s="8">
        <v>0.50566560975609764</v>
      </c>
      <c r="G62" s="8">
        <v>0.35063</v>
      </c>
      <c r="H62" s="8">
        <v>0.23230000000000001</v>
      </c>
      <c r="I62" s="8">
        <v>0.31900000000000001</v>
      </c>
      <c r="J62" s="8">
        <v>0.25684000000000001</v>
      </c>
      <c r="K62" s="8">
        <v>5.8428000000000001E-2</v>
      </c>
      <c r="L62" s="8">
        <v>0.84979000000000005</v>
      </c>
      <c r="M62" s="8">
        <v>0.42832999999999999</v>
      </c>
      <c r="N62" s="8">
        <v>0.62229999999999996</v>
      </c>
      <c r="O62" s="8">
        <v>0.24254000000000001</v>
      </c>
      <c r="P62" s="8">
        <v>0.48409999999999997</v>
      </c>
      <c r="Q62" s="8">
        <v>0.55469000000000002</v>
      </c>
      <c r="R62" s="8">
        <v>0.24970000000000001</v>
      </c>
      <c r="S62" s="8">
        <v>0.22076999999999999</v>
      </c>
      <c r="T62" s="8">
        <v>0.31569999999999998</v>
      </c>
      <c r="U62" s="8">
        <v>0.52749999999999997</v>
      </c>
      <c r="V62" s="8">
        <v>0.66127000000000002</v>
      </c>
      <c r="W62" s="8">
        <v>0.88378000000000001</v>
      </c>
      <c r="X62" s="8">
        <v>0.74695</v>
      </c>
      <c r="Y62" s="8">
        <v>0.82467000000000001</v>
      </c>
      <c r="Z62" s="8">
        <v>0.8639</v>
      </c>
      <c r="AA62" s="8">
        <v>0.51054999999999995</v>
      </c>
      <c r="AB62" s="8">
        <v>0.89159999999999995</v>
      </c>
      <c r="AC62" s="8">
        <v>0.44908999999999999</v>
      </c>
      <c r="AD62" s="8">
        <v>0.11813</v>
      </c>
      <c r="AE62" s="8">
        <v>0.76666999999999996</v>
      </c>
      <c r="AF62" s="8">
        <v>0.34450999999999998</v>
      </c>
      <c r="AG62" s="8">
        <v>0.78978000000000004</v>
      </c>
      <c r="AH62" s="8">
        <v>0.46629999999999999</v>
      </c>
      <c r="AI62" s="8">
        <v>0.78627000000000002</v>
      </c>
      <c r="AJ62" s="8">
        <v>0.28043000000000001</v>
      </c>
      <c r="AK62" s="8">
        <v>0.10894</v>
      </c>
      <c r="AL62" s="8">
        <v>0.55517804878048793</v>
      </c>
      <c r="AM62" s="8">
        <v>0.13100000000000001</v>
      </c>
      <c r="AN62" s="8">
        <v>0.6705973170731705</v>
      </c>
      <c r="AO62" s="8">
        <v>8.0892000000000006E-2</v>
      </c>
      <c r="AP62" s="8">
        <v>0.18157000000000001</v>
      </c>
      <c r="AQ62" s="8">
        <v>0.67249999999999999</v>
      </c>
      <c r="AR62" s="8">
        <v>0.25696000000000002</v>
      </c>
      <c r="AS62" s="8">
        <v>0.31440000000000001</v>
      </c>
      <c r="AT62" s="8">
        <v>4.8899999999999999E-2</v>
      </c>
      <c r="AU62" s="8">
        <v>0.15739</v>
      </c>
      <c r="AV62" s="8">
        <v>0.24629999999999999</v>
      </c>
      <c r="AW62" s="8">
        <v>0.31559999999999999</v>
      </c>
      <c r="AX62" s="8">
        <v>0.32117000000000001</v>
      </c>
      <c r="AY62" s="8">
        <v>9.1901999999999998E-2</v>
      </c>
      <c r="AZ62" s="8">
        <v>0.14618</v>
      </c>
      <c r="BA62" s="8">
        <v>0.19233</v>
      </c>
      <c r="BB62" s="8">
        <v>6.8937999999999999E-2</v>
      </c>
      <c r="BC62" s="8">
        <v>5.9400000000000001E-2</v>
      </c>
      <c r="BD62" s="8">
        <v>0.50090000000000001</v>
      </c>
      <c r="BE62" s="8">
        <v>0.44791999999999998</v>
      </c>
      <c r="BF62" s="8">
        <v>0.17054</v>
      </c>
      <c r="BG62" s="8">
        <v>7.6300000000000007E-2</v>
      </c>
      <c r="BH62" s="8">
        <v>5.3850000000000002E-2</v>
      </c>
      <c r="BI62" s="8">
        <v>0.53769999999999996</v>
      </c>
      <c r="BJ62" s="8">
        <v>0.65032000000000001</v>
      </c>
      <c r="BK62" s="8">
        <v>0.39388000000000001</v>
      </c>
      <c r="BL62" s="8">
        <v>0.30778</v>
      </c>
      <c r="BM62" s="8">
        <v>7.0801000000000003E-2</v>
      </c>
      <c r="BN62" s="8">
        <v>9.6750000000000003E-2</v>
      </c>
      <c r="BO62" s="8">
        <v>4.9347000000000002E-2</v>
      </c>
      <c r="BP62" s="8">
        <v>5.7099999999999998E-2</v>
      </c>
      <c r="BQ62" s="8">
        <v>6.6100000000000006E-2</v>
      </c>
      <c r="BR62" s="8">
        <v>0.22444</v>
      </c>
      <c r="BS62" s="8">
        <v>0.19156000000000001</v>
      </c>
      <c r="BT62" s="8">
        <v>0.29121000000000002</v>
      </c>
      <c r="BU62" s="8">
        <v>4.5900000000000003E-2</v>
      </c>
      <c r="BV62" s="8">
        <v>0.44113999999999998</v>
      </c>
      <c r="BW62" s="8">
        <v>0.13047</v>
      </c>
      <c r="BX62" s="8">
        <v>4.4082000000000003E-2</v>
      </c>
      <c r="BY62" s="8">
        <v>4.1300000000000003E-2</v>
      </c>
      <c r="BZ62" s="8">
        <v>0.1087</v>
      </c>
      <c r="CA62" s="8">
        <v>8.8855731707317059E-2</v>
      </c>
      <c r="CB62" s="8">
        <v>9.0950000000000003E-2</v>
      </c>
      <c r="CC62" s="8">
        <v>0.38114999999999999</v>
      </c>
      <c r="CD62" s="8">
        <v>0.30937999999999999</v>
      </c>
      <c r="CE62" s="8">
        <v>9.9780999999999995E-2</v>
      </c>
      <c r="CF62" s="8">
        <v>0.6663</v>
      </c>
      <c r="CG62" s="8">
        <v>0.40329999999999999</v>
      </c>
      <c r="CH62" s="8">
        <v>6.0436999999999998E-2</v>
      </c>
      <c r="CI62" s="8">
        <v>0.11602999999999999</v>
      </c>
      <c r="CJ62" s="8">
        <v>0.33339000000000002</v>
      </c>
      <c r="CK62" s="8">
        <v>0.15637999999999999</v>
      </c>
      <c r="CL62" s="8">
        <v>0.41563</v>
      </c>
      <c r="CM62" s="8">
        <v>0.13391</v>
      </c>
      <c r="CN62" s="8">
        <v>0.20569999999999999</v>
      </c>
      <c r="CO62" s="8">
        <v>0.57660951219512213</v>
      </c>
      <c r="CP62" s="8">
        <v>0.29850439024390252</v>
      </c>
      <c r="CQ62" s="8">
        <v>0.41782999999999998</v>
      </c>
      <c r="CR62" s="8">
        <v>0.15364</v>
      </c>
      <c r="CS62" s="8">
        <v>0.54613999999999996</v>
      </c>
      <c r="CT62" s="8">
        <v>0.67240999999999995</v>
      </c>
      <c r="CU62" s="8">
        <v>0.255</v>
      </c>
      <c r="CV62" s="8">
        <v>0.55154000000000003</v>
      </c>
      <c r="CW62" s="8">
        <v>0.4451</v>
      </c>
    </row>
    <row r="63" spans="1:101">
      <c r="A63">
        <f t="shared" si="0"/>
        <v>625</v>
      </c>
      <c r="B63">
        <v>1</v>
      </c>
      <c r="C63" s="8">
        <v>0.83426999999999996</v>
      </c>
      <c r="D63" s="8">
        <v>0.57872000000000001</v>
      </c>
      <c r="E63" s="8">
        <v>0.10928</v>
      </c>
      <c r="F63" s="8">
        <v>0.5081939024390244</v>
      </c>
      <c r="G63" s="8">
        <v>0.41726000000000002</v>
      </c>
      <c r="H63" s="8">
        <v>0.23215</v>
      </c>
      <c r="I63" s="8">
        <v>0.36580000000000001</v>
      </c>
      <c r="J63" s="8">
        <v>0.30365999999999999</v>
      </c>
      <c r="K63" s="8">
        <v>5.8701000000000003E-2</v>
      </c>
      <c r="L63" s="8">
        <v>0.85636999999999996</v>
      </c>
      <c r="M63" s="8">
        <v>0.43684000000000001</v>
      </c>
      <c r="N63" s="8">
        <v>0.63768999999999998</v>
      </c>
      <c r="O63" s="8">
        <v>0.25030000000000002</v>
      </c>
      <c r="P63" s="8">
        <v>0.48498000000000002</v>
      </c>
      <c r="Q63" s="8">
        <v>0.56418999999999997</v>
      </c>
      <c r="R63" s="8">
        <v>0.27223000000000003</v>
      </c>
      <c r="S63" s="8">
        <v>0.22081000000000001</v>
      </c>
      <c r="T63" s="8">
        <v>0.32272000000000001</v>
      </c>
      <c r="U63" s="8">
        <v>0.52676000000000001</v>
      </c>
      <c r="V63" s="8">
        <v>0.69166000000000005</v>
      </c>
      <c r="W63" s="8">
        <v>0.88788999999999996</v>
      </c>
      <c r="X63" s="8">
        <v>0.75688999999999995</v>
      </c>
      <c r="Y63" s="8">
        <v>0.82635999999999998</v>
      </c>
      <c r="Z63" s="8">
        <v>0.86263000000000001</v>
      </c>
      <c r="AA63" s="8">
        <v>0.50983999999999996</v>
      </c>
      <c r="AB63" s="8">
        <v>0.89487000000000005</v>
      </c>
      <c r="AC63" s="8">
        <v>0.44918999999999998</v>
      </c>
      <c r="AD63" s="8">
        <v>0.11937</v>
      </c>
      <c r="AE63" s="8">
        <v>0.77307999999999999</v>
      </c>
      <c r="AF63" s="8">
        <v>0.34660999999999997</v>
      </c>
      <c r="AG63" s="8">
        <v>0.79337999999999997</v>
      </c>
      <c r="AH63" s="8">
        <v>0.46622999999999998</v>
      </c>
      <c r="AI63" s="8">
        <v>0.78844000000000003</v>
      </c>
      <c r="AJ63" s="8">
        <v>0.27706999999999998</v>
      </c>
      <c r="AK63" s="8">
        <v>0.10738</v>
      </c>
      <c r="AL63" s="8">
        <v>0.55746170731707323</v>
      </c>
      <c r="AM63" s="8">
        <v>0.12386</v>
      </c>
      <c r="AN63" s="8">
        <v>0.67138219512195108</v>
      </c>
      <c r="AO63" s="8">
        <v>8.1466999999999998E-2</v>
      </c>
      <c r="AP63" s="8">
        <v>0.18390999999999999</v>
      </c>
      <c r="AQ63" s="8">
        <v>0.67464000000000002</v>
      </c>
      <c r="AR63" s="8">
        <v>0.24839</v>
      </c>
      <c r="AS63" s="8">
        <v>0.31336000000000003</v>
      </c>
      <c r="AT63" s="8">
        <v>4.9181000000000002E-2</v>
      </c>
      <c r="AU63" s="8">
        <v>0.15454000000000001</v>
      </c>
      <c r="AV63" s="8">
        <v>0.24004</v>
      </c>
      <c r="AW63" s="8">
        <v>0.31635999999999997</v>
      </c>
      <c r="AX63" s="8">
        <v>0.30176999999999998</v>
      </c>
      <c r="AY63" s="8">
        <v>9.0274999999999994E-2</v>
      </c>
      <c r="AZ63" s="8">
        <v>0.14745</v>
      </c>
      <c r="BA63" s="8">
        <v>0.19417999999999999</v>
      </c>
      <c r="BB63" s="8">
        <v>6.9225999999999996E-2</v>
      </c>
      <c r="BC63" s="8">
        <v>5.8781E-2</v>
      </c>
      <c r="BD63" s="8">
        <v>0.49797999999999998</v>
      </c>
      <c r="BE63" s="8">
        <v>0.44644</v>
      </c>
      <c r="BF63" s="8">
        <v>0.16621</v>
      </c>
      <c r="BG63" s="8">
        <v>7.4478000000000003E-2</v>
      </c>
      <c r="BH63" s="8">
        <v>5.2458999999999999E-2</v>
      </c>
      <c r="BI63" s="8">
        <v>0.53473000000000004</v>
      </c>
      <c r="BJ63" s="8">
        <v>0.65198999999999996</v>
      </c>
      <c r="BK63" s="8">
        <v>0.39495000000000002</v>
      </c>
      <c r="BL63" s="8">
        <v>0.30842999999999998</v>
      </c>
      <c r="BM63" s="8">
        <v>6.7879999999999996E-2</v>
      </c>
      <c r="BN63" s="8">
        <v>9.5665E-2</v>
      </c>
      <c r="BO63" s="8">
        <v>4.2951000000000003E-2</v>
      </c>
      <c r="BP63" s="8">
        <v>5.6801999999999998E-2</v>
      </c>
      <c r="BQ63" s="8">
        <v>6.5889000000000003E-2</v>
      </c>
      <c r="BR63" s="8">
        <v>0.22570999999999999</v>
      </c>
      <c r="BS63" s="8">
        <v>0.19395999999999999</v>
      </c>
      <c r="BT63" s="8">
        <v>0.29205999999999999</v>
      </c>
      <c r="BU63" s="8">
        <v>4.4428000000000002E-2</v>
      </c>
      <c r="BV63" s="8">
        <v>0.44227</v>
      </c>
      <c r="BW63" s="8">
        <v>0.12776999999999999</v>
      </c>
      <c r="BX63" s="8">
        <v>4.4199000000000002E-2</v>
      </c>
      <c r="BY63" s="8">
        <v>3.9965000000000001E-2</v>
      </c>
      <c r="BZ63" s="8">
        <v>0.10986</v>
      </c>
      <c r="CA63" s="8">
        <v>9.6813853658536606E-2</v>
      </c>
      <c r="CB63" s="8">
        <v>8.8195999999999997E-2</v>
      </c>
      <c r="CC63" s="8">
        <v>0.39034999999999997</v>
      </c>
      <c r="CD63" s="8">
        <v>0.31796000000000002</v>
      </c>
      <c r="CE63" s="8">
        <v>0.11368</v>
      </c>
      <c r="CF63" s="8">
        <v>0.66737000000000002</v>
      </c>
      <c r="CG63" s="8">
        <v>0.40177000000000002</v>
      </c>
      <c r="CH63" s="8">
        <v>6.1316000000000002E-2</v>
      </c>
      <c r="CI63" s="8">
        <v>0.12275999999999999</v>
      </c>
      <c r="CJ63" s="8">
        <v>0.38324999999999998</v>
      </c>
      <c r="CK63" s="8">
        <v>0.15926999999999999</v>
      </c>
      <c r="CL63" s="8">
        <v>0.42508000000000001</v>
      </c>
      <c r="CM63" s="8">
        <v>0.13922000000000001</v>
      </c>
      <c r="CN63" s="8">
        <v>0.20999000000000001</v>
      </c>
      <c r="CO63" s="8">
        <v>0.58749097560975616</v>
      </c>
      <c r="CP63" s="8">
        <v>0.3351775609756098</v>
      </c>
      <c r="CQ63" s="8">
        <v>0.44203999999999999</v>
      </c>
      <c r="CR63" s="8">
        <v>0.17791000000000001</v>
      </c>
      <c r="CS63" s="8">
        <v>0.58067999999999997</v>
      </c>
      <c r="CT63" s="8">
        <v>0.70387</v>
      </c>
      <c r="CU63" s="8">
        <v>0.25496000000000002</v>
      </c>
      <c r="CV63" s="8">
        <v>0.55303000000000002</v>
      </c>
      <c r="CW63" s="8">
        <v>0.48712</v>
      </c>
    </row>
    <row r="64" spans="1:101">
      <c r="A64">
        <f t="shared" si="0"/>
        <v>630</v>
      </c>
      <c r="B64">
        <v>1</v>
      </c>
      <c r="C64" s="8">
        <v>0.84279999999999999</v>
      </c>
      <c r="D64" s="8">
        <v>0.60029999999999994</v>
      </c>
      <c r="E64" s="8">
        <v>0.12064</v>
      </c>
      <c r="F64" s="8">
        <v>0.51008902439024395</v>
      </c>
      <c r="G64" s="8">
        <v>0.48613000000000001</v>
      </c>
      <c r="H64" s="8">
        <v>0.23457</v>
      </c>
      <c r="I64" s="8">
        <v>0.40400000000000003</v>
      </c>
      <c r="J64" s="8">
        <v>0.34959000000000001</v>
      </c>
      <c r="K64" s="8">
        <v>5.8943000000000002E-2</v>
      </c>
      <c r="L64" s="8">
        <v>0.86216999999999999</v>
      </c>
      <c r="M64" s="8">
        <v>0.44755</v>
      </c>
      <c r="N64" s="8">
        <v>0.64759</v>
      </c>
      <c r="O64" s="8">
        <v>0.25485000000000002</v>
      </c>
      <c r="P64" s="8">
        <v>0.48559999999999998</v>
      </c>
      <c r="Q64" s="8">
        <v>0.57172000000000001</v>
      </c>
      <c r="R64" s="8">
        <v>0.29482999999999998</v>
      </c>
      <c r="S64" s="8">
        <v>0.22303000000000001</v>
      </c>
      <c r="T64" s="8">
        <v>0.32890000000000003</v>
      </c>
      <c r="U64" s="8">
        <v>0.52600000000000002</v>
      </c>
      <c r="V64" s="8">
        <v>0.7127</v>
      </c>
      <c r="W64" s="8">
        <v>0.89151999999999998</v>
      </c>
      <c r="X64" s="8">
        <v>0.76575000000000004</v>
      </c>
      <c r="Y64" s="8">
        <v>0.82855000000000001</v>
      </c>
      <c r="Z64" s="8">
        <v>0.86099999999999999</v>
      </c>
      <c r="AA64" s="8">
        <v>0.50953000000000004</v>
      </c>
      <c r="AB64" s="8">
        <v>0.89739999999999998</v>
      </c>
      <c r="AC64" s="8">
        <v>0.45155000000000001</v>
      </c>
      <c r="AD64" s="8">
        <v>0.11881</v>
      </c>
      <c r="AE64" s="8">
        <v>0.77881999999999996</v>
      </c>
      <c r="AF64" s="8">
        <v>0.34778999999999999</v>
      </c>
      <c r="AG64" s="8">
        <v>0.79693999999999998</v>
      </c>
      <c r="AH64" s="8">
        <v>0.47199999999999998</v>
      </c>
      <c r="AI64" s="8">
        <v>0.79027999999999998</v>
      </c>
      <c r="AJ64" s="8">
        <v>0.27413999999999999</v>
      </c>
      <c r="AK64" s="8">
        <v>0.10598</v>
      </c>
      <c r="AL64" s="8">
        <v>0.55800756097560966</v>
      </c>
      <c r="AM64" s="8">
        <v>0.11700000000000001</v>
      </c>
      <c r="AN64" s="8">
        <v>0.67118682926829265</v>
      </c>
      <c r="AO64" s="8">
        <v>8.1921999999999995E-2</v>
      </c>
      <c r="AP64" s="8">
        <v>0.18568999999999999</v>
      </c>
      <c r="AQ64" s="8">
        <v>0.67889999999999995</v>
      </c>
      <c r="AR64" s="8">
        <v>0.24177000000000001</v>
      </c>
      <c r="AS64" s="8">
        <v>0.31169999999999998</v>
      </c>
      <c r="AT64" s="8">
        <v>4.9500000000000002E-2</v>
      </c>
      <c r="AU64" s="8">
        <v>0.15364</v>
      </c>
      <c r="AV64" s="8">
        <v>0.2349</v>
      </c>
      <c r="AW64" s="8">
        <v>0.3221</v>
      </c>
      <c r="AX64" s="8">
        <v>0.28420000000000001</v>
      </c>
      <c r="AY64" s="8">
        <v>8.9496999999999993E-2</v>
      </c>
      <c r="AZ64" s="8">
        <v>0.15004999999999999</v>
      </c>
      <c r="BA64" s="8">
        <v>0.19788</v>
      </c>
      <c r="BB64" s="8">
        <v>6.966E-2</v>
      </c>
      <c r="BC64" s="8">
        <v>5.8400000000000001E-2</v>
      </c>
      <c r="BD64" s="8">
        <v>0.49759999999999999</v>
      </c>
      <c r="BE64" s="8">
        <v>0.44630999999999998</v>
      </c>
      <c r="BF64" s="8">
        <v>0.16281000000000001</v>
      </c>
      <c r="BG64" s="8">
        <v>7.2900000000000006E-2</v>
      </c>
      <c r="BH64" s="8">
        <v>5.1700000000000003E-2</v>
      </c>
      <c r="BI64" s="8">
        <v>0.53190000000000004</v>
      </c>
      <c r="BJ64" s="8">
        <v>0.65429999999999999</v>
      </c>
      <c r="BK64" s="8">
        <v>0.39685999999999999</v>
      </c>
      <c r="BL64" s="8">
        <v>0.30876999999999999</v>
      </c>
      <c r="BM64" s="8">
        <v>6.5393999999999994E-2</v>
      </c>
      <c r="BN64" s="8">
        <v>9.5000000000000001E-2</v>
      </c>
      <c r="BO64" s="8">
        <v>3.6935999999999997E-2</v>
      </c>
      <c r="BP64" s="8">
        <v>5.6599999999999998E-2</v>
      </c>
      <c r="BQ64" s="8">
        <v>6.5699999999999995E-2</v>
      </c>
      <c r="BR64" s="8">
        <v>0.22681000000000001</v>
      </c>
      <c r="BS64" s="8">
        <v>0.19558</v>
      </c>
      <c r="BT64" s="8">
        <v>0.29307</v>
      </c>
      <c r="BU64" s="8">
        <v>4.3700000000000003E-2</v>
      </c>
      <c r="BV64" s="8">
        <v>0.44309999999999999</v>
      </c>
      <c r="BW64" s="8">
        <v>0.1255</v>
      </c>
      <c r="BX64" s="8">
        <v>4.428E-2</v>
      </c>
      <c r="BY64" s="8">
        <v>3.95E-2</v>
      </c>
      <c r="BZ64" s="8">
        <v>0.1119</v>
      </c>
      <c r="CA64" s="8">
        <v>0.10784209756097561</v>
      </c>
      <c r="CB64" s="8">
        <v>8.5587999999999997E-2</v>
      </c>
      <c r="CC64" s="8">
        <v>0.40398000000000001</v>
      </c>
      <c r="CD64" s="8">
        <v>0.32801999999999998</v>
      </c>
      <c r="CE64" s="8">
        <v>0.13297</v>
      </c>
      <c r="CF64" s="8">
        <v>0.66839999999999999</v>
      </c>
      <c r="CG64" s="8">
        <v>0.40239999999999998</v>
      </c>
      <c r="CH64" s="8">
        <v>6.1827E-2</v>
      </c>
      <c r="CI64" s="8">
        <v>0.12916</v>
      </c>
      <c r="CJ64" s="8">
        <v>0.44220999999999999</v>
      </c>
      <c r="CK64" s="8">
        <v>0.16203999999999999</v>
      </c>
      <c r="CL64" s="8">
        <v>0.42953000000000002</v>
      </c>
      <c r="CM64" s="8">
        <v>0.1439</v>
      </c>
      <c r="CN64" s="8">
        <v>0.21340000000000001</v>
      </c>
      <c r="CO64" s="8">
        <v>0.59586414634146345</v>
      </c>
      <c r="CP64" s="8">
        <v>0.37372707317073173</v>
      </c>
      <c r="CQ64" s="8">
        <v>0.46839999999999998</v>
      </c>
      <c r="CR64" s="8">
        <v>0.20530000000000001</v>
      </c>
      <c r="CS64" s="8">
        <v>0.61187000000000002</v>
      </c>
      <c r="CT64" s="8">
        <v>0.73294000000000004</v>
      </c>
      <c r="CU64" s="8">
        <v>0.25619999999999998</v>
      </c>
      <c r="CV64" s="8">
        <v>0.55484</v>
      </c>
      <c r="CW64" s="8">
        <v>0.52280000000000004</v>
      </c>
    </row>
    <row r="65" spans="1:101">
      <c r="A65">
        <f t="shared" si="0"/>
        <v>635</v>
      </c>
      <c r="B65">
        <v>1</v>
      </c>
      <c r="C65" s="8">
        <v>0.84970999999999997</v>
      </c>
      <c r="D65" s="8">
        <v>0.61963000000000001</v>
      </c>
      <c r="E65" s="8">
        <v>0.12748999999999999</v>
      </c>
      <c r="F65" s="8">
        <v>0.51142414634146338</v>
      </c>
      <c r="G65" s="8">
        <v>0.5514</v>
      </c>
      <c r="H65" s="8">
        <v>0.24132000000000001</v>
      </c>
      <c r="I65" s="8">
        <v>0.43171999999999999</v>
      </c>
      <c r="J65" s="8">
        <v>0.39266000000000001</v>
      </c>
      <c r="K65" s="8">
        <v>5.9172000000000002E-2</v>
      </c>
      <c r="L65" s="8">
        <v>0.86695</v>
      </c>
      <c r="M65" s="8">
        <v>0.46045000000000003</v>
      </c>
      <c r="N65" s="8">
        <v>0.65705000000000002</v>
      </c>
      <c r="O65" s="8">
        <v>0.25780999999999998</v>
      </c>
      <c r="P65" s="8">
        <v>0.48607</v>
      </c>
      <c r="Q65" s="8">
        <v>0.57820000000000005</v>
      </c>
      <c r="R65" s="8">
        <v>0.31669000000000003</v>
      </c>
      <c r="S65" s="8">
        <v>0.22881000000000001</v>
      </c>
      <c r="T65" s="8">
        <v>0.33485999999999999</v>
      </c>
      <c r="U65" s="8">
        <v>0.52534000000000003</v>
      </c>
      <c r="V65" s="8">
        <v>0.72818000000000005</v>
      </c>
      <c r="W65" s="8">
        <v>0.89441999999999999</v>
      </c>
      <c r="X65" s="8">
        <v>0.77407000000000004</v>
      </c>
      <c r="Y65" s="8">
        <v>0.83152000000000004</v>
      </c>
      <c r="Z65" s="8">
        <v>0.85897999999999997</v>
      </c>
      <c r="AA65" s="8">
        <v>0.50934999999999997</v>
      </c>
      <c r="AB65" s="8">
        <v>0.89946000000000004</v>
      </c>
      <c r="AC65" s="8">
        <v>0.45456000000000002</v>
      </c>
      <c r="AD65" s="8">
        <v>0.11634</v>
      </c>
      <c r="AE65" s="8">
        <v>0.78351000000000004</v>
      </c>
      <c r="AF65" s="8">
        <v>0.35039999999999999</v>
      </c>
      <c r="AG65" s="8">
        <v>0.80012000000000005</v>
      </c>
      <c r="AH65" s="8">
        <v>0.48518</v>
      </c>
      <c r="AI65" s="8">
        <v>0.79278000000000004</v>
      </c>
      <c r="AJ65" s="8">
        <v>0.27140999999999998</v>
      </c>
      <c r="AK65" s="8">
        <v>0.10468</v>
      </c>
      <c r="AL65" s="8">
        <v>0.55702073170731703</v>
      </c>
      <c r="AM65" s="8">
        <v>0.11101</v>
      </c>
      <c r="AN65" s="8">
        <v>0.67048658536585382</v>
      </c>
      <c r="AO65" s="8">
        <v>8.2328999999999999E-2</v>
      </c>
      <c r="AP65" s="8">
        <v>0.18725</v>
      </c>
      <c r="AQ65" s="8">
        <v>0.68615999999999999</v>
      </c>
      <c r="AR65" s="8">
        <v>0.2384</v>
      </c>
      <c r="AS65" s="8">
        <v>0.30968000000000001</v>
      </c>
      <c r="AT65" s="8">
        <v>4.9841999999999997E-2</v>
      </c>
      <c r="AU65" s="8">
        <v>0.15204000000000001</v>
      </c>
      <c r="AV65" s="8">
        <v>0.23025000000000001</v>
      </c>
      <c r="AW65" s="8">
        <v>0.33395000000000002</v>
      </c>
      <c r="AX65" s="8">
        <v>0.26844000000000001</v>
      </c>
      <c r="AY65" s="8">
        <v>8.9510000000000006E-2</v>
      </c>
      <c r="AZ65" s="8">
        <v>0.15357999999999999</v>
      </c>
      <c r="BA65" s="8">
        <v>0.20263999999999999</v>
      </c>
      <c r="BB65" s="8">
        <v>7.0402999999999993E-2</v>
      </c>
      <c r="BC65" s="8">
        <v>5.8123000000000001E-2</v>
      </c>
      <c r="BD65" s="8">
        <v>0.49839</v>
      </c>
      <c r="BE65" s="8">
        <v>0.44699</v>
      </c>
      <c r="BF65" s="8">
        <v>0.15981000000000001</v>
      </c>
      <c r="BG65" s="8">
        <v>7.1733000000000005E-2</v>
      </c>
      <c r="BH65" s="8">
        <v>5.1223999999999999E-2</v>
      </c>
      <c r="BI65" s="8">
        <v>0.52907999999999999</v>
      </c>
      <c r="BJ65" s="8">
        <v>0.65764</v>
      </c>
      <c r="BK65" s="8">
        <v>0.39943000000000001</v>
      </c>
      <c r="BL65" s="8">
        <v>0.30964000000000003</v>
      </c>
      <c r="BM65" s="8">
        <v>6.3457E-2</v>
      </c>
      <c r="BN65" s="8">
        <v>9.4543000000000002E-2</v>
      </c>
      <c r="BO65" s="8">
        <v>3.1330999999999998E-2</v>
      </c>
      <c r="BP65" s="8">
        <v>5.6503999999999999E-2</v>
      </c>
      <c r="BQ65" s="8">
        <v>6.5472000000000002E-2</v>
      </c>
      <c r="BR65" s="8">
        <v>0.22806999999999999</v>
      </c>
      <c r="BS65" s="8">
        <v>0.19681999999999999</v>
      </c>
      <c r="BT65" s="8">
        <v>0.29449999999999998</v>
      </c>
      <c r="BU65" s="8">
        <v>4.3309E-2</v>
      </c>
      <c r="BV65" s="8">
        <v>0.44396999999999998</v>
      </c>
      <c r="BW65" s="8">
        <v>0.12447</v>
      </c>
      <c r="BX65" s="8">
        <v>4.4422000000000003E-2</v>
      </c>
      <c r="BY65" s="8">
        <v>3.9702000000000001E-2</v>
      </c>
      <c r="BZ65" s="8">
        <v>0.11481</v>
      </c>
      <c r="CA65" s="8">
        <v>0.12215980487804878</v>
      </c>
      <c r="CB65" s="8">
        <v>8.4148000000000001E-2</v>
      </c>
      <c r="CC65" s="8">
        <v>0.42415000000000003</v>
      </c>
      <c r="CD65" s="8">
        <v>0.34004000000000001</v>
      </c>
      <c r="CE65" s="8">
        <v>0.16167000000000001</v>
      </c>
      <c r="CF65" s="8">
        <v>0.66966000000000003</v>
      </c>
      <c r="CG65" s="8">
        <v>0.40703</v>
      </c>
      <c r="CH65" s="8">
        <v>6.2142000000000003E-2</v>
      </c>
      <c r="CI65" s="8">
        <v>0.13825999999999999</v>
      </c>
      <c r="CJ65" s="8">
        <v>0.50670000000000004</v>
      </c>
      <c r="CK65" s="8">
        <v>0.16492000000000001</v>
      </c>
      <c r="CL65" s="8">
        <v>0.4299</v>
      </c>
      <c r="CM65" s="8">
        <v>0.14909</v>
      </c>
      <c r="CN65" s="8">
        <v>0.21626000000000001</v>
      </c>
      <c r="CO65" s="8">
        <v>0.60145609756097573</v>
      </c>
      <c r="CP65" s="8">
        <v>0.41398707317073169</v>
      </c>
      <c r="CQ65" s="8">
        <v>0.49679000000000001</v>
      </c>
      <c r="CR65" s="8">
        <v>0.23477000000000001</v>
      </c>
      <c r="CS65" s="8">
        <v>0.64119000000000004</v>
      </c>
      <c r="CT65" s="8">
        <v>0.75943000000000005</v>
      </c>
      <c r="CU65" s="8">
        <v>0.25835000000000002</v>
      </c>
      <c r="CV65" s="8">
        <v>0.55911999999999995</v>
      </c>
      <c r="CW65" s="8">
        <v>0.55159000000000002</v>
      </c>
    </row>
    <row r="66" spans="1:101">
      <c r="A66">
        <f t="shared" si="0"/>
        <v>640</v>
      </c>
      <c r="B66">
        <v>1</v>
      </c>
      <c r="C66" s="8">
        <v>0.85560000000000003</v>
      </c>
      <c r="D66" s="8">
        <v>0.63670000000000004</v>
      </c>
      <c r="E66" s="8">
        <v>0.13322000000000001</v>
      </c>
      <c r="F66" s="8">
        <v>0.51261682926829266</v>
      </c>
      <c r="G66" s="8">
        <v>0.61007</v>
      </c>
      <c r="H66" s="8">
        <v>0.25369000000000003</v>
      </c>
      <c r="I66" s="8">
        <v>0.45029999999999998</v>
      </c>
      <c r="J66" s="8">
        <v>0.43125000000000002</v>
      </c>
      <c r="K66" s="8">
        <v>5.9664000000000002E-2</v>
      </c>
      <c r="L66" s="8">
        <v>0.87063999999999997</v>
      </c>
      <c r="M66" s="8">
        <v>0.47494999999999998</v>
      </c>
      <c r="N66" s="8">
        <v>0.66605999999999999</v>
      </c>
      <c r="O66" s="8">
        <v>0.26021</v>
      </c>
      <c r="P66" s="8">
        <v>0.48670000000000002</v>
      </c>
      <c r="Q66" s="8">
        <v>0.58394999999999997</v>
      </c>
      <c r="R66" s="8">
        <v>0.33779999999999999</v>
      </c>
      <c r="S66" s="8">
        <v>0.23899999999999999</v>
      </c>
      <c r="T66" s="8">
        <v>0.34079999999999999</v>
      </c>
      <c r="U66" s="8">
        <v>0.52459999999999996</v>
      </c>
      <c r="V66" s="8">
        <v>0.74021000000000003</v>
      </c>
      <c r="W66" s="8">
        <v>0.89688999999999997</v>
      </c>
      <c r="X66" s="8">
        <v>0.78137000000000001</v>
      </c>
      <c r="Y66" s="8">
        <v>0.83481000000000005</v>
      </c>
      <c r="Z66" s="8">
        <v>0.85699999999999998</v>
      </c>
      <c r="AA66" s="8">
        <v>0.51270000000000004</v>
      </c>
      <c r="AB66" s="8">
        <v>0.90110000000000001</v>
      </c>
      <c r="AC66" s="8">
        <v>0.45680999999999999</v>
      </c>
      <c r="AD66" s="8">
        <v>0.11620999999999999</v>
      </c>
      <c r="AE66" s="8">
        <v>0.78708999999999996</v>
      </c>
      <c r="AF66" s="8">
        <v>0.35437999999999997</v>
      </c>
      <c r="AG66" s="8">
        <v>0.80264000000000002</v>
      </c>
      <c r="AH66" s="8">
        <v>0.50609999999999999</v>
      </c>
      <c r="AI66" s="8">
        <v>0.79527999999999999</v>
      </c>
      <c r="AJ66" s="8">
        <v>0.26884999999999998</v>
      </c>
      <c r="AK66" s="8">
        <v>0.10349</v>
      </c>
      <c r="AL66" s="8">
        <v>0.55717414634146356</v>
      </c>
      <c r="AM66" s="8">
        <v>0.105</v>
      </c>
      <c r="AN66" s="8">
        <v>0.67040878048780517</v>
      </c>
      <c r="AO66" s="8">
        <v>8.2952999999999999E-2</v>
      </c>
      <c r="AP66" s="8">
        <v>0.1893</v>
      </c>
      <c r="AQ66" s="8">
        <v>0.69710000000000005</v>
      </c>
      <c r="AR66" s="8">
        <v>0.23909</v>
      </c>
      <c r="AS66" s="8">
        <v>0.30730000000000002</v>
      </c>
      <c r="AT66" s="8">
        <v>5.0200000000000002E-2</v>
      </c>
      <c r="AU66" s="8">
        <v>0.15024000000000001</v>
      </c>
      <c r="AV66" s="8">
        <v>0.22600000000000001</v>
      </c>
      <c r="AW66" s="8">
        <v>0.35249999999999998</v>
      </c>
      <c r="AX66" s="8">
        <v>0.25429000000000002</v>
      </c>
      <c r="AY66" s="8">
        <v>9.0043999999999999E-2</v>
      </c>
      <c r="AZ66" s="8">
        <v>0.15828999999999999</v>
      </c>
      <c r="BA66" s="8">
        <v>0.2089</v>
      </c>
      <c r="BB66" s="8">
        <v>7.1823999999999999E-2</v>
      </c>
      <c r="BC66" s="8">
        <v>5.79E-2</v>
      </c>
      <c r="BD66" s="8">
        <v>0.4995</v>
      </c>
      <c r="BE66" s="8">
        <v>0.44862000000000002</v>
      </c>
      <c r="BF66" s="8">
        <v>0.15704000000000001</v>
      </c>
      <c r="BG66" s="8">
        <v>7.0099999999999996E-2</v>
      </c>
      <c r="BH66" s="8">
        <v>5.0939999999999999E-2</v>
      </c>
      <c r="BI66" s="8">
        <v>0.52749999999999997</v>
      </c>
      <c r="BJ66" s="8">
        <v>0.66202000000000005</v>
      </c>
      <c r="BK66" s="8">
        <v>0.40282000000000001</v>
      </c>
      <c r="BL66" s="8">
        <v>0.31175000000000003</v>
      </c>
      <c r="BM66" s="8">
        <v>6.1889E-2</v>
      </c>
      <c r="BN66" s="8">
        <v>9.4399999999999998E-2</v>
      </c>
      <c r="BO66" s="8">
        <v>2.6311999999999999E-2</v>
      </c>
      <c r="BP66" s="8">
        <v>5.6500000000000002E-2</v>
      </c>
      <c r="BQ66" s="8">
        <v>6.54E-2</v>
      </c>
      <c r="BR66" s="8">
        <v>0.23021</v>
      </c>
      <c r="BS66" s="8">
        <v>0.19847000000000001</v>
      </c>
      <c r="BT66" s="8">
        <v>0.29687999999999998</v>
      </c>
      <c r="BU66" s="8">
        <v>4.3099999999999999E-2</v>
      </c>
      <c r="BV66" s="8">
        <v>0.44536999999999999</v>
      </c>
      <c r="BW66" s="8">
        <v>0.12520000000000001</v>
      </c>
      <c r="BX66" s="8">
        <v>4.4776999999999997E-2</v>
      </c>
      <c r="BY66" s="8">
        <v>4.0300000000000002E-2</v>
      </c>
      <c r="BZ66" s="8">
        <v>0.11940000000000001</v>
      </c>
      <c r="CA66" s="8">
        <v>0.13991795121951223</v>
      </c>
      <c r="CB66" s="8">
        <v>8.4496000000000002E-2</v>
      </c>
      <c r="CC66" s="8">
        <v>0.45113999999999999</v>
      </c>
      <c r="CD66" s="8">
        <v>0.35415999999999997</v>
      </c>
      <c r="CE66" s="8">
        <v>0.19616</v>
      </c>
      <c r="CF66" s="8">
        <v>0.67349999999999999</v>
      </c>
      <c r="CG66" s="8">
        <v>0.41560000000000002</v>
      </c>
      <c r="CH66" s="8">
        <v>6.2520999999999993E-2</v>
      </c>
      <c r="CI66" s="8">
        <v>0.14463999999999999</v>
      </c>
      <c r="CJ66" s="8">
        <v>0.56969000000000003</v>
      </c>
      <c r="CK66" s="8">
        <v>0.16819999999999999</v>
      </c>
      <c r="CL66" s="8">
        <v>0.42774000000000001</v>
      </c>
      <c r="CM66" s="8">
        <v>0.15603</v>
      </c>
      <c r="CN66" s="8">
        <v>0.21890000000000001</v>
      </c>
      <c r="CO66" s="8">
        <v>0.60694390243902452</v>
      </c>
      <c r="CP66" s="8">
        <v>0.45456463414634135</v>
      </c>
      <c r="CQ66" s="8">
        <v>0.52605999999999997</v>
      </c>
      <c r="CR66" s="8">
        <v>0.26623999999999998</v>
      </c>
      <c r="CS66" s="8">
        <v>0.66964999999999997</v>
      </c>
      <c r="CT66" s="8">
        <v>0.78317999999999999</v>
      </c>
      <c r="CU66" s="8">
        <v>0.26200000000000001</v>
      </c>
      <c r="CV66" s="8">
        <v>0.56677</v>
      </c>
      <c r="CW66" s="8">
        <v>0.57369999999999999</v>
      </c>
    </row>
    <row r="67" spans="1:101">
      <c r="A67">
        <f t="shared" si="0"/>
        <v>645</v>
      </c>
      <c r="B67">
        <v>1</v>
      </c>
      <c r="C67" s="8">
        <v>0.86097999999999997</v>
      </c>
      <c r="D67" s="8">
        <v>0.65151000000000003</v>
      </c>
      <c r="E67" s="8">
        <v>0.14094000000000001</v>
      </c>
      <c r="F67" s="8">
        <v>0.51402268292682918</v>
      </c>
      <c r="G67" s="8">
        <v>0.66051000000000004</v>
      </c>
      <c r="H67" s="8">
        <v>0.27287</v>
      </c>
      <c r="I67" s="8">
        <v>0.46188000000000001</v>
      </c>
      <c r="J67" s="8">
        <v>0.46417000000000003</v>
      </c>
      <c r="K67" s="8">
        <v>6.0650999999999997E-2</v>
      </c>
      <c r="L67" s="8">
        <v>0.87336999999999998</v>
      </c>
      <c r="M67" s="8">
        <v>0.49065999999999999</v>
      </c>
      <c r="N67" s="8">
        <v>0.67239000000000004</v>
      </c>
      <c r="O67" s="8">
        <v>0.26266</v>
      </c>
      <c r="P67" s="8">
        <v>0.48768</v>
      </c>
      <c r="Q67" s="8">
        <v>0.58911000000000002</v>
      </c>
      <c r="R67" s="8">
        <v>0.35841000000000001</v>
      </c>
      <c r="S67" s="8">
        <v>0.25451000000000001</v>
      </c>
      <c r="T67" s="8">
        <v>0.34673999999999999</v>
      </c>
      <c r="U67" s="8">
        <v>0.52361000000000002</v>
      </c>
      <c r="V67" s="8">
        <v>0.75034999999999996</v>
      </c>
      <c r="W67" s="8">
        <v>0.89927999999999997</v>
      </c>
      <c r="X67" s="8">
        <v>0.78720000000000001</v>
      </c>
      <c r="Y67" s="8">
        <v>0.83794000000000002</v>
      </c>
      <c r="Z67" s="8">
        <v>0.85543000000000002</v>
      </c>
      <c r="AA67" s="8">
        <v>0.51495999999999997</v>
      </c>
      <c r="AB67" s="8">
        <v>0.90232000000000001</v>
      </c>
      <c r="AC67" s="8">
        <v>0.45528000000000002</v>
      </c>
      <c r="AD67" s="8">
        <v>0.11637</v>
      </c>
      <c r="AE67" s="8">
        <v>0.78961999999999999</v>
      </c>
      <c r="AF67" s="8">
        <v>0.35485</v>
      </c>
      <c r="AG67" s="8">
        <v>0.80445</v>
      </c>
      <c r="AH67" s="8">
        <v>0.53447</v>
      </c>
      <c r="AI67" s="8">
        <v>0.79705999999999999</v>
      </c>
      <c r="AJ67" s="8">
        <v>0.26649</v>
      </c>
      <c r="AK67" s="8">
        <v>0.10242</v>
      </c>
      <c r="AL67" s="8">
        <v>0.55868756097560979</v>
      </c>
      <c r="AM67" s="8">
        <v>9.8479999999999998E-2</v>
      </c>
      <c r="AN67" s="8">
        <v>0.67107609756097553</v>
      </c>
      <c r="AO67" s="8">
        <v>8.4011000000000002E-2</v>
      </c>
      <c r="AP67" s="8">
        <v>0.19238</v>
      </c>
      <c r="AQ67" s="8">
        <v>0.71218000000000004</v>
      </c>
      <c r="AR67" s="8">
        <v>0.24435999999999999</v>
      </c>
      <c r="AS67" s="8">
        <v>0.30348999999999998</v>
      </c>
      <c r="AT67" s="8">
        <v>5.0574000000000001E-2</v>
      </c>
      <c r="AU67" s="8">
        <v>0.15039</v>
      </c>
      <c r="AV67" s="8">
        <v>0.22217999999999999</v>
      </c>
      <c r="AW67" s="8">
        <v>0.37808999999999998</v>
      </c>
      <c r="AX67" s="8">
        <v>0.24157999999999999</v>
      </c>
      <c r="AY67" s="8">
        <v>9.0838000000000002E-2</v>
      </c>
      <c r="AZ67" s="8">
        <v>0.16436000000000001</v>
      </c>
      <c r="BA67" s="8">
        <v>0.21709000000000001</v>
      </c>
      <c r="BB67" s="8">
        <v>7.4177999999999994E-2</v>
      </c>
      <c r="BC67" s="8">
        <v>5.7751999999999998E-2</v>
      </c>
      <c r="BD67" s="8">
        <v>0.50065000000000004</v>
      </c>
      <c r="BE67" s="8">
        <v>0.4516</v>
      </c>
      <c r="BF67" s="8">
        <v>0.15454999999999999</v>
      </c>
      <c r="BG67" s="8">
        <v>6.6916000000000003E-2</v>
      </c>
      <c r="BH67" s="8">
        <v>5.0888999999999997E-2</v>
      </c>
      <c r="BI67" s="8">
        <v>0.52839999999999998</v>
      </c>
      <c r="BJ67" s="8">
        <v>0.66737999999999997</v>
      </c>
      <c r="BK67" s="8">
        <v>0.40710000000000002</v>
      </c>
      <c r="BL67" s="8">
        <v>0.31579000000000002</v>
      </c>
      <c r="BM67" s="8">
        <v>6.0553000000000003E-2</v>
      </c>
      <c r="BN67" s="8">
        <v>9.4753000000000004E-2</v>
      </c>
      <c r="BO67" s="8">
        <v>2.2065000000000001E-2</v>
      </c>
      <c r="BP67" s="8">
        <v>5.6580999999999999E-2</v>
      </c>
      <c r="BQ67" s="8">
        <v>6.5684999999999993E-2</v>
      </c>
      <c r="BR67" s="8">
        <v>0.23372999999999999</v>
      </c>
      <c r="BS67" s="8">
        <v>0.20116999999999999</v>
      </c>
      <c r="BT67" s="8">
        <v>0.30057</v>
      </c>
      <c r="BU67" s="8">
        <v>4.3136000000000001E-2</v>
      </c>
      <c r="BV67" s="8">
        <v>0.44767000000000001</v>
      </c>
      <c r="BW67" s="8">
        <v>0.12806999999999999</v>
      </c>
      <c r="BX67" s="8">
        <v>4.5545000000000002E-2</v>
      </c>
      <c r="BY67" s="8">
        <v>4.1140000000000003E-2</v>
      </c>
      <c r="BZ67" s="8">
        <v>0.12645999999999999</v>
      </c>
      <c r="CA67" s="8">
        <v>0.161328</v>
      </c>
      <c r="CB67" s="8">
        <v>8.7012999999999993E-2</v>
      </c>
      <c r="CC67" s="8">
        <v>0.48459999999999998</v>
      </c>
      <c r="CD67" s="8">
        <v>0.37047999999999998</v>
      </c>
      <c r="CE67" s="8">
        <v>0.23898</v>
      </c>
      <c r="CF67" s="8">
        <v>0.68201000000000001</v>
      </c>
      <c r="CG67" s="8">
        <v>0.42779</v>
      </c>
      <c r="CH67" s="8">
        <v>6.3158000000000006E-2</v>
      </c>
      <c r="CI67" s="8">
        <v>0.15049000000000001</v>
      </c>
      <c r="CJ67" s="8">
        <v>0.62438000000000005</v>
      </c>
      <c r="CK67" s="8">
        <v>0.17215</v>
      </c>
      <c r="CL67" s="8">
        <v>0.42497000000000001</v>
      </c>
      <c r="CM67" s="8">
        <v>0.16583000000000001</v>
      </c>
      <c r="CN67" s="8">
        <v>0.22164</v>
      </c>
      <c r="CO67" s="8">
        <v>0.61324463414634145</v>
      </c>
      <c r="CP67" s="8">
        <v>0.49236097560975595</v>
      </c>
      <c r="CQ67" s="8">
        <v>0.55501999999999996</v>
      </c>
      <c r="CR67" s="8">
        <v>0.29975000000000002</v>
      </c>
      <c r="CS67" s="8">
        <v>0.69796000000000002</v>
      </c>
      <c r="CT67" s="8">
        <v>0.80405000000000004</v>
      </c>
      <c r="CU67" s="8">
        <v>0.26778000000000002</v>
      </c>
      <c r="CV67" s="8">
        <v>0.57838000000000001</v>
      </c>
      <c r="CW67" s="8">
        <v>0.58975</v>
      </c>
    </row>
    <row r="68" spans="1:101">
      <c r="A68">
        <f t="shared" si="0"/>
        <v>650</v>
      </c>
      <c r="B68">
        <v>1</v>
      </c>
      <c r="C68" s="8">
        <v>0.86570000000000003</v>
      </c>
      <c r="D68" s="8">
        <v>0.66510000000000002</v>
      </c>
      <c r="E68" s="8">
        <v>0.15003</v>
      </c>
      <c r="F68" s="8">
        <v>0.51521853658536587</v>
      </c>
      <c r="G68" s="8">
        <v>0.70369999999999999</v>
      </c>
      <c r="H68" s="8">
        <v>0.30030000000000001</v>
      </c>
      <c r="I68" s="8">
        <v>0.46860000000000002</v>
      </c>
      <c r="J68" s="8">
        <v>0.49159999999999998</v>
      </c>
      <c r="K68" s="8">
        <v>6.1931E-2</v>
      </c>
      <c r="L68" s="8">
        <v>0.87575000000000003</v>
      </c>
      <c r="M68" s="8">
        <v>0.50854999999999995</v>
      </c>
      <c r="N68" s="8">
        <v>0.67883000000000004</v>
      </c>
      <c r="O68" s="8">
        <v>0.26486999999999999</v>
      </c>
      <c r="P68" s="8">
        <v>0.48870000000000002</v>
      </c>
      <c r="Q68" s="8">
        <v>0.59367000000000003</v>
      </c>
      <c r="R68" s="8">
        <v>0.37905</v>
      </c>
      <c r="S68" s="8">
        <v>0.27704000000000001</v>
      </c>
      <c r="T68" s="8">
        <v>0.35239999999999999</v>
      </c>
      <c r="U68" s="8">
        <v>0.52259999999999995</v>
      </c>
      <c r="V68" s="8">
        <v>0.75976999999999995</v>
      </c>
      <c r="W68" s="8">
        <v>0.90144999999999997</v>
      </c>
      <c r="X68" s="8">
        <v>0.79220999999999997</v>
      </c>
      <c r="Y68" s="8">
        <v>0.84114</v>
      </c>
      <c r="Z68" s="8">
        <v>0.85409999999999997</v>
      </c>
      <c r="AA68" s="8">
        <v>0.51193999999999995</v>
      </c>
      <c r="AB68" s="8">
        <v>0.90329999999999999</v>
      </c>
      <c r="AC68" s="8">
        <v>0.45002999999999999</v>
      </c>
      <c r="AD68" s="8">
        <v>0.11656</v>
      </c>
      <c r="AE68" s="8">
        <v>0.79147999999999996</v>
      </c>
      <c r="AF68" s="8">
        <v>0.35338000000000003</v>
      </c>
      <c r="AG68" s="8">
        <v>0.80640000000000001</v>
      </c>
      <c r="AH68" s="8">
        <v>0.56879999999999997</v>
      </c>
      <c r="AI68" s="8">
        <v>0.79876999999999998</v>
      </c>
      <c r="AJ68" s="8">
        <v>0.26449</v>
      </c>
      <c r="AK68" s="8">
        <v>0.10154000000000001</v>
      </c>
      <c r="AL68" s="8">
        <v>0.55966585365853672</v>
      </c>
      <c r="AM68" s="8">
        <v>9.4E-2</v>
      </c>
      <c r="AN68" s="8">
        <v>0.67106097560975597</v>
      </c>
      <c r="AO68" s="8">
        <v>8.5322999999999996E-2</v>
      </c>
      <c r="AP68" s="8">
        <v>0.1961</v>
      </c>
      <c r="AQ68" s="8">
        <v>0.73099999999999998</v>
      </c>
      <c r="AR68" s="8">
        <v>0.25397999999999998</v>
      </c>
      <c r="AS68" s="8">
        <v>0.29310000000000003</v>
      </c>
      <c r="AT68" s="8">
        <v>5.0999999999999997E-2</v>
      </c>
      <c r="AU68" s="8">
        <v>0.15037</v>
      </c>
      <c r="AV68" s="8">
        <v>0.21890000000000001</v>
      </c>
      <c r="AW68" s="8">
        <v>0.41039999999999999</v>
      </c>
      <c r="AX68" s="8">
        <v>0.23039999999999999</v>
      </c>
      <c r="AY68" s="8">
        <v>9.1879000000000002E-2</v>
      </c>
      <c r="AZ68" s="8">
        <v>0.17108999999999999</v>
      </c>
      <c r="BA68" s="8">
        <v>0.22617000000000001</v>
      </c>
      <c r="BB68" s="8">
        <v>7.7078999999999995E-2</v>
      </c>
      <c r="BC68" s="8">
        <v>5.79E-2</v>
      </c>
      <c r="BD68" s="8">
        <v>0.50319999999999998</v>
      </c>
      <c r="BE68" s="8">
        <v>0.45656000000000002</v>
      </c>
      <c r="BF68" s="8">
        <v>0.15295</v>
      </c>
      <c r="BG68" s="8">
        <v>6.13E-2</v>
      </c>
      <c r="BH68" s="8">
        <v>5.1389999999999998E-2</v>
      </c>
      <c r="BI68" s="8">
        <v>0.53159999999999996</v>
      </c>
      <c r="BJ68" s="8">
        <v>0.67371999999999999</v>
      </c>
      <c r="BK68" s="8">
        <v>0.41175</v>
      </c>
      <c r="BL68" s="8">
        <v>0.32267000000000001</v>
      </c>
      <c r="BM68" s="8">
        <v>5.9785999999999999E-2</v>
      </c>
      <c r="BN68" s="8">
        <v>9.5769999999999994E-2</v>
      </c>
      <c r="BO68" s="8">
        <v>1.8665999999999999E-2</v>
      </c>
      <c r="BP68" s="8">
        <v>5.6800000000000003E-2</v>
      </c>
      <c r="BQ68" s="8">
        <v>6.6299999999999998E-2</v>
      </c>
      <c r="BR68" s="8">
        <v>0.23804</v>
      </c>
      <c r="BS68" s="8">
        <v>0.20444000000000001</v>
      </c>
      <c r="BT68" s="8">
        <v>0.30502000000000001</v>
      </c>
      <c r="BU68" s="8">
        <v>4.41E-2</v>
      </c>
      <c r="BV68" s="8">
        <v>0.45051999999999998</v>
      </c>
      <c r="BW68" s="8">
        <v>0.13295000000000001</v>
      </c>
      <c r="BX68" s="8">
        <v>4.7059999999999998E-2</v>
      </c>
      <c r="BY68" s="8">
        <v>4.2599999999999999E-2</v>
      </c>
      <c r="BZ68" s="8">
        <v>0.1358</v>
      </c>
      <c r="CA68" s="8">
        <v>0.1857411951219512</v>
      </c>
      <c r="CB68" s="8">
        <v>9.1545000000000001E-2</v>
      </c>
      <c r="CC68" s="8">
        <v>0.52342</v>
      </c>
      <c r="CD68" s="8">
        <v>0.38943</v>
      </c>
      <c r="CE68" s="8">
        <v>0.29172999999999999</v>
      </c>
      <c r="CF68" s="8">
        <v>0.69420000000000004</v>
      </c>
      <c r="CG68" s="8">
        <v>0.44419999999999998</v>
      </c>
      <c r="CH68" s="8">
        <v>6.3910999999999996E-2</v>
      </c>
      <c r="CI68" s="8">
        <v>0.16785</v>
      </c>
      <c r="CJ68" s="8">
        <v>0.66837000000000002</v>
      </c>
      <c r="CK68" s="8">
        <v>0.17684</v>
      </c>
      <c r="CL68" s="8">
        <v>0.42426999999999998</v>
      </c>
      <c r="CM68" s="8">
        <v>0.17906</v>
      </c>
      <c r="CN68" s="8">
        <v>0.22459999999999999</v>
      </c>
      <c r="CO68" s="8">
        <v>0.61885658536585375</v>
      </c>
      <c r="CP68" s="8">
        <v>0.52438780487804859</v>
      </c>
      <c r="CQ68" s="8">
        <v>0.58337000000000006</v>
      </c>
      <c r="CR68" s="8">
        <v>0.33484000000000003</v>
      </c>
      <c r="CS68" s="8">
        <v>0.72611000000000003</v>
      </c>
      <c r="CT68" s="8">
        <v>0.82201000000000002</v>
      </c>
      <c r="CU68" s="8">
        <v>0.2757</v>
      </c>
      <c r="CV68" s="8">
        <v>0.59453999999999996</v>
      </c>
      <c r="CW68" s="8">
        <v>0.60129999999999995</v>
      </c>
    </row>
    <row r="69" spans="1:101">
      <c r="A69">
        <f t="shared" si="0"/>
        <v>655</v>
      </c>
      <c r="B69">
        <v>1</v>
      </c>
      <c r="C69" s="8">
        <v>0.86955000000000005</v>
      </c>
      <c r="D69" s="8">
        <v>0.67849999999999999</v>
      </c>
      <c r="E69" s="8">
        <v>0.15656</v>
      </c>
      <c r="F69" s="8">
        <v>0.51566243902439013</v>
      </c>
      <c r="G69" s="8">
        <v>0.74104999999999999</v>
      </c>
      <c r="H69" s="8">
        <v>0.33695000000000003</v>
      </c>
      <c r="I69" s="8">
        <v>0.4723</v>
      </c>
      <c r="J69" s="8">
        <v>0.51405999999999996</v>
      </c>
      <c r="K69" s="8">
        <v>6.3200999999999993E-2</v>
      </c>
      <c r="L69" s="8">
        <v>0.87822</v>
      </c>
      <c r="M69" s="8">
        <v>0.52961999999999998</v>
      </c>
      <c r="N69" s="8">
        <v>0.67562</v>
      </c>
      <c r="O69" s="8">
        <v>0.26640999999999998</v>
      </c>
      <c r="P69" s="8">
        <v>0.48941000000000001</v>
      </c>
      <c r="Q69" s="8">
        <v>0.59765000000000001</v>
      </c>
      <c r="R69" s="8">
        <v>0.40003</v>
      </c>
      <c r="S69" s="8">
        <v>0.308</v>
      </c>
      <c r="T69" s="8">
        <v>0.35758000000000001</v>
      </c>
      <c r="U69" s="8">
        <v>0.52181</v>
      </c>
      <c r="V69" s="8">
        <v>0.76939000000000002</v>
      </c>
      <c r="W69" s="8">
        <v>0.90319000000000005</v>
      </c>
      <c r="X69" s="8">
        <v>0.79722999999999999</v>
      </c>
      <c r="Y69" s="8">
        <v>0.84470999999999996</v>
      </c>
      <c r="Z69" s="8">
        <v>0.85263999999999995</v>
      </c>
      <c r="AA69" s="8">
        <v>0.51093999999999995</v>
      </c>
      <c r="AB69" s="8">
        <v>0.90419000000000005</v>
      </c>
      <c r="AC69" s="8">
        <v>0.44666</v>
      </c>
      <c r="AD69" s="8">
        <v>0.11570999999999999</v>
      </c>
      <c r="AE69" s="8">
        <v>0.79320999999999997</v>
      </c>
      <c r="AF69" s="8">
        <v>0.35403000000000001</v>
      </c>
      <c r="AG69" s="8">
        <v>0.80915999999999999</v>
      </c>
      <c r="AH69" s="8">
        <v>0.60699000000000003</v>
      </c>
      <c r="AI69" s="8">
        <v>0.80118</v>
      </c>
      <c r="AJ69" s="8">
        <v>0.26302999999999999</v>
      </c>
      <c r="AK69" s="8">
        <v>0.10088</v>
      </c>
      <c r="AL69" s="8">
        <v>0.55989414634146351</v>
      </c>
      <c r="AM69" s="8">
        <v>9.4708000000000001E-2</v>
      </c>
      <c r="AN69" s="8">
        <v>0.67024073170731702</v>
      </c>
      <c r="AO69" s="8">
        <v>8.6610000000000006E-2</v>
      </c>
      <c r="AP69" s="8">
        <v>0.19975999999999999</v>
      </c>
      <c r="AQ69" s="8">
        <v>0.75283999999999995</v>
      </c>
      <c r="AR69" s="8">
        <v>0.26708999999999999</v>
      </c>
      <c r="AS69" s="8">
        <v>0.27207999999999999</v>
      </c>
      <c r="AT69" s="8">
        <v>5.1497000000000001E-2</v>
      </c>
      <c r="AU69" s="8">
        <v>0.15040999999999999</v>
      </c>
      <c r="AV69" s="8">
        <v>0.21632999999999999</v>
      </c>
      <c r="AW69" s="8">
        <v>0.44884000000000002</v>
      </c>
      <c r="AX69" s="8">
        <v>0.2208</v>
      </c>
      <c r="AY69" s="8">
        <v>9.3185000000000004E-2</v>
      </c>
      <c r="AZ69" s="8">
        <v>0.17743</v>
      </c>
      <c r="BA69" s="8">
        <v>0.23465</v>
      </c>
      <c r="BB69" s="8">
        <v>7.9966999999999996E-2</v>
      </c>
      <c r="BC69" s="8">
        <v>5.8546000000000001E-2</v>
      </c>
      <c r="BD69" s="8">
        <v>0.50873999999999997</v>
      </c>
      <c r="BE69" s="8">
        <v>0.46395999999999998</v>
      </c>
      <c r="BF69" s="8">
        <v>0.15286</v>
      </c>
      <c r="BG69" s="8">
        <v>5.3039999999999997E-2</v>
      </c>
      <c r="BH69" s="8">
        <v>5.2755000000000003E-2</v>
      </c>
      <c r="BI69" s="8">
        <v>0.53598999999999997</v>
      </c>
      <c r="BJ69" s="8">
        <v>0.68089999999999995</v>
      </c>
      <c r="BK69" s="8">
        <v>0.41604000000000002</v>
      </c>
      <c r="BL69" s="8">
        <v>0.33329999999999999</v>
      </c>
      <c r="BM69" s="8">
        <v>5.9954E-2</v>
      </c>
      <c r="BN69" s="8">
        <v>9.7534999999999997E-2</v>
      </c>
      <c r="BO69" s="8">
        <v>1.6126000000000001E-2</v>
      </c>
      <c r="BP69" s="8">
        <v>5.7195999999999997E-2</v>
      </c>
      <c r="BQ69" s="8">
        <v>6.7138000000000003E-2</v>
      </c>
      <c r="BR69" s="8">
        <v>0.24224000000000001</v>
      </c>
      <c r="BS69" s="8">
        <v>0.20755999999999999</v>
      </c>
      <c r="BT69" s="8">
        <v>0.30941000000000002</v>
      </c>
      <c r="BU69" s="8">
        <v>4.6808000000000002E-2</v>
      </c>
      <c r="BV69" s="8">
        <v>0.45332</v>
      </c>
      <c r="BW69" s="8">
        <v>0.13949</v>
      </c>
      <c r="BX69" s="8">
        <v>4.9652000000000002E-2</v>
      </c>
      <c r="BY69" s="8">
        <v>4.5175E-2</v>
      </c>
      <c r="BZ69" s="8">
        <v>0.14671999999999999</v>
      </c>
      <c r="CA69" s="8">
        <v>0.21193097560975613</v>
      </c>
      <c r="CB69" s="8">
        <v>9.7736000000000003E-2</v>
      </c>
      <c r="CC69" s="8">
        <v>0.56583000000000006</v>
      </c>
      <c r="CD69" s="8">
        <v>0.41132999999999997</v>
      </c>
      <c r="CE69" s="8">
        <v>0.34344999999999998</v>
      </c>
      <c r="CF69" s="8">
        <v>0.70870999999999995</v>
      </c>
      <c r="CG69" s="8">
        <v>0.46526000000000001</v>
      </c>
      <c r="CH69" s="8">
        <v>6.4573000000000005E-2</v>
      </c>
      <c r="CI69" s="8">
        <v>0.19264999999999999</v>
      </c>
      <c r="CJ69" s="8">
        <v>0.70086999999999999</v>
      </c>
      <c r="CK69" s="8">
        <v>0.182</v>
      </c>
      <c r="CL69" s="8">
        <v>0.42832999999999999</v>
      </c>
      <c r="CM69" s="8">
        <v>0.19606999999999999</v>
      </c>
      <c r="CN69" s="8">
        <v>0.22767999999999999</v>
      </c>
      <c r="CO69" s="8">
        <v>0.62331463414634147</v>
      </c>
      <c r="CP69" s="8">
        <v>0.5500080487804877</v>
      </c>
      <c r="CQ69" s="8">
        <v>0.61087999999999998</v>
      </c>
      <c r="CR69" s="8">
        <v>0.37096000000000001</v>
      </c>
      <c r="CS69" s="8">
        <v>0.75366999999999995</v>
      </c>
      <c r="CT69" s="8">
        <v>0.83704000000000001</v>
      </c>
      <c r="CU69" s="8">
        <v>0.28525</v>
      </c>
      <c r="CV69" s="8">
        <v>0.61548000000000003</v>
      </c>
      <c r="CW69" s="8">
        <v>0.60992000000000002</v>
      </c>
    </row>
    <row r="70" spans="1:101">
      <c r="A70">
        <f t="shared" si="0"/>
        <v>660</v>
      </c>
      <c r="B70">
        <v>1</v>
      </c>
      <c r="C70" s="8">
        <v>0.87280000000000002</v>
      </c>
      <c r="D70" s="8">
        <v>0.69159999999999999</v>
      </c>
      <c r="E70" s="8">
        <v>0.16206999999999999</v>
      </c>
      <c r="F70" s="8">
        <v>0.5152658536585365</v>
      </c>
      <c r="G70" s="8">
        <v>0.77302999999999999</v>
      </c>
      <c r="H70" s="8">
        <v>0.38151000000000002</v>
      </c>
      <c r="I70" s="8">
        <v>0.47360000000000002</v>
      </c>
      <c r="J70" s="8">
        <v>0.53220000000000001</v>
      </c>
      <c r="K70" s="8">
        <v>6.4198000000000005E-2</v>
      </c>
      <c r="L70" s="8">
        <v>0.88010999999999995</v>
      </c>
      <c r="M70" s="8">
        <v>0.55369000000000002</v>
      </c>
      <c r="N70" s="8">
        <v>0.67554999999999998</v>
      </c>
      <c r="O70" s="8">
        <v>0.26734999999999998</v>
      </c>
      <c r="P70" s="8">
        <v>0.48980000000000001</v>
      </c>
      <c r="Q70" s="8">
        <v>0.60150000000000003</v>
      </c>
      <c r="R70" s="8">
        <v>0.42038999999999999</v>
      </c>
      <c r="S70" s="8">
        <v>0.34671999999999997</v>
      </c>
      <c r="T70" s="8">
        <v>0.36259999999999998</v>
      </c>
      <c r="U70" s="8">
        <v>0.52110000000000001</v>
      </c>
      <c r="V70" s="8">
        <v>0.77971999999999997</v>
      </c>
      <c r="W70" s="8">
        <v>0.90442999999999996</v>
      </c>
      <c r="X70" s="8">
        <v>0.80262</v>
      </c>
      <c r="Y70" s="8">
        <v>0.84843999999999997</v>
      </c>
      <c r="Z70" s="8">
        <v>0.85040000000000004</v>
      </c>
      <c r="AA70" s="8">
        <v>0.51107000000000002</v>
      </c>
      <c r="AB70" s="8">
        <v>0.90500000000000003</v>
      </c>
      <c r="AC70" s="8">
        <v>0.44579000000000002</v>
      </c>
      <c r="AD70" s="8">
        <v>0.11537</v>
      </c>
      <c r="AE70" s="8">
        <v>0.79596999999999996</v>
      </c>
      <c r="AF70" s="8">
        <v>0.35560999999999998</v>
      </c>
      <c r="AG70" s="8">
        <v>0.81169999999999998</v>
      </c>
      <c r="AH70" s="8">
        <v>0.64570000000000005</v>
      </c>
      <c r="AI70" s="8">
        <v>0.80411999999999995</v>
      </c>
      <c r="AJ70" s="8">
        <v>0.26212999999999997</v>
      </c>
      <c r="AK70" s="8">
        <v>0.10041</v>
      </c>
      <c r="AL70" s="8">
        <v>0.56082097560975608</v>
      </c>
      <c r="AM70" s="8">
        <v>0.1031</v>
      </c>
      <c r="AN70" s="8">
        <v>0.66944341463414625</v>
      </c>
      <c r="AO70" s="8">
        <v>8.7590000000000001E-2</v>
      </c>
      <c r="AP70" s="8">
        <v>0.20258999999999999</v>
      </c>
      <c r="AQ70" s="8">
        <v>0.77639999999999998</v>
      </c>
      <c r="AR70" s="8">
        <v>0.28088999999999997</v>
      </c>
      <c r="AS70" s="8">
        <v>0.24479999999999999</v>
      </c>
      <c r="AT70" s="8">
        <v>5.1999999999999998E-2</v>
      </c>
      <c r="AU70" s="8">
        <v>0.15234</v>
      </c>
      <c r="AV70" s="8">
        <v>0.2147</v>
      </c>
      <c r="AW70" s="8">
        <v>0.49220000000000003</v>
      </c>
      <c r="AX70" s="8">
        <v>0.21248</v>
      </c>
      <c r="AY70" s="8">
        <v>9.4648999999999997E-2</v>
      </c>
      <c r="AZ70" s="8">
        <v>0.18201000000000001</v>
      </c>
      <c r="BA70" s="8">
        <v>0.24066000000000001</v>
      </c>
      <c r="BB70" s="8">
        <v>8.2230999999999999E-2</v>
      </c>
      <c r="BC70" s="8">
        <v>5.96E-2</v>
      </c>
      <c r="BD70" s="8">
        <v>0.51800000000000002</v>
      </c>
      <c r="BE70" s="8">
        <v>0.47319</v>
      </c>
      <c r="BF70" s="8">
        <v>0.15443000000000001</v>
      </c>
      <c r="BG70" s="8">
        <v>4.4400000000000002E-2</v>
      </c>
      <c r="BH70" s="8">
        <v>5.4989999999999997E-2</v>
      </c>
      <c r="BI70" s="8">
        <v>0.53820000000000001</v>
      </c>
      <c r="BJ70" s="8">
        <v>0.68803000000000003</v>
      </c>
      <c r="BK70" s="8">
        <v>0.41909000000000002</v>
      </c>
      <c r="BL70" s="8">
        <v>0.34848000000000001</v>
      </c>
      <c r="BM70" s="8">
        <v>6.1088000000000003E-2</v>
      </c>
      <c r="BN70" s="8">
        <v>9.9809999999999996E-2</v>
      </c>
      <c r="BO70" s="8">
        <v>1.4298E-2</v>
      </c>
      <c r="BP70" s="8">
        <v>5.7700000000000001E-2</v>
      </c>
      <c r="BQ70" s="8">
        <v>6.8000000000000005E-2</v>
      </c>
      <c r="BR70" s="8">
        <v>0.24535000000000001</v>
      </c>
      <c r="BS70" s="8">
        <v>0.20979999999999999</v>
      </c>
      <c r="BT70" s="8">
        <v>0.31263999999999997</v>
      </c>
      <c r="BU70" s="8">
        <v>5.1999999999999998E-2</v>
      </c>
      <c r="BV70" s="8">
        <v>0.45526</v>
      </c>
      <c r="BW70" s="8">
        <v>0.14695</v>
      </c>
      <c r="BX70" s="8">
        <v>5.3513999999999999E-2</v>
      </c>
      <c r="BY70" s="8">
        <v>4.9299999999999997E-2</v>
      </c>
      <c r="BZ70" s="8">
        <v>0.15740000000000001</v>
      </c>
      <c r="CA70" s="8">
        <v>0.2387678048780488</v>
      </c>
      <c r="CB70" s="8">
        <v>0.10495</v>
      </c>
      <c r="CC70" s="8">
        <v>0.60811000000000004</v>
      </c>
      <c r="CD70" s="8">
        <v>0.43586000000000003</v>
      </c>
      <c r="CE70" s="8">
        <v>0.37835000000000002</v>
      </c>
      <c r="CF70" s="8">
        <v>0.7258</v>
      </c>
      <c r="CG70" s="8">
        <v>0.48980000000000001</v>
      </c>
      <c r="CH70" s="8">
        <v>6.5002000000000004E-2</v>
      </c>
      <c r="CI70" s="8">
        <v>0.20784</v>
      </c>
      <c r="CJ70" s="8">
        <v>0.72318000000000005</v>
      </c>
      <c r="CK70" s="8">
        <v>0.18626999999999999</v>
      </c>
      <c r="CL70" s="8">
        <v>0.43925999999999998</v>
      </c>
      <c r="CM70" s="8">
        <v>0.21697</v>
      </c>
      <c r="CN70" s="8">
        <v>0.2301</v>
      </c>
      <c r="CO70" s="8">
        <v>0.62790024390243915</v>
      </c>
      <c r="CP70" s="8">
        <v>0.57049341463414627</v>
      </c>
      <c r="CQ70" s="8">
        <v>0.63663000000000003</v>
      </c>
      <c r="CR70" s="8">
        <v>0.40772999999999998</v>
      </c>
      <c r="CS70" s="8">
        <v>0.77900000000000003</v>
      </c>
      <c r="CT70" s="8">
        <v>0.84892000000000001</v>
      </c>
      <c r="CU70" s="8">
        <v>0.29449999999999998</v>
      </c>
      <c r="CV70" s="8">
        <v>0.63995999999999997</v>
      </c>
      <c r="CW70" s="8">
        <v>0.61619999999999997</v>
      </c>
    </row>
    <row r="71" spans="1:101">
      <c r="A71">
        <f t="shared" si="0"/>
        <v>665</v>
      </c>
      <c r="B71">
        <v>1</v>
      </c>
      <c r="C71" s="8">
        <v>0.87578</v>
      </c>
      <c r="D71" s="8">
        <v>0.70421999999999996</v>
      </c>
      <c r="E71" s="8">
        <v>0.17094999999999999</v>
      </c>
      <c r="F71" s="8">
        <v>0.51410439024390242</v>
      </c>
      <c r="G71" s="8">
        <v>0.79995000000000005</v>
      </c>
      <c r="H71" s="8">
        <v>0.43148999999999998</v>
      </c>
      <c r="I71" s="8">
        <v>0.47295999999999999</v>
      </c>
      <c r="J71" s="8">
        <v>0.54676000000000002</v>
      </c>
      <c r="K71" s="8">
        <v>6.4738000000000004E-2</v>
      </c>
      <c r="L71" s="8">
        <v>0.88073999999999997</v>
      </c>
      <c r="M71" s="8">
        <v>0.57982</v>
      </c>
      <c r="N71" s="8">
        <v>0.67884999999999995</v>
      </c>
      <c r="O71" s="8">
        <v>0.26784999999999998</v>
      </c>
      <c r="P71" s="8">
        <v>0.48998999999999998</v>
      </c>
      <c r="Q71" s="8">
        <v>0.60563</v>
      </c>
      <c r="R71" s="8">
        <v>0.43917</v>
      </c>
      <c r="S71" s="8">
        <v>0.39138000000000001</v>
      </c>
      <c r="T71" s="8">
        <v>0.36782999999999999</v>
      </c>
      <c r="U71" s="8">
        <v>0.52029000000000003</v>
      </c>
      <c r="V71" s="8">
        <v>0.79098000000000002</v>
      </c>
      <c r="W71" s="8">
        <v>0.90520999999999996</v>
      </c>
      <c r="X71" s="8">
        <v>0.80842000000000003</v>
      </c>
      <c r="Y71" s="8">
        <v>0.85209000000000001</v>
      </c>
      <c r="Z71" s="8">
        <v>0.84708000000000006</v>
      </c>
      <c r="AA71" s="8">
        <v>0.50985000000000003</v>
      </c>
      <c r="AB71" s="8">
        <v>0.90569999999999995</v>
      </c>
      <c r="AC71" s="8">
        <v>0.44445000000000001</v>
      </c>
      <c r="AD71" s="8">
        <v>0.11267000000000001</v>
      </c>
      <c r="AE71" s="8">
        <v>0.80059999999999998</v>
      </c>
      <c r="AF71" s="8">
        <v>0.35852000000000001</v>
      </c>
      <c r="AG71" s="8">
        <v>0.81301999999999996</v>
      </c>
      <c r="AH71" s="8">
        <v>0.68172999999999995</v>
      </c>
      <c r="AI71" s="8">
        <v>0.80718000000000001</v>
      </c>
      <c r="AJ71" s="8">
        <v>0.26185999999999998</v>
      </c>
      <c r="AK71" s="8">
        <v>0.10012</v>
      </c>
      <c r="AL71" s="8">
        <v>0.56192414634146326</v>
      </c>
      <c r="AM71" s="8">
        <v>0.1208</v>
      </c>
      <c r="AN71" s="8">
        <v>0.66845804878048787</v>
      </c>
      <c r="AO71" s="8">
        <v>8.8067999999999994E-2</v>
      </c>
      <c r="AP71" s="8">
        <v>0.20399999999999999</v>
      </c>
      <c r="AQ71" s="8">
        <v>0.80025000000000002</v>
      </c>
      <c r="AR71" s="8">
        <v>0.29266999999999999</v>
      </c>
      <c r="AS71" s="8">
        <v>0.21776999999999999</v>
      </c>
      <c r="AT71" s="8">
        <v>5.2423999999999998E-2</v>
      </c>
      <c r="AU71" s="8">
        <v>0.15367</v>
      </c>
      <c r="AV71" s="8">
        <v>0.21421999999999999</v>
      </c>
      <c r="AW71" s="8">
        <v>0.53896999999999995</v>
      </c>
      <c r="AX71" s="8">
        <v>0.20510999999999999</v>
      </c>
      <c r="AY71" s="8">
        <v>9.6143000000000006E-2</v>
      </c>
      <c r="AZ71" s="8">
        <v>0.18381</v>
      </c>
      <c r="BA71" s="8">
        <v>0.24281</v>
      </c>
      <c r="BB71" s="8">
        <v>8.3420999999999995E-2</v>
      </c>
      <c r="BC71" s="8">
        <v>6.0927000000000002E-2</v>
      </c>
      <c r="BD71" s="8">
        <v>0.53103999999999996</v>
      </c>
      <c r="BE71" s="8">
        <v>0.48341000000000001</v>
      </c>
      <c r="BF71" s="8">
        <v>0.15772</v>
      </c>
      <c r="BG71" s="8">
        <v>3.7812999999999999E-2</v>
      </c>
      <c r="BH71" s="8">
        <v>5.8015999999999998E-2</v>
      </c>
      <c r="BI71" s="8">
        <v>0.53583000000000003</v>
      </c>
      <c r="BJ71" s="8">
        <v>0.69418999999999997</v>
      </c>
      <c r="BK71" s="8">
        <v>0.42027999999999999</v>
      </c>
      <c r="BL71" s="8">
        <v>0.36892999999999998</v>
      </c>
      <c r="BM71" s="8">
        <v>6.3115000000000004E-2</v>
      </c>
      <c r="BN71" s="8">
        <v>0.10231</v>
      </c>
      <c r="BO71" s="8">
        <v>1.3006999999999999E-2</v>
      </c>
      <c r="BP71" s="8">
        <v>5.8221000000000002E-2</v>
      </c>
      <c r="BQ71" s="8">
        <v>6.8686999999999998E-2</v>
      </c>
      <c r="BR71" s="8">
        <v>0.24668999999999999</v>
      </c>
      <c r="BS71" s="8">
        <v>0.21071000000000001</v>
      </c>
      <c r="BT71" s="8">
        <v>0.31391999999999998</v>
      </c>
      <c r="BU71" s="8">
        <v>6.0157000000000002E-2</v>
      </c>
      <c r="BV71" s="8">
        <v>0.45577000000000001</v>
      </c>
      <c r="BW71" s="8">
        <v>0.15462000000000001</v>
      </c>
      <c r="BX71" s="8">
        <v>5.8895000000000003E-2</v>
      </c>
      <c r="BY71" s="8">
        <v>5.5248999999999999E-2</v>
      </c>
      <c r="BZ71" s="8">
        <v>0.16578999999999999</v>
      </c>
      <c r="CA71" s="8">
        <v>0.26496146341463417</v>
      </c>
      <c r="CB71" s="8">
        <v>0.11255999999999999</v>
      </c>
      <c r="CC71" s="8">
        <v>0.64649999999999996</v>
      </c>
      <c r="CD71" s="8">
        <v>0.46260000000000001</v>
      </c>
      <c r="CE71" s="8">
        <v>0.40403</v>
      </c>
      <c r="CF71" s="8">
        <v>0.74587999999999999</v>
      </c>
      <c r="CG71" s="8">
        <v>0.51663999999999999</v>
      </c>
      <c r="CH71" s="8">
        <v>6.5116999999999994E-2</v>
      </c>
      <c r="CI71" s="8">
        <v>0.22794</v>
      </c>
      <c r="CJ71" s="8">
        <v>0.73733000000000004</v>
      </c>
      <c r="CK71" s="8">
        <v>0.1883</v>
      </c>
      <c r="CL71" s="8">
        <v>0.45877000000000001</v>
      </c>
      <c r="CM71" s="8">
        <v>0.2417</v>
      </c>
      <c r="CN71" s="8">
        <v>0.23136999999999999</v>
      </c>
      <c r="CO71" s="8">
        <v>0.63149999999999984</v>
      </c>
      <c r="CP71" s="8">
        <v>0.587992195121951</v>
      </c>
      <c r="CQ71" s="8">
        <v>0.65968000000000004</v>
      </c>
      <c r="CR71" s="8">
        <v>0.44474999999999998</v>
      </c>
      <c r="CS71" s="8">
        <v>0.80047999999999997</v>
      </c>
      <c r="CT71" s="8">
        <v>0.85750999999999999</v>
      </c>
      <c r="CU71" s="8">
        <v>0.30142000000000002</v>
      </c>
      <c r="CV71" s="8">
        <v>0.66654999999999998</v>
      </c>
      <c r="CW71" s="8">
        <v>0.62056999999999995</v>
      </c>
    </row>
    <row r="72" spans="1:101">
      <c r="A72">
        <f t="shared" si="0"/>
        <v>670</v>
      </c>
      <c r="B72">
        <v>1</v>
      </c>
      <c r="C72" s="8">
        <v>0.87849999999999995</v>
      </c>
      <c r="D72" s="8">
        <v>0.71709999999999996</v>
      </c>
      <c r="E72" s="8">
        <v>0.18004000000000001</v>
      </c>
      <c r="F72" s="8">
        <v>0.51322243902439013</v>
      </c>
      <c r="G72" s="8">
        <v>0.82247999999999999</v>
      </c>
      <c r="H72" s="8">
        <v>0.48165000000000002</v>
      </c>
      <c r="I72" s="8">
        <v>0.47149999999999997</v>
      </c>
      <c r="J72" s="8">
        <v>0.55869999999999997</v>
      </c>
      <c r="K72" s="8">
        <v>6.4919000000000004E-2</v>
      </c>
      <c r="L72" s="8">
        <v>0.88075000000000003</v>
      </c>
      <c r="M72" s="8">
        <v>0.60514000000000001</v>
      </c>
      <c r="N72" s="8">
        <v>0.67820999999999998</v>
      </c>
      <c r="O72" s="8">
        <v>0.26795000000000002</v>
      </c>
      <c r="P72" s="8">
        <v>0.49030000000000001</v>
      </c>
      <c r="Q72" s="8">
        <v>0.60997000000000001</v>
      </c>
      <c r="R72" s="8">
        <v>0.45673000000000002</v>
      </c>
      <c r="S72" s="8">
        <v>0.43730000000000002</v>
      </c>
      <c r="T72" s="8">
        <v>0.37319999999999998</v>
      </c>
      <c r="U72" s="8">
        <v>0.51949999999999996</v>
      </c>
      <c r="V72" s="8">
        <v>0.80256000000000005</v>
      </c>
      <c r="W72" s="8">
        <v>0.90571999999999997</v>
      </c>
      <c r="X72" s="8">
        <v>0.81374999999999997</v>
      </c>
      <c r="Y72" s="8">
        <v>0.85572000000000004</v>
      </c>
      <c r="Z72" s="8">
        <v>0.84389999999999998</v>
      </c>
      <c r="AA72" s="8">
        <v>0.50758000000000003</v>
      </c>
      <c r="AB72" s="8">
        <v>0.90629999999999999</v>
      </c>
      <c r="AC72" s="8">
        <v>0.44429999999999997</v>
      </c>
      <c r="AD72" s="8">
        <v>0.1142</v>
      </c>
      <c r="AE72" s="8">
        <v>0.80637999999999999</v>
      </c>
      <c r="AF72" s="8">
        <v>0.35970999999999997</v>
      </c>
      <c r="AG72" s="8">
        <v>0.81388000000000005</v>
      </c>
      <c r="AH72" s="8">
        <v>0.71379999999999999</v>
      </c>
      <c r="AI72" s="8">
        <v>0.80994999999999995</v>
      </c>
      <c r="AJ72" s="8">
        <v>0.26247999999999999</v>
      </c>
      <c r="AK72" s="8">
        <v>0.10019</v>
      </c>
      <c r="AL72" s="8">
        <v>0.56165146341463412</v>
      </c>
      <c r="AM72" s="8">
        <v>0.14660000000000001</v>
      </c>
      <c r="AN72" s="8">
        <v>0.66850975609756091</v>
      </c>
      <c r="AO72" s="8">
        <v>8.8207999999999995E-2</v>
      </c>
      <c r="AP72" s="8">
        <v>0.20433999999999999</v>
      </c>
      <c r="AQ72" s="8">
        <v>0.82299999999999995</v>
      </c>
      <c r="AR72" s="8">
        <v>0.30193999999999999</v>
      </c>
      <c r="AS72" s="8">
        <v>0.1976</v>
      </c>
      <c r="AT72" s="8">
        <v>5.2699999999999997E-2</v>
      </c>
      <c r="AU72" s="8">
        <v>0.15923999999999999</v>
      </c>
      <c r="AV72" s="8">
        <v>0.21479999999999999</v>
      </c>
      <c r="AW72" s="8">
        <v>0.58689999999999998</v>
      </c>
      <c r="AX72" s="8">
        <v>0.19861999999999999</v>
      </c>
      <c r="AY72" s="8">
        <v>9.7581000000000001E-2</v>
      </c>
      <c r="AZ72" s="8">
        <v>0.18359</v>
      </c>
      <c r="BA72" s="8">
        <v>0.24224000000000001</v>
      </c>
      <c r="BB72" s="8">
        <v>8.3777000000000004E-2</v>
      </c>
      <c r="BC72" s="8">
        <v>6.25E-2</v>
      </c>
      <c r="BD72" s="8">
        <v>0.54610000000000003</v>
      </c>
      <c r="BE72" s="8">
        <v>0.49375999999999998</v>
      </c>
      <c r="BF72" s="8">
        <v>0.16295000000000001</v>
      </c>
      <c r="BG72" s="8">
        <v>3.39E-2</v>
      </c>
      <c r="BH72" s="8">
        <v>6.1710000000000001E-2</v>
      </c>
      <c r="BI72" s="8">
        <v>0.53259999999999996</v>
      </c>
      <c r="BJ72" s="8">
        <v>0.69911000000000001</v>
      </c>
      <c r="BK72" s="8">
        <v>0.42008000000000001</v>
      </c>
      <c r="BL72" s="8">
        <v>0.39515</v>
      </c>
      <c r="BM72" s="8">
        <v>6.5893999999999994E-2</v>
      </c>
      <c r="BN72" s="8">
        <v>0.10484</v>
      </c>
      <c r="BO72" s="8">
        <v>1.2113000000000001E-2</v>
      </c>
      <c r="BP72" s="8">
        <v>5.8700000000000002E-2</v>
      </c>
      <c r="BQ72" s="8">
        <v>6.9099999999999995E-2</v>
      </c>
      <c r="BR72" s="8">
        <v>0.24668999999999999</v>
      </c>
      <c r="BS72" s="8">
        <v>0.21063000000000001</v>
      </c>
      <c r="BT72" s="8">
        <v>0.31378</v>
      </c>
      <c r="BU72" s="8">
        <v>7.0800000000000002E-2</v>
      </c>
      <c r="BV72" s="8">
        <v>0.45535999999999999</v>
      </c>
      <c r="BW72" s="8">
        <v>0.16234000000000001</v>
      </c>
      <c r="BX72" s="8">
        <v>6.6420999999999994E-2</v>
      </c>
      <c r="BY72" s="8">
        <v>6.2700000000000006E-2</v>
      </c>
      <c r="BZ72" s="8">
        <v>0.17019999999999999</v>
      </c>
      <c r="CA72" s="8">
        <v>0.28851707317073177</v>
      </c>
      <c r="CB72" s="8">
        <v>0.12024</v>
      </c>
      <c r="CC72" s="8">
        <v>0.67910000000000004</v>
      </c>
      <c r="CD72" s="8">
        <v>0.49134</v>
      </c>
      <c r="CE72" s="8">
        <v>0.42471999999999999</v>
      </c>
      <c r="CF72" s="8">
        <v>0.76839999999999997</v>
      </c>
      <c r="CG72" s="8">
        <v>0.54610000000000003</v>
      </c>
      <c r="CH72" s="8">
        <v>6.5002000000000004E-2</v>
      </c>
      <c r="CI72" s="8">
        <v>0.25255</v>
      </c>
      <c r="CJ72" s="8">
        <v>0.74600999999999995</v>
      </c>
      <c r="CK72" s="8">
        <v>0.18795999999999999</v>
      </c>
      <c r="CL72" s="8">
        <v>0.48760999999999999</v>
      </c>
      <c r="CM72" s="8">
        <v>0.26985999999999999</v>
      </c>
      <c r="CN72" s="8">
        <v>0.2329</v>
      </c>
      <c r="CO72" s="8">
        <v>0.63258170731707308</v>
      </c>
      <c r="CP72" s="8">
        <v>0.60569926829268272</v>
      </c>
      <c r="CQ72" s="8">
        <v>0.67984</v>
      </c>
      <c r="CR72" s="8">
        <v>0.48133999999999999</v>
      </c>
      <c r="CS72" s="8">
        <v>0.81742000000000004</v>
      </c>
      <c r="CT72" s="8">
        <v>0.86338999999999999</v>
      </c>
      <c r="CU72" s="8">
        <v>0.3049</v>
      </c>
      <c r="CV72" s="8">
        <v>0.69438999999999995</v>
      </c>
      <c r="CW72" s="8">
        <v>0.62380000000000002</v>
      </c>
    </row>
    <row r="73" spans="1:101">
      <c r="A73">
        <f t="shared" si="0"/>
        <v>675</v>
      </c>
      <c r="B73">
        <v>1</v>
      </c>
      <c r="C73" s="8">
        <v>0.88093999999999995</v>
      </c>
      <c r="D73" s="8">
        <v>0.73050000000000004</v>
      </c>
      <c r="E73" s="8">
        <v>0.18664</v>
      </c>
      <c r="F73" s="8">
        <v>0.51342609756097546</v>
      </c>
      <c r="G73" s="8">
        <v>0.84133000000000002</v>
      </c>
      <c r="H73" s="8">
        <v>0.5272</v>
      </c>
      <c r="I73" s="8">
        <v>0.4703</v>
      </c>
      <c r="J73" s="8">
        <v>0.56896999999999998</v>
      </c>
      <c r="K73" s="8">
        <v>6.4892000000000005E-2</v>
      </c>
      <c r="L73" s="8">
        <v>0.88085999999999998</v>
      </c>
      <c r="M73" s="8">
        <v>0.62726000000000004</v>
      </c>
      <c r="N73" s="8">
        <v>0.67842999999999998</v>
      </c>
      <c r="O73" s="8">
        <v>0.26769999999999999</v>
      </c>
      <c r="P73" s="8">
        <v>0.49098000000000003</v>
      </c>
      <c r="Q73" s="8">
        <v>0.61431000000000002</v>
      </c>
      <c r="R73" s="8">
        <v>0.47371000000000002</v>
      </c>
      <c r="S73" s="8">
        <v>0.48015999999999998</v>
      </c>
      <c r="T73" s="8">
        <v>0.37852999999999998</v>
      </c>
      <c r="U73" s="8">
        <v>0.51887000000000005</v>
      </c>
      <c r="V73" s="8">
        <v>0.81379000000000001</v>
      </c>
      <c r="W73" s="8">
        <v>0.90617000000000003</v>
      </c>
      <c r="X73" s="8">
        <v>0.81784999999999997</v>
      </c>
      <c r="Y73" s="8">
        <v>0.85943000000000003</v>
      </c>
      <c r="Z73" s="8">
        <v>0.84211999999999998</v>
      </c>
      <c r="AA73" s="8">
        <v>0.50200999999999996</v>
      </c>
      <c r="AB73" s="8">
        <v>0.90680000000000005</v>
      </c>
      <c r="AC73" s="8">
        <v>0.44272</v>
      </c>
      <c r="AD73" s="8">
        <v>0.11624</v>
      </c>
      <c r="AE73" s="8">
        <v>0.81235999999999997</v>
      </c>
      <c r="AF73" s="8">
        <v>0.35738999999999999</v>
      </c>
      <c r="AG73" s="8">
        <v>0.81523999999999996</v>
      </c>
      <c r="AH73" s="8">
        <v>0.74151</v>
      </c>
      <c r="AI73" s="8">
        <v>0.81215000000000004</v>
      </c>
      <c r="AJ73" s="8">
        <v>0.2641</v>
      </c>
      <c r="AK73" s="8">
        <v>0.10070999999999999</v>
      </c>
      <c r="AL73" s="8">
        <v>0.56041219512195128</v>
      </c>
      <c r="AM73" s="8">
        <v>0.17877000000000001</v>
      </c>
      <c r="AN73" s="8">
        <v>0.67028292682926849</v>
      </c>
      <c r="AO73" s="8">
        <v>8.8229000000000002E-2</v>
      </c>
      <c r="AP73" s="8">
        <v>0.20413000000000001</v>
      </c>
      <c r="AQ73" s="8">
        <v>0.84343000000000001</v>
      </c>
      <c r="AR73" s="8">
        <v>0.30939</v>
      </c>
      <c r="AS73" s="8">
        <v>0.18894</v>
      </c>
      <c r="AT73" s="8">
        <v>5.2780000000000001E-2</v>
      </c>
      <c r="AU73" s="8">
        <v>0.16394</v>
      </c>
      <c r="AV73" s="8">
        <v>0.21628</v>
      </c>
      <c r="AW73" s="8">
        <v>0.63375000000000004</v>
      </c>
      <c r="AX73" s="8">
        <v>0.193</v>
      </c>
      <c r="AY73" s="8">
        <v>9.8917000000000005E-2</v>
      </c>
      <c r="AZ73" s="8">
        <v>0.18240000000000001</v>
      </c>
      <c r="BA73" s="8">
        <v>0.24043999999999999</v>
      </c>
      <c r="BB73" s="8">
        <v>8.3640000000000006E-2</v>
      </c>
      <c r="BC73" s="8">
        <v>6.4283000000000007E-2</v>
      </c>
      <c r="BD73" s="8">
        <v>0.56122000000000005</v>
      </c>
      <c r="BE73" s="8">
        <v>0.50346999999999997</v>
      </c>
      <c r="BF73" s="8">
        <v>0.16994000000000001</v>
      </c>
      <c r="BG73" s="8">
        <v>3.2634000000000003E-2</v>
      </c>
      <c r="BH73" s="8">
        <v>6.5892000000000006E-2</v>
      </c>
      <c r="BI73" s="8">
        <v>0.53259999999999996</v>
      </c>
      <c r="BJ73" s="8">
        <v>0.70279999999999998</v>
      </c>
      <c r="BK73" s="8">
        <v>0.41916999999999999</v>
      </c>
      <c r="BL73" s="8">
        <v>0.42758000000000002</v>
      </c>
      <c r="BM73" s="8">
        <v>6.9360000000000005E-2</v>
      </c>
      <c r="BN73" s="8">
        <v>0.10725</v>
      </c>
      <c r="BO73" s="8">
        <v>1.1502E-2</v>
      </c>
      <c r="BP73" s="8">
        <v>5.9096000000000003E-2</v>
      </c>
      <c r="BQ73" s="8">
        <v>6.9199999999999998E-2</v>
      </c>
      <c r="BR73" s="8">
        <v>0.24598999999999999</v>
      </c>
      <c r="BS73" s="8">
        <v>0.21002999999999999</v>
      </c>
      <c r="BT73" s="8">
        <v>0.31298999999999999</v>
      </c>
      <c r="BU73" s="8">
        <v>8.3163000000000001E-2</v>
      </c>
      <c r="BV73" s="8">
        <v>0.45474999999999999</v>
      </c>
      <c r="BW73" s="8">
        <v>0.17088999999999999</v>
      </c>
      <c r="BX73" s="8">
        <v>7.6755000000000004E-2</v>
      </c>
      <c r="BY73" s="8">
        <v>7.1155999999999997E-2</v>
      </c>
      <c r="BZ73" s="8">
        <v>0.16964000000000001</v>
      </c>
      <c r="CA73" s="8">
        <v>0.30737048780487808</v>
      </c>
      <c r="CB73" s="8">
        <v>0.1285</v>
      </c>
      <c r="CC73" s="8">
        <v>0.70496000000000003</v>
      </c>
      <c r="CD73" s="8">
        <v>0.52195999999999998</v>
      </c>
      <c r="CE73" s="8">
        <v>0.436</v>
      </c>
      <c r="CF73" s="8">
        <v>0.79213</v>
      </c>
      <c r="CG73" s="8">
        <v>0.57781000000000005</v>
      </c>
      <c r="CH73" s="8">
        <v>6.4776E-2</v>
      </c>
      <c r="CI73" s="8">
        <v>0.26973999999999998</v>
      </c>
      <c r="CJ73" s="8">
        <v>0.75185000000000002</v>
      </c>
      <c r="CK73" s="8">
        <v>0.18570999999999999</v>
      </c>
      <c r="CL73" s="8">
        <v>0.52561999999999998</v>
      </c>
      <c r="CM73" s="8">
        <v>0.30107</v>
      </c>
      <c r="CN73" s="8">
        <v>0.23605999999999999</v>
      </c>
      <c r="CO73" s="8">
        <v>0.63233609756097564</v>
      </c>
      <c r="CP73" s="8">
        <v>0.62286926829268274</v>
      </c>
      <c r="CQ73" s="8">
        <v>0.69708999999999999</v>
      </c>
      <c r="CR73" s="8">
        <v>0.51685999999999999</v>
      </c>
      <c r="CS73" s="8">
        <v>0.82987999999999995</v>
      </c>
      <c r="CT73" s="8">
        <v>0.86748999999999998</v>
      </c>
      <c r="CU73" s="8">
        <v>0.30449999999999999</v>
      </c>
      <c r="CV73" s="8">
        <v>0.72255000000000003</v>
      </c>
      <c r="CW73" s="8">
        <v>0.62656000000000001</v>
      </c>
    </row>
    <row r="74" spans="1:101">
      <c r="A74">
        <f t="shared" si="0"/>
        <v>680</v>
      </c>
      <c r="B74">
        <v>1</v>
      </c>
      <c r="C74" s="8">
        <v>0.88329999999999997</v>
      </c>
      <c r="D74" s="8">
        <v>0.74199999999999999</v>
      </c>
      <c r="E74" s="8">
        <v>0.18611</v>
      </c>
      <c r="F74" s="8">
        <v>0.51336829268292683</v>
      </c>
      <c r="G74" s="8">
        <v>0.85711999999999999</v>
      </c>
      <c r="H74" s="8">
        <v>0.56789000000000001</v>
      </c>
      <c r="I74" s="8">
        <v>0.46949999999999997</v>
      </c>
      <c r="J74" s="8">
        <v>0.57811999999999997</v>
      </c>
      <c r="K74" s="8">
        <v>6.4713000000000007E-2</v>
      </c>
      <c r="L74" s="8">
        <v>0.88083</v>
      </c>
      <c r="M74" s="8">
        <v>0.64751999999999998</v>
      </c>
      <c r="N74" s="8">
        <v>0.68161000000000005</v>
      </c>
      <c r="O74" s="8">
        <v>0.26734999999999998</v>
      </c>
      <c r="P74" s="8">
        <v>0.4919</v>
      </c>
      <c r="Q74" s="8">
        <v>0.61843000000000004</v>
      </c>
      <c r="R74" s="8">
        <v>0.49042000000000002</v>
      </c>
      <c r="S74" s="8">
        <v>0.51978999999999997</v>
      </c>
      <c r="T74" s="8">
        <v>0.3836</v>
      </c>
      <c r="U74" s="8">
        <v>0.51819999999999999</v>
      </c>
      <c r="V74" s="8">
        <v>0.82440000000000002</v>
      </c>
      <c r="W74" s="8">
        <v>0.90671999999999997</v>
      </c>
      <c r="X74" s="8">
        <v>0.82133</v>
      </c>
      <c r="Y74" s="8">
        <v>0.86329</v>
      </c>
      <c r="Z74" s="8">
        <v>0.84150000000000003</v>
      </c>
      <c r="AA74" s="8">
        <v>0.49936999999999998</v>
      </c>
      <c r="AB74" s="8">
        <v>0.90720000000000001</v>
      </c>
      <c r="AC74" s="8">
        <v>0.44241999999999998</v>
      </c>
      <c r="AD74" s="8">
        <v>0.11636000000000001</v>
      </c>
      <c r="AE74" s="8">
        <v>0.81832000000000005</v>
      </c>
      <c r="AF74" s="8">
        <v>0.35449000000000003</v>
      </c>
      <c r="AG74" s="8">
        <v>0.81721999999999995</v>
      </c>
      <c r="AH74" s="8">
        <v>0.76619999999999999</v>
      </c>
      <c r="AI74" s="8">
        <v>0.81403000000000003</v>
      </c>
      <c r="AJ74" s="8">
        <v>0.26608999999999999</v>
      </c>
      <c r="AK74" s="8">
        <v>0.10131</v>
      </c>
      <c r="AL74" s="8">
        <v>0.559120487804878</v>
      </c>
      <c r="AM74" s="8">
        <v>0.21629999999999999</v>
      </c>
      <c r="AN74" s="8">
        <v>0.67149317073170722</v>
      </c>
      <c r="AO74" s="8">
        <v>8.8207999999999995E-2</v>
      </c>
      <c r="AP74" s="8">
        <v>0.20352000000000001</v>
      </c>
      <c r="AQ74" s="8">
        <v>0.8609</v>
      </c>
      <c r="AR74" s="8">
        <v>0.31802999999999998</v>
      </c>
      <c r="AS74" s="8">
        <v>0.1885</v>
      </c>
      <c r="AT74" s="8">
        <v>5.2699999999999997E-2</v>
      </c>
      <c r="AU74" s="8">
        <v>0.16736999999999999</v>
      </c>
      <c r="AV74" s="8">
        <v>0.21840000000000001</v>
      </c>
      <c r="AW74" s="8">
        <v>0.67789999999999995</v>
      </c>
      <c r="AX74" s="8">
        <v>0.18826999999999999</v>
      </c>
      <c r="AY74" s="8">
        <v>0.10023</v>
      </c>
      <c r="AZ74" s="8">
        <v>0.18052000000000001</v>
      </c>
      <c r="BA74" s="8">
        <v>0.23777999999999999</v>
      </c>
      <c r="BB74" s="8">
        <v>8.3056000000000005E-2</v>
      </c>
      <c r="BC74" s="8">
        <v>6.6100000000000006E-2</v>
      </c>
      <c r="BD74" s="8">
        <v>0.57550000000000001</v>
      </c>
      <c r="BE74" s="8">
        <v>0.51212000000000002</v>
      </c>
      <c r="BF74" s="8">
        <v>0.17687</v>
      </c>
      <c r="BG74" s="8">
        <v>3.32E-2</v>
      </c>
      <c r="BH74" s="8">
        <v>7.0199999999999999E-2</v>
      </c>
      <c r="BI74" s="8">
        <v>0.5353</v>
      </c>
      <c r="BJ74" s="8">
        <v>0.70579000000000003</v>
      </c>
      <c r="BK74" s="8">
        <v>0.4178</v>
      </c>
      <c r="BL74" s="8">
        <v>0.46662999999999999</v>
      </c>
      <c r="BM74" s="8">
        <v>7.3805999999999997E-2</v>
      </c>
      <c r="BN74" s="8">
        <v>0.10932</v>
      </c>
      <c r="BO74" s="8">
        <v>1.112E-2</v>
      </c>
      <c r="BP74" s="8">
        <v>5.9400000000000001E-2</v>
      </c>
      <c r="BQ74" s="8">
        <v>6.9099999999999995E-2</v>
      </c>
      <c r="BR74" s="8">
        <v>0.24484</v>
      </c>
      <c r="BS74" s="8">
        <v>0.20907999999999999</v>
      </c>
      <c r="BT74" s="8">
        <v>0.31181999999999999</v>
      </c>
      <c r="BU74" s="8">
        <v>9.6299999999999997E-2</v>
      </c>
      <c r="BV74" s="8">
        <v>0.45433000000000001</v>
      </c>
      <c r="BW74" s="8">
        <v>0.18428</v>
      </c>
      <c r="BX74" s="8">
        <v>9.0347999999999998E-2</v>
      </c>
      <c r="BY74" s="8">
        <v>0.08</v>
      </c>
      <c r="BZ74" s="8">
        <v>0.16569999999999999</v>
      </c>
      <c r="CA74" s="8">
        <v>0.32248756097560977</v>
      </c>
      <c r="CB74" s="8">
        <v>0.14079</v>
      </c>
      <c r="CC74" s="8">
        <v>0.72516000000000003</v>
      </c>
      <c r="CD74" s="8">
        <v>0.55435000000000001</v>
      </c>
      <c r="CE74" s="8">
        <v>0.44674000000000003</v>
      </c>
      <c r="CF74" s="8">
        <v>0.81420000000000003</v>
      </c>
      <c r="CG74" s="8">
        <v>0.60699999999999998</v>
      </c>
      <c r="CH74" s="8">
        <v>6.4505999999999994E-2</v>
      </c>
      <c r="CI74" s="8">
        <v>0.28737000000000001</v>
      </c>
      <c r="CJ74" s="8">
        <v>0.75644</v>
      </c>
      <c r="CK74" s="8">
        <v>0.18318999999999999</v>
      </c>
      <c r="CL74" s="8">
        <v>0.56991999999999998</v>
      </c>
      <c r="CM74" s="8">
        <v>0.33549000000000001</v>
      </c>
      <c r="CN74" s="8">
        <v>0.24010000000000001</v>
      </c>
      <c r="CO74" s="8">
        <v>0.63234853658536583</v>
      </c>
      <c r="CP74" s="8">
        <v>0.63522829268292658</v>
      </c>
      <c r="CQ74" s="8">
        <v>0.71148</v>
      </c>
      <c r="CR74" s="8">
        <v>0.55127000000000004</v>
      </c>
      <c r="CS74" s="8">
        <v>0.83974000000000004</v>
      </c>
      <c r="CT74" s="8">
        <v>0.87173999999999996</v>
      </c>
      <c r="CU74" s="8">
        <v>0.3014</v>
      </c>
      <c r="CV74" s="8">
        <v>0.74924999999999997</v>
      </c>
      <c r="CW74" s="8">
        <v>0.62880000000000003</v>
      </c>
    </row>
    <row r="75" spans="1:101">
      <c r="A75">
        <f t="shared" si="0"/>
        <v>685</v>
      </c>
      <c r="B75">
        <v>1</v>
      </c>
      <c r="C75" s="8">
        <v>0.88578999999999997</v>
      </c>
      <c r="D75" s="8">
        <v>0.74975999999999998</v>
      </c>
      <c r="E75" s="8">
        <v>0.1865</v>
      </c>
      <c r="F75" s="8">
        <v>0.51311414634146368</v>
      </c>
      <c r="G75" s="8">
        <v>0.87050000000000005</v>
      </c>
      <c r="H75" s="8">
        <v>0.60429999999999995</v>
      </c>
      <c r="I75" s="8">
        <v>0.46890999999999999</v>
      </c>
      <c r="J75" s="8">
        <v>0.58662000000000003</v>
      </c>
      <c r="K75" s="8">
        <v>6.4412999999999998E-2</v>
      </c>
      <c r="L75" s="8">
        <v>0.88044</v>
      </c>
      <c r="M75" s="8">
        <v>0.66759999999999997</v>
      </c>
      <c r="N75" s="8">
        <v>0.68411999999999995</v>
      </c>
      <c r="O75" s="8">
        <v>0.26712999999999998</v>
      </c>
      <c r="P75" s="8">
        <v>0.49282999999999999</v>
      </c>
      <c r="Q75" s="8">
        <v>0.62214000000000003</v>
      </c>
      <c r="R75" s="8">
        <v>0.50702999999999998</v>
      </c>
      <c r="S75" s="8">
        <v>0.55666000000000004</v>
      </c>
      <c r="T75" s="8">
        <v>0.38829000000000002</v>
      </c>
      <c r="U75" s="8">
        <v>0.51729000000000003</v>
      </c>
      <c r="V75" s="8">
        <v>0.83423000000000003</v>
      </c>
      <c r="W75" s="8">
        <v>0.90744999999999998</v>
      </c>
      <c r="X75" s="8">
        <v>0.82494999999999996</v>
      </c>
      <c r="Y75" s="8">
        <v>0.86722999999999995</v>
      </c>
      <c r="Z75" s="8">
        <v>0.84133999999999998</v>
      </c>
      <c r="AA75" s="8">
        <v>0.50129999999999997</v>
      </c>
      <c r="AB75" s="8">
        <v>0.90751999999999999</v>
      </c>
      <c r="AC75" s="8">
        <v>0.44703999999999999</v>
      </c>
      <c r="AD75" s="8">
        <v>0.1132</v>
      </c>
      <c r="AE75" s="8">
        <v>0.82418999999999998</v>
      </c>
      <c r="AF75" s="8">
        <v>0.35372999999999999</v>
      </c>
      <c r="AG75" s="8">
        <v>0.81966000000000006</v>
      </c>
      <c r="AH75" s="8">
        <v>0.78956000000000004</v>
      </c>
      <c r="AI75" s="8">
        <v>0.81593000000000004</v>
      </c>
      <c r="AJ75" s="8">
        <v>0.26785999999999999</v>
      </c>
      <c r="AK75" s="8">
        <v>0.10168000000000001</v>
      </c>
      <c r="AL75" s="8">
        <v>0.55486243902439003</v>
      </c>
      <c r="AM75" s="8">
        <v>0.25833</v>
      </c>
      <c r="AN75" s="8">
        <v>0.67258243902439008</v>
      </c>
      <c r="AO75" s="8">
        <v>8.8175000000000003E-2</v>
      </c>
      <c r="AP75" s="8">
        <v>0.20254</v>
      </c>
      <c r="AQ75" s="8">
        <v>0.87517999999999996</v>
      </c>
      <c r="AR75" s="8">
        <v>0.33102999999999999</v>
      </c>
      <c r="AS75" s="8">
        <v>0.19436999999999999</v>
      </c>
      <c r="AT75" s="8">
        <v>5.2517000000000001E-2</v>
      </c>
      <c r="AU75" s="8">
        <v>0.16914000000000001</v>
      </c>
      <c r="AV75" s="8">
        <v>0.22098000000000001</v>
      </c>
      <c r="AW75" s="8">
        <v>0.71833999999999998</v>
      </c>
      <c r="AX75" s="8">
        <v>0.18443999999999999</v>
      </c>
      <c r="AY75" s="8">
        <v>0.10163999999999999</v>
      </c>
      <c r="AZ75" s="8">
        <v>0.17802999999999999</v>
      </c>
      <c r="BA75" s="8">
        <v>0.23432</v>
      </c>
      <c r="BB75" s="8">
        <v>8.2002000000000005E-2</v>
      </c>
      <c r="BC75" s="8">
        <v>6.7804000000000003E-2</v>
      </c>
      <c r="BD75" s="8">
        <v>0.58862000000000003</v>
      </c>
      <c r="BE75" s="8">
        <v>0.51931000000000005</v>
      </c>
      <c r="BF75" s="8">
        <v>0.18215999999999999</v>
      </c>
      <c r="BG75" s="8">
        <v>3.5927000000000001E-2</v>
      </c>
      <c r="BH75" s="8">
        <v>7.4288000000000007E-2</v>
      </c>
      <c r="BI75" s="8">
        <v>0.53839000000000004</v>
      </c>
      <c r="BJ75" s="8">
        <v>0.70842000000000005</v>
      </c>
      <c r="BK75" s="8">
        <v>0.41607</v>
      </c>
      <c r="BL75" s="8">
        <v>0.51215999999999995</v>
      </c>
      <c r="BM75" s="8">
        <v>7.9460000000000003E-2</v>
      </c>
      <c r="BN75" s="8">
        <v>0.11083999999999999</v>
      </c>
      <c r="BO75" s="8">
        <v>1.0935E-2</v>
      </c>
      <c r="BP75" s="8">
        <v>5.9609000000000002E-2</v>
      </c>
      <c r="BQ75" s="8">
        <v>6.8911E-2</v>
      </c>
      <c r="BR75" s="8">
        <v>0.24338000000000001</v>
      </c>
      <c r="BS75" s="8">
        <v>0.20784</v>
      </c>
      <c r="BT75" s="8">
        <v>0.31034</v>
      </c>
      <c r="BU75" s="8">
        <v>0.10963000000000001</v>
      </c>
      <c r="BV75" s="8">
        <v>0.45435999999999999</v>
      </c>
      <c r="BW75" s="8">
        <v>0.20616999999999999</v>
      </c>
      <c r="BX75" s="8">
        <v>0.10761999999999999</v>
      </c>
      <c r="BY75" s="8">
        <v>8.8853000000000001E-2</v>
      </c>
      <c r="BZ75" s="8">
        <v>0.15994</v>
      </c>
      <c r="CA75" s="8">
        <v>0.33247268292682924</v>
      </c>
      <c r="CB75" s="8">
        <v>0.16039</v>
      </c>
      <c r="CC75" s="8">
        <v>0.74134</v>
      </c>
      <c r="CD75" s="8">
        <v>0.58814999999999995</v>
      </c>
      <c r="CE75" s="8">
        <v>0.45590999999999998</v>
      </c>
      <c r="CF75" s="8">
        <v>0.83252999999999999</v>
      </c>
      <c r="CG75" s="8">
        <v>0.63022999999999996</v>
      </c>
      <c r="CH75" s="8">
        <v>6.4229999999999995E-2</v>
      </c>
      <c r="CI75" s="8">
        <v>0.30481000000000003</v>
      </c>
      <c r="CJ75" s="8">
        <v>0.76102000000000003</v>
      </c>
      <c r="CK75" s="8">
        <v>0.18185000000000001</v>
      </c>
      <c r="CL75" s="8">
        <v>0.61695</v>
      </c>
      <c r="CM75" s="8">
        <v>0.37308999999999998</v>
      </c>
      <c r="CN75" s="8">
        <v>0.24393000000000001</v>
      </c>
      <c r="CO75" s="8">
        <v>0.62884024390243909</v>
      </c>
      <c r="CP75" s="8">
        <v>0.64717219512195101</v>
      </c>
      <c r="CQ75" s="8">
        <v>0.72321000000000002</v>
      </c>
      <c r="CR75" s="8">
        <v>0.58455000000000001</v>
      </c>
      <c r="CS75" s="8">
        <v>0.84880999999999995</v>
      </c>
      <c r="CT75" s="8">
        <v>0.87761</v>
      </c>
      <c r="CU75" s="8">
        <v>0.29672999999999999</v>
      </c>
      <c r="CV75" s="8">
        <v>0.77305999999999997</v>
      </c>
      <c r="CW75" s="8">
        <v>0.63041000000000003</v>
      </c>
    </row>
    <row r="76" spans="1:101">
      <c r="A76">
        <f t="shared" ref="A76:A104" si="1">A75+5</f>
        <v>690</v>
      </c>
      <c r="B76">
        <v>1</v>
      </c>
      <c r="C76" s="8">
        <v>0.88839999999999997</v>
      </c>
      <c r="D76" s="8">
        <v>0.7571</v>
      </c>
      <c r="E76" s="8">
        <v>0.19528999999999999</v>
      </c>
      <c r="F76" s="8">
        <v>0.51261487804878092</v>
      </c>
      <c r="G76" s="8">
        <v>0.88222</v>
      </c>
      <c r="H76" s="8">
        <v>0.63588999999999996</v>
      </c>
      <c r="I76" s="8">
        <v>0.46789999999999998</v>
      </c>
      <c r="J76" s="8">
        <v>0.59482999999999997</v>
      </c>
      <c r="K76" s="8">
        <v>6.3991999999999993E-2</v>
      </c>
      <c r="L76" s="8">
        <v>0.88049999999999995</v>
      </c>
      <c r="M76" s="8">
        <v>0.68674999999999997</v>
      </c>
      <c r="N76" s="8">
        <v>0.68272999999999995</v>
      </c>
      <c r="O76" s="8">
        <v>0.26695999999999998</v>
      </c>
      <c r="P76" s="8">
        <v>0.49370000000000003</v>
      </c>
      <c r="Q76" s="8">
        <v>0.62533000000000005</v>
      </c>
      <c r="R76" s="8">
        <v>0.52319000000000004</v>
      </c>
      <c r="S76" s="8">
        <v>0.58977000000000002</v>
      </c>
      <c r="T76" s="8">
        <v>0.39300000000000002</v>
      </c>
      <c r="U76" s="8">
        <v>0.51619999999999999</v>
      </c>
      <c r="V76" s="8">
        <v>0.84297</v>
      </c>
      <c r="W76" s="8">
        <v>0.9083</v>
      </c>
      <c r="X76" s="8">
        <v>0.82862000000000002</v>
      </c>
      <c r="Y76" s="8">
        <v>0.87082000000000004</v>
      </c>
      <c r="Z76" s="8">
        <v>0.8407</v>
      </c>
      <c r="AA76" s="8">
        <v>0.50444</v>
      </c>
      <c r="AB76" s="8">
        <v>0.90790000000000004</v>
      </c>
      <c r="AC76" s="8">
        <v>0.45357999999999998</v>
      </c>
      <c r="AD76" s="8">
        <v>0.11456</v>
      </c>
      <c r="AE76" s="8">
        <v>0.82976000000000005</v>
      </c>
      <c r="AF76" s="8">
        <v>0.35539999999999999</v>
      </c>
      <c r="AG76" s="8">
        <v>0.82215000000000005</v>
      </c>
      <c r="AH76" s="8">
        <v>0.81310000000000004</v>
      </c>
      <c r="AI76" s="8">
        <v>0.81806999999999996</v>
      </c>
      <c r="AJ76" s="8">
        <v>0.26980999999999999</v>
      </c>
      <c r="AK76" s="8">
        <v>0.10213</v>
      </c>
      <c r="AL76" s="8">
        <v>0.549410487804878</v>
      </c>
      <c r="AM76" s="8">
        <v>0.30380000000000001</v>
      </c>
      <c r="AN76" s="8">
        <v>0.67428292682926816</v>
      </c>
      <c r="AO76" s="8">
        <v>8.8105000000000003E-2</v>
      </c>
      <c r="AP76" s="8">
        <v>0.20115</v>
      </c>
      <c r="AQ76" s="8">
        <v>0.88719999999999999</v>
      </c>
      <c r="AR76" s="8">
        <v>0.3498</v>
      </c>
      <c r="AS76" s="8">
        <v>0.21809999999999999</v>
      </c>
      <c r="AT76" s="8">
        <v>5.2299999999999999E-2</v>
      </c>
      <c r="AU76" s="8">
        <v>0.17330000000000001</v>
      </c>
      <c r="AV76" s="8">
        <v>0.22420000000000001</v>
      </c>
      <c r="AW76" s="8">
        <v>0.75580000000000003</v>
      </c>
      <c r="AX76" s="8">
        <v>0.18137</v>
      </c>
      <c r="AY76" s="8">
        <v>0.10335999999999999</v>
      </c>
      <c r="AZ76" s="8">
        <v>0.17485999999999999</v>
      </c>
      <c r="BA76" s="8">
        <v>0.22994000000000001</v>
      </c>
      <c r="BB76" s="8">
        <v>8.0479999999999996E-2</v>
      </c>
      <c r="BC76" s="8">
        <v>6.9500000000000006E-2</v>
      </c>
      <c r="BD76" s="8">
        <v>0.60150000000000003</v>
      </c>
      <c r="BE76" s="8">
        <v>0.52449999999999997</v>
      </c>
      <c r="BF76" s="8">
        <v>0.18698999999999999</v>
      </c>
      <c r="BG76" s="8">
        <v>4.65E-2</v>
      </c>
      <c r="BH76" s="8">
        <v>7.8060000000000004E-2</v>
      </c>
      <c r="BI76" s="8">
        <v>0.53720000000000001</v>
      </c>
      <c r="BJ76" s="8">
        <v>0.70991000000000004</v>
      </c>
      <c r="BK76" s="8">
        <v>0.41393000000000002</v>
      </c>
      <c r="BL76" s="8">
        <v>0.56194</v>
      </c>
      <c r="BM76" s="8">
        <v>8.5922999999999999E-2</v>
      </c>
      <c r="BN76" s="8">
        <v>0.11158999999999999</v>
      </c>
      <c r="BO76" s="8">
        <v>1.0921999999999999E-2</v>
      </c>
      <c r="BP76" s="8">
        <v>5.9700000000000003E-2</v>
      </c>
      <c r="BQ76" s="8">
        <v>6.8599999999999994E-2</v>
      </c>
      <c r="BR76" s="8">
        <v>0.24154</v>
      </c>
      <c r="BS76" s="8">
        <v>0.20630000000000001</v>
      </c>
      <c r="BT76" s="8">
        <v>0.30852000000000002</v>
      </c>
      <c r="BU76" s="8">
        <v>0.1242</v>
      </c>
      <c r="BV76" s="8">
        <v>0.45474999999999999</v>
      </c>
      <c r="BW76" s="8">
        <v>0.23561000000000001</v>
      </c>
      <c r="BX76" s="8">
        <v>0.12906999999999999</v>
      </c>
      <c r="BY76" s="8">
        <v>9.8400000000000001E-2</v>
      </c>
      <c r="BZ76" s="8">
        <v>0.1512</v>
      </c>
      <c r="CA76" s="8">
        <v>0.33781731707317075</v>
      </c>
      <c r="CB76" s="8">
        <v>0.18676000000000001</v>
      </c>
      <c r="CC76" s="8">
        <v>0.75524999999999998</v>
      </c>
      <c r="CD76" s="8">
        <v>0.62190999999999996</v>
      </c>
      <c r="CE76" s="8">
        <v>0.46076</v>
      </c>
      <c r="CF76" s="8">
        <v>0.84989999999999999</v>
      </c>
      <c r="CG76" s="8">
        <v>0.65359999999999996</v>
      </c>
      <c r="CH76" s="8">
        <v>6.3910999999999996E-2</v>
      </c>
      <c r="CI76" s="8">
        <v>0.31630000000000003</v>
      </c>
      <c r="CJ76" s="8">
        <v>0.76637</v>
      </c>
      <c r="CK76" s="8">
        <v>0.1812</v>
      </c>
      <c r="CL76" s="8">
        <v>0.66286</v>
      </c>
      <c r="CM76" s="8">
        <v>0.41253000000000001</v>
      </c>
      <c r="CN76" s="8">
        <v>0.2472</v>
      </c>
      <c r="CO76" s="8">
        <v>0.62320975609756113</v>
      </c>
      <c r="CP76" s="8">
        <v>0.65931219512195127</v>
      </c>
      <c r="CQ76" s="8">
        <v>0.73309000000000002</v>
      </c>
      <c r="CR76" s="8">
        <v>0.61629999999999996</v>
      </c>
      <c r="CS76" s="8">
        <v>0.85665999999999998</v>
      </c>
      <c r="CT76" s="8">
        <v>0.88387000000000004</v>
      </c>
      <c r="CU76" s="8">
        <v>0.28970000000000001</v>
      </c>
      <c r="CV76" s="8">
        <v>0.79488999999999999</v>
      </c>
      <c r="CW76" s="8">
        <v>0.63170000000000004</v>
      </c>
    </row>
    <row r="77" spans="1:101">
      <c r="A77">
        <f t="shared" si="1"/>
        <v>695</v>
      </c>
      <c r="B77">
        <v>1</v>
      </c>
      <c r="C77" s="8">
        <v>0.89090999999999998</v>
      </c>
      <c r="D77" s="8">
        <v>0.76683999999999997</v>
      </c>
      <c r="E77" s="8">
        <v>0.2021</v>
      </c>
      <c r="F77" s="8">
        <v>0.51208195121951239</v>
      </c>
      <c r="G77" s="8">
        <v>0.89292000000000005</v>
      </c>
      <c r="H77" s="8">
        <v>0.66181000000000001</v>
      </c>
      <c r="I77" s="8">
        <v>0.46606999999999998</v>
      </c>
      <c r="J77" s="8">
        <v>0.60302999999999995</v>
      </c>
      <c r="K77" s="8">
        <v>6.3441999999999998E-2</v>
      </c>
      <c r="L77" s="8">
        <v>0.88166999999999995</v>
      </c>
      <c r="M77" s="8">
        <v>0.7036</v>
      </c>
      <c r="N77" s="8">
        <v>0.68325000000000002</v>
      </c>
      <c r="O77" s="8">
        <v>0.26667999999999997</v>
      </c>
      <c r="P77" s="8">
        <v>0.49443999999999999</v>
      </c>
      <c r="Q77" s="8">
        <v>0.62795000000000001</v>
      </c>
      <c r="R77" s="8">
        <v>0.53846000000000005</v>
      </c>
      <c r="S77" s="8">
        <v>0.61775000000000002</v>
      </c>
      <c r="T77" s="8">
        <v>0.39783000000000002</v>
      </c>
      <c r="U77" s="8">
        <v>0.51512000000000002</v>
      </c>
      <c r="V77" s="8">
        <v>0.85029999999999994</v>
      </c>
      <c r="W77" s="8">
        <v>0.90915999999999997</v>
      </c>
      <c r="X77" s="8">
        <v>0.83218000000000003</v>
      </c>
      <c r="Y77" s="8">
        <v>0.87373000000000001</v>
      </c>
      <c r="Z77" s="8">
        <v>0.83899000000000001</v>
      </c>
      <c r="AA77" s="8">
        <v>0.51390000000000002</v>
      </c>
      <c r="AB77" s="8">
        <v>0.90839999999999999</v>
      </c>
      <c r="AC77" s="8">
        <v>0.46121000000000001</v>
      </c>
      <c r="AD77" s="8">
        <v>0.11781</v>
      </c>
      <c r="AE77" s="8">
        <v>0.83482000000000001</v>
      </c>
      <c r="AF77" s="8">
        <v>0.36075000000000002</v>
      </c>
      <c r="AG77" s="8">
        <v>0.82428999999999997</v>
      </c>
      <c r="AH77" s="8">
        <v>0.83652000000000004</v>
      </c>
      <c r="AI77" s="8">
        <v>0.82055</v>
      </c>
      <c r="AJ77" s="8">
        <v>0.27228000000000002</v>
      </c>
      <c r="AK77" s="8">
        <v>0.10292999999999999</v>
      </c>
      <c r="AL77" s="8">
        <v>0.54329560975609759</v>
      </c>
      <c r="AM77" s="8">
        <v>0.35161999999999999</v>
      </c>
      <c r="AN77" s="8">
        <v>0.67637999999999998</v>
      </c>
      <c r="AO77" s="8">
        <v>8.7956999999999994E-2</v>
      </c>
      <c r="AP77" s="8">
        <v>0.19927</v>
      </c>
      <c r="AQ77" s="8">
        <v>0.89754</v>
      </c>
      <c r="AR77" s="8">
        <v>0.37529000000000001</v>
      </c>
      <c r="AS77" s="8">
        <v>0.26567000000000002</v>
      </c>
      <c r="AT77" s="8">
        <v>5.2113E-2</v>
      </c>
      <c r="AU77" s="8">
        <v>0.17773</v>
      </c>
      <c r="AV77" s="8">
        <v>0.22799</v>
      </c>
      <c r="AW77" s="8">
        <v>0.78957999999999995</v>
      </c>
      <c r="AX77" s="8">
        <v>0.17893000000000001</v>
      </c>
      <c r="AY77" s="8">
        <v>0.10553</v>
      </c>
      <c r="AZ77" s="8">
        <v>0.17093</v>
      </c>
      <c r="BA77" s="8">
        <v>0.22450000000000001</v>
      </c>
      <c r="BB77" s="8">
        <v>7.8492999999999993E-2</v>
      </c>
      <c r="BC77" s="8">
        <v>7.1211999999999998E-2</v>
      </c>
      <c r="BD77" s="8">
        <v>0.61434999999999995</v>
      </c>
      <c r="BE77" s="8">
        <v>0.52734999999999999</v>
      </c>
      <c r="BF77" s="8">
        <v>0.19242999999999999</v>
      </c>
      <c r="BG77" s="8">
        <v>6.7858000000000002E-2</v>
      </c>
      <c r="BH77" s="8">
        <v>8.1411999999999998E-2</v>
      </c>
      <c r="BI77" s="8">
        <v>0.52891999999999995</v>
      </c>
      <c r="BJ77" s="8">
        <v>0.70960000000000001</v>
      </c>
      <c r="BK77" s="8">
        <v>0.41127000000000002</v>
      </c>
      <c r="BL77" s="8">
        <v>0.61321000000000003</v>
      </c>
      <c r="BM77" s="8">
        <v>9.2635999999999996E-2</v>
      </c>
      <c r="BN77" s="8">
        <v>0.11151</v>
      </c>
      <c r="BO77" s="8">
        <v>1.1057000000000001E-2</v>
      </c>
      <c r="BP77" s="8">
        <v>5.9666999999999998E-2</v>
      </c>
      <c r="BQ77" s="8">
        <v>6.8154999999999993E-2</v>
      </c>
      <c r="BR77" s="8">
        <v>0.23921000000000001</v>
      </c>
      <c r="BS77" s="8">
        <v>0.20441999999999999</v>
      </c>
      <c r="BT77" s="8">
        <v>0.30629000000000001</v>
      </c>
      <c r="BU77" s="8">
        <v>0.14004</v>
      </c>
      <c r="BV77" s="8">
        <v>0.45534000000000002</v>
      </c>
      <c r="BW77" s="8">
        <v>0.27055000000000001</v>
      </c>
      <c r="BX77" s="8">
        <v>0.15523999999999999</v>
      </c>
      <c r="BY77" s="8">
        <v>0.10867</v>
      </c>
      <c r="BZ77" s="8">
        <v>0.13916999999999999</v>
      </c>
      <c r="CA77" s="8">
        <v>0.33897463414634138</v>
      </c>
      <c r="CB77" s="8">
        <v>0.21842</v>
      </c>
      <c r="CC77" s="8">
        <v>0.76868000000000003</v>
      </c>
      <c r="CD77" s="8">
        <v>0.65419000000000005</v>
      </c>
      <c r="CE77" s="8">
        <v>0.46165</v>
      </c>
      <c r="CF77" s="8">
        <v>0.86826000000000003</v>
      </c>
      <c r="CG77" s="8">
        <v>0.68162</v>
      </c>
      <c r="CH77" s="8">
        <v>6.3492000000000007E-2</v>
      </c>
      <c r="CI77" s="8">
        <v>0.32417000000000001</v>
      </c>
      <c r="CJ77" s="8">
        <v>0.77312999999999998</v>
      </c>
      <c r="CK77" s="8">
        <v>0.18026</v>
      </c>
      <c r="CL77" s="8">
        <v>0.70374999999999999</v>
      </c>
      <c r="CM77" s="8">
        <v>0.45218999999999998</v>
      </c>
      <c r="CN77" s="8">
        <v>0.24973000000000001</v>
      </c>
      <c r="CO77" s="8">
        <v>0.61632682926829263</v>
      </c>
      <c r="CP77" s="8">
        <v>0.67211682926829275</v>
      </c>
      <c r="CQ77" s="8">
        <v>0.74189000000000005</v>
      </c>
      <c r="CR77" s="8">
        <v>0.64600000000000002</v>
      </c>
      <c r="CS77" s="8">
        <v>0.86234999999999995</v>
      </c>
      <c r="CT77" s="8">
        <v>0.88859999999999995</v>
      </c>
      <c r="CU77" s="8">
        <v>0.28021000000000001</v>
      </c>
      <c r="CV77" s="8">
        <v>0.81494</v>
      </c>
      <c r="CW77" s="8">
        <v>0.63293999999999995</v>
      </c>
    </row>
    <row r="78" spans="1:101">
      <c r="A78">
        <f t="shared" si="1"/>
        <v>700</v>
      </c>
      <c r="B78">
        <v>1</v>
      </c>
      <c r="C78" s="8">
        <v>0.89259999999999995</v>
      </c>
      <c r="D78" s="8">
        <v>0.77459999999999996</v>
      </c>
      <c r="E78" s="8">
        <v>0.20393</v>
      </c>
      <c r="F78" s="8">
        <v>0.51191292682926848</v>
      </c>
      <c r="G78" s="8">
        <v>0.90256000000000003</v>
      </c>
      <c r="H78" s="8">
        <v>0.68123</v>
      </c>
      <c r="I78" s="8">
        <v>0.46450000000000002</v>
      </c>
      <c r="J78" s="8">
        <v>0.61109000000000002</v>
      </c>
      <c r="K78" s="8">
        <v>6.2756000000000006E-2</v>
      </c>
      <c r="L78" s="8">
        <v>0.88290999999999997</v>
      </c>
      <c r="M78" s="8">
        <v>0.71680999999999995</v>
      </c>
      <c r="N78" s="8">
        <v>0.68676000000000004</v>
      </c>
      <c r="O78" s="8">
        <v>0.26616000000000001</v>
      </c>
      <c r="P78" s="8">
        <v>0.49490000000000001</v>
      </c>
      <c r="Q78" s="8">
        <v>0.62992999999999999</v>
      </c>
      <c r="R78" s="8">
        <v>0.55239000000000005</v>
      </c>
      <c r="S78" s="8">
        <v>0.63924000000000003</v>
      </c>
      <c r="T78" s="8">
        <v>0.4012</v>
      </c>
      <c r="U78" s="8">
        <v>0.51439999999999997</v>
      </c>
      <c r="V78" s="8">
        <v>0.85587999999999997</v>
      </c>
      <c r="W78" s="8">
        <v>0.90988999999999998</v>
      </c>
      <c r="X78" s="8">
        <v>0.83587</v>
      </c>
      <c r="Y78" s="8">
        <v>0.87656999999999996</v>
      </c>
      <c r="Z78" s="8">
        <v>0.83740000000000003</v>
      </c>
      <c r="AA78" s="8">
        <v>0.51820999999999995</v>
      </c>
      <c r="AB78" s="8">
        <v>0.90880000000000005</v>
      </c>
      <c r="AC78" s="8">
        <v>0.46356999999999998</v>
      </c>
      <c r="AD78" s="8">
        <v>0.11627</v>
      </c>
      <c r="AE78" s="8">
        <v>0.83914999999999995</v>
      </c>
      <c r="AF78" s="8">
        <v>0.36514000000000002</v>
      </c>
      <c r="AG78" s="8">
        <v>0.82611000000000001</v>
      </c>
      <c r="AH78" s="8">
        <v>0.85260000000000002</v>
      </c>
      <c r="AI78" s="8">
        <v>0.82325999999999999</v>
      </c>
      <c r="AJ78" s="8">
        <v>0.27417000000000002</v>
      </c>
      <c r="AK78" s="8">
        <v>0.10364</v>
      </c>
      <c r="AL78" s="8">
        <v>0.53562609756097557</v>
      </c>
      <c r="AM78" s="8">
        <v>0.4007</v>
      </c>
      <c r="AN78" s="8">
        <v>0.67857341463414644</v>
      </c>
      <c r="AO78" s="8">
        <v>8.7692999999999993E-2</v>
      </c>
      <c r="AP78" s="8">
        <v>0.19681999999999999</v>
      </c>
      <c r="AQ78" s="8">
        <v>0.90410000000000001</v>
      </c>
      <c r="AR78" s="8">
        <v>0.40848000000000001</v>
      </c>
      <c r="AS78" s="8">
        <v>0.30730000000000002</v>
      </c>
      <c r="AT78" s="8">
        <v>5.1999999999999998E-2</v>
      </c>
      <c r="AU78" s="8">
        <v>0.17987</v>
      </c>
      <c r="AV78" s="8">
        <v>0.23080000000000001</v>
      </c>
      <c r="AW78" s="8">
        <v>0.8115</v>
      </c>
      <c r="AX78" s="8">
        <v>0.17713000000000001</v>
      </c>
      <c r="AY78" s="8">
        <v>0.10789</v>
      </c>
      <c r="AZ78" s="8">
        <v>0.16613</v>
      </c>
      <c r="BA78" s="8">
        <v>0.21783</v>
      </c>
      <c r="BB78" s="8">
        <v>7.6049000000000005E-2</v>
      </c>
      <c r="BC78" s="8">
        <v>7.2400000000000006E-2</v>
      </c>
      <c r="BD78" s="8">
        <v>0.62319999999999998</v>
      </c>
      <c r="BE78" s="8">
        <v>0.52854000000000001</v>
      </c>
      <c r="BF78" s="8">
        <v>0.19647000000000001</v>
      </c>
      <c r="BG78" s="8">
        <v>8.6599999999999996E-2</v>
      </c>
      <c r="BH78" s="8">
        <v>8.3960000000000007E-2</v>
      </c>
      <c r="BI78" s="8">
        <v>0.52049999999999996</v>
      </c>
      <c r="BJ78" s="8">
        <v>0.70852999999999999</v>
      </c>
      <c r="BK78" s="8">
        <v>0.40798000000000001</v>
      </c>
      <c r="BL78" s="8">
        <v>0.66320999999999997</v>
      </c>
      <c r="BM78" s="8">
        <v>9.9042000000000005E-2</v>
      </c>
      <c r="BN78" s="8">
        <v>0.11115</v>
      </c>
      <c r="BO78" s="8">
        <v>1.1318999999999999E-2</v>
      </c>
      <c r="BP78" s="8">
        <v>5.96E-2</v>
      </c>
      <c r="BQ78" s="8">
        <v>6.7799999999999999E-2</v>
      </c>
      <c r="BR78" s="8">
        <v>0.23629</v>
      </c>
      <c r="BS78" s="8">
        <v>0.20218</v>
      </c>
      <c r="BT78" s="8">
        <v>0.30358000000000002</v>
      </c>
      <c r="BU78" s="8">
        <v>0.15140000000000001</v>
      </c>
      <c r="BV78" s="8">
        <v>0.45598</v>
      </c>
      <c r="BW78" s="8">
        <v>0.30889</v>
      </c>
      <c r="BX78" s="8">
        <v>0.18665000000000001</v>
      </c>
      <c r="BY78" s="8">
        <v>0.11600000000000001</v>
      </c>
      <c r="BZ78" s="8">
        <v>0.12970000000000001</v>
      </c>
      <c r="CA78" s="8">
        <v>0.33666804878048773</v>
      </c>
      <c r="CB78" s="8">
        <v>0.25387999999999999</v>
      </c>
      <c r="CC78" s="8">
        <v>0.78344000000000003</v>
      </c>
      <c r="CD78" s="8">
        <v>0.68462999999999996</v>
      </c>
      <c r="CE78" s="8">
        <v>0.46531</v>
      </c>
      <c r="CF78" s="8">
        <v>0.88139999999999996</v>
      </c>
      <c r="CG78" s="8">
        <v>0.70289999999999997</v>
      </c>
      <c r="CH78" s="8">
        <v>6.2918000000000002E-2</v>
      </c>
      <c r="CI78" s="8">
        <v>0.33878000000000003</v>
      </c>
      <c r="CJ78" s="8">
        <v>0.78195000000000003</v>
      </c>
      <c r="CK78" s="8">
        <v>0.17802999999999999</v>
      </c>
      <c r="CL78" s="8">
        <v>0.73573999999999995</v>
      </c>
      <c r="CM78" s="8">
        <v>0.49038999999999999</v>
      </c>
      <c r="CN78" s="8">
        <v>0.25119999999999998</v>
      </c>
      <c r="CO78" s="8">
        <v>0.60749365853658543</v>
      </c>
      <c r="CP78" s="8">
        <v>0.68575243902439043</v>
      </c>
      <c r="CQ78" s="8">
        <v>0.74956999999999996</v>
      </c>
      <c r="CR78" s="8">
        <v>0.67315999999999998</v>
      </c>
      <c r="CS78" s="8">
        <v>0.86492000000000002</v>
      </c>
      <c r="CT78" s="8">
        <v>0.88988</v>
      </c>
      <c r="CU78" s="8">
        <v>0.27279999999999999</v>
      </c>
      <c r="CV78" s="8">
        <v>0.82813999999999999</v>
      </c>
      <c r="CW78" s="8">
        <v>0.63380000000000003</v>
      </c>
    </row>
    <row r="79" spans="1:101">
      <c r="A79">
        <f t="shared" si="1"/>
        <v>705</v>
      </c>
      <c r="B79">
        <v>1</v>
      </c>
      <c r="C79" s="8">
        <v>0.89419999999999999</v>
      </c>
      <c r="D79" s="8">
        <v>0.78200999999999998</v>
      </c>
      <c r="E79" s="8">
        <v>0.21328</v>
      </c>
      <c r="F79" s="8">
        <v>0.51290975609756073</v>
      </c>
      <c r="G79" s="8">
        <v>0.91091</v>
      </c>
      <c r="H79" s="8">
        <v>0.70786000000000004</v>
      </c>
      <c r="I79" s="8">
        <v>0.46296999999999999</v>
      </c>
      <c r="J79" s="8">
        <v>0.61878</v>
      </c>
      <c r="K79" s="8">
        <v>6.2282999999999998E-2</v>
      </c>
      <c r="L79" s="8">
        <v>0.88412000000000002</v>
      </c>
      <c r="M79" s="8">
        <v>0.73385999999999996</v>
      </c>
      <c r="N79" s="8">
        <v>0.68638999999999994</v>
      </c>
      <c r="O79" s="8">
        <v>0.26597999999999999</v>
      </c>
      <c r="P79" s="8">
        <v>0.49534</v>
      </c>
      <c r="Q79" s="8">
        <v>0.63283999999999996</v>
      </c>
      <c r="R79" s="8">
        <v>0.56803999999999999</v>
      </c>
      <c r="S79" s="8">
        <v>0.66822999999999999</v>
      </c>
      <c r="T79" s="8">
        <v>0.40448000000000001</v>
      </c>
      <c r="U79" s="8">
        <v>0.51370000000000005</v>
      </c>
      <c r="V79" s="8">
        <v>0.86331000000000002</v>
      </c>
      <c r="W79" s="8">
        <v>0.91076000000000001</v>
      </c>
      <c r="X79" s="8">
        <v>0.83979000000000004</v>
      </c>
      <c r="Y79" s="8">
        <v>0.87983999999999996</v>
      </c>
      <c r="Z79" s="8">
        <v>0.83582000000000001</v>
      </c>
      <c r="AA79" s="8">
        <v>0.52734999999999999</v>
      </c>
      <c r="AB79" s="8">
        <v>0.90917999999999999</v>
      </c>
      <c r="AC79" s="8">
        <v>0.47205000000000003</v>
      </c>
      <c r="AD79" s="8">
        <v>0.11443</v>
      </c>
      <c r="AE79" s="8">
        <v>0.84423000000000004</v>
      </c>
      <c r="AF79" s="8">
        <v>0.36958999999999997</v>
      </c>
      <c r="AG79" s="8">
        <v>0.82769000000000004</v>
      </c>
      <c r="AH79" s="8">
        <v>0.86699000000000004</v>
      </c>
      <c r="AI79" s="8">
        <v>0.82593000000000005</v>
      </c>
      <c r="AJ79" s="8">
        <v>0.27601999999999999</v>
      </c>
      <c r="AK79" s="8">
        <v>0.10434</v>
      </c>
      <c r="AL79" s="8">
        <v>0.52630414634146361</v>
      </c>
      <c r="AM79" s="8">
        <v>0.45484000000000002</v>
      </c>
      <c r="AN79" s="8">
        <v>0.6818995121951219</v>
      </c>
      <c r="AO79" s="8">
        <v>8.7595999999999993E-2</v>
      </c>
      <c r="AP79" s="8">
        <v>0.19524</v>
      </c>
      <c r="AQ79" s="8">
        <v>0.91008</v>
      </c>
      <c r="AR79" s="8">
        <v>0.43191000000000002</v>
      </c>
      <c r="AS79" s="8">
        <v>0.35106999999999999</v>
      </c>
      <c r="AT79" s="8">
        <v>5.1891E-2</v>
      </c>
      <c r="AU79" s="8">
        <v>0.1802</v>
      </c>
      <c r="AV79" s="8">
        <v>0.23355999999999999</v>
      </c>
      <c r="AW79" s="8">
        <v>0.83106999999999998</v>
      </c>
      <c r="AX79" s="8">
        <v>0.17599000000000001</v>
      </c>
      <c r="AY79" s="8">
        <v>0.11019</v>
      </c>
      <c r="AZ79" s="8">
        <v>0.16278999999999999</v>
      </c>
      <c r="BA79" s="8">
        <v>0.2132</v>
      </c>
      <c r="BB79" s="8">
        <v>7.4404999999999999E-2</v>
      </c>
      <c r="BC79" s="8">
        <v>7.3564000000000004E-2</v>
      </c>
      <c r="BD79" s="8">
        <v>0.63168999999999997</v>
      </c>
      <c r="BE79" s="8">
        <v>0.52898999999999996</v>
      </c>
      <c r="BF79" s="8">
        <v>0.20044999999999999</v>
      </c>
      <c r="BG79" s="8">
        <v>9.0278999999999998E-2</v>
      </c>
      <c r="BH79" s="8">
        <v>8.5336999999999996E-2</v>
      </c>
      <c r="BI79" s="8">
        <v>0.51215999999999995</v>
      </c>
      <c r="BJ79" s="8">
        <v>0.70806999999999998</v>
      </c>
      <c r="BK79" s="8">
        <v>0.40561999999999998</v>
      </c>
      <c r="BL79" s="8">
        <v>0.70794000000000001</v>
      </c>
      <c r="BM79" s="8">
        <v>0.10693999999999999</v>
      </c>
      <c r="BN79" s="8">
        <v>0.11079</v>
      </c>
      <c r="BO79" s="8">
        <v>1.1389E-2</v>
      </c>
      <c r="BP79" s="8">
        <v>5.9532000000000002E-2</v>
      </c>
      <c r="BQ79" s="8">
        <v>6.7454E-2</v>
      </c>
      <c r="BR79" s="8">
        <v>0.23427999999999999</v>
      </c>
      <c r="BS79" s="8">
        <v>0.20050999999999999</v>
      </c>
      <c r="BT79" s="8">
        <v>0.30159999999999998</v>
      </c>
      <c r="BU79" s="8">
        <v>0.16305</v>
      </c>
      <c r="BV79" s="8">
        <v>0.45651999999999998</v>
      </c>
      <c r="BW79" s="8">
        <v>0.34889999999999999</v>
      </c>
      <c r="BX79" s="8">
        <v>0.22083</v>
      </c>
      <c r="BY79" s="8">
        <v>0.12346</v>
      </c>
      <c r="BZ79" s="8">
        <v>0.12095</v>
      </c>
      <c r="CA79" s="8">
        <v>0.33133317073170726</v>
      </c>
      <c r="CB79" s="8">
        <v>0.29220000000000002</v>
      </c>
      <c r="CC79" s="8">
        <v>0.79525000000000001</v>
      </c>
      <c r="CD79" s="8">
        <v>0.71299000000000001</v>
      </c>
      <c r="CE79" s="8">
        <v>0.47144999999999998</v>
      </c>
      <c r="CF79" s="8">
        <v>0.89315</v>
      </c>
      <c r="CG79" s="8">
        <v>0.72287000000000001</v>
      </c>
      <c r="CH79" s="8">
        <v>6.2572000000000003E-2</v>
      </c>
      <c r="CI79" s="8">
        <v>0.34908</v>
      </c>
      <c r="CJ79" s="8">
        <v>0.78747</v>
      </c>
      <c r="CK79" s="8">
        <v>0.17751</v>
      </c>
      <c r="CL79" s="8">
        <v>0.77275000000000005</v>
      </c>
      <c r="CM79" s="8">
        <v>0.53154999999999997</v>
      </c>
      <c r="CN79" s="8">
        <v>0.25261</v>
      </c>
      <c r="CO79" s="8">
        <v>0.59715121951219508</v>
      </c>
      <c r="CP79" s="8">
        <v>0.70059512195121953</v>
      </c>
      <c r="CQ79" s="8">
        <v>0.75580999999999998</v>
      </c>
      <c r="CR79" s="8">
        <v>0.70121</v>
      </c>
      <c r="CS79" s="8">
        <v>0.87151000000000001</v>
      </c>
      <c r="CT79" s="8">
        <v>0.89554</v>
      </c>
      <c r="CU79" s="8">
        <v>0.26568000000000003</v>
      </c>
      <c r="CV79" s="8">
        <v>0.84021999999999997</v>
      </c>
      <c r="CW79" s="8">
        <v>0.63463000000000003</v>
      </c>
    </row>
    <row r="80" spans="1:101">
      <c r="A80">
        <f t="shared" si="1"/>
        <v>710</v>
      </c>
      <c r="B80">
        <v>1</v>
      </c>
      <c r="C80" s="8">
        <v>0.89573000000000003</v>
      </c>
      <c r="D80" s="8">
        <v>0.78903000000000001</v>
      </c>
      <c r="E80" s="8">
        <v>0.21965999999999999</v>
      </c>
      <c r="F80" s="8">
        <v>0.51484951219512176</v>
      </c>
      <c r="G80" s="8">
        <v>0.91776000000000002</v>
      </c>
      <c r="H80" s="8">
        <v>0.73016999999999999</v>
      </c>
      <c r="I80" s="8">
        <v>0.46148</v>
      </c>
      <c r="J80" s="8">
        <v>0.62573999999999996</v>
      </c>
      <c r="K80" s="8">
        <v>6.1732000000000002E-2</v>
      </c>
      <c r="L80" s="8">
        <v>0.88529000000000002</v>
      </c>
      <c r="M80" s="8">
        <v>0.74863000000000002</v>
      </c>
      <c r="N80" s="8">
        <v>0.68745000000000001</v>
      </c>
      <c r="O80" s="8">
        <v>0.26566000000000001</v>
      </c>
      <c r="P80" s="8">
        <v>0.49576999999999999</v>
      </c>
      <c r="Q80" s="8">
        <v>0.63536000000000004</v>
      </c>
      <c r="R80" s="8">
        <v>0.58282999999999996</v>
      </c>
      <c r="S80" s="8">
        <v>0.69291999999999998</v>
      </c>
      <c r="T80" s="8">
        <v>0.40765000000000001</v>
      </c>
      <c r="U80" s="8">
        <v>0.51302999999999999</v>
      </c>
      <c r="V80" s="8">
        <v>0.86963999999999997</v>
      </c>
      <c r="W80" s="8">
        <v>0.91156999999999999</v>
      </c>
      <c r="X80" s="8">
        <v>0.84304999999999997</v>
      </c>
      <c r="Y80" s="8">
        <v>0.88270999999999999</v>
      </c>
      <c r="Z80" s="8">
        <v>0.83428000000000002</v>
      </c>
      <c r="AA80" s="8">
        <v>0.53454999999999997</v>
      </c>
      <c r="AB80" s="8">
        <v>0.90956000000000004</v>
      </c>
      <c r="AC80" s="8">
        <v>0.47815999999999997</v>
      </c>
      <c r="AD80" s="8">
        <v>0.11559</v>
      </c>
      <c r="AE80" s="8">
        <v>0.84884999999999999</v>
      </c>
      <c r="AF80" s="8">
        <v>0.37419000000000002</v>
      </c>
      <c r="AG80" s="8">
        <v>0.82899</v>
      </c>
      <c r="AH80" s="8">
        <v>0.87978999999999996</v>
      </c>
      <c r="AI80" s="8">
        <v>0.82804</v>
      </c>
      <c r="AJ80" s="8">
        <v>0.27782000000000001</v>
      </c>
      <c r="AK80" s="8">
        <v>0.10502</v>
      </c>
      <c r="AL80" s="8">
        <v>0.51785756097560975</v>
      </c>
      <c r="AM80" s="8">
        <v>0.50885999999999998</v>
      </c>
      <c r="AN80" s="8">
        <v>0.68592365853658521</v>
      </c>
      <c r="AO80" s="8">
        <v>8.7431999999999996E-2</v>
      </c>
      <c r="AP80" s="8">
        <v>0.19333</v>
      </c>
      <c r="AQ80" s="8">
        <v>0.91554999999999997</v>
      </c>
      <c r="AR80" s="8">
        <v>0.45995999999999998</v>
      </c>
      <c r="AS80" s="8">
        <v>0.39594000000000001</v>
      </c>
      <c r="AT80" s="8">
        <v>5.1787E-2</v>
      </c>
      <c r="AU80" s="8">
        <v>0.18</v>
      </c>
      <c r="AV80" s="8">
        <v>0.23624000000000001</v>
      </c>
      <c r="AW80" s="8">
        <v>0.84843999999999997</v>
      </c>
      <c r="AX80" s="8">
        <v>0.17549999999999999</v>
      </c>
      <c r="AY80" s="8">
        <v>0.11246</v>
      </c>
      <c r="AZ80" s="8">
        <v>0.15895999999999999</v>
      </c>
      <c r="BA80" s="8">
        <v>0.20788999999999999</v>
      </c>
      <c r="BB80" s="8">
        <v>7.2505E-2</v>
      </c>
      <c r="BC80" s="8">
        <v>7.4704999999999994E-2</v>
      </c>
      <c r="BD80" s="8">
        <v>0.63982000000000006</v>
      </c>
      <c r="BE80" s="8">
        <v>0.52954000000000001</v>
      </c>
      <c r="BF80" s="8">
        <v>0.20436000000000001</v>
      </c>
      <c r="BG80" s="8">
        <v>8.6599999999999996E-2</v>
      </c>
      <c r="BH80" s="8">
        <v>8.5540000000000005E-2</v>
      </c>
      <c r="BI80" s="8">
        <v>0.50405999999999995</v>
      </c>
      <c r="BJ80" s="8">
        <v>0.70918000000000003</v>
      </c>
      <c r="BK80" s="8">
        <v>0.40289000000000003</v>
      </c>
      <c r="BL80" s="8">
        <v>0.74966999999999995</v>
      </c>
      <c r="BM80" s="8">
        <v>0.11491999999999999</v>
      </c>
      <c r="BN80" s="8">
        <v>0.11044</v>
      </c>
      <c r="BO80" s="8">
        <v>1.1539000000000001E-2</v>
      </c>
      <c r="BP80" s="8">
        <v>5.9465999999999998E-2</v>
      </c>
      <c r="BQ80" s="8">
        <v>6.7121E-2</v>
      </c>
      <c r="BR80" s="8">
        <v>0.23191999999999999</v>
      </c>
      <c r="BS80" s="8">
        <v>0.19863</v>
      </c>
      <c r="BT80" s="8">
        <v>0.29932999999999998</v>
      </c>
      <c r="BU80" s="8">
        <v>0.17496</v>
      </c>
      <c r="BV80" s="8">
        <v>0.45709</v>
      </c>
      <c r="BW80" s="8">
        <v>0.39166000000000001</v>
      </c>
      <c r="BX80" s="8">
        <v>0.26012999999999997</v>
      </c>
      <c r="BY80" s="8">
        <v>0.13106000000000001</v>
      </c>
      <c r="BZ80" s="8">
        <v>0.11294</v>
      </c>
      <c r="CA80" s="8">
        <v>0.32424756097560969</v>
      </c>
      <c r="CB80" s="8">
        <v>0.33405000000000001</v>
      </c>
      <c r="CC80" s="8">
        <v>0.80745</v>
      </c>
      <c r="CD80" s="8">
        <v>0.73843000000000003</v>
      </c>
      <c r="CE80" s="8">
        <v>0.47513</v>
      </c>
      <c r="CF80" s="8">
        <v>0.90354999999999996</v>
      </c>
      <c r="CG80" s="8">
        <v>0.74141000000000001</v>
      </c>
      <c r="CH80" s="8">
        <v>6.2137999999999999E-2</v>
      </c>
      <c r="CI80" s="8">
        <v>0.36054000000000003</v>
      </c>
      <c r="CJ80" s="8">
        <v>0.79408999999999996</v>
      </c>
      <c r="CK80" s="8">
        <v>0.17632</v>
      </c>
      <c r="CL80" s="8">
        <v>0.80334000000000005</v>
      </c>
      <c r="CM80" s="8">
        <v>0.57116999999999996</v>
      </c>
      <c r="CN80" s="8">
        <v>0.25396999999999997</v>
      </c>
      <c r="CO80" s="8">
        <v>0.588299512195122</v>
      </c>
      <c r="CP80" s="8">
        <v>0.71302585365853655</v>
      </c>
      <c r="CQ80" s="8">
        <v>0.76012999999999997</v>
      </c>
      <c r="CR80" s="8">
        <v>0.72706999999999999</v>
      </c>
      <c r="CS80" s="8">
        <v>0.87626999999999999</v>
      </c>
      <c r="CT80" s="8">
        <v>0.89927999999999997</v>
      </c>
      <c r="CU80" s="8">
        <v>0.25889000000000001</v>
      </c>
      <c r="CV80" s="8">
        <v>0.85124999999999995</v>
      </c>
      <c r="CW80" s="8">
        <v>0.63541999999999998</v>
      </c>
    </row>
    <row r="81" spans="1:101">
      <c r="A81">
        <f t="shared" si="1"/>
        <v>715</v>
      </c>
      <c r="B81">
        <v>1</v>
      </c>
      <c r="C81" s="8">
        <v>0.89722999999999997</v>
      </c>
      <c r="D81" s="8">
        <v>0.79586999999999997</v>
      </c>
      <c r="E81" s="8">
        <v>0.22617000000000001</v>
      </c>
      <c r="F81" s="8">
        <v>0.51666585365853634</v>
      </c>
      <c r="G81" s="8">
        <v>0.92303999999999997</v>
      </c>
      <c r="H81" s="8">
        <v>0.75138000000000005</v>
      </c>
      <c r="I81" s="8">
        <v>0.45999000000000001</v>
      </c>
      <c r="J81" s="8">
        <v>0.63173000000000001</v>
      </c>
      <c r="K81" s="8">
        <v>6.1184000000000002E-2</v>
      </c>
      <c r="L81" s="8">
        <v>0.88644999999999996</v>
      </c>
      <c r="M81" s="8">
        <v>0.76285000000000003</v>
      </c>
      <c r="N81" s="8">
        <v>0.68850999999999996</v>
      </c>
      <c r="O81" s="8">
        <v>0.26534999999999997</v>
      </c>
      <c r="P81" s="8">
        <v>0.49619000000000002</v>
      </c>
      <c r="Q81" s="8">
        <v>0.63788</v>
      </c>
      <c r="R81" s="8">
        <v>0.59748000000000001</v>
      </c>
      <c r="S81" s="8">
        <v>0.71655999999999997</v>
      </c>
      <c r="T81" s="8">
        <v>0.41083999999999998</v>
      </c>
      <c r="U81" s="8">
        <v>0.51234999999999997</v>
      </c>
      <c r="V81" s="8">
        <v>0.87572000000000005</v>
      </c>
      <c r="W81" s="8">
        <v>0.91237000000000001</v>
      </c>
      <c r="X81" s="8">
        <v>0.84486000000000006</v>
      </c>
      <c r="Y81" s="8">
        <v>0.88441000000000003</v>
      </c>
      <c r="Z81" s="8">
        <v>0.83272999999999997</v>
      </c>
      <c r="AA81" s="8">
        <v>0.54174999999999995</v>
      </c>
      <c r="AB81" s="8">
        <v>0.90993000000000002</v>
      </c>
      <c r="AC81" s="8">
        <v>0.48429</v>
      </c>
      <c r="AD81" s="8">
        <v>0.11697</v>
      </c>
      <c r="AE81" s="8">
        <v>0.85335000000000005</v>
      </c>
      <c r="AF81" s="8">
        <v>0.37881999999999999</v>
      </c>
      <c r="AG81" s="8">
        <v>0.82992999999999995</v>
      </c>
      <c r="AH81" s="8">
        <v>0.89151000000000002</v>
      </c>
      <c r="AI81" s="8">
        <v>0.82923999999999998</v>
      </c>
      <c r="AJ81" s="8">
        <v>0.27962999999999999</v>
      </c>
      <c r="AK81" s="8">
        <v>0.10571</v>
      </c>
      <c r="AL81" s="8">
        <v>0.51115585365853655</v>
      </c>
      <c r="AM81" s="8">
        <v>0.56267</v>
      </c>
      <c r="AN81" s="8">
        <v>0.6895219512195121</v>
      </c>
      <c r="AO81" s="8">
        <v>8.7267999999999998E-2</v>
      </c>
      <c r="AP81" s="8">
        <v>0.19144</v>
      </c>
      <c r="AQ81" s="8">
        <v>0.92071000000000003</v>
      </c>
      <c r="AR81" s="8">
        <v>0.48826000000000003</v>
      </c>
      <c r="AS81" s="8">
        <v>0.44263999999999998</v>
      </c>
      <c r="AT81" s="8">
        <v>5.1681999999999999E-2</v>
      </c>
      <c r="AU81" s="8">
        <v>0.17773</v>
      </c>
      <c r="AV81" s="8">
        <v>0.23895</v>
      </c>
      <c r="AW81" s="8">
        <v>0.86431000000000002</v>
      </c>
      <c r="AX81" s="8">
        <v>0.17563999999999999</v>
      </c>
      <c r="AY81" s="8">
        <v>0.11484</v>
      </c>
      <c r="AZ81" s="8">
        <v>0.15520999999999999</v>
      </c>
      <c r="BA81" s="8">
        <v>0.20268</v>
      </c>
      <c r="BB81" s="8">
        <v>7.0650000000000004E-2</v>
      </c>
      <c r="BC81" s="8">
        <v>7.5861999999999999E-2</v>
      </c>
      <c r="BD81" s="8">
        <v>0.64786999999999995</v>
      </c>
      <c r="BE81" s="8">
        <v>0.53108999999999995</v>
      </c>
      <c r="BF81" s="8">
        <v>0.20832999999999999</v>
      </c>
      <c r="BG81" s="8">
        <v>8.5613999999999996E-2</v>
      </c>
      <c r="BH81" s="8">
        <v>8.4760000000000002E-2</v>
      </c>
      <c r="BI81" s="8">
        <v>0.49595</v>
      </c>
      <c r="BJ81" s="8">
        <v>0.71260999999999997</v>
      </c>
      <c r="BK81" s="8">
        <v>0.40017000000000003</v>
      </c>
      <c r="BL81" s="8">
        <v>0.78722999999999999</v>
      </c>
      <c r="BM81" s="8">
        <v>0.12341000000000001</v>
      </c>
      <c r="BN81" s="8">
        <v>0.11008</v>
      </c>
      <c r="BO81" s="8">
        <v>1.1691E-2</v>
      </c>
      <c r="BP81" s="8">
        <v>5.9400000000000001E-2</v>
      </c>
      <c r="BQ81" s="8">
        <v>6.6790000000000002E-2</v>
      </c>
      <c r="BR81" s="8">
        <v>0.22958000000000001</v>
      </c>
      <c r="BS81" s="8">
        <v>0.19675999999999999</v>
      </c>
      <c r="BT81" s="8">
        <v>0.29708000000000001</v>
      </c>
      <c r="BU81" s="8">
        <v>0.18754999999999999</v>
      </c>
      <c r="BV81" s="8">
        <v>0.45767000000000002</v>
      </c>
      <c r="BW81" s="8">
        <v>0.43614999999999998</v>
      </c>
      <c r="BX81" s="8">
        <v>0.30370999999999998</v>
      </c>
      <c r="BY81" s="8">
        <v>0.13904</v>
      </c>
      <c r="BZ81" s="8">
        <v>0.10539999999999999</v>
      </c>
      <c r="CA81" s="8">
        <v>0.31787853658536591</v>
      </c>
      <c r="CB81" s="8">
        <v>0.37868000000000002</v>
      </c>
      <c r="CC81" s="8">
        <v>0.81908000000000003</v>
      </c>
      <c r="CD81" s="8">
        <v>0.76029000000000002</v>
      </c>
      <c r="CE81" s="8">
        <v>0.47881000000000001</v>
      </c>
      <c r="CF81" s="8">
        <v>0.91303999999999996</v>
      </c>
      <c r="CG81" s="8">
        <v>0.75912999999999997</v>
      </c>
      <c r="CH81" s="8">
        <v>6.1706999999999998E-2</v>
      </c>
      <c r="CI81" s="8">
        <v>0.37214999999999998</v>
      </c>
      <c r="CJ81" s="8">
        <v>0.80056000000000005</v>
      </c>
      <c r="CK81" s="8">
        <v>0.17513000000000001</v>
      </c>
      <c r="CL81" s="8">
        <v>0.83070999999999995</v>
      </c>
      <c r="CM81" s="8">
        <v>0.60989000000000004</v>
      </c>
      <c r="CN81" s="8">
        <v>0.25533</v>
      </c>
      <c r="CO81" s="8">
        <v>0.58146317073170728</v>
      </c>
      <c r="CP81" s="8">
        <v>0.72275463414634122</v>
      </c>
      <c r="CQ81" s="8">
        <v>0.76226000000000005</v>
      </c>
      <c r="CR81" s="8">
        <v>0.75148000000000004</v>
      </c>
      <c r="CS81" s="8">
        <v>0.88088999999999995</v>
      </c>
      <c r="CT81" s="8">
        <v>0.90290000000000004</v>
      </c>
      <c r="CU81" s="8">
        <v>0.25222</v>
      </c>
      <c r="CV81" s="8">
        <v>0.86163000000000001</v>
      </c>
      <c r="CW81" s="8">
        <v>0.63622000000000001</v>
      </c>
    </row>
    <row r="82" spans="1:101">
      <c r="A82">
        <f t="shared" si="1"/>
        <v>720</v>
      </c>
      <c r="B82">
        <v>1</v>
      </c>
      <c r="C82" s="8">
        <v>0.89871999999999996</v>
      </c>
      <c r="D82" s="8">
        <v>0.80256000000000005</v>
      </c>
      <c r="E82" s="8">
        <v>0.23280999999999999</v>
      </c>
      <c r="F82" s="8">
        <v>0.5184882926829264</v>
      </c>
      <c r="G82" s="8">
        <v>0.92737000000000003</v>
      </c>
      <c r="H82" s="8">
        <v>0.77144999999999997</v>
      </c>
      <c r="I82" s="8">
        <v>0.45850000000000002</v>
      </c>
      <c r="J82" s="8">
        <v>0.63709000000000005</v>
      </c>
      <c r="K82" s="8">
        <v>6.0642000000000001E-2</v>
      </c>
      <c r="L82" s="8">
        <v>0.88759999999999994</v>
      </c>
      <c r="M82" s="8">
        <v>0.77649999999999997</v>
      </c>
      <c r="N82" s="8">
        <v>0.68957000000000002</v>
      </c>
      <c r="O82" s="8">
        <v>0.26502999999999999</v>
      </c>
      <c r="P82" s="8">
        <v>0.49662000000000001</v>
      </c>
      <c r="Q82" s="8">
        <v>0.64039000000000001</v>
      </c>
      <c r="R82" s="8">
        <v>0.61195999999999995</v>
      </c>
      <c r="S82" s="8">
        <v>0.73904999999999998</v>
      </c>
      <c r="T82" s="8">
        <v>0.41403000000000001</v>
      </c>
      <c r="U82" s="8">
        <v>0.51168000000000002</v>
      </c>
      <c r="V82" s="8">
        <v>0.88156000000000001</v>
      </c>
      <c r="W82" s="8">
        <v>0.91315999999999997</v>
      </c>
      <c r="X82" s="8">
        <v>0.84587999999999997</v>
      </c>
      <c r="Y82" s="8">
        <v>0.88578999999999997</v>
      </c>
      <c r="Z82" s="8">
        <v>0.83116000000000001</v>
      </c>
      <c r="AA82" s="8">
        <v>0.54893000000000003</v>
      </c>
      <c r="AB82" s="8">
        <v>0.9103</v>
      </c>
      <c r="AC82" s="8">
        <v>0.49042000000000002</v>
      </c>
      <c r="AD82" s="8">
        <v>0.11711000000000001</v>
      </c>
      <c r="AE82" s="8">
        <v>0.85775000000000001</v>
      </c>
      <c r="AF82" s="8">
        <v>0.38347999999999999</v>
      </c>
      <c r="AG82" s="8">
        <v>0.83048</v>
      </c>
      <c r="AH82" s="8">
        <v>0.90220999999999996</v>
      </c>
      <c r="AI82" s="8">
        <v>0.83026999999999995</v>
      </c>
      <c r="AJ82" s="8">
        <v>0.28144000000000002</v>
      </c>
      <c r="AK82" s="8">
        <v>0.10639999999999999</v>
      </c>
      <c r="AL82" s="8">
        <v>0.50353146341463417</v>
      </c>
      <c r="AM82" s="8">
        <v>0.61504999999999999</v>
      </c>
      <c r="AN82" s="8">
        <v>0.69327829268292673</v>
      </c>
      <c r="AO82" s="8">
        <v>8.7105000000000002E-2</v>
      </c>
      <c r="AP82" s="8">
        <v>0.18956000000000001</v>
      </c>
      <c r="AQ82" s="8">
        <v>0.92557999999999996</v>
      </c>
      <c r="AR82" s="8">
        <v>0.51663999999999999</v>
      </c>
      <c r="AS82" s="8">
        <v>0.49036999999999997</v>
      </c>
      <c r="AT82" s="8">
        <v>5.1577999999999999E-2</v>
      </c>
      <c r="AU82" s="8">
        <v>0.17585999999999999</v>
      </c>
      <c r="AV82" s="8">
        <v>0.24168000000000001</v>
      </c>
      <c r="AW82" s="8">
        <v>0.87875999999999999</v>
      </c>
      <c r="AX82" s="8">
        <v>0.17652000000000001</v>
      </c>
      <c r="AY82" s="8">
        <v>0.11756999999999999</v>
      </c>
      <c r="AZ82" s="8">
        <v>0.15154000000000001</v>
      </c>
      <c r="BA82" s="8">
        <v>0.19757</v>
      </c>
      <c r="BB82" s="8">
        <v>6.8838999999999997E-2</v>
      </c>
      <c r="BC82" s="8">
        <v>7.7035000000000006E-2</v>
      </c>
      <c r="BD82" s="8">
        <v>0.65583000000000002</v>
      </c>
      <c r="BE82" s="8">
        <v>0.53478000000000003</v>
      </c>
      <c r="BF82" s="8">
        <v>0.21235000000000001</v>
      </c>
      <c r="BG82" s="8">
        <v>8.6599999999999996E-2</v>
      </c>
      <c r="BH82" s="8">
        <v>8.362E-2</v>
      </c>
      <c r="BI82" s="8">
        <v>0.48784</v>
      </c>
      <c r="BJ82" s="8">
        <v>0.71858999999999995</v>
      </c>
      <c r="BK82" s="8">
        <v>0.39745999999999998</v>
      </c>
      <c r="BL82" s="8">
        <v>0.82050000000000001</v>
      </c>
      <c r="BM82" s="8">
        <v>0.13244</v>
      </c>
      <c r="BN82" s="8">
        <v>0.10972999999999999</v>
      </c>
      <c r="BO82" s="8">
        <v>1.1844E-2</v>
      </c>
      <c r="BP82" s="8">
        <v>5.9332999999999997E-2</v>
      </c>
      <c r="BQ82" s="8">
        <v>6.6460000000000005E-2</v>
      </c>
      <c r="BR82" s="8">
        <v>0.22725999999999999</v>
      </c>
      <c r="BS82" s="8">
        <v>0.19491</v>
      </c>
      <c r="BT82" s="8">
        <v>0.29483999999999999</v>
      </c>
      <c r="BU82" s="8">
        <v>0.20083000000000001</v>
      </c>
      <c r="BV82" s="8">
        <v>0.45824999999999999</v>
      </c>
      <c r="BW82" s="8">
        <v>0.48169000000000001</v>
      </c>
      <c r="BX82" s="8">
        <v>0.35110999999999998</v>
      </c>
      <c r="BY82" s="8">
        <v>0.14743000000000001</v>
      </c>
      <c r="BZ82" s="8">
        <v>9.8311999999999997E-2</v>
      </c>
      <c r="CA82" s="8">
        <v>0.3116517073170732</v>
      </c>
      <c r="CB82" s="8">
        <v>0.42547000000000001</v>
      </c>
      <c r="CC82" s="8">
        <v>0.83016000000000001</v>
      </c>
      <c r="CD82" s="8">
        <v>0.77927000000000002</v>
      </c>
      <c r="CE82" s="8">
        <v>0.48249999999999998</v>
      </c>
      <c r="CF82" s="8">
        <v>0.92166999999999999</v>
      </c>
      <c r="CG82" s="8">
        <v>0.77600000000000002</v>
      </c>
      <c r="CH82" s="8">
        <v>6.1279E-2</v>
      </c>
      <c r="CI82" s="8">
        <v>0.38391999999999998</v>
      </c>
      <c r="CJ82" s="8">
        <v>0.80686999999999998</v>
      </c>
      <c r="CK82" s="8">
        <v>0.17394999999999999</v>
      </c>
      <c r="CL82" s="8">
        <v>0.85496000000000005</v>
      </c>
      <c r="CM82" s="8">
        <v>0.64727999999999997</v>
      </c>
      <c r="CN82" s="8">
        <v>0.25669999999999998</v>
      </c>
      <c r="CO82" s="8">
        <v>0.5735417073170731</v>
      </c>
      <c r="CP82" s="8">
        <v>0.7336958536585364</v>
      </c>
      <c r="CQ82" s="8">
        <v>0.76305999999999996</v>
      </c>
      <c r="CR82" s="8">
        <v>0.77439000000000002</v>
      </c>
      <c r="CS82" s="8">
        <v>0.88534999999999997</v>
      </c>
      <c r="CT82" s="8">
        <v>0.90639999999999998</v>
      </c>
      <c r="CU82" s="8">
        <v>0.24565999999999999</v>
      </c>
      <c r="CV82" s="8">
        <v>0.87141000000000002</v>
      </c>
      <c r="CW82" s="8">
        <v>0.63702000000000003</v>
      </c>
    </row>
    <row r="83" spans="1:101">
      <c r="A83">
        <f t="shared" si="1"/>
        <v>725</v>
      </c>
      <c r="B83">
        <v>1</v>
      </c>
      <c r="C83" s="8">
        <v>0.90019000000000005</v>
      </c>
      <c r="D83" s="8">
        <v>0.80906999999999996</v>
      </c>
      <c r="E83" s="8">
        <v>0.23959</v>
      </c>
      <c r="F83" s="8">
        <v>0.52041048780487775</v>
      </c>
      <c r="G83" s="8">
        <v>0.93156000000000005</v>
      </c>
      <c r="H83" s="8">
        <v>0.79034000000000004</v>
      </c>
      <c r="I83" s="8">
        <v>0.45701999999999998</v>
      </c>
      <c r="J83" s="8">
        <v>0.64227999999999996</v>
      </c>
      <c r="K83" s="8">
        <v>6.0103999999999998E-2</v>
      </c>
      <c r="L83" s="8">
        <v>0.88873999999999997</v>
      </c>
      <c r="M83" s="8">
        <v>0.78957999999999995</v>
      </c>
      <c r="N83" s="8">
        <v>0.69062999999999997</v>
      </c>
      <c r="O83" s="8">
        <v>0.26471</v>
      </c>
      <c r="P83" s="8">
        <v>0.49703999999999998</v>
      </c>
      <c r="Q83" s="8">
        <v>0.64288999999999996</v>
      </c>
      <c r="R83" s="8">
        <v>0.62624000000000002</v>
      </c>
      <c r="S83" s="8">
        <v>0.76036999999999999</v>
      </c>
      <c r="T83" s="8">
        <v>0.41722999999999999</v>
      </c>
      <c r="U83" s="8">
        <v>0.51100000000000001</v>
      </c>
      <c r="V83" s="8">
        <v>0.88714999999999999</v>
      </c>
      <c r="W83" s="8">
        <v>0.91393999999999997</v>
      </c>
      <c r="X83" s="8">
        <v>0.84711999999999998</v>
      </c>
      <c r="Y83" s="8">
        <v>0.88770000000000004</v>
      </c>
      <c r="Z83" s="8">
        <v>0.82957999999999998</v>
      </c>
      <c r="AA83" s="8">
        <v>0.55608000000000002</v>
      </c>
      <c r="AB83" s="8">
        <v>0.91066000000000003</v>
      </c>
      <c r="AC83" s="8">
        <v>0.49654999999999999</v>
      </c>
      <c r="AD83" s="8">
        <v>0.11871</v>
      </c>
      <c r="AE83" s="8">
        <v>0.86202999999999996</v>
      </c>
      <c r="AF83" s="8">
        <v>0.38815</v>
      </c>
      <c r="AG83" s="8">
        <v>0.8306</v>
      </c>
      <c r="AH83" s="8">
        <v>0.91195999999999999</v>
      </c>
      <c r="AI83" s="8">
        <v>0.83213000000000004</v>
      </c>
      <c r="AJ83" s="8">
        <v>0.28326000000000001</v>
      </c>
      <c r="AK83" s="8">
        <v>0.10709</v>
      </c>
      <c r="AL83" s="8">
        <v>0.49575000000000008</v>
      </c>
      <c r="AM83" s="8">
        <v>0.66488999999999998</v>
      </c>
      <c r="AN83" s="8">
        <v>0.69710560975609737</v>
      </c>
      <c r="AO83" s="8">
        <v>8.6941000000000004E-2</v>
      </c>
      <c r="AP83" s="8">
        <v>0.18769</v>
      </c>
      <c r="AQ83" s="8">
        <v>0.93018000000000001</v>
      </c>
      <c r="AR83" s="8">
        <v>0.54491000000000001</v>
      </c>
      <c r="AS83" s="8">
        <v>0.53827999999999998</v>
      </c>
      <c r="AT83" s="8">
        <v>5.1473999999999999E-2</v>
      </c>
      <c r="AU83" s="8">
        <v>0.17644000000000001</v>
      </c>
      <c r="AV83" s="8">
        <v>0.24443000000000001</v>
      </c>
      <c r="AW83" s="8">
        <v>0.89187000000000005</v>
      </c>
      <c r="AX83" s="8">
        <v>0.17829999999999999</v>
      </c>
      <c r="AY83" s="8">
        <v>0.12089999999999999</v>
      </c>
      <c r="AZ83" s="8">
        <v>0.14793000000000001</v>
      </c>
      <c r="BA83" s="8">
        <v>0.19256000000000001</v>
      </c>
      <c r="BB83" s="8">
        <v>6.7071000000000006E-2</v>
      </c>
      <c r="BC83" s="8">
        <v>7.8225000000000003E-2</v>
      </c>
      <c r="BD83" s="8">
        <v>0.66371000000000002</v>
      </c>
      <c r="BE83" s="8">
        <v>0.54157999999999995</v>
      </c>
      <c r="BF83" s="8">
        <v>0.21642</v>
      </c>
      <c r="BG83" s="8">
        <v>8.6863999999999997E-2</v>
      </c>
      <c r="BH83" s="8">
        <v>8.2847000000000004E-2</v>
      </c>
      <c r="BI83" s="8">
        <v>0.47974</v>
      </c>
      <c r="BJ83" s="8">
        <v>0.72709999999999997</v>
      </c>
      <c r="BK83" s="8">
        <v>0.39474999999999999</v>
      </c>
      <c r="BL83" s="8">
        <v>0.84955999999999998</v>
      </c>
      <c r="BM83" s="8">
        <v>0.14202000000000001</v>
      </c>
      <c r="BN83" s="8">
        <v>0.10938000000000001</v>
      </c>
      <c r="BO83" s="8">
        <v>1.2E-2</v>
      </c>
      <c r="BP83" s="8">
        <v>5.9267E-2</v>
      </c>
      <c r="BQ83" s="8">
        <v>6.6130999999999995E-2</v>
      </c>
      <c r="BR83" s="8">
        <v>0.22495000000000001</v>
      </c>
      <c r="BS83" s="8">
        <v>0.19306999999999999</v>
      </c>
      <c r="BT83" s="8">
        <v>0.29260000000000003</v>
      </c>
      <c r="BU83" s="8">
        <v>0.21479999999999999</v>
      </c>
      <c r="BV83" s="8">
        <v>0.45883000000000002</v>
      </c>
      <c r="BW83" s="8">
        <v>0.52754000000000001</v>
      </c>
      <c r="BX83" s="8">
        <v>0.40165000000000001</v>
      </c>
      <c r="BY83" s="8">
        <v>0.15623000000000001</v>
      </c>
      <c r="BZ83" s="8">
        <v>9.1648999999999994E-2</v>
      </c>
      <c r="CA83" s="8">
        <v>0.30493756097560981</v>
      </c>
      <c r="CB83" s="8">
        <v>0.47364000000000001</v>
      </c>
      <c r="CC83" s="8">
        <v>0.84069000000000005</v>
      </c>
      <c r="CD83" s="8">
        <v>0.79615000000000002</v>
      </c>
      <c r="CE83" s="8">
        <v>0.48618</v>
      </c>
      <c r="CF83" s="8">
        <v>0.92952000000000001</v>
      </c>
      <c r="CG83" s="8">
        <v>0.79201999999999995</v>
      </c>
      <c r="CH83" s="8">
        <v>6.0852999999999997E-2</v>
      </c>
      <c r="CI83" s="8">
        <v>0.39582000000000001</v>
      </c>
      <c r="CJ83" s="8">
        <v>0.81303000000000003</v>
      </c>
      <c r="CK83" s="8">
        <v>0.17277999999999999</v>
      </c>
      <c r="CL83" s="8">
        <v>0.87624999999999997</v>
      </c>
      <c r="CM83" s="8">
        <v>0.68293999999999999</v>
      </c>
      <c r="CN83" s="8">
        <v>0.25807000000000002</v>
      </c>
      <c r="CO83" s="8">
        <v>0.56537609756097573</v>
      </c>
      <c r="CP83" s="8">
        <v>0.74439097560975598</v>
      </c>
      <c r="CQ83" s="8">
        <v>0.76368999999999998</v>
      </c>
      <c r="CR83" s="8">
        <v>0.79576000000000002</v>
      </c>
      <c r="CS83" s="8">
        <v>0.88966000000000001</v>
      </c>
      <c r="CT83" s="8">
        <v>0.90978999999999999</v>
      </c>
      <c r="CU83" s="8">
        <v>0.23921999999999999</v>
      </c>
      <c r="CV83" s="8">
        <v>0.88058000000000003</v>
      </c>
      <c r="CW83" s="8">
        <v>0.63782000000000005</v>
      </c>
    </row>
    <row r="84" spans="1:101">
      <c r="A84">
        <f t="shared" si="1"/>
        <v>730</v>
      </c>
      <c r="B84">
        <v>1</v>
      </c>
      <c r="C84" s="8">
        <v>0.90164</v>
      </c>
      <c r="D84" s="8">
        <v>0.81542000000000003</v>
      </c>
      <c r="E84" s="8">
        <v>0.24651000000000001</v>
      </c>
      <c r="F84" s="8">
        <v>0.52228243902439009</v>
      </c>
      <c r="G84" s="8">
        <v>0.93638999999999994</v>
      </c>
      <c r="H84" s="8">
        <v>0.80806</v>
      </c>
      <c r="I84" s="8">
        <v>0.45552999999999999</v>
      </c>
      <c r="J84" s="8">
        <v>0.64778999999999998</v>
      </c>
      <c r="K84" s="8">
        <v>5.9569999999999998E-2</v>
      </c>
      <c r="L84" s="8">
        <v>0.88987000000000005</v>
      </c>
      <c r="M84" s="8">
        <v>0.80208999999999997</v>
      </c>
      <c r="N84" s="8">
        <v>0.69169000000000003</v>
      </c>
      <c r="O84" s="8">
        <v>0.26440000000000002</v>
      </c>
      <c r="P84" s="8">
        <v>0.49747000000000002</v>
      </c>
      <c r="Q84" s="8">
        <v>0.64537999999999995</v>
      </c>
      <c r="R84" s="8">
        <v>0.64029999999999998</v>
      </c>
      <c r="S84" s="8">
        <v>0.78044999999999998</v>
      </c>
      <c r="T84" s="8">
        <v>0.42043000000000003</v>
      </c>
      <c r="U84" s="8">
        <v>0.51032999999999995</v>
      </c>
      <c r="V84" s="8">
        <v>0.89251999999999998</v>
      </c>
      <c r="W84" s="8">
        <v>0.91471999999999998</v>
      </c>
      <c r="X84" s="8">
        <v>0.84960000000000002</v>
      </c>
      <c r="Y84" s="8">
        <v>0.88946000000000003</v>
      </c>
      <c r="Z84" s="8">
        <v>0.82799999999999996</v>
      </c>
      <c r="AA84" s="8">
        <v>0.56322000000000005</v>
      </c>
      <c r="AB84" s="8">
        <v>0.91103000000000001</v>
      </c>
      <c r="AC84" s="8">
        <v>0.50268000000000002</v>
      </c>
      <c r="AD84" s="8">
        <v>0.11978999999999999</v>
      </c>
      <c r="AE84" s="8">
        <v>0.86621000000000004</v>
      </c>
      <c r="AF84" s="8">
        <v>0.39284000000000002</v>
      </c>
      <c r="AG84" s="8">
        <v>0.83026</v>
      </c>
      <c r="AH84" s="8">
        <v>0.92083000000000004</v>
      </c>
      <c r="AI84" s="8">
        <v>0.83581000000000005</v>
      </c>
      <c r="AJ84" s="8">
        <v>0.28509000000000001</v>
      </c>
      <c r="AK84" s="8">
        <v>0.10779</v>
      </c>
      <c r="AL84" s="8">
        <v>0.4881948780487807</v>
      </c>
      <c r="AM84" s="8">
        <v>0.71130000000000004</v>
      </c>
      <c r="AN84" s="8">
        <v>0.70082536585365851</v>
      </c>
      <c r="AO84" s="8">
        <v>8.6778999999999995E-2</v>
      </c>
      <c r="AP84" s="8">
        <v>0.18584000000000001</v>
      </c>
      <c r="AQ84" s="8">
        <v>0.93450999999999995</v>
      </c>
      <c r="AR84" s="8">
        <v>0.57289999999999996</v>
      </c>
      <c r="AS84" s="8">
        <v>0.58548999999999995</v>
      </c>
      <c r="AT84" s="8">
        <v>5.1369999999999999E-2</v>
      </c>
      <c r="AU84" s="8">
        <v>0.17846999999999999</v>
      </c>
      <c r="AV84" s="8">
        <v>0.2472</v>
      </c>
      <c r="AW84" s="8">
        <v>0.90371000000000001</v>
      </c>
      <c r="AX84" s="8">
        <v>0.18110999999999999</v>
      </c>
      <c r="AY84" s="8">
        <v>0.12509000000000001</v>
      </c>
      <c r="AZ84" s="8">
        <v>0.1444</v>
      </c>
      <c r="BA84" s="8">
        <v>0.18764</v>
      </c>
      <c r="BB84" s="8">
        <v>6.5345E-2</v>
      </c>
      <c r="BC84" s="8">
        <v>7.9432000000000003E-2</v>
      </c>
      <c r="BD84" s="8">
        <v>0.67149999999999999</v>
      </c>
      <c r="BE84" s="8">
        <v>0.55167999999999995</v>
      </c>
      <c r="BF84" s="8">
        <v>0.22056000000000001</v>
      </c>
      <c r="BG84" s="8">
        <v>8.6599999999999996E-2</v>
      </c>
      <c r="BH84" s="8">
        <v>8.3169999999999994E-2</v>
      </c>
      <c r="BI84" s="8">
        <v>0.47166000000000002</v>
      </c>
      <c r="BJ84" s="8">
        <v>0.73765999999999998</v>
      </c>
      <c r="BK84" s="8">
        <v>0.39205000000000001</v>
      </c>
      <c r="BL84" s="8">
        <v>0.87463000000000002</v>
      </c>
      <c r="BM84" s="8">
        <v>0.15215999999999999</v>
      </c>
      <c r="BN84" s="8">
        <v>0.10903</v>
      </c>
      <c r="BO84" s="8">
        <v>1.2158E-2</v>
      </c>
      <c r="BP84" s="8">
        <v>5.9200999999999997E-2</v>
      </c>
      <c r="BQ84" s="8">
        <v>6.5804000000000001E-2</v>
      </c>
      <c r="BR84" s="8">
        <v>0.22267000000000001</v>
      </c>
      <c r="BS84" s="8">
        <v>0.19123999999999999</v>
      </c>
      <c r="BT84" s="8">
        <v>0.29038000000000003</v>
      </c>
      <c r="BU84" s="8">
        <v>0.22946</v>
      </c>
      <c r="BV84" s="8">
        <v>0.45940999999999999</v>
      </c>
      <c r="BW84" s="8">
        <v>0.57293000000000005</v>
      </c>
      <c r="BX84" s="8">
        <v>0.45437</v>
      </c>
      <c r="BY84" s="8">
        <v>0.16546</v>
      </c>
      <c r="BZ84" s="8">
        <v>8.5394999999999999E-2</v>
      </c>
      <c r="CA84" s="8">
        <v>0.29853804878048773</v>
      </c>
      <c r="CB84" s="8">
        <v>0.52229999999999999</v>
      </c>
      <c r="CC84" s="8">
        <v>0.85068999999999995</v>
      </c>
      <c r="CD84" s="8">
        <v>0.81061000000000005</v>
      </c>
      <c r="CE84" s="8">
        <v>0.48987000000000003</v>
      </c>
      <c r="CF84" s="8">
        <v>0.93662999999999996</v>
      </c>
      <c r="CG84" s="8">
        <v>0.80717000000000005</v>
      </c>
      <c r="CH84" s="8">
        <v>6.0430999999999999E-2</v>
      </c>
      <c r="CI84" s="8">
        <v>0.40784999999999999</v>
      </c>
      <c r="CJ84" s="8">
        <v>0.81903999999999999</v>
      </c>
      <c r="CK84" s="8">
        <v>0.17161000000000001</v>
      </c>
      <c r="CL84" s="8">
        <v>0.89480999999999999</v>
      </c>
      <c r="CM84" s="8">
        <v>0.71657999999999999</v>
      </c>
      <c r="CN84" s="8">
        <v>0.25945000000000001</v>
      </c>
      <c r="CO84" s="8">
        <v>0.55744707317073172</v>
      </c>
      <c r="CP84" s="8">
        <v>0.75454512195121937</v>
      </c>
      <c r="CQ84" s="8">
        <v>0.76529999999999998</v>
      </c>
      <c r="CR84" s="8">
        <v>0.81557999999999997</v>
      </c>
      <c r="CS84" s="8">
        <v>0.89383999999999997</v>
      </c>
      <c r="CT84" s="8">
        <v>0.91307000000000005</v>
      </c>
      <c r="CU84" s="8">
        <v>0.2329</v>
      </c>
      <c r="CV84" s="8">
        <v>0.88919000000000004</v>
      </c>
      <c r="CW84" s="8">
        <v>0.63861000000000001</v>
      </c>
    </row>
    <row r="85" spans="1:101">
      <c r="A85">
        <f t="shared" si="1"/>
        <v>735</v>
      </c>
      <c r="B85">
        <v>1</v>
      </c>
      <c r="C85" s="8">
        <v>0.90307000000000004</v>
      </c>
      <c r="D85" s="8">
        <v>0.82160999999999995</v>
      </c>
      <c r="E85" s="8">
        <v>0.25356000000000001</v>
      </c>
      <c r="F85" s="8">
        <v>0.52415365853658535</v>
      </c>
      <c r="G85" s="8">
        <v>0.93984999999999996</v>
      </c>
      <c r="H85" s="8">
        <v>0.82462000000000002</v>
      </c>
      <c r="I85" s="8">
        <v>0.45404</v>
      </c>
      <c r="J85" s="8">
        <v>0.65285000000000004</v>
      </c>
      <c r="K85" s="8">
        <v>5.9041000000000003E-2</v>
      </c>
      <c r="L85" s="8">
        <v>0.89098999999999995</v>
      </c>
      <c r="M85" s="8">
        <v>0.81403000000000003</v>
      </c>
      <c r="N85" s="8">
        <v>0.69274999999999998</v>
      </c>
      <c r="O85" s="8">
        <v>0.26407999999999998</v>
      </c>
      <c r="P85" s="8">
        <v>0.49789</v>
      </c>
      <c r="Q85" s="8">
        <v>0.64786999999999995</v>
      </c>
      <c r="R85" s="8">
        <v>0.65412999999999999</v>
      </c>
      <c r="S85" s="8">
        <v>0.79930000000000001</v>
      </c>
      <c r="T85" s="8">
        <v>0.42364000000000002</v>
      </c>
      <c r="U85" s="8">
        <v>0.50965000000000005</v>
      </c>
      <c r="V85" s="8">
        <v>0.89764999999999995</v>
      </c>
      <c r="W85" s="8">
        <v>0.91549999999999998</v>
      </c>
      <c r="X85" s="8">
        <v>0.85043000000000002</v>
      </c>
      <c r="Y85" s="8">
        <v>0.89029999999999998</v>
      </c>
      <c r="Z85" s="8">
        <v>0.82640000000000002</v>
      </c>
      <c r="AA85" s="8">
        <v>0.57032000000000005</v>
      </c>
      <c r="AB85" s="8">
        <v>0.91139999999999999</v>
      </c>
      <c r="AC85" s="8">
        <v>0.50880999999999998</v>
      </c>
      <c r="AD85" s="8">
        <v>0.11884</v>
      </c>
      <c r="AE85" s="8">
        <v>0.87028000000000005</v>
      </c>
      <c r="AF85" s="8">
        <v>0.39756000000000002</v>
      </c>
      <c r="AG85" s="8">
        <v>0.8306</v>
      </c>
      <c r="AH85" s="8">
        <v>0.92886999999999997</v>
      </c>
      <c r="AI85" s="8">
        <v>0.83692999999999995</v>
      </c>
      <c r="AJ85" s="8">
        <v>0.28692000000000001</v>
      </c>
      <c r="AK85" s="8">
        <v>0.1085</v>
      </c>
      <c r="AL85" s="8">
        <v>0.4806458536585369</v>
      </c>
      <c r="AM85" s="8">
        <v>0.75366999999999995</v>
      </c>
      <c r="AN85" s="8">
        <v>0.70451926829268297</v>
      </c>
      <c r="AO85" s="8">
        <v>8.6615999999999999E-2</v>
      </c>
      <c r="AP85" s="8">
        <v>0.184</v>
      </c>
      <c r="AQ85" s="8">
        <v>0.93859000000000004</v>
      </c>
      <c r="AR85" s="8">
        <v>0.60041999999999995</v>
      </c>
      <c r="AS85" s="8">
        <v>0.63117999999999996</v>
      </c>
      <c r="AT85" s="8">
        <v>5.1265999999999999E-2</v>
      </c>
      <c r="AU85" s="8">
        <v>0.18115999999999999</v>
      </c>
      <c r="AV85" s="8">
        <v>0.24998999999999999</v>
      </c>
      <c r="AW85" s="8">
        <v>0.91437999999999997</v>
      </c>
      <c r="AX85" s="8">
        <v>0.18243000000000001</v>
      </c>
      <c r="AY85" s="8">
        <v>0.12825</v>
      </c>
      <c r="AZ85" s="8">
        <v>0.14093</v>
      </c>
      <c r="BA85" s="8">
        <v>0.18282000000000001</v>
      </c>
      <c r="BB85" s="8">
        <v>6.3660999999999995E-2</v>
      </c>
      <c r="BC85" s="8">
        <v>8.0656000000000005E-2</v>
      </c>
      <c r="BD85" s="8">
        <v>0.67920000000000003</v>
      </c>
      <c r="BE85" s="8">
        <v>0.56547999999999998</v>
      </c>
      <c r="BF85" s="8">
        <v>0.22475000000000001</v>
      </c>
      <c r="BG85" s="8">
        <v>8.6528999999999995E-2</v>
      </c>
      <c r="BH85" s="8">
        <v>8.2022999999999999E-2</v>
      </c>
      <c r="BI85" s="8">
        <v>0.46357999999999999</v>
      </c>
      <c r="BJ85" s="8">
        <v>0.75043000000000004</v>
      </c>
      <c r="BK85" s="8">
        <v>0.38935999999999998</v>
      </c>
      <c r="BL85" s="8">
        <v>0.89603999999999995</v>
      </c>
      <c r="BM85" s="8">
        <v>0.16289999999999999</v>
      </c>
      <c r="BN85" s="8">
        <v>0.10868999999999999</v>
      </c>
      <c r="BO85" s="8">
        <v>1.2318000000000001E-2</v>
      </c>
      <c r="BP85" s="8">
        <v>5.9135E-2</v>
      </c>
      <c r="BQ85" s="8">
        <v>6.5478999999999996E-2</v>
      </c>
      <c r="BR85" s="8">
        <v>0.22039</v>
      </c>
      <c r="BS85" s="8">
        <v>0.18942000000000001</v>
      </c>
      <c r="BT85" s="8">
        <v>0.28816999999999998</v>
      </c>
      <c r="BU85" s="8">
        <v>0.24479999999999999</v>
      </c>
      <c r="BV85" s="8">
        <v>0.45998</v>
      </c>
      <c r="BW85" s="8">
        <v>0.61712</v>
      </c>
      <c r="BX85" s="8">
        <v>0.50812999999999997</v>
      </c>
      <c r="BY85" s="8">
        <v>0.17512</v>
      </c>
      <c r="BZ85" s="8">
        <v>7.9531000000000004E-2</v>
      </c>
      <c r="CA85" s="8">
        <v>0.2922160975609755</v>
      </c>
      <c r="CB85" s="8">
        <v>0.57054000000000005</v>
      </c>
      <c r="CC85" s="8">
        <v>0.86016000000000004</v>
      </c>
      <c r="CD85" s="8">
        <v>0.82240999999999997</v>
      </c>
      <c r="CE85" s="8">
        <v>0.49356</v>
      </c>
      <c r="CF85" s="8">
        <v>0.94306999999999996</v>
      </c>
      <c r="CG85" s="8">
        <v>0.82147000000000003</v>
      </c>
      <c r="CH85" s="8">
        <v>6.0011000000000002E-2</v>
      </c>
      <c r="CI85" s="8">
        <v>0.41998999999999997</v>
      </c>
      <c r="CJ85" s="8">
        <v>0.82489999999999997</v>
      </c>
      <c r="CK85" s="8">
        <v>0.17044999999999999</v>
      </c>
      <c r="CL85" s="8">
        <v>0.91086</v>
      </c>
      <c r="CM85" s="8">
        <v>0.74797000000000002</v>
      </c>
      <c r="CN85" s="8">
        <v>0.26083000000000001</v>
      </c>
      <c r="CO85" s="8">
        <v>0.54948926829268285</v>
      </c>
      <c r="CP85" s="8">
        <v>0.76442439024390241</v>
      </c>
      <c r="CQ85" s="8">
        <v>0.76570000000000005</v>
      </c>
      <c r="CR85" s="8">
        <v>0.83389000000000002</v>
      </c>
      <c r="CS85" s="8">
        <v>0.89786999999999995</v>
      </c>
      <c r="CT85" s="8">
        <v>0.91624000000000005</v>
      </c>
      <c r="CU85" s="8">
        <v>0.22669</v>
      </c>
      <c r="CV85" s="8">
        <v>0.89724999999999999</v>
      </c>
      <c r="CW85" s="8">
        <v>0.63941000000000003</v>
      </c>
    </row>
    <row r="86" spans="1:101">
      <c r="A86">
        <f t="shared" si="1"/>
        <v>740</v>
      </c>
      <c r="B86">
        <v>1</v>
      </c>
      <c r="C86" s="8">
        <v>0.90449000000000002</v>
      </c>
      <c r="D86" s="8">
        <v>0.82762999999999998</v>
      </c>
      <c r="E86" s="8">
        <v>0.26073000000000002</v>
      </c>
      <c r="F86" s="8">
        <v>0.52602414634146344</v>
      </c>
      <c r="G86" s="8">
        <v>0.94352999999999998</v>
      </c>
      <c r="H86" s="8">
        <v>0.84003000000000005</v>
      </c>
      <c r="I86" s="8">
        <v>0.45256000000000002</v>
      </c>
      <c r="J86" s="8">
        <v>0.65803999999999996</v>
      </c>
      <c r="K86" s="8">
        <v>5.8515999999999999E-2</v>
      </c>
      <c r="L86" s="8">
        <v>0.8921</v>
      </c>
      <c r="M86" s="8">
        <v>0.82540999999999998</v>
      </c>
      <c r="N86" s="8">
        <v>0.69379999999999997</v>
      </c>
      <c r="O86" s="8">
        <v>0.26375999999999999</v>
      </c>
      <c r="P86" s="8">
        <v>0.49831999999999999</v>
      </c>
      <c r="Q86" s="8">
        <v>0.65034999999999998</v>
      </c>
      <c r="R86" s="8">
        <v>0.66769999999999996</v>
      </c>
      <c r="S86" s="8">
        <v>0.81691000000000003</v>
      </c>
      <c r="T86" s="8">
        <v>0.42686000000000002</v>
      </c>
      <c r="U86" s="8">
        <v>0.50897000000000003</v>
      </c>
      <c r="V86" s="8">
        <v>0.90256999999999998</v>
      </c>
      <c r="W86" s="8">
        <v>0.91625999999999996</v>
      </c>
      <c r="X86" s="8">
        <v>0.85189999999999999</v>
      </c>
      <c r="Y86" s="8">
        <v>0.89073999999999998</v>
      </c>
      <c r="Z86" s="8">
        <v>0.82477999999999996</v>
      </c>
      <c r="AA86" s="8">
        <v>0.57740000000000002</v>
      </c>
      <c r="AB86" s="8">
        <v>0.91176000000000001</v>
      </c>
      <c r="AC86" s="8">
        <v>0.51493999999999995</v>
      </c>
      <c r="AD86" s="8">
        <v>0.1178</v>
      </c>
      <c r="AE86" s="8">
        <v>0.87424000000000002</v>
      </c>
      <c r="AF86" s="8">
        <v>0.40228999999999998</v>
      </c>
      <c r="AG86" s="8">
        <v>0.83067000000000002</v>
      </c>
      <c r="AH86" s="8">
        <v>0.93615000000000004</v>
      </c>
      <c r="AI86" s="8">
        <v>0.83904000000000001</v>
      </c>
      <c r="AJ86" s="8">
        <v>0.28876000000000002</v>
      </c>
      <c r="AK86" s="8">
        <v>0.10920000000000001</v>
      </c>
      <c r="AL86" s="8">
        <v>0.47310536585365864</v>
      </c>
      <c r="AM86" s="8">
        <v>0.79164000000000001</v>
      </c>
      <c r="AN86" s="8">
        <v>0.70818609756097561</v>
      </c>
      <c r="AO86" s="8">
        <v>8.6454000000000003E-2</v>
      </c>
      <c r="AP86" s="8">
        <v>0.18218000000000001</v>
      </c>
      <c r="AQ86" s="8">
        <v>0.94242999999999999</v>
      </c>
      <c r="AR86" s="8">
        <v>0.62733000000000005</v>
      </c>
      <c r="AS86" s="8">
        <v>0.67464000000000002</v>
      </c>
      <c r="AT86" s="8">
        <v>5.1163E-2</v>
      </c>
      <c r="AU86" s="8">
        <v>0.18747</v>
      </c>
      <c r="AV86" s="8">
        <v>0.25280000000000002</v>
      </c>
      <c r="AW86" s="8">
        <v>0.92396</v>
      </c>
      <c r="AX86" s="8">
        <v>0.18437000000000001</v>
      </c>
      <c r="AY86" s="8">
        <v>0.13195000000000001</v>
      </c>
      <c r="AZ86" s="8">
        <v>0.13754</v>
      </c>
      <c r="BA86" s="8">
        <v>0.17810000000000001</v>
      </c>
      <c r="BB86" s="8">
        <v>6.2017000000000003E-2</v>
      </c>
      <c r="BC86" s="8">
        <v>8.1896999999999998E-2</v>
      </c>
      <c r="BD86" s="8">
        <v>0.68679999999999997</v>
      </c>
      <c r="BE86" s="8">
        <v>0.58513999999999999</v>
      </c>
      <c r="BF86" s="8">
        <v>0.22899</v>
      </c>
      <c r="BG86" s="8">
        <v>8.6599999999999996E-2</v>
      </c>
      <c r="BH86" s="8">
        <v>8.1470000000000001E-2</v>
      </c>
      <c r="BI86" s="8">
        <v>0.45552999999999999</v>
      </c>
      <c r="BJ86" s="8">
        <v>0.76849999999999996</v>
      </c>
      <c r="BK86" s="8">
        <v>0.38667000000000001</v>
      </c>
      <c r="BL86" s="8">
        <v>0.91415000000000002</v>
      </c>
      <c r="BM86" s="8">
        <v>0.17424000000000001</v>
      </c>
      <c r="BN86" s="8">
        <v>0.10834000000000001</v>
      </c>
      <c r="BO86" s="8">
        <v>1.248E-2</v>
      </c>
      <c r="BP86" s="8">
        <v>5.9069000000000003E-2</v>
      </c>
      <c r="BQ86" s="8">
        <v>6.5155000000000005E-2</v>
      </c>
      <c r="BR86" s="8">
        <v>0.21814</v>
      </c>
      <c r="BS86" s="8">
        <v>0.18762000000000001</v>
      </c>
      <c r="BT86" s="8">
        <v>0.28597</v>
      </c>
      <c r="BU86" s="8">
        <v>0.26083000000000001</v>
      </c>
      <c r="BV86" s="8">
        <v>0.46056000000000002</v>
      </c>
      <c r="BW86" s="8">
        <v>0.65946000000000005</v>
      </c>
      <c r="BX86" s="8">
        <v>0.56171000000000004</v>
      </c>
      <c r="BY86" s="8">
        <v>0.18522</v>
      </c>
      <c r="BZ86" s="8">
        <v>7.4036000000000005E-2</v>
      </c>
      <c r="CA86" s="8">
        <v>0.28597341463414633</v>
      </c>
      <c r="CB86" s="8">
        <v>0.61746999999999996</v>
      </c>
      <c r="CC86" s="8">
        <v>0.86912999999999996</v>
      </c>
      <c r="CD86" s="8">
        <v>0.83267000000000002</v>
      </c>
      <c r="CE86" s="8">
        <v>0.49725000000000003</v>
      </c>
      <c r="CF86" s="8">
        <v>0.94889000000000001</v>
      </c>
      <c r="CG86" s="8">
        <v>0.83492</v>
      </c>
      <c r="CH86" s="8">
        <v>5.9594000000000001E-2</v>
      </c>
      <c r="CI86" s="8">
        <v>0.43223</v>
      </c>
      <c r="CJ86" s="8">
        <v>0.8306</v>
      </c>
      <c r="CK86" s="8">
        <v>0.16929</v>
      </c>
      <c r="CL86" s="8">
        <v>0.92466999999999999</v>
      </c>
      <c r="CM86" s="8">
        <v>0.77695999999999998</v>
      </c>
      <c r="CN86" s="8">
        <v>0.26222000000000001</v>
      </c>
      <c r="CO86" s="8">
        <v>0.5415053658536586</v>
      </c>
      <c r="CP86" s="8">
        <v>0.77402585365853649</v>
      </c>
      <c r="CQ86" s="8">
        <v>0.76658000000000004</v>
      </c>
      <c r="CR86" s="8">
        <v>0.85070999999999997</v>
      </c>
      <c r="CS86" s="8">
        <v>0.90176999999999996</v>
      </c>
      <c r="CT86" s="8">
        <v>0.91930000000000001</v>
      </c>
      <c r="CU86" s="8">
        <v>0.22059999999999999</v>
      </c>
      <c r="CV86" s="8">
        <v>0.90478000000000003</v>
      </c>
      <c r="CW86" s="8">
        <v>0.64019999999999999</v>
      </c>
    </row>
    <row r="87" spans="1:101">
      <c r="A87">
        <f t="shared" si="1"/>
        <v>745</v>
      </c>
      <c r="B87">
        <v>1</v>
      </c>
      <c r="C87" s="8">
        <v>0.90588000000000002</v>
      </c>
      <c r="D87" s="8">
        <v>0.83348999999999995</v>
      </c>
      <c r="E87" s="8">
        <v>0.26804</v>
      </c>
      <c r="F87" s="8">
        <v>0.52789439024390239</v>
      </c>
      <c r="G87" s="8">
        <v>0.94699999999999995</v>
      </c>
      <c r="H87" s="8">
        <v>0.85433000000000003</v>
      </c>
      <c r="I87" s="8">
        <v>0.45107999999999998</v>
      </c>
      <c r="J87" s="8">
        <v>0.66318999999999995</v>
      </c>
      <c r="K87" s="8">
        <v>5.7995999999999999E-2</v>
      </c>
      <c r="L87" s="8">
        <v>0.89319999999999999</v>
      </c>
      <c r="M87" s="8">
        <v>0.83623000000000003</v>
      </c>
      <c r="N87" s="8">
        <v>0.69484999999999997</v>
      </c>
      <c r="O87" s="8">
        <v>0.26345000000000002</v>
      </c>
      <c r="P87" s="8">
        <v>0.49874000000000002</v>
      </c>
      <c r="Q87" s="8">
        <v>0.65281999999999996</v>
      </c>
      <c r="R87" s="8">
        <v>0.68100000000000005</v>
      </c>
      <c r="S87" s="8">
        <v>0.83330000000000004</v>
      </c>
      <c r="T87" s="8">
        <v>0.43008000000000002</v>
      </c>
      <c r="U87" s="8">
        <v>0.50829999999999997</v>
      </c>
      <c r="V87" s="8">
        <v>0.90727999999999998</v>
      </c>
      <c r="W87" s="8">
        <v>0.91703000000000001</v>
      </c>
      <c r="X87" s="8">
        <v>0.85335000000000005</v>
      </c>
      <c r="Y87" s="8">
        <v>0.89141000000000004</v>
      </c>
      <c r="Z87" s="8">
        <v>0.82316</v>
      </c>
      <c r="AA87" s="8">
        <v>0.58445000000000003</v>
      </c>
      <c r="AB87" s="8">
        <v>0.91212000000000004</v>
      </c>
      <c r="AC87" s="8">
        <v>0.52105999999999997</v>
      </c>
      <c r="AD87" s="8">
        <v>0.11833</v>
      </c>
      <c r="AE87" s="8">
        <v>0.87809999999999999</v>
      </c>
      <c r="AF87" s="8">
        <v>0.40704000000000001</v>
      </c>
      <c r="AG87" s="8">
        <v>0.83074000000000003</v>
      </c>
      <c r="AH87" s="8">
        <v>0.94272999999999996</v>
      </c>
      <c r="AI87" s="8">
        <v>0.84114</v>
      </c>
      <c r="AJ87" s="8">
        <v>0.29060999999999998</v>
      </c>
      <c r="AK87" s="8">
        <v>0.10990999999999999</v>
      </c>
      <c r="AL87" s="8">
        <v>0.46557682926829252</v>
      </c>
      <c r="AM87" s="8">
        <v>0.82511999999999996</v>
      </c>
      <c r="AN87" s="8">
        <v>0.71182658536585375</v>
      </c>
      <c r="AO87" s="8">
        <v>8.6291999999999994E-2</v>
      </c>
      <c r="AP87" s="8">
        <v>0.18037</v>
      </c>
      <c r="AQ87" s="8">
        <v>0.94603999999999999</v>
      </c>
      <c r="AR87" s="8">
        <v>0.65347</v>
      </c>
      <c r="AS87" s="8">
        <v>0.71528000000000003</v>
      </c>
      <c r="AT87" s="8">
        <v>5.1060000000000001E-2</v>
      </c>
      <c r="AU87" s="8">
        <v>0.19525999999999999</v>
      </c>
      <c r="AV87" s="8">
        <v>0.25563999999999998</v>
      </c>
      <c r="AW87" s="8">
        <v>0.93255999999999994</v>
      </c>
      <c r="AX87" s="8">
        <v>0.18633</v>
      </c>
      <c r="AY87" s="8">
        <v>0.13574</v>
      </c>
      <c r="AZ87" s="8">
        <v>0.13421</v>
      </c>
      <c r="BA87" s="8">
        <v>0.17347000000000001</v>
      </c>
      <c r="BB87" s="8">
        <v>6.0413000000000001E-2</v>
      </c>
      <c r="BC87" s="8">
        <v>8.3155000000000007E-2</v>
      </c>
      <c r="BD87" s="8">
        <v>0.69430000000000003</v>
      </c>
      <c r="BE87" s="8">
        <v>0.61045000000000005</v>
      </c>
      <c r="BF87" s="8">
        <v>0.23330000000000001</v>
      </c>
      <c r="BG87" s="8">
        <v>8.6619000000000002E-2</v>
      </c>
      <c r="BH87" s="8">
        <v>8.0920000000000006E-2</v>
      </c>
      <c r="BI87" s="8">
        <v>0.44749</v>
      </c>
      <c r="BJ87" s="8">
        <v>0.79264999999999997</v>
      </c>
      <c r="BK87" s="8">
        <v>0.38399</v>
      </c>
      <c r="BL87" s="8">
        <v>0.92935999999999996</v>
      </c>
      <c r="BM87" s="8">
        <v>0.18618999999999999</v>
      </c>
      <c r="BN87" s="8">
        <v>0.10799</v>
      </c>
      <c r="BO87" s="8">
        <v>1.2645E-2</v>
      </c>
      <c r="BP87" s="8">
        <v>5.9003E-2</v>
      </c>
      <c r="BQ87" s="8">
        <v>6.4833000000000002E-2</v>
      </c>
      <c r="BR87" s="8">
        <v>0.21590000000000001</v>
      </c>
      <c r="BS87" s="8">
        <v>0.18584000000000001</v>
      </c>
      <c r="BT87" s="8">
        <v>0.28377000000000002</v>
      </c>
      <c r="BU87" s="8">
        <v>0.27751999999999999</v>
      </c>
      <c r="BV87" s="8">
        <v>0.46113999999999999</v>
      </c>
      <c r="BW87" s="8">
        <v>0.69940000000000002</v>
      </c>
      <c r="BX87" s="8">
        <v>0.61387999999999998</v>
      </c>
      <c r="BY87" s="8">
        <v>0.19575999999999999</v>
      </c>
      <c r="BZ87" s="8">
        <v>6.8892999999999996E-2</v>
      </c>
      <c r="CA87" s="8">
        <v>0.27981170731707322</v>
      </c>
      <c r="CB87" s="8">
        <v>0.66232000000000002</v>
      </c>
      <c r="CC87" s="8">
        <v>0.87760000000000005</v>
      </c>
      <c r="CD87" s="8">
        <v>0.84211000000000003</v>
      </c>
      <c r="CE87" s="8">
        <v>0.50094000000000005</v>
      </c>
      <c r="CF87" s="8">
        <v>0.95413999999999999</v>
      </c>
      <c r="CG87" s="8">
        <v>0.84755000000000003</v>
      </c>
      <c r="CH87" s="8">
        <v>5.9179000000000002E-2</v>
      </c>
      <c r="CI87" s="8">
        <v>0.44455</v>
      </c>
      <c r="CJ87" s="8">
        <v>0.83616000000000001</v>
      </c>
      <c r="CK87" s="8">
        <v>0.16814000000000001</v>
      </c>
      <c r="CL87" s="8">
        <v>0.93649000000000004</v>
      </c>
      <c r="CM87" s="8">
        <v>0.80349999999999999</v>
      </c>
      <c r="CN87" s="8">
        <v>0.26362000000000002</v>
      </c>
      <c r="CO87" s="8">
        <v>0.53350000000000009</v>
      </c>
      <c r="CP87" s="8">
        <v>0.78334731707317085</v>
      </c>
      <c r="CQ87" s="8">
        <v>0.76746000000000003</v>
      </c>
      <c r="CR87" s="8">
        <v>0.86609999999999998</v>
      </c>
      <c r="CS87" s="8">
        <v>0.90552999999999995</v>
      </c>
      <c r="CT87" s="8">
        <v>0.92225999999999997</v>
      </c>
      <c r="CU87" s="8">
        <v>0.21462999999999999</v>
      </c>
      <c r="CV87" s="8">
        <v>0.91181999999999996</v>
      </c>
      <c r="CW87" s="8">
        <v>0.64098999999999995</v>
      </c>
    </row>
    <row r="88" spans="1:101">
      <c r="A88">
        <f t="shared" si="1"/>
        <v>750</v>
      </c>
      <c r="B88">
        <v>1</v>
      </c>
      <c r="C88" s="8">
        <v>0.90725999999999996</v>
      </c>
      <c r="D88" s="8">
        <v>0.83918999999999999</v>
      </c>
      <c r="E88" s="8">
        <v>0.27548</v>
      </c>
      <c r="F88" s="8">
        <v>0.52976317073170731</v>
      </c>
      <c r="G88" s="8">
        <v>0.95026999999999995</v>
      </c>
      <c r="H88" s="8">
        <v>0.86753999999999998</v>
      </c>
      <c r="I88" s="8">
        <v>0.44958999999999999</v>
      </c>
      <c r="J88" s="8">
        <v>0.66830000000000001</v>
      </c>
      <c r="K88" s="8">
        <v>5.7480000000000003E-2</v>
      </c>
      <c r="L88" s="8">
        <v>0.89429000000000003</v>
      </c>
      <c r="M88" s="8">
        <v>0.84650999999999998</v>
      </c>
      <c r="N88" s="8">
        <v>0.69589999999999996</v>
      </c>
      <c r="O88" s="8">
        <v>0.26312999999999998</v>
      </c>
      <c r="P88" s="8">
        <v>0.49917</v>
      </c>
      <c r="Q88" s="8">
        <v>0.65527999999999997</v>
      </c>
      <c r="R88" s="8">
        <v>0.69401000000000002</v>
      </c>
      <c r="S88" s="8">
        <v>0.84848999999999997</v>
      </c>
      <c r="T88" s="8">
        <v>0.43331999999999998</v>
      </c>
      <c r="U88" s="8">
        <v>0.50761999999999996</v>
      </c>
      <c r="V88" s="8">
        <v>0.91178000000000003</v>
      </c>
      <c r="W88" s="8">
        <v>0.91778000000000004</v>
      </c>
      <c r="X88" s="8">
        <v>0.8548</v>
      </c>
      <c r="Y88" s="8">
        <v>0.89200000000000002</v>
      </c>
      <c r="Z88" s="8">
        <v>0.82152000000000003</v>
      </c>
      <c r="AA88" s="8">
        <v>0.59145999999999999</v>
      </c>
      <c r="AB88" s="8">
        <v>0.91249000000000002</v>
      </c>
      <c r="AC88" s="8">
        <v>0.52717999999999998</v>
      </c>
      <c r="AD88" s="8">
        <v>0.1188</v>
      </c>
      <c r="AE88" s="8">
        <v>0.88185000000000002</v>
      </c>
      <c r="AF88" s="8">
        <v>0.41181000000000001</v>
      </c>
      <c r="AG88" s="8">
        <v>0.83081000000000005</v>
      </c>
      <c r="AH88" s="8">
        <v>0.94867000000000001</v>
      </c>
      <c r="AI88" s="8">
        <v>0.84321000000000002</v>
      </c>
      <c r="AJ88" s="8">
        <v>0.29247000000000001</v>
      </c>
      <c r="AK88" s="8">
        <v>0.11063000000000001</v>
      </c>
      <c r="AL88" s="8">
        <v>0.45806414634146331</v>
      </c>
      <c r="AM88" s="8">
        <v>0.85421000000000002</v>
      </c>
      <c r="AN88" s="8">
        <v>0.71543951219512203</v>
      </c>
      <c r="AO88" s="8">
        <v>8.6129999999999998E-2</v>
      </c>
      <c r="AP88" s="8">
        <v>0.17857000000000001</v>
      </c>
      <c r="AQ88" s="8">
        <v>0.94945000000000002</v>
      </c>
      <c r="AR88" s="8">
        <v>0.67871999999999999</v>
      </c>
      <c r="AS88" s="8">
        <v>0.75270999999999999</v>
      </c>
      <c r="AT88" s="8">
        <v>5.0957000000000002E-2</v>
      </c>
      <c r="AU88" s="8">
        <v>0.20319000000000001</v>
      </c>
      <c r="AV88" s="8">
        <v>0.25849</v>
      </c>
      <c r="AW88" s="8">
        <v>0.94023999999999996</v>
      </c>
      <c r="AX88" s="8">
        <v>0.18831000000000001</v>
      </c>
      <c r="AY88" s="8">
        <v>0.13961999999999999</v>
      </c>
      <c r="AZ88" s="8">
        <v>0.13095999999999999</v>
      </c>
      <c r="BA88" s="8">
        <v>0.16894000000000001</v>
      </c>
      <c r="BB88" s="8">
        <v>5.8846999999999997E-2</v>
      </c>
      <c r="BC88" s="8">
        <v>8.4431000000000006E-2</v>
      </c>
      <c r="BD88" s="8">
        <v>0.70169999999999999</v>
      </c>
      <c r="BE88" s="8">
        <v>0.62990999999999997</v>
      </c>
      <c r="BF88" s="8">
        <v>0.23765</v>
      </c>
      <c r="BG88" s="8">
        <v>8.6599999999999996E-2</v>
      </c>
      <c r="BH88" s="8">
        <v>8.0374000000000001E-2</v>
      </c>
      <c r="BI88" s="8">
        <v>0.43948999999999999</v>
      </c>
      <c r="BJ88" s="8">
        <v>0.81152999999999997</v>
      </c>
      <c r="BK88" s="8">
        <v>0.38131999999999999</v>
      </c>
      <c r="BL88" s="8">
        <v>0.94203999999999999</v>
      </c>
      <c r="BM88" s="8">
        <v>0.19875999999999999</v>
      </c>
      <c r="BN88" s="8">
        <v>0.10765</v>
      </c>
      <c r="BO88" s="8">
        <v>1.2810999999999999E-2</v>
      </c>
      <c r="BP88" s="8">
        <v>5.8937000000000003E-2</v>
      </c>
      <c r="BQ88" s="8">
        <v>6.4512E-2</v>
      </c>
      <c r="BR88" s="8">
        <v>0.21368000000000001</v>
      </c>
      <c r="BS88" s="8">
        <v>0.18406</v>
      </c>
      <c r="BT88" s="8">
        <v>0.28159000000000001</v>
      </c>
      <c r="BU88" s="8">
        <v>0.29486000000000001</v>
      </c>
      <c r="BV88" s="8">
        <v>0.46172000000000002</v>
      </c>
      <c r="BW88" s="8">
        <v>0.73651999999999995</v>
      </c>
      <c r="BX88" s="8">
        <v>0.66356999999999999</v>
      </c>
      <c r="BY88" s="8">
        <v>0.20674999999999999</v>
      </c>
      <c r="BZ88" s="8">
        <v>6.4082E-2</v>
      </c>
      <c r="CA88" s="8">
        <v>0.27373219512195124</v>
      </c>
      <c r="CB88" s="8">
        <v>0.70442000000000005</v>
      </c>
      <c r="CC88" s="8">
        <v>0.88558999999999999</v>
      </c>
      <c r="CD88" s="8">
        <v>0.84838999999999998</v>
      </c>
      <c r="CE88" s="8">
        <v>0.50463000000000002</v>
      </c>
      <c r="CF88" s="8">
        <v>0.95887999999999995</v>
      </c>
      <c r="CG88" s="8">
        <v>0.85936999999999997</v>
      </c>
      <c r="CH88" s="8">
        <v>5.8768000000000001E-2</v>
      </c>
      <c r="CI88" s="8">
        <v>0.45694000000000001</v>
      </c>
      <c r="CJ88" s="8">
        <v>0.84157000000000004</v>
      </c>
      <c r="CK88" s="8">
        <v>0.16700000000000001</v>
      </c>
      <c r="CL88" s="8">
        <v>0.94655999999999996</v>
      </c>
      <c r="CM88" s="8">
        <v>0.82757000000000003</v>
      </c>
      <c r="CN88" s="8">
        <v>0.26501000000000002</v>
      </c>
      <c r="CO88" s="8">
        <v>0.52547756097560983</v>
      </c>
      <c r="CP88" s="8">
        <v>0.79238829268292676</v>
      </c>
      <c r="CQ88" s="8">
        <v>0.76832999999999996</v>
      </c>
      <c r="CR88" s="8">
        <v>0.88012000000000001</v>
      </c>
      <c r="CS88" s="8">
        <v>0.90917000000000003</v>
      </c>
      <c r="CT88" s="8">
        <v>0.92513000000000001</v>
      </c>
      <c r="CU88" s="8">
        <v>0.20877999999999999</v>
      </c>
      <c r="CV88" s="8">
        <v>0.91837999999999997</v>
      </c>
      <c r="CW88" s="8">
        <v>0.64178999999999997</v>
      </c>
    </row>
    <row r="89" spans="1:101">
      <c r="A89">
        <f t="shared" si="1"/>
        <v>755</v>
      </c>
      <c r="B89">
        <v>1</v>
      </c>
      <c r="C89" s="8">
        <v>0.90861000000000003</v>
      </c>
      <c r="D89" s="8">
        <v>0.84472999999999998</v>
      </c>
      <c r="E89" s="8">
        <v>0.28305000000000002</v>
      </c>
      <c r="F89" s="8">
        <v>0.53163170731707332</v>
      </c>
      <c r="G89" s="8">
        <v>0.95335000000000003</v>
      </c>
      <c r="H89" s="8">
        <v>0.87973000000000001</v>
      </c>
      <c r="I89" s="8">
        <v>0.44811000000000001</v>
      </c>
      <c r="J89" s="8">
        <v>0.67337000000000002</v>
      </c>
      <c r="K89" s="8">
        <v>5.6967999999999998E-2</v>
      </c>
      <c r="L89" s="8">
        <v>0.89537</v>
      </c>
      <c r="M89" s="8">
        <v>0.85624999999999996</v>
      </c>
      <c r="N89" s="8">
        <v>0.69694999999999996</v>
      </c>
      <c r="O89" s="8">
        <v>0.26282</v>
      </c>
      <c r="P89" s="8">
        <v>0.49958999999999998</v>
      </c>
      <c r="Q89" s="8">
        <v>0.65773000000000004</v>
      </c>
      <c r="R89" s="8">
        <v>0.70672000000000001</v>
      </c>
      <c r="S89" s="8">
        <v>0.86251999999999995</v>
      </c>
      <c r="T89" s="8">
        <v>0.43654999999999999</v>
      </c>
      <c r="U89" s="8">
        <v>0.50695000000000001</v>
      </c>
      <c r="V89" s="8">
        <v>0.91608999999999996</v>
      </c>
      <c r="W89" s="8">
        <v>0.91852999999999996</v>
      </c>
      <c r="X89" s="8">
        <v>0.85624</v>
      </c>
      <c r="Y89" s="8">
        <v>0.89212000000000002</v>
      </c>
      <c r="Z89" s="8">
        <v>0.81988000000000005</v>
      </c>
      <c r="AA89" s="8">
        <v>0.59843999999999997</v>
      </c>
      <c r="AB89" s="8">
        <v>0.91285000000000005</v>
      </c>
      <c r="AC89" s="8">
        <v>0.53329000000000004</v>
      </c>
      <c r="AD89" s="8">
        <v>0.11906</v>
      </c>
      <c r="AE89" s="8">
        <v>0.88551000000000002</v>
      </c>
      <c r="AF89" s="8">
        <v>0.41660000000000003</v>
      </c>
      <c r="AG89" s="8">
        <v>0.83087999999999995</v>
      </c>
      <c r="AH89" s="8">
        <v>0.95403000000000004</v>
      </c>
      <c r="AI89" s="8">
        <v>0.84524999999999995</v>
      </c>
      <c r="AJ89" s="8">
        <v>0.29432999999999998</v>
      </c>
      <c r="AK89" s="8">
        <v>0.11135</v>
      </c>
      <c r="AL89" s="8">
        <v>0.45057024390243899</v>
      </c>
      <c r="AM89" s="8">
        <v>0.87917000000000001</v>
      </c>
      <c r="AN89" s="8">
        <v>0.71902512195121959</v>
      </c>
      <c r="AO89" s="8">
        <v>8.5968000000000003E-2</v>
      </c>
      <c r="AP89" s="8">
        <v>0.17679</v>
      </c>
      <c r="AQ89" s="8">
        <v>0.95264000000000004</v>
      </c>
      <c r="AR89" s="8">
        <v>0.70296000000000003</v>
      </c>
      <c r="AS89" s="8">
        <v>0.78669</v>
      </c>
      <c r="AT89" s="8">
        <v>5.0854000000000003E-2</v>
      </c>
      <c r="AU89" s="8">
        <v>0.20930000000000001</v>
      </c>
      <c r="AV89" s="8">
        <v>0.26136999999999999</v>
      </c>
      <c r="AW89" s="8">
        <v>0.94710000000000005</v>
      </c>
      <c r="AX89" s="8">
        <v>0.1903</v>
      </c>
      <c r="AY89" s="8">
        <v>0.14359</v>
      </c>
      <c r="AZ89" s="8">
        <v>0.12776999999999999</v>
      </c>
      <c r="BA89" s="8">
        <v>0.16450000000000001</v>
      </c>
      <c r="BB89" s="8">
        <v>5.7320000000000003E-2</v>
      </c>
      <c r="BC89" s="8">
        <v>8.5723999999999995E-2</v>
      </c>
      <c r="BD89" s="8">
        <v>0.70899000000000001</v>
      </c>
      <c r="BE89" s="8">
        <v>0.63368999999999998</v>
      </c>
      <c r="BF89" s="8">
        <v>0.24207000000000001</v>
      </c>
      <c r="BG89" s="8">
        <v>8.6595000000000005E-2</v>
      </c>
      <c r="BH89" s="8">
        <v>7.9830999999999999E-2</v>
      </c>
      <c r="BI89" s="8">
        <v>0.43152000000000001</v>
      </c>
      <c r="BJ89" s="8">
        <v>0.81520999999999999</v>
      </c>
      <c r="BK89" s="8">
        <v>0.37864999999999999</v>
      </c>
      <c r="BL89" s="8">
        <v>0.95255999999999996</v>
      </c>
      <c r="BM89" s="8">
        <v>0.21196999999999999</v>
      </c>
      <c r="BN89" s="8">
        <v>0.10730000000000001</v>
      </c>
      <c r="BO89" s="8">
        <v>1.2978999999999999E-2</v>
      </c>
      <c r="BP89" s="8">
        <v>5.8872000000000001E-2</v>
      </c>
      <c r="BQ89" s="8">
        <v>6.4191999999999999E-2</v>
      </c>
      <c r="BR89" s="8">
        <v>0.21146999999999999</v>
      </c>
      <c r="BS89" s="8">
        <v>0.18229999999999999</v>
      </c>
      <c r="BT89" s="8">
        <v>0.27942</v>
      </c>
      <c r="BU89" s="8">
        <v>0.31280000000000002</v>
      </c>
      <c r="BV89" s="8">
        <v>0.46229999999999999</v>
      </c>
      <c r="BW89" s="8">
        <v>0.77056999999999998</v>
      </c>
      <c r="BX89" s="8">
        <v>0.70987999999999996</v>
      </c>
      <c r="BY89" s="8">
        <v>0.21819</v>
      </c>
      <c r="BZ89" s="8">
        <v>5.9586E-2</v>
      </c>
      <c r="CA89" s="8">
        <v>0.26773536585365865</v>
      </c>
      <c r="CB89" s="8">
        <v>0.74331000000000003</v>
      </c>
      <c r="CC89" s="8">
        <v>0.89312999999999998</v>
      </c>
      <c r="CD89" s="8">
        <v>0.84957000000000005</v>
      </c>
      <c r="CE89" s="8">
        <v>0.50831999999999999</v>
      </c>
      <c r="CF89" s="8">
        <v>0.96314</v>
      </c>
      <c r="CG89" s="8">
        <v>0.87041999999999997</v>
      </c>
      <c r="CH89" s="8">
        <v>5.8358E-2</v>
      </c>
      <c r="CI89" s="8">
        <v>0.46938000000000002</v>
      </c>
      <c r="CJ89" s="8">
        <v>0.84682999999999997</v>
      </c>
      <c r="CK89" s="8">
        <v>0.16586000000000001</v>
      </c>
      <c r="CL89" s="8">
        <v>0.95511000000000001</v>
      </c>
      <c r="CM89" s="8">
        <v>0.84924999999999995</v>
      </c>
      <c r="CN89" s="8">
        <v>0.26641999999999999</v>
      </c>
      <c r="CO89" s="8">
        <v>0.51744170731707317</v>
      </c>
      <c r="CP89" s="8">
        <v>0.80114853658536567</v>
      </c>
      <c r="CQ89" s="8">
        <v>0.76919999999999999</v>
      </c>
      <c r="CR89" s="8">
        <v>0.89285999999999999</v>
      </c>
      <c r="CS89" s="8">
        <v>0.91266999999999998</v>
      </c>
      <c r="CT89" s="8">
        <v>0.92788999999999999</v>
      </c>
      <c r="CU89" s="8">
        <v>0.20305000000000001</v>
      </c>
      <c r="CV89" s="8">
        <v>0.92449999999999999</v>
      </c>
      <c r="CW89" s="8">
        <v>0.64258000000000004</v>
      </c>
    </row>
    <row r="90" spans="1:101">
      <c r="A90">
        <f t="shared" si="1"/>
        <v>760</v>
      </c>
      <c r="B90">
        <v>1</v>
      </c>
      <c r="C90" s="8">
        <v>0.90995000000000004</v>
      </c>
      <c r="D90" s="8">
        <v>0.85011000000000003</v>
      </c>
      <c r="E90" s="8">
        <v>0.29074</v>
      </c>
      <c r="F90" s="8">
        <v>0.53349902439024433</v>
      </c>
      <c r="G90" s="8">
        <v>0.95625000000000004</v>
      </c>
      <c r="H90" s="8">
        <v>0.89093999999999995</v>
      </c>
      <c r="I90" s="8">
        <v>0.44663000000000003</v>
      </c>
      <c r="J90" s="8">
        <v>0.6784</v>
      </c>
      <c r="K90" s="8">
        <v>5.6460000000000003E-2</v>
      </c>
      <c r="L90" s="8">
        <v>0.89644000000000001</v>
      </c>
      <c r="M90" s="8">
        <v>0.86546999999999996</v>
      </c>
      <c r="N90" s="8">
        <v>0.69799</v>
      </c>
      <c r="O90" s="8">
        <v>0.26250000000000001</v>
      </c>
      <c r="P90" s="8">
        <v>0.50002000000000002</v>
      </c>
      <c r="Q90" s="8">
        <v>0.66017999999999999</v>
      </c>
      <c r="R90" s="8">
        <v>0.71911999999999998</v>
      </c>
      <c r="S90" s="8">
        <v>0.87544999999999995</v>
      </c>
      <c r="T90" s="8">
        <v>0.43979000000000001</v>
      </c>
      <c r="U90" s="8">
        <v>0.50627</v>
      </c>
      <c r="V90" s="8">
        <v>0.92020000000000002</v>
      </c>
      <c r="W90" s="8">
        <v>0.91927000000000003</v>
      </c>
      <c r="X90" s="8">
        <v>0.85765999999999998</v>
      </c>
      <c r="Y90" s="8">
        <v>0.89200000000000002</v>
      </c>
      <c r="Z90" s="8">
        <v>0.81821999999999995</v>
      </c>
      <c r="AA90" s="8">
        <v>0.60536999999999996</v>
      </c>
      <c r="AB90" s="8">
        <v>0.91320000000000001</v>
      </c>
      <c r="AC90" s="8">
        <v>0.53939000000000004</v>
      </c>
      <c r="AD90" s="8">
        <v>0.1203</v>
      </c>
      <c r="AE90" s="8">
        <v>0.88905999999999996</v>
      </c>
      <c r="AF90" s="8">
        <v>0.4214</v>
      </c>
      <c r="AG90" s="8">
        <v>0.83094999999999997</v>
      </c>
      <c r="AH90" s="8">
        <v>0.95884999999999998</v>
      </c>
      <c r="AI90" s="8">
        <v>0.84728000000000003</v>
      </c>
      <c r="AJ90" s="8">
        <v>0.29620000000000002</v>
      </c>
      <c r="AK90" s="8">
        <v>0.11207</v>
      </c>
      <c r="AL90" s="8">
        <v>0.44309853658536597</v>
      </c>
      <c r="AM90" s="8">
        <v>0.90034999999999998</v>
      </c>
      <c r="AN90" s="8">
        <v>0.72258317073170719</v>
      </c>
      <c r="AO90" s="8">
        <v>8.5806999999999994E-2</v>
      </c>
      <c r="AP90" s="8">
        <v>0.17502000000000001</v>
      </c>
      <c r="AQ90" s="8">
        <v>0.95565</v>
      </c>
      <c r="AR90" s="8">
        <v>0.72611000000000003</v>
      </c>
      <c r="AS90" s="8">
        <v>0.81713000000000002</v>
      </c>
      <c r="AT90" s="8">
        <v>5.0750999999999998E-2</v>
      </c>
      <c r="AU90" s="8">
        <v>0.21407000000000001</v>
      </c>
      <c r="AV90" s="8">
        <v>0.26425999999999999</v>
      </c>
      <c r="AW90" s="8">
        <v>0.95321</v>
      </c>
      <c r="AX90" s="8">
        <v>0.1923</v>
      </c>
      <c r="AY90" s="8">
        <v>0.14766000000000001</v>
      </c>
      <c r="AZ90" s="8">
        <v>0.12464</v>
      </c>
      <c r="BA90" s="8">
        <v>0.16016</v>
      </c>
      <c r="BB90" s="8">
        <v>5.5829999999999998E-2</v>
      </c>
      <c r="BC90" s="8">
        <v>8.7036000000000002E-2</v>
      </c>
      <c r="BD90" s="8">
        <v>0.71618000000000004</v>
      </c>
      <c r="BE90" s="8">
        <v>0.62990999999999997</v>
      </c>
      <c r="BF90" s="8">
        <v>0.24654000000000001</v>
      </c>
      <c r="BG90" s="8">
        <v>8.6599999999999996E-2</v>
      </c>
      <c r="BH90" s="8">
        <v>7.9291E-2</v>
      </c>
      <c r="BI90" s="8">
        <v>0.42358000000000001</v>
      </c>
      <c r="BJ90" s="8">
        <v>0.81152999999999997</v>
      </c>
      <c r="BK90" s="8">
        <v>0.37598999999999999</v>
      </c>
      <c r="BL90" s="8">
        <v>0.96125000000000005</v>
      </c>
      <c r="BM90" s="8">
        <v>0.2258</v>
      </c>
      <c r="BN90" s="8">
        <v>0.10696</v>
      </c>
      <c r="BO90" s="8">
        <v>1.315E-2</v>
      </c>
      <c r="BP90" s="8">
        <v>5.8805999999999997E-2</v>
      </c>
      <c r="BQ90" s="8">
        <v>6.3874E-2</v>
      </c>
      <c r="BR90" s="8">
        <v>0.20927999999999999</v>
      </c>
      <c r="BS90" s="8">
        <v>0.18054999999999999</v>
      </c>
      <c r="BT90" s="8">
        <v>0.27726000000000001</v>
      </c>
      <c r="BU90" s="8">
        <v>0.33133000000000001</v>
      </c>
      <c r="BV90" s="8">
        <v>0.46288000000000001</v>
      </c>
      <c r="BW90" s="8">
        <v>0.8014</v>
      </c>
      <c r="BX90" s="8">
        <v>0.75219999999999998</v>
      </c>
      <c r="BY90" s="8">
        <v>0.23008000000000001</v>
      </c>
      <c r="BZ90" s="8">
        <v>5.5386999999999999E-2</v>
      </c>
      <c r="CA90" s="8">
        <v>0.26182219512195132</v>
      </c>
      <c r="CB90" s="8">
        <v>0.77868999999999999</v>
      </c>
      <c r="CC90" s="8">
        <v>0.90022999999999997</v>
      </c>
      <c r="CD90" s="8">
        <v>0.84838999999999998</v>
      </c>
      <c r="CE90" s="8">
        <v>0.51200999999999997</v>
      </c>
      <c r="CF90" s="8">
        <v>0.96697999999999995</v>
      </c>
      <c r="CG90" s="8">
        <v>0.88071999999999995</v>
      </c>
      <c r="CH90" s="8">
        <v>5.7951999999999997E-2</v>
      </c>
      <c r="CI90" s="8">
        <v>0.48186000000000001</v>
      </c>
      <c r="CJ90" s="8">
        <v>0.85194999999999999</v>
      </c>
      <c r="CK90" s="8">
        <v>0.16472999999999999</v>
      </c>
      <c r="CL90" s="8">
        <v>0.96235000000000004</v>
      </c>
      <c r="CM90" s="8">
        <v>0.86863999999999997</v>
      </c>
      <c r="CN90" s="8">
        <v>0.26782</v>
      </c>
      <c r="CO90" s="8">
        <v>0.50939731707317071</v>
      </c>
      <c r="CP90" s="8">
        <v>0.80962902439024398</v>
      </c>
      <c r="CQ90" s="8">
        <v>0.77007000000000003</v>
      </c>
      <c r="CR90" s="8">
        <v>0.90439999999999998</v>
      </c>
      <c r="CS90" s="8">
        <v>0.91605999999999999</v>
      </c>
      <c r="CT90" s="8">
        <v>0.93056000000000005</v>
      </c>
      <c r="CU90" s="8">
        <v>0.19742999999999999</v>
      </c>
      <c r="CV90" s="8">
        <v>0.93018999999999996</v>
      </c>
      <c r="CW90" s="8">
        <v>0.64337</v>
      </c>
    </row>
    <row r="91" spans="1:101">
      <c r="A91">
        <f t="shared" si="1"/>
        <v>765</v>
      </c>
      <c r="B91">
        <v>1</v>
      </c>
      <c r="C91" s="8">
        <v>0.91127999999999998</v>
      </c>
      <c r="D91" s="8">
        <v>0.85533999999999999</v>
      </c>
      <c r="E91" s="8">
        <v>0.29854999999999998</v>
      </c>
      <c r="F91" s="8">
        <v>0.53536677419354839</v>
      </c>
      <c r="G91" s="8">
        <v>0.95896999999999999</v>
      </c>
      <c r="H91" s="8">
        <v>0.90122000000000002</v>
      </c>
      <c r="I91" s="8">
        <v>0.44514999999999999</v>
      </c>
      <c r="J91" s="8">
        <v>0.68339000000000005</v>
      </c>
      <c r="K91" s="8">
        <v>5.5957E-2</v>
      </c>
      <c r="L91" s="8">
        <v>0.89749999999999996</v>
      </c>
      <c r="M91" s="8">
        <v>0.87419000000000002</v>
      </c>
      <c r="N91" s="8">
        <v>0.69903000000000004</v>
      </c>
      <c r="O91" s="8">
        <v>0.26218999999999998</v>
      </c>
      <c r="P91" s="8">
        <v>0.50044</v>
      </c>
      <c r="Q91" s="8">
        <v>0.66261999999999999</v>
      </c>
      <c r="R91" s="8">
        <v>0.73119000000000001</v>
      </c>
      <c r="S91" s="8">
        <v>0.88732</v>
      </c>
      <c r="T91" s="8">
        <v>0.44303999999999999</v>
      </c>
      <c r="U91" s="8">
        <v>0.50560000000000005</v>
      </c>
      <c r="V91" s="8">
        <v>0.92413000000000001</v>
      </c>
      <c r="W91" s="8">
        <v>0.92000999999999999</v>
      </c>
      <c r="X91" s="8">
        <v>0.85907</v>
      </c>
      <c r="Y91" s="8">
        <v>0.89195999999999998</v>
      </c>
      <c r="Z91" s="8">
        <v>0.81655</v>
      </c>
      <c r="AA91" s="8">
        <v>0.61226999999999998</v>
      </c>
      <c r="AB91" s="8">
        <v>0.91356000000000004</v>
      </c>
      <c r="AC91" s="8">
        <v>0.54547999999999996</v>
      </c>
      <c r="AD91" s="8">
        <v>0.12106</v>
      </c>
      <c r="AE91" s="8">
        <v>0.89251999999999998</v>
      </c>
      <c r="AF91" s="8">
        <v>0.42621999999999999</v>
      </c>
      <c r="AG91" s="8">
        <v>0.83101999999999998</v>
      </c>
      <c r="AH91" s="8">
        <v>0.96318000000000004</v>
      </c>
      <c r="AI91" s="8">
        <v>0.84928999999999999</v>
      </c>
      <c r="AJ91" s="8">
        <v>0.29808000000000001</v>
      </c>
      <c r="AK91" s="8">
        <v>0.11279</v>
      </c>
      <c r="AL91" s="8">
        <v>0.43561806451612911</v>
      </c>
      <c r="AM91" s="8">
        <v>0.91817000000000004</v>
      </c>
      <c r="AN91" s="8">
        <v>0.72614709677419353</v>
      </c>
      <c r="AO91" s="8">
        <v>8.5646E-2</v>
      </c>
      <c r="AP91" s="8">
        <v>0.17327000000000001</v>
      </c>
      <c r="AQ91" s="8">
        <v>0.95847000000000004</v>
      </c>
      <c r="AR91" s="8">
        <v>0.74809999999999999</v>
      </c>
      <c r="AS91" s="8">
        <v>0.84409000000000001</v>
      </c>
      <c r="AT91" s="8">
        <v>5.0649E-2</v>
      </c>
      <c r="AU91" s="8">
        <v>0.21864</v>
      </c>
      <c r="AV91" s="8">
        <v>0.26717999999999997</v>
      </c>
      <c r="AW91" s="8">
        <v>0.95864000000000005</v>
      </c>
      <c r="AX91" s="8">
        <v>0.19433</v>
      </c>
      <c r="AY91" s="8">
        <v>0.15182000000000001</v>
      </c>
      <c r="AZ91" s="8">
        <v>0.12159</v>
      </c>
      <c r="BA91" s="8">
        <v>0.15590999999999999</v>
      </c>
      <c r="BB91" s="8">
        <v>5.4377000000000002E-2</v>
      </c>
      <c r="BC91" s="8">
        <v>8.8366E-2</v>
      </c>
      <c r="BD91" s="8">
        <v>0.72326000000000001</v>
      </c>
      <c r="BE91" s="8">
        <v>0.62865000000000004</v>
      </c>
      <c r="BF91" s="8">
        <v>0.25106000000000001</v>
      </c>
      <c r="BG91" s="8">
        <v>8.6601999999999998E-2</v>
      </c>
      <c r="BH91" s="8">
        <v>7.8755000000000006E-2</v>
      </c>
      <c r="BI91" s="8">
        <v>0.41567999999999999</v>
      </c>
      <c r="BJ91" s="8">
        <v>0.81030000000000002</v>
      </c>
      <c r="BK91" s="8">
        <v>0.37334000000000001</v>
      </c>
      <c r="BL91" s="8">
        <v>0.96840000000000004</v>
      </c>
      <c r="BM91" s="8">
        <v>0.24026</v>
      </c>
      <c r="BN91" s="8">
        <v>0.10662000000000001</v>
      </c>
      <c r="BO91" s="8">
        <v>1.3323E-2</v>
      </c>
      <c r="BP91" s="8">
        <v>5.8740000000000001E-2</v>
      </c>
      <c r="BQ91" s="8">
        <v>6.3557000000000002E-2</v>
      </c>
      <c r="BR91" s="8">
        <v>0.20710999999999999</v>
      </c>
      <c r="BS91" s="8">
        <v>0.17882000000000001</v>
      </c>
      <c r="BT91" s="8">
        <v>0.27511000000000002</v>
      </c>
      <c r="BU91" s="8">
        <v>0.35039999999999999</v>
      </c>
      <c r="BV91" s="8">
        <v>0.46345999999999998</v>
      </c>
      <c r="BW91" s="8">
        <v>0.82899999999999996</v>
      </c>
      <c r="BX91" s="8">
        <v>0.79015999999999997</v>
      </c>
      <c r="BY91" s="8">
        <v>0.24240999999999999</v>
      </c>
      <c r="BZ91" s="8">
        <v>5.1466999999999999E-2</v>
      </c>
      <c r="CA91" s="8">
        <v>0.25589096774193548</v>
      </c>
      <c r="CB91" s="8">
        <v>0.81042999999999998</v>
      </c>
      <c r="CC91" s="8">
        <v>0.90690000000000004</v>
      </c>
      <c r="CD91" s="8">
        <v>0.84799999999999998</v>
      </c>
      <c r="CE91" s="8">
        <v>0.51570000000000005</v>
      </c>
      <c r="CF91" s="8">
        <v>0.97043999999999997</v>
      </c>
      <c r="CG91" s="8">
        <v>0.89031000000000005</v>
      </c>
      <c r="CH91" s="8">
        <v>5.7548000000000002E-2</v>
      </c>
      <c r="CI91" s="8">
        <v>0.49436000000000002</v>
      </c>
      <c r="CJ91" s="8">
        <v>0.85692999999999997</v>
      </c>
      <c r="CK91" s="8">
        <v>0.16361000000000001</v>
      </c>
      <c r="CL91" s="8">
        <v>0.96845999999999999</v>
      </c>
      <c r="CM91" s="8">
        <v>0.88587000000000005</v>
      </c>
      <c r="CN91" s="8">
        <v>0.26923000000000002</v>
      </c>
      <c r="CO91" s="8">
        <v>0.5013490322580646</v>
      </c>
      <c r="CP91" s="8">
        <v>0.81816354838709671</v>
      </c>
      <c r="CQ91" s="8">
        <v>0.77093999999999996</v>
      </c>
      <c r="CR91" s="8">
        <v>0.91481000000000001</v>
      </c>
      <c r="CS91" s="8">
        <v>0.91932000000000003</v>
      </c>
      <c r="CT91" s="8">
        <v>0.93313999999999997</v>
      </c>
      <c r="CU91" s="8">
        <v>0.19192999999999999</v>
      </c>
      <c r="CV91" s="8">
        <v>0.93547999999999998</v>
      </c>
      <c r="CW91" s="8">
        <v>0.64415999999999995</v>
      </c>
    </row>
    <row r="92" spans="1:101">
      <c r="A92">
        <f t="shared" si="1"/>
        <v>770</v>
      </c>
      <c r="B92">
        <v>1</v>
      </c>
      <c r="C92" s="8">
        <v>0.91257999999999995</v>
      </c>
      <c r="D92" s="8">
        <v>0.86041999999999996</v>
      </c>
      <c r="E92" s="8">
        <v>0.30647999999999997</v>
      </c>
      <c r="F92" s="8">
        <v>0.53723333333333323</v>
      </c>
      <c r="G92" s="8">
        <v>0.96153</v>
      </c>
      <c r="H92" s="8">
        <v>0.91063000000000005</v>
      </c>
      <c r="I92" s="8">
        <v>0.44367000000000001</v>
      </c>
      <c r="J92" s="8">
        <v>0.68833999999999995</v>
      </c>
      <c r="K92" s="8">
        <v>5.5458E-2</v>
      </c>
      <c r="L92" s="8">
        <v>0.89854999999999996</v>
      </c>
      <c r="M92" s="8">
        <v>0.88241999999999998</v>
      </c>
      <c r="N92" s="8">
        <v>0.70006999999999997</v>
      </c>
      <c r="O92" s="8">
        <v>0.26186999999999999</v>
      </c>
      <c r="P92" s="8">
        <v>0.50087000000000004</v>
      </c>
      <c r="Q92" s="8">
        <v>0.66503999999999996</v>
      </c>
      <c r="R92" s="8">
        <v>0.74292000000000002</v>
      </c>
      <c r="S92" s="8">
        <v>0.89819000000000004</v>
      </c>
      <c r="T92" s="8">
        <v>0.44629000000000002</v>
      </c>
      <c r="U92" s="8">
        <v>0.50492000000000004</v>
      </c>
      <c r="V92" s="8">
        <v>0.92788000000000004</v>
      </c>
      <c r="W92" s="8">
        <v>0.92074</v>
      </c>
      <c r="X92" s="8">
        <v>0.86046999999999996</v>
      </c>
      <c r="Y92" s="8">
        <v>0.89200000000000002</v>
      </c>
      <c r="Z92" s="8">
        <v>0.81486000000000003</v>
      </c>
      <c r="AA92" s="8">
        <v>0.61911000000000005</v>
      </c>
      <c r="AB92" s="8">
        <v>0.91391999999999995</v>
      </c>
      <c r="AC92" s="8">
        <v>0.55154999999999998</v>
      </c>
      <c r="AD92" s="8">
        <v>0.12099</v>
      </c>
      <c r="AE92" s="8">
        <v>0.89588999999999996</v>
      </c>
      <c r="AF92" s="8">
        <v>0.43104999999999999</v>
      </c>
      <c r="AG92" s="8">
        <v>0.83109</v>
      </c>
      <c r="AH92" s="8">
        <v>0.96706999999999999</v>
      </c>
      <c r="AI92" s="8">
        <v>0.85126999999999997</v>
      </c>
      <c r="AJ92" s="8">
        <v>0.29996</v>
      </c>
      <c r="AK92" s="8">
        <v>0.11353000000000001</v>
      </c>
      <c r="AL92" s="8">
        <v>0.42816857142857129</v>
      </c>
      <c r="AM92" s="8">
        <v>0.93303000000000003</v>
      </c>
      <c r="AN92" s="8">
        <v>0.72967380952380956</v>
      </c>
      <c r="AO92" s="8">
        <v>8.5485000000000005E-2</v>
      </c>
      <c r="AP92" s="8">
        <v>0.17152999999999999</v>
      </c>
      <c r="AQ92" s="8">
        <v>0.96111999999999997</v>
      </c>
      <c r="AR92" s="8">
        <v>0.76888999999999996</v>
      </c>
      <c r="AS92" s="8">
        <v>0.86770999999999998</v>
      </c>
      <c r="AT92" s="8">
        <v>5.0547000000000002E-2</v>
      </c>
      <c r="AU92" s="8">
        <v>0.21997</v>
      </c>
      <c r="AV92" s="8">
        <v>0.27011000000000002</v>
      </c>
      <c r="AW92" s="8">
        <v>0.96347000000000005</v>
      </c>
      <c r="AX92" s="8">
        <v>0.19636999999999999</v>
      </c>
      <c r="AY92" s="8">
        <v>0.15608</v>
      </c>
      <c r="AZ92" s="8">
        <v>0.11859</v>
      </c>
      <c r="BA92" s="8">
        <v>0.15175</v>
      </c>
      <c r="BB92" s="8">
        <v>5.2958999999999999E-2</v>
      </c>
      <c r="BC92" s="8">
        <v>8.9714000000000002E-2</v>
      </c>
      <c r="BD92" s="8">
        <v>0.73023000000000005</v>
      </c>
      <c r="BE92" s="8">
        <v>0.62990999999999997</v>
      </c>
      <c r="BF92" s="8">
        <v>0.25563999999999998</v>
      </c>
      <c r="BG92" s="8">
        <v>8.6599999999999996E-2</v>
      </c>
      <c r="BH92" s="8">
        <v>7.8222E-2</v>
      </c>
      <c r="BI92" s="8">
        <v>0.40783000000000003</v>
      </c>
      <c r="BJ92" s="8">
        <v>0.81152999999999997</v>
      </c>
      <c r="BK92" s="8">
        <v>0.37069999999999997</v>
      </c>
      <c r="BL92" s="8">
        <v>0.97426999999999997</v>
      </c>
      <c r="BM92" s="8">
        <v>0.25534000000000001</v>
      </c>
      <c r="BN92" s="8">
        <v>0.10628</v>
      </c>
      <c r="BO92" s="8">
        <v>1.3498E-2</v>
      </c>
      <c r="BP92" s="8">
        <v>5.8674999999999998E-2</v>
      </c>
      <c r="BQ92" s="8">
        <v>6.3242000000000007E-2</v>
      </c>
      <c r="BR92" s="8">
        <v>0.20494999999999999</v>
      </c>
      <c r="BS92" s="8">
        <v>0.17709</v>
      </c>
      <c r="BT92" s="8">
        <v>0.27295999999999998</v>
      </c>
      <c r="BU92" s="8">
        <v>0.36995</v>
      </c>
      <c r="BV92" s="8">
        <v>0.46404000000000001</v>
      </c>
      <c r="BW92" s="8">
        <v>0.85348000000000002</v>
      </c>
      <c r="BX92" s="8">
        <v>0.82367999999999997</v>
      </c>
      <c r="BY92" s="8">
        <v>0.25518999999999997</v>
      </c>
      <c r="BZ92" s="8">
        <v>4.7810999999999999E-2</v>
      </c>
      <c r="CA92" s="8">
        <v>0.25007285714285715</v>
      </c>
      <c r="CB92" s="8">
        <v>0.83857000000000004</v>
      </c>
      <c r="CC92" s="8">
        <v>0.91317000000000004</v>
      </c>
      <c r="CD92" s="8">
        <v>0.84838999999999998</v>
      </c>
      <c r="CE92" s="8">
        <v>0.51937999999999995</v>
      </c>
      <c r="CF92" s="8">
        <v>0.97353999999999996</v>
      </c>
      <c r="CG92" s="8">
        <v>0.89920999999999995</v>
      </c>
      <c r="CH92" s="8">
        <v>5.7147000000000003E-2</v>
      </c>
      <c r="CI92" s="8">
        <v>0.50687000000000004</v>
      </c>
      <c r="CJ92" s="8">
        <v>0.86177000000000004</v>
      </c>
      <c r="CK92" s="8">
        <v>0.16249</v>
      </c>
      <c r="CL92" s="8">
        <v>0.97360000000000002</v>
      </c>
      <c r="CM92" s="8">
        <v>0.90110000000000001</v>
      </c>
      <c r="CN92" s="8">
        <v>0.27065</v>
      </c>
      <c r="CO92" s="8">
        <v>0.49329047619047617</v>
      </c>
      <c r="CP92" s="8">
        <v>0.82632285714285714</v>
      </c>
      <c r="CQ92" s="8">
        <v>0.77181</v>
      </c>
      <c r="CR92" s="8">
        <v>0.92418</v>
      </c>
      <c r="CS92" s="8">
        <v>0.92247000000000001</v>
      </c>
      <c r="CT92" s="8">
        <v>0.93562999999999996</v>
      </c>
      <c r="CU92" s="8">
        <v>0.18654999999999999</v>
      </c>
      <c r="CV92" s="8">
        <v>0.94040000000000001</v>
      </c>
      <c r="CW92" s="8">
        <v>0.64495000000000002</v>
      </c>
    </row>
    <row r="93" spans="1:101">
      <c r="A93">
        <f t="shared" si="1"/>
        <v>775</v>
      </c>
      <c r="B93">
        <v>1</v>
      </c>
      <c r="C93" s="8">
        <v>0.91386999999999996</v>
      </c>
      <c r="D93" s="8">
        <v>0.86534</v>
      </c>
      <c r="E93" s="8">
        <v>0.31452000000000002</v>
      </c>
      <c r="F93" s="8">
        <v>0.53909818181818181</v>
      </c>
      <c r="G93" s="8">
        <v>0.96394000000000002</v>
      </c>
      <c r="H93" s="8">
        <v>0.91922999999999999</v>
      </c>
      <c r="I93" s="8">
        <v>0.44219999999999998</v>
      </c>
      <c r="J93" s="8">
        <v>0.69325000000000003</v>
      </c>
      <c r="K93" s="8">
        <v>5.4962999999999998E-2</v>
      </c>
      <c r="L93" s="8">
        <v>0.89959</v>
      </c>
      <c r="M93" s="8">
        <v>0.89017999999999997</v>
      </c>
      <c r="N93" s="8">
        <v>0.70111000000000001</v>
      </c>
      <c r="O93" s="8">
        <v>0.26156000000000001</v>
      </c>
      <c r="P93" s="8">
        <v>0.50129000000000001</v>
      </c>
      <c r="Q93" s="8">
        <v>0.66746000000000005</v>
      </c>
      <c r="R93" s="8">
        <v>0.75431999999999999</v>
      </c>
      <c r="S93" s="8">
        <v>0.90812000000000004</v>
      </c>
      <c r="T93" s="8">
        <v>0.44955000000000001</v>
      </c>
      <c r="U93" s="8">
        <v>0.50424999999999998</v>
      </c>
      <c r="V93" s="8">
        <v>0.93145999999999995</v>
      </c>
      <c r="W93" s="8">
        <v>0.92145999999999995</v>
      </c>
      <c r="X93" s="8">
        <v>0.86185999999999996</v>
      </c>
      <c r="Y93" s="8">
        <v>0.89204000000000006</v>
      </c>
      <c r="Z93" s="8">
        <v>0.81316999999999995</v>
      </c>
      <c r="AA93" s="8">
        <v>0.62592000000000003</v>
      </c>
      <c r="AB93" s="8">
        <v>0.91427000000000003</v>
      </c>
      <c r="AC93" s="8">
        <v>0.55761000000000005</v>
      </c>
      <c r="AD93" s="8">
        <v>0.1212</v>
      </c>
      <c r="AE93" s="8">
        <v>0.89915999999999996</v>
      </c>
      <c r="AF93" s="8">
        <v>0.43589</v>
      </c>
      <c r="AG93" s="8">
        <v>0.83116000000000001</v>
      </c>
      <c r="AH93" s="8">
        <v>0.97057000000000004</v>
      </c>
      <c r="AI93" s="8">
        <v>0.85323000000000004</v>
      </c>
      <c r="AJ93" s="8">
        <v>0.30185000000000001</v>
      </c>
      <c r="AK93" s="8">
        <v>0.11426</v>
      </c>
      <c r="AL93" s="8">
        <v>0.42075818181818181</v>
      </c>
      <c r="AM93" s="8">
        <v>0.94535999999999998</v>
      </c>
      <c r="AN93" s="8">
        <v>0.73316272727272735</v>
      </c>
      <c r="AO93" s="8">
        <v>8.5324999999999998E-2</v>
      </c>
      <c r="AP93" s="8">
        <v>0.16980999999999999</v>
      </c>
      <c r="AQ93" s="8">
        <v>0.96360000000000001</v>
      </c>
      <c r="AR93" s="8">
        <v>0.78844999999999998</v>
      </c>
      <c r="AS93" s="8">
        <v>0.88822999999999996</v>
      </c>
      <c r="AT93" s="8">
        <v>5.0444999999999997E-2</v>
      </c>
      <c r="AU93" s="8">
        <v>0.21784000000000001</v>
      </c>
      <c r="AV93" s="8">
        <v>0.27306999999999998</v>
      </c>
      <c r="AW93" s="8">
        <v>0.96775999999999995</v>
      </c>
      <c r="AX93" s="8">
        <v>0.19842000000000001</v>
      </c>
      <c r="AY93" s="8">
        <v>0.16044</v>
      </c>
      <c r="AZ93" s="8">
        <v>0.11566</v>
      </c>
      <c r="BA93" s="8">
        <v>0.14768999999999999</v>
      </c>
      <c r="BB93" s="8">
        <v>5.1575999999999997E-2</v>
      </c>
      <c r="BC93" s="8">
        <v>9.1079999999999994E-2</v>
      </c>
      <c r="BD93" s="8">
        <v>0.73709000000000002</v>
      </c>
      <c r="BE93" s="8">
        <v>0.63117000000000001</v>
      </c>
      <c r="BF93" s="8">
        <v>0.26027</v>
      </c>
      <c r="BG93" s="8">
        <v>8.6597999999999994E-2</v>
      </c>
      <c r="BH93" s="8">
        <v>7.7692999999999998E-2</v>
      </c>
      <c r="BI93" s="8">
        <v>0.40001999999999999</v>
      </c>
      <c r="BJ93" s="8">
        <v>0.81276000000000004</v>
      </c>
      <c r="BK93" s="8">
        <v>0.36806</v>
      </c>
      <c r="BL93" s="8">
        <v>0.97907</v>
      </c>
      <c r="BM93" s="8">
        <v>0.27101999999999998</v>
      </c>
      <c r="BN93" s="8">
        <v>0.10594000000000001</v>
      </c>
      <c r="BO93" s="8">
        <v>1.3675E-2</v>
      </c>
      <c r="BP93" s="8">
        <v>5.8609000000000001E-2</v>
      </c>
      <c r="BQ93" s="8">
        <v>6.2928999999999999E-2</v>
      </c>
      <c r="BR93" s="8">
        <v>0.20282</v>
      </c>
      <c r="BS93" s="8">
        <v>0.17538000000000001</v>
      </c>
      <c r="BT93" s="8">
        <v>0.27083000000000002</v>
      </c>
      <c r="BU93" s="8">
        <v>0.38994000000000001</v>
      </c>
      <c r="BV93" s="8">
        <v>0.46461999999999998</v>
      </c>
      <c r="BW93" s="8">
        <v>0.87497000000000003</v>
      </c>
      <c r="BX93" s="8">
        <v>0.85284000000000004</v>
      </c>
      <c r="BY93" s="8">
        <v>0.26840000000000003</v>
      </c>
      <c r="BZ93" s="8">
        <v>4.4401999999999997E-2</v>
      </c>
      <c r="CA93" s="8">
        <v>0.24436909090909092</v>
      </c>
      <c r="CB93" s="8">
        <v>0.86323000000000005</v>
      </c>
      <c r="CC93" s="8">
        <v>0.91905999999999999</v>
      </c>
      <c r="CD93" s="8">
        <v>0.84877999999999998</v>
      </c>
      <c r="CE93" s="8">
        <v>0.52307000000000003</v>
      </c>
      <c r="CF93" s="8">
        <v>0.97631999999999997</v>
      </c>
      <c r="CG93" s="8">
        <v>0.90746000000000004</v>
      </c>
      <c r="CH93" s="8">
        <v>5.6749000000000001E-2</v>
      </c>
      <c r="CI93" s="8">
        <v>0.51937999999999995</v>
      </c>
      <c r="CJ93" s="8">
        <v>0.86646999999999996</v>
      </c>
      <c r="CK93" s="8">
        <v>0.16138</v>
      </c>
      <c r="CL93" s="8">
        <v>0.97792999999999997</v>
      </c>
      <c r="CM93" s="8">
        <v>0.91449000000000003</v>
      </c>
      <c r="CN93" s="8">
        <v>0.27206999999999998</v>
      </c>
      <c r="CO93" s="8">
        <v>0.48523181818181821</v>
      </c>
      <c r="CP93" s="8">
        <v>0.83411272727272734</v>
      </c>
      <c r="CQ93" s="8">
        <v>0.77266999999999997</v>
      </c>
      <c r="CR93" s="8">
        <v>0.93259000000000003</v>
      </c>
      <c r="CS93" s="8">
        <v>0.92551000000000005</v>
      </c>
      <c r="CT93" s="8">
        <v>0.93803000000000003</v>
      </c>
      <c r="CU93" s="8">
        <v>0.18129000000000001</v>
      </c>
      <c r="CV93" s="8">
        <v>0.94496000000000002</v>
      </c>
      <c r="CW93" s="8">
        <v>0.64573999999999998</v>
      </c>
    </row>
    <row r="94" spans="1:101">
      <c r="A94">
        <f t="shared" si="1"/>
        <v>780</v>
      </c>
      <c r="B94">
        <v>1</v>
      </c>
      <c r="C94" s="8">
        <v>0.91513999999999995</v>
      </c>
      <c r="D94" s="8">
        <v>0.87012</v>
      </c>
      <c r="E94" s="8">
        <v>0.32268000000000002</v>
      </c>
      <c r="F94" s="8">
        <v>0.54096</v>
      </c>
      <c r="G94" s="8">
        <v>0.96619999999999995</v>
      </c>
      <c r="H94" s="8">
        <v>0.92706</v>
      </c>
      <c r="I94" s="8">
        <v>0.44072</v>
      </c>
      <c r="J94" s="8">
        <v>0.69811000000000001</v>
      </c>
      <c r="K94" s="8">
        <v>5.4473000000000001E-2</v>
      </c>
      <c r="L94" s="8">
        <v>0.90061999999999998</v>
      </c>
      <c r="M94" s="8">
        <v>0.89748000000000006</v>
      </c>
      <c r="N94" s="8">
        <v>0.70215000000000005</v>
      </c>
      <c r="O94" s="8">
        <v>0.26124000000000003</v>
      </c>
      <c r="P94" s="8">
        <v>0.50172000000000005</v>
      </c>
      <c r="Q94" s="8">
        <v>0.66986999999999997</v>
      </c>
      <c r="R94" s="8">
        <v>0.76536999999999999</v>
      </c>
      <c r="S94" s="8">
        <v>0.91717000000000004</v>
      </c>
      <c r="T94" s="8">
        <v>0.45280999999999999</v>
      </c>
      <c r="U94" s="8">
        <v>0.50356999999999996</v>
      </c>
      <c r="V94" s="8">
        <v>0.93486999999999998</v>
      </c>
      <c r="W94" s="8">
        <v>0.92218</v>
      </c>
      <c r="X94" s="8">
        <v>0.86323000000000005</v>
      </c>
      <c r="Y94" s="8">
        <v>0.89200000000000002</v>
      </c>
      <c r="Z94" s="8">
        <v>0.81145999999999996</v>
      </c>
      <c r="AA94" s="8">
        <v>0.63266999999999995</v>
      </c>
      <c r="AB94" s="8">
        <v>0.91463000000000005</v>
      </c>
      <c r="AC94" s="8">
        <v>0.56364999999999998</v>
      </c>
      <c r="AD94" s="8">
        <v>0.12123</v>
      </c>
      <c r="AE94" s="8">
        <v>0.90232999999999997</v>
      </c>
      <c r="AF94" s="8">
        <v>0.44074000000000002</v>
      </c>
      <c r="AG94" s="8">
        <v>0.83123000000000002</v>
      </c>
      <c r="AH94" s="8">
        <v>0.97370000000000001</v>
      </c>
      <c r="AI94" s="8">
        <v>0.85516999999999999</v>
      </c>
      <c r="AJ94" s="8">
        <v>0.30375000000000002</v>
      </c>
      <c r="AK94" s="8">
        <v>0.115</v>
      </c>
      <c r="AL94" s="8">
        <v>0.41338999999999998</v>
      </c>
      <c r="AM94" s="8">
        <v>0.95552999999999999</v>
      </c>
      <c r="AN94" s="8">
        <v>0.73660999999999999</v>
      </c>
      <c r="AO94" s="8">
        <v>8.5165000000000005E-2</v>
      </c>
      <c r="AP94" s="8">
        <v>0.16808999999999999</v>
      </c>
      <c r="AQ94" s="8">
        <v>0.96594000000000002</v>
      </c>
      <c r="AR94" s="8">
        <v>0.80676999999999999</v>
      </c>
      <c r="AS94" s="8">
        <v>0.90591999999999995</v>
      </c>
      <c r="AT94" s="8">
        <v>5.0342999999999999E-2</v>
      </c>
      <c r="AU94" s="8">
        <v>0.21926000000000001</v>
      </c>
      <c r="AV94" s="8">
        <v>0.27605000000000002</v>
      </c>
      <c r="AW94" s="8">
        <v>0.97155000000000002</v>
      </c>
      <c r="AX94" s="8">
        <v>0.20049</v>
      </c>
      <c r="AY94" s="8">
        <v>0.16489000000000001</v>
      </c>
      <c r="AZ94" s="8">
        <v>0.1128</v>
      </c>
      <c r="BA94" s="8">
        <v>0.14371</v>
      </c>
      <c r="BB94" s="8">
        <v>5.0227000000000001E-2</v>
      </c>
      <c r="BC94" s="8">
        <v>9.2466000000000007E-2</v>
      </c>
      <c r="BD94" s="8">
        <v>0.74382999999999999</v>
      </c>
      <c r="BE94" s="8">
        <v>0.62990999999999997</v>
      </c>
      <c r="BF94" s="8">
        <v>0.26495999999999997</v>
      </c>
      <c r="BG94" s="8">
        <v>8.6599999999999996E-2</v>
      </c>
      <c r="BH94" s="8">
        <v>7.7165999999999998E-2</v>
      </c>
      <c r="BI94" s="8">
        <v>0.39226</v>
      </c>
      <c r="BJ94" s="8">
        <v>0.81152999999999997</v>
      </c>
      <c r="BK94" s="8">
        <v>0.36543999999999999</v>
      </c>
      <c r="BL94" s="8">
        <v>0.98299000000000003</v>
      </c>
      <c r="BM94" s="8">
        <v>0.2873</v>
      </c>
      <c r="BN94" s="8">
        <v>0.1056</v>
      </c>
      <c r="BO94" s="8">
        <v>1.3854999999999999E-2</v>
      </c>
      <c r="BP94" s="8">
        <v>5.8543999999999999E-2</v>
      </c>
      <c r="BQ94" s="8">
        <v>6.2616000000000005E-2</v>
      </c>
      <c r="BR94" s="8">
        <v>0.20069000000000001</v>
      </c>
      <c r="BS94" s="8">
        <v>0.17369000000000001</v>
      </c>
      <c r="BT94" s="8">
        <v>0.26871</v>
      </c>
      <c r="BU94" s="8">
        <v>0.41031000000000001</v>
      </c>
      <c r="BV94" s="8">
        <v>0.46518999999999999</v>
      </c>
      <c r="BW94" s="8">
        <v>0.89371</v>
      </c>
      <c r="BX94" s="8">
        <v>0.87788999999999995</v>
      </c>
      <c r="BY94" s="8">
        <v>0.28204000000000001</v>
      </c>
      <c r="BZ94" s="8">
        <v>4.1225999999999999E-2</v>
      </c>
      <c r="CA94" s="8">
        <v>0.23877999999999999</v>
      </c>
      <c r="CB94" s="8">
        <v>0.88465000000000005</v>
      </c>
      <c r="CC94" s="8">
        <v>0.92457999999999996</v>
      </c>
      <c r="CD94" s="8">
        <v>0.84838999999999998</v>
      </c>
      <c r="CE94" s="8">
        <v>0.52675000000000005</v>
      </c>
      <c r="CF94" s="8">
        <v>0.97882000000000002</v>
      </c>
      <c r="CG94" s="8">
        <v>0.91510999999999998</v>
      </c>
      <c r="CH94" s="8">
        <v>5.6353E-2</v>
      </c>
      <c r="CI94" s="8">
        <v>0.53185000000000004</v>
      </c>
      <c r="CJ94" s="8">
        <v>0.87102999999999997</v>
      </c>
      <c r="CK94" s="8">
        <v>0.16027</v>
      </c>
      <c r="CL94" s="8">
        <v>0.98155999999999999</v>
      </c>
      <c r="CM94" s="8">
        <v>0.92620999999999998</v>
      </c>
      <c r="CN94" s="8">
        <v>0.27350000000000002</v>
      </c>
      <c r="CO94" s="8">
        <v>0.47717999999999999</v>
      </c>
      <c r="CP94" s="8">
        <v>0.84153999999999995</v>
      </c>
      <c r="CQ94" s="8">
        <v>0.77353000000000005</v>
      </c>
      <c r="CR94" s="8">
        <v>0.94013999999999998</v>
      </c>
      <c r="CS94" s="8">
        <v>0.92844000000000004</v>
      </c>
      <c r="CT94" s="8">
        <v>0.94035000000000002</v>
      </c>
      <c r="CU94" s="8">
        <v>0.17613999999999999</v>
      </c>
      <c r="CV94" s="8">
        <v>0.94920000000000004</v>
      </c>
      <c r="CW94" s="8">
        <v>0.64651999999999998</v>
      </c>
    </row>
    <row r="95" spans="1:101">
      <c r="A95">
        <f t="shared" si="1"/>
        <v>785</v>
      </c>
      <c r="B95">
        <v>1</v>
      </c>
      <c r="C95" s="8">
        <v>0.91513999999999995</v>
      </c>
      <c r="D95" s="8">
        <v>0.87012</v>
      </c>
      <c r="E95" s="8">
        <v>0.32268000000000002</v>
      </c>
      <c r="F95" s="8">
        <v>0.54096</v>
      </c>
      <c r="G95" s="8">
        <v>0.96619999999999995</v>
      </c>
      <c r="H95" s="8">
        <v>0.92706</v>
      </c>
      <c r="I95" s="8">
        <v>0.44072</v>
      </c>
      <c r="J95" s="8">
        <v>0.69811000000000001</v>
      </c>
      <c r="K95" s="8">
        <v>5.4473000000000001E-2</v>
      </c>
      <c r="L95" s="8">
        <v>0.90061999999999998</v>
      </c>
      <c r="M95" s="8">
        <v>0.89748000000000006</v>
      </c>
      <c r="N95" s="8">
        <v>0.70215000000000005</v>
      </c>
      <c r="O95" s="8">
        <v>0.26124000000000003</v>
      </c>
      <c r="P95" s="8">
        <v>0.50172000000000005</v>
      </c>
      <c r="Q95" s="8">
        <v>0.66986999999999997</v>
      </c>
      <c r="R95" s="8">
        <v>0.76536999999999999</v>
      </c>
      <c r="S95" s="8">
        <v>0.91717000000000004</v>
      </c>
      <c r="T95" s="8">
        <v>0.45280999999999999</v>
      </c>
      <c r="U95" s="8">
        <v>0.50356999999999996</v>
      </c>
      <c r="V95" s="8">
        <v>0.93486999999999998</v>
      </c>
      <c r="W95" s="8">
        <v>0.92218</v>
      </c>
      <c r="X95" s="8">
        <v>0.86323000000000005</v>
      </c>
      <c r="Y95" s="8">
        <v>0.89200000000000002</v>
      </c>
      <c r="Z95" s="8">
        <v>0.81145999999999996</v>
      </c>
      <c r="AA95" s="8">
        <v>0.63266999999999995</v>
      </c>
      <c r="AB95" s="8">
        <v>0.91463000000000005</v>
      </c>
      <c r="AC95" s="8">
        <v>0.56364999999999998</v>
      </c>
      <c r="AD95" s="8">
        <v>0.12123</v>
      </c>
      <c r="AE95" s="8">
        <v>0.90232999999999997</v>
      </c>
      <c r="AF95" s="8">
        <v>0.44074000000000002</v>
      </c>
      <c r="AG95" s="8">
        <v>0.83123000000000002</v>
      </c>
      <c r="AH95" s="8">
        <v>0.97370000000000001</v>
      </c>
      <c r="AI95" s="8">
        <v>0.85516999999999999</v>
      </c>
      <c r="AJ95" s="8">
        <v>0.30375000000000002</v>
      </c>
      <c r="AK95" s="8">
        <v>0.115</v>
      </c>
      <c r="AL95" s="8">
        <v>0.41338999999999998</v>
      </c>
      <c r="AM95" s="8">
        <v>0.95552999999999999</v>
      </c>
      <c r="AN95" s="8">
        <v>0.73660999999999999</v>
      </c>
      <c r="AO95" s="8">
        <v>8.5165000000000005E-2</v>
      </c>
      <c r="AP95" s="8">
        <v>0.16808999999999999</v>
      </c>
      <c r="AQ95" s="8">
        <v>0.96594000000000002</v>
      </c>
      <c r="AR95" s="8">
        <v>0.80676999999999999</v>
      </c>
      <c r="AS95" s="8">
        <v>0.90591999999999995</v>
      </c>
      <c r="AT95" s="8">
        <v>5.0342999999999999E-2</v>
      </c>
      <c r="AU95" s="8">
        <v>0.21926000000000001</v>
      </c>
      <c r="AV95" s="8">
        <v>0.27605000000000002</v>
      </c>
      <c r="AW95" s="8">
        <v>0.97155000000000002</v>
      </c>
      <c r="AX95" s="8">
        <v>0.20049</v>
      </c>
      <c r="AY95" s="8">
        <v>0.16489000000000001</v>
      </c>
      <c r="AZ95" s="8">
        <v>0.1128</v>
      </c>
      <c r="BA95" s="8">
        <v>0.14371</v>
      </c>
      <c r="BB95" s="8">
        <v>5.0227000000000001E-2</v>
      </c>
      <c r="BC95" s="8">
        <v>9.2466000000000007E-2</v>
      </c>
      <c r="BD95" s="8">
        <v>0.74382999999999999</v>
      </c>
      <c r="BE95" s="8">
        <v>0.62990999999999997</v>
      </c>
      <c r="BF95" s="8">
        <v>0.26495999999999997</v>
      </c>
      <c r="BG95" s="8">
        <v>8.6599999999999996E-2</v>
      </c>
      <c r="BH95" s="8">
        <v>7.7165999999999998E-2</v>
      </c>
      <c r="BI95" s="8">
        <v>0.39226</v>
      </c>
      <c r="BJ95" s="8">
        <v>0.81152999999999997</v>
      </c>
      <c r="BK95" s="8">
        <v>0.36543999999999999</v>
      </c>
      <c r="BL95" s="8">
        <v>0.98299000000000003</v>
      </c>
      <c r="BM95" s="8">
        <v>0.2873</v>
      </c>
      <c r="BN95" s="8">
        <v>0.1056</v>
      </c>
      <c r="BO95" s="8">
        <v>1.3854999999999999E-2</v>
      </c>
      <c r="BP95" s="8">
        <v>5.8543999999999999E-2</v>
      </c>
      <c r="BQ95" s="8">
        <v>6.2616000000000005E-2</v>
      </c>
      <c r="BR95" s="8">
        <v>0.20069000000000001</v>
      </c>
      <c r="BS95" s="8">
        <v>0.17369000000000001</v>
      </c>
      <c r="BT95" s="8">
        <v>0.26871</v>
      </c>
      <c r="BU95" s="8">
        <v>0.41031000000000001</v>
      </c>
      <c r="BV95" s="8">
        <v>0.46518999999999999</v>
      </c>
      <c r="BW95" s="8">
        <v>0.89371</v>
      </c>
      <c r="BX95" s="8">
        <v>0.87788999999999995</v>
      </c>
      <c r="BY95" s="8">
        <v>0.28204000000000001</v>
      </c>
      <c r="BZ95" s="8">
        <v>4.1225999999999999E-2</v>
      </c>
      <c r="CA95" s="8">
        <v>0.23877999999999999</v>
      </c>
      <c r="CB95" s="8">
        <v>0.88465000000000005</v>
      </c>
      <c r="CC95" s="8">
        <v>0.92457999999999996</v>
      </c>
      <c r="CD95" s="8">
        <v>0.84838999999999998</v>
      </c>
      <c r="CE95" s="8">
        <v>0.52675000000000005</v>
      </c>
      <c r="CF95" s="8">
        <v>0.97882000000000002</v>
      </c>
      <c r="CG95" s="8">
        <v>0.91510999999999998</v>
      </c>
      <c r="CH95" s="8">
        <v>5.6353E-2</v>
      </c>
      <c r="CI95" s="8">
        <v>0.53185000000000004</v>
      </c>
      <c r="CJ95" s="8">
        <v>0.87102999999999997</v>
      </c>
      <c r="CK95" s="8">
        <v>0.16027</v>
      </c>
      <c r="CL95" s="8">
        <v>0.98155999999999999</v>
      </c>
      <c r="CM95" s="8">
        <v>0.92620999999999998</v>
      </c>
      <c r="CN95" s="8">
        <v>0.27350000000000002</v>
      </c>
      <c r="CO95" s="8">
        <v>0.47717999999999999</v>
      </c>
      <c r="CP95" s="8">
        <v>0.84153999999999995</v>
      </c>
      <c r="CQ95" s="8">
        <v>0.77353000000000005</v>
      </c>
      <c r="CR95" s="8">
        <v>0.94013999999999998</v>
      </c>
      <c r="CS95" s="8">
        <v>0.92844000000000004</v>
      </c>
      <c r="CT95" s="8">
        <v>0.94035000000000002</v>
      </c>
      <c r="CU95" s="8">
        <v>0.17613999999999999</v>
      </c>
      <c r="CV95" s="8">
        <v>0.94920000000000004</v>
      </c>
      <c r="CW95" s="8">
        <v>0.64651999999999998</v>
      </c>
    </row>
    <row r="96" spans="1:101">
      <c r="A96">
        <f t="shared" si="1"/>
        <v>790</v>
      </c>
      <c r="B96">
        <v>1</v>
      </c>
      <c r="C96" s="8">
        <v>0.91513999999999995</v>
      </c>
      <c r="D96" s="8">
        <v>0.87012</v>
      </c>
      <c r="E96" s="8">
        <v>0.32268000000000002</v>
      </c>
      <c r="F96" s="8">
        <v>0.54096</v>
      </c>
      <c r="G96" s="8">
        <v>0.96619999999999995</v>
      </c>
      <c r="H96" s="8">
        <v>0.92706</v>
      </c>
      <c r="I96" s="8">
        <v>0.44072</v>
      </c>
      <c r="J96" s="8">
        <v>0.69811000000000001</v>
      </c>
      <c r="K96" s="8">
        <v>5.4473000000000001E-2</v>
      </c>
      <c r="L96" s="8">
        <v>0.90061999999999998</v>
      </c>
      <c r="M96" s="8">
        <v>0.89748000000000006</v>
      </c>
      <c r="N96" s="8">
        <v>0.70215000000000005</v>
      </c>
      <c r="O96" s="8">
        <v>0.26124000000000003</v>
      </c>
      <c r="P96" s="8">
        <v>0.50172000000000005</v>
      </c>
      <c r="Q96" s="8">
        <v>0.66986999999999997</v>
      </c>
      <c r="R96" s="8">
        <v>0.76536999999999999</v>
      </c>
      <c r="S96" s="8">
        <v>0.91717000000000004</v>
      </c>
      <c r="T96" s="8">
        <v>0.45280999999999999</v>
      </c>
      <c r="U96" s="8">
        <v>0.50356999999999996</v>
      </c>
      <c r="V96" s="8">
        <v>0.93486999999999998</v>
      </c>
      <c r="W96" s="8">
        <v>0.92218</v>
      </c>
      <c r="X96" s="8">
        <v>0.86323000000000005</v>
      </c>
      <c r="Y96" s="8">
        <v>0.89200000000000002</v>
      </c>
      <c r="Z96" s="8">
        <v>0.81145999999999996</v>
      </c>
      <c r="AA96" s="8">
        <v>0.63266999999999995</v>
      </c>
      <c r="AB96" s="8">
        <v>0.91463000000000005</v>
      </c>
      <c r="AC96" s="8">
        <v>0.56364999999999998</v>
      </c>
      <c r="AD96" s="8">
        <v>0.12123</v>
      </c>
      <c r="AE96" s="8">
        <v>0.90232999999999997</v>
      </c>
      <c r="AF96" s="8">
        <v>0.44074000000000002</v>
      </c>
      <c r="AG96" s="8">
        <v>0.83123000000000002</v>
      </c>
      <c r="AH96" s="8">
        <v>0.97370000000000001</v>
      </c>
      <c r="AI96" s="8">
        <v>0.85516999999999999</v>
      </c>
      <c r="AJ96" s="8">
        <v>0.30375000000000002</v>
      </c>
      <c r="AK96" s="8">
        <v>0.115</v>
      </c>
      <c r="AL96" s="8">
        <v>0.41338999999999998</v>
      </c>
      <c r="AM96" s="8">
        <v>0.95552999999999999</v>
      </c>
      <c r="AN96" s="8">
        <v>0.73660999999999999</v>
      </c>
      <c r="AO96" s="8">
        <v>8.5165000000000005E-2</v>
      </c>
      <c r="AP96" s="8">
        <v>0.16808999999999999</v>
      </c>
      <c r="AQ96" s="8">
        <v>0.96594000000000002</v>
      </c>
      <c r="AR96" s="8">
        <v>0.80676999999999999</v>
      </c>
      <c r="AS96" s="8">
        <v>0.90591999999999995</v>
      </c>
      <c r="AT96" s="8">
        <v>5.0342999999999999E-2</v>
      </c>
      <c r="AU96" s="8">
        <v>0.21926000000000001</v>
      </c>
      <c r="AV96" s="8">
        <v>0.27605000000000002</v>
      </c>
      <c r="AW96" s="8">
        <v>0.97155000000000002</v>
      </c>
      <c r="AX96" s="8">
        <v>0.20049</v>
      </c>
      <c r="AY96" s="8">
        <v>0.16489000000000001</v>
      </c>
      <c r="AZ96" s="8">
        <v>0.1128</v>
      </c>
      <c r="BA96" s="8">
        <v>0.14371</v>
      </c>
      <c r="BB96" s="8">
        <v>5.0227000000000001E-2</v>
      </c>
      <c r="BC96" s="8">
        <v>9.2466000000000007E-2</v>
      </c>
      <c r="BD96" s="8">
        <v>0.74382999999999999</v>
      </c>
      <c r="BE96" s="8">
        <v>0.62990999999999997</v>
      </c>
      <c r="BF96" s="8">
        <v>0.26495999999999997</v>
      </c>
      <c r="BG96" s="8">
        <v>8.6599999999999996E-2</v>
      </c>
      <c r="BH96" s="8">
        <v>7.7165999999999998E-2</v>
      </c>
      <c r="BI96" s="8">
        <v>0.39226</v>
      </c>
      <c r="BJ96" s="8">
        <v>0.81152999999999997</v>
      </c>
      <c r="BK96" s="8">
        <v>0.36543999999999999</v>
      </c>
      <c r="BL96" s="8">
        <v>0.98299000000000003</v>
      </c>
      <c r="BM96" s="8">
        <v>0.2873</v>
      </c>
      <c r="BN96" s="8">
        <v>0.1056</v>
      </c>
      <c r="BO96" s="8">
        <v>1.3854999999999999E-2</v>
      </c>
      <c r="BP96" s="8">
        <v>5.8543999999999999E-2</v>
      </c>
      <c r="BQ96" s="8">
        <v>6.2616000000000005E-2</v>
      </c>
      <c r="BR96" s="8">
        <v>0.20069000000000001</v>
      </c>
      <c r="BS96" s="8">
        <v>0.17369000000000001</v>
      </c>
      <c r="BT96" s="8">
        <v>0.26871</v>
      </c>
      <c r="BU96" s="8">
        <v>0.41031000000000001</v>
      </c>
      <c r="BV96" s="8">
        <v>0.46518999999999999</v>
      </c>
      <c r="BW96" s="8">
        <v>0.89371</v>
      </c>
      <c r="BX96" s="8">
        <v>0.87788999999999995</v>
      </c>
      <c r="BY96" s="8">
        <v>0.28204000000000001</v>
      </c>
      <c r="BZ96" s="8">
        <v>4.1225999999999999E-2</v>
      </c>
      <c r="CA96" s="8">
        <v>0.23877999999999999</v>
      </c>
      <c r="CB96" s="8">
        <v>0.88465000000000005</v>
      </c>
      <c r="CC96" s="8">
        <v>0.92457999999999996</v>
      </c>
      <c r="CD96" s="8">
        <v>0.84838999999999998</v>
      </c>
      <c r="CE96" s="8">
        <v>0.52675000000000005</v>
      </c>
      <c r="CF96" s="8">
        <v>0.97882000000000002</v>
      </c>
      <c r="CG96" s="8">
        <v>0.91510999999999998</v>
      </c>
      <c r="CH96" s="8">
        <v>5.6353E-2</v>
      </c>
      <c r="CI96" s="8">
        <v>0.53185000000000004</v>
      </c>
      <c r="CJ96" s="8">
        <v>0.87102999999999997</v>
      </c>
      <c r="CK96" s="8">
        <v>0.16027</v>
      </c>
      <c r="CL96" s="8">
        <v>0.98155999999999999</v>
      </c>
      <c r="CM96" s="8">
        <v>0.92620999999999998</v>
      </c>
      <c r="CN96" s="8">
        <v>0.27350000000000002</v>
      </c>
      <c r="CO96" s="8">
        <v>0.47717999999999999</v>
      </c>
      <c r="CP96" s="8">
        <v>0.84153999999999995</v>
      </c>
      <c r="CQ96" s="8">
        <v>0.77353000000000005</v>
      </c>
      <c r="CR96" s="8">
        <v>0.94013999999999998</v>
      </c>
      <c r="CS96" s="8">
        <v>0.92844000000000004</v>
      </c>
      <c r="CT96" s="8">
        <v>0.94035000000000002</v>
      </c>
      <c r="CU96" s="8">
        <v>0.17613999999999999</v>
      </c>
      <c r="CV96" s="8">
        <v>0.94920000000000004</v>
      </c>
      <c r="CW96" s="8">
        <v>0.64651999999999998</v>
      </c>
    </row>
    <row r="97" spans="1:101">
      <c r="A97">
        <f t="shared" si="1"/>
        <v>795</v>
      </c>
      <c r="B97">
        <v>1</v>
      </c>
      <c r="C97" s="8">
        <v>0.91513999999999995</v>
      </c>
      <c r="D97" s="8">
        <v>0.87012</v>
      </c>
      <c r="E97" s="8">
        <v>0.32268000000000002</v>
      </c>
      <c r="F97" s="8">
        <v>0.54096</v>
      </c>
      <c r="G97" s="8">
        <v>0.96619999999999995</v>
      </c>
      <c r="H97" s="8">
        <v>0.92706</v>
      </c>
      <c r="I97" s="8">
        <v>0.44072</v>
      </c>
      <c r="J97" s="8">
        <v>0.69811000000000001</v>
      </c>
      <c r="K97" s="8">
        <v>5.4473000000000001E-2</v>
      </c>
      <c r="L97" s="8">
        <v>0.90061999999999998</v>
      </c>
      <c r="M97" s="8">
        <v>0.89748000000000006</v>
      </c>
      <c r="N97" s="8">
        <v>0.70215000000000005</v>
      </c>
      <c r="O97" s="8">
        <v>0.26124000000000003</v>
      </c>
      <c r="P97" s="8">
        <v>0.50172000000000005</v>
      </c>
      <c r="Q97" s="8">
        <v>0.66986999999999997</v>
      </c>
      <c r="R97" s="8">
        <v>0.76536999999999999</v>
      </c>
      <c r="S97" s="8">
        <v>0.91717000000000004</v>
      </c>
      <c r="T97" s="8">
        <v>0.45280999999999999</v>
      </c>
      <c r="U97" s="8">
        <v>0.50356999999999996</v>
      </c>
      <c r="V97" s="8">
        <v>0.93486999999999998</v>
      </c>
      <c r="W97" s="8">
        <v>0.92218</v>
      </c>
      <c r="X97" s="8">
        <v>0.86323000000000005</v>
      </c>
      <c r="Y97" s="8">
        <v>0.89200000000000002</v>
      </c>
      <c r="Z97" s="8">
        <v>0.81145999999999996</v>
      </c>
      <c r="AA97" s="8">
        <v>0.63266999999999995</v>
      </c>
      <c r="AB97" s="8">
        <v>0.91463000000000005</v>
      </c>
      <c r="AC97" s="8">
        <v>0.56364999999999998</v>
      </c>
      <c r="AD97" s="8">
        <v>0.12123</v>
      </c>
      <c r="AE97" s="8">
        <v>0.90232999999999997</v>
      </c>
      <c r="AF97" s="8">
        <v>0.44074000000000002</v>
      </c>
      <c r="AG97" s="8">
        <v>0.83123000000000002</v>
      </c>
      <c r="AH97" s="8">
        <v>0.97370000000000001</v>
      </c>
      <c r="AI97" s="8">
        <v>0.85516999999999999</v>
      </c>
      <c r="AJ97" s="8">
        <v>0.30375000000000002</v>
      </c>
      <c r="AK97" s="8">
        <v>0.115</v>
      </c>
      <c r="AL97" s="8">
        <v>0.41338999999999998</v>
      </c>
      <c r="AM97" s="8">
        <v>0.95552999999999999</v>
      </c>
      <c r="AN97" s="8">
        <v>0.73660999999999999</v>
      </c>
      <c r="AO97" s="8">
        <v>8.5165000000000005E-2</v>
      </c>
      <c r="AP97" s="8">
        <v>0.16808999999999999</v>
      </c>
      <c r="AQ97" s="8">
        <v>0.96594000000000002</v>
      </c>
      <c r="AR97" s="8">
        <v>0.80676999999999999</v>
      </c>
      <c r="AS97" s="8">
        <v>0.90591999999999995</v>
      </c>
      <c r="AT97" s="8">
        <v>5.0342999999999999E-2</v>
      </c>
      <c r="AU97" s="8">
        <v>0.21926000000000001</v>
      </c>
      <c r="AV97" s="8">
        <v>0.27605000000000002</v>
      </c>
      <c r="AW97" s="8">
        <v>0.97155000000000002</v>
      </c>
      <c r="AX97" s="8">
        <v>0.20049</v>
      </c>
      <c r="AY97" s="8">
        <v>0.16489000000000001</v>
      </c>
      <c r="AZ97" s="8">
        <v>0.1128</v>
      </c>
      <c r="BA97" s="8">
        <v>0.14371</v>
      </c>
      <c r="BB97" s="8">
        <v>5.0227000000000001E-2</v>
      </c>
      <c r="BC97" s="8">
        <v>9.2466000000000007E-2</v>
      </c>
      <c r="BD97" s="8">
        <v>0.74382999999999999</v>
      </c>
      <c r="BE97" s="8">
        <v>0.62990999999999997</v>
      </c>
      <c r="BF97" s="8">
        <v>0.26495999999999997</v>
      </c>
      <c r="BG97" s="8">
        <v>8.6599999999999996E-2</v>
      </c>
      <c r="BH97" s="8">
        <v>7.7165999999999998E-2</v>
      </c>
      <c r="BI97" s="8">
        <v>0.39226</v>
      </c>
      <c r="BJ97" s="8">
        <v>0.81152999999999997</v>
      </c>
      <c r="BK97" s="8">
        <v>0.36543999999999999</v>
      </c>
      <c r="BL97" s="8">
        <v>0.98299000000000003</v>
      </c>
      <c r="BM97" s="8">
        <v>0.2873</v>
      </c>
      <c r="BN97" s="8">
        <v>0.1056</v>
      </c>
      <c r="BO97" s="8">
        <v>1.3854999999999999E-2</v>
      </c>
      <c r="BP97" s="8">
        <v>5.8543999999999999E-2</v>
      </c>
      <c r="BQ97" s="8">
        <v>6.2616000000000005E-2</v>
      </c>
      <c r="BR97" s="8">
        <v>0.20069000000000001</v>
      </c>
      <c r="BS97" s="8">
        <v>0.17369000000000001</v>
      </c>
      <c r="BT97" s="8">
        <v>0.26871</v>
      </c>
      <c r="BU97" s="8">
        <v>0.41031000000000001</v>
      </c>
      <c r="BV97" s="8">
        <v>0.46518999999999999</v>
      </c>
      <c r="BW97" s="8">
        <v>0.89371</v>
      </c>
      <c r="BX97" s="8">
        <v>0.87788999999999995</v>
      </c>
      <c r="BY97" s="8">
        <v>0.28204000000000001</v>
      </c>
      <c r="BZ97" s="8">
        <v>4.1225999999999999E-2</v>
      </c>
      <c r="CA97" s="8">
        <v>0.23877999999999999</v>
      </c>
      <c r="CB97" s="8">
        <v>0.88465000000000005</v>
      </c>
      <c r="CC97" s="8">
        <v>0.92457999999999996</v>
      </c>
      <c r="CD97" s="8">
        <v>0.84838999999999998</v>
      </c>
      <c r="CE97" s="8">
        <v>0.52675000000000005</v>
      </c>
      <c r="CF97" s="8">
        <v>0.97882000000000002</v>
      </c>
      <c r="CG97" s="8">
        <v>0.91510999999999998</v>
      </c>
      <c r="CH97" s="8">
        <v>5.6353E-2</v>
      </c>
      <c r="CI97" s="8">
        <v>0.53185000000000004</v>
      </c>
      <c r="CJ97" s="8">
        <v>0.87102999999999997</v>
      </c>
      <c r="CK97" s="8">
        <v>0.16027</v>
      </c>
      <c r="CL97" s="8">
        <v>0.98155999999999999</v>
      </c>
      <c r="CM97" s="8">
        <v>0.92620999999999998</v>
      </c>
      <c r="CN97" s="8">
        <v>0.27350000000000002</v>
      </c>
      <c r="CO97" s="8">
        <v>0.47717999999999999</v>
      </c>
      <c r="CP97" s="8">
        <v>0.84153999999999995</v>
      </c>
      <c r="CQ97" s="8">
        <v>0.77353000000000005</v>
      </c>
      <c r="CR97" s="8">
        <v>0.94013999999999998</v>
      </c>
      <c r="CS97" s="8">
        <v>0.92844000000000004</v>
      </c>
      <c r="CT97" s="8">
        <v>0.94035000000000002</v>
      </c>
      <c r="CU97" s="8">
        <v>0.17613999999999999</v>
      </c>
      <c r="CV97" s="8">
        <v>0.94920000000000004</v>
      </c>
      <c r="CW97" s="8">
        <v>0.64651999999999998</v>
      </c>
    </row>
    <row r="98" spans="1:101">
      <c r="A98">
        <f t="shared" si="1"/>
        <v>800</v>
      </c>
      <c r="B98">
        <v>1</v>
      </c>
      <c r="C98" s="8">
        <v>0.91513999999999995</v>
      </c>
      <c r="D98" s="8">
        <v>0.87012</v>
      </c>
      <c r="E98" s="8">
        <v>0.32268000000000002</v>
      </c>
      <c r="F98" s="8">
        <v>0.54096</v>
      </c>
      <c r="G98" s="8">
        <v>0.96619999999999995</v>
      </c>
      <c r="H98" s="8">
        <v>0.92706</v>
      </c>
      <c r="I98" s="8">
        <v>0.44072</v>
      </c>
      <c r="J98" s="8">
        <v>0.69811000000000001</v>
      </c>
      <c r="K98" s="8">
        <v>5.4473000000000001E-2</v>
      </c>
      <c r="L98" s="8">
        <v>0.90061999999999998</v>
      </c>
      <c r="M98" s="8">
        <v>0.89748000000000006</v>
      </c>
      <c r="N98" s="8">
        <v>0.70215000000000005</v>
      </c>
      <c r="O98" s="8">
        <v>0.26124000000000003</v>
      </c>
      <c r="P98" s="8">
        <v>0.50172000000000005</v>
      </c>
      <c r="Q98" s="8">
        <v>0.66986999999999997</v>
      </c>
      <c r="R98" s="8">
        <v>0.76536999999999999</v>
      </c>
      <c r="S98" s="8">
        <v>0.91717000000000004</v>
      </c>
      <c r="T98" s="8">
        <v>0.45280999999999999</v>
      </c>
      <c r="U98" s="8">
        <v>0.50356999999999996</v>
      </c>
      <c r="V98" s="8">
        <v>0.93486999999999998</v>
      </c>
      <c r="W98" s="8">
        <v>0.92218</v>
      </c>
      <c r="X98" s="8">
        <v>0.86323000000000005</v>
      </c>
      <c r="Y98" s="8">
        <v>0.89200000000000002</v>
      </c>
      <c r="Z98" s="8">
        <v>0.81145999999999996</v>
      </c>
      <c r="AA98" s="8">
        <v>0.63266999999999995</v>
      </c>
      <c r="AB98" s="8">
        <v>0.91463000000000005</v>
      </c>
      <c r="AC98" s="8">
        <v>0.56364999999999998</v>
      </c>
      <c r="AD98" s="8">
        <v>0.12123</v>
      </c>
      <c r="AE98" s="8">
        <v>0.90232999999999997</v>
      </c>
      <c r="AF98" s="8">
        <v>0.44074000000000002</v>
      </c>
      <c r="AG98" s="8">
        <v>0.83123000000000002</v>
      </c>
      <c r="AH98" s="8">
        <v>0.97370000000000001</v>
      </c>
      <c r="AI98" s="8">
        <v>0.85516999999999999</v>
      </c>
      <c r="AJ98" s="8">
        <v>0.30375000000000002</v>
      </c>
      <c r="AK98" s="8">
        <v>0.115</v>
      </c>
      <c r="AL98" s="8">
        <v>0.41338999999999998</v>
      </c>
      <c r="AM98" s="8">
        <v>0.95552999999999999</v>
      </c>
      <c r="AN98" s="8">
        <v>0.73660999999999999</v>
      </c>
      <c r="AO98" s="8">
        <v>8.5165000000000005E-2</v>
      </c>
      <c r="AP98" s="8">
        <v>0.16808999999999999</v>
      </c>
      <c r="AQ98" s="8">
        <v>0.96594000000000002</v>
      </c>
      <c r="AR98" s="8">
        <v>0.80676999999999999</v>
      </c>
      <c r="AS98" s="8">
        <v>0.90591999999999995</v>
      </c>
      <c r="AT98" s="8">
        <v>5.0342999999999999E-2</v>
      </c>
      <c r="AU98" s="8">
        <v>0.21926000000000001</v>
      </c>
      <c r="AV98" s="8">
        <v>0.27605000000000002</v>
      </c>
      <c r="AW98" s="8">
        <v>0.97155000000000002</v>
      </c>
      <c r="AX98" s="8">
        <v>0.20049</v>
      </c>
      <c r="AY98" s="8">
        <v>0.16489000000000001</v>
      </c>
      <c r="AZ98" s="8">
        <v>0.1128</v>
      </c>
      <c r="BA98" s="8">
        <v>0.14371</v>
      </c>
      <c r="BB98" s="8">
        <v>5.0227000000000001E-2</v>
      </c>
      <c r="BC98" s="8">
        <v>9.2466000000000007E-2</v>
      </c>
      <c r="BD98" s="8">
        <v>0.74382999999999999</v>
      </c>
      <c r="BE98" s="8">
        <v>0.62990999999999997</v>
      </c>
      <c r="BF98" s="8">
        <v>0.26495999999999997</v>
      </c>
      <c r="BG98" s="8">
        <v>8.6599999999999996E-2</v>
      </c>
      <c r="BH98" s="8">
        <v>7.7165999999999998E-2</v>
      </c>
      <c r="BI98" s="8">
        <v>0.39226</v>
      </c>
      <c r="BJ98" s="8">
        <v>0.81152999999999997</v>
      </c>
      <c r="BK98" s="8">
        <v>0.36543999999999999</v>
      </c>
      <c r="BL98" s="8">
        <v>0.98299000000000003</v>
      </c>
      <c r="BM98" s="8">
        <v>0.2873</v>
      </c>
      <c r="BN98" s="8">
        <v>0.1056</v>
      </c>
      <c r="BO98" s="8">
        <v>1.3854999999999999E-2</v>
      </c>
      <c r="BP98" s="8">
        <v>5.8543999999999999E-2</v>
      </c>
      <c r="BQ98" s="8">
        <v>6.2616000000000005E-2</v>
      </c>
      <c r="BR98" s="8">
        <v>0.20069000000000001</v>
      </c>
      <c r="BS98" s="8">
        <v>0.17369000000000001</v>
      </c>
      <c r="BT98" s="8">
        <v>0.26871</v>
      </c>
      <c r="BU98" s="8">
        <v>0.41031000000000001</v>
      </c>
      <c r="BV98" s="8">
        <v>0.46518999999999999</v>
      </c>
      <c r="BW98" s="8">
        <v>0.89371</v>
      </c>
      <c r="BX98" s="8">
        <v>0.87788999999999995</v>
      </c>
      <c r="BY98" s="8">
        <v>0.28204000000000001</v>
      </c>
      <c r="BZ98" s="8">
        <v>4.1225999999999999E-2</v>
      </c>
      <c r="CA98" s="8">
        <v>0.23877999999999999</v>
      </c>
      <c r="CB98" s="8">
        <v>0.88465000000000005</v>
      </c>
      <c r="CC98" s="8">
        <v>0.92457999999999996</v>
      </c>
      <c r="CD98" s="8">
        <v>0.84838999999999998</v>
      </c>
      <c r="CE98" s="8">
        <v>0.52675000000000005</v>
      </c>
      <c r="CF98" s="8">
        <v>0.97882000000000002</v>
      </c>
      <c r="CG98" s="8">
        <v>0.91510999999999998</v>
      </c>
      <c r="CH98" s="8">
        <v>5.6353E-2</v>
      </c>
      <c r="CI98" s="8">
        <v>0.53185000000000004</v>
      </c>
      <c r="CJ98" s="8">
        <v>0.87102999999999997</v>
      </c>
      <c r="CK98" s="8">
        <v>0.16027</v>
      </c>
      <c r="CL98" s="8">
        <v>0.98155999999999999</v>
      </c>
      <c r="CM98" s="8">
        <v>0.92620999999999998</v>
      </c>
      <c r="CN98" s="8">
        <v>0.27350000000000002</v>
      </c>
      <c r="CO98" s="8">
        <v>0.47717999999999999</v>
      </c>
      <c r="CP98" s="8">
        <v>0.84153999999999995</v>
      </c>
      <c r="CQ98" s="8">
        <v>0.77353000000000005</v>
      </c>
      <c r="CR98" s="8">
        <v>0.94013999999999998</v>
      </c>
      <c r="CS98" s="8">
        <v>0.92844000000000004</v>
      </c>
      <c r="CT98" s="8">
        <v>0.94035000000000002</v>
      </c>
      <c r="CU98" s="8">
        <v>0.17613999999999999</v>
      </c>
      <c r="CV98" s="8">
        <v>0.94920000000000004</v>
      </c>
      <c r="CW98" s="8">
        <v>0.64651999999999998</v>
      </c>
    </row>
    <row r="99" spans="1:101">
      <c r="A99">
        <f t="shared" si="1"/>
        <v>805</v>
      </c>
      <c r="B99">
        <v>1</v>
      </c>
      <c r="C99" s="8">
        <v>0.91513999999999995</v>
      </c>
      <c r="D99" s="8">
        <v>0.87012</v>
      </c>
      <c r="E99" s="8">
        <v>0.32268000000000002</v>
      </c>
      <c r="F99" s="8">
        <v>0.54096</v>
      </c>
      <c r="G99" s="8">
        <v>0.96619999999999995</v>
      </c>
      <c r="H99" s="8">
        <v>0.92706</v>
      </c>
      <c r="I99" s="8">
        <v>0.44072</v>
      </c>
      <c r="J99" s="8">
        <v>0.69811000000000001</v>
      </c>
      <c r="K99" s="8">
        <v>5.4473000000000001E-2</v>
      </c>
      <c r="L99" s="8">
        <v>0.90061999999999998</v>
      </c>
      <c r="M99" s="8">
        <v>0.89748000000000006</v>
      </c>
      <c r="N99" s="8">
        <v>0.70215000000000005</v>
      </c>
      <c r="O99" s="8">
        <v>0.26124000000000003</v>
      </c>
      <c r="P99" s="8">
        <v>0.50172000000000005</v>
      </c>
      <c r="Q99" s="8">
        <v>0.66986999999999997</v>
      </c>
      <c r="R99" s="8">
        <v>0.76536999999999999</v>
      </c>
      <c r="S99" s="8">
        <v>0.91717000000000004</v>
      </c>
      <c r="T99" s="8">
        <v>0.45280999999999999</v>
      </c>
      <c r="U99" s="8">
        <v>0.50356999999999996</v>
      </c>
      <c r="V99" s="8">
        <v>0.93486999999999998</v>
      </c>
      <c r="W99" s="8">
        <v>0.92218</v>
      </c>
      <c r="X99" s="8">
        <v>0.86323000000000005</v>
      </c>
      <c r="Y99" s="8">
        <v>0.89200000000000002</v>
      </c>
      <c r="Z99" s="8">
        <v>0.81145999999999996</v>
      </c>
      <c r="AA99" s="8">
        <v>0.63266999999999995</v>
      </c>
      <c r="AB99" s="8">
        <v>0.91463000000000005</v>
      </c>
      <c r="AC99" s="8">
        <v>0.56364999999999998</v>
      </c>
      <c r="AD99" s="8">
        <v>0.12123</v>
      </c>
      <c r="AE99" s="8">
        <v>0.90232999999999997</v>
      </c>
      <c r="AF99" s="8">
        <v>0.44074000000000002</v>
      </c>
      <c r="AG99" s="8">
        <v>0.83123000000000002</v>
      </c>
      <c r="AH99" s="8">
        <v>0.97370000000000001</v>
      </c>
      <c r="AI99" s="8">
        <v>0.85516999999999999</v>
      </c>
      <c r="AJ99" s="8">
        <v>0.30375000000000002</v>
      </c>
      <c r="AK99" s="8">
        <v>0.115</v>
      </c>
      <c r="AL99" s="8">
        <v>0.41338999999999998</v>
      </c>
      <c r="AM99" s="8">
        <v>0.95552999999999999</v>
      </c>
      <c r="AN99" s="8">
        <v>0.73660999999999999</v>
      </c>
      <c r="AO99" s="8">
        <v>8.5165000000000005E-2</v>
      </c>
      <c r="AP99" s="8">
        <v>0.16808999999999999</v>
      </c>
      <c r="AQ99" s="8">
        <v>0.96594000000000002</v>
      </c>
      <c r="AR99" s="8">
        <v>0.80676999999999999</v>
      </c>
      <c r="AS99" s="8">
        <v>0.90591999999999995</v>
      </c>
      <c r="AT99" s="8">
        <v>5.0342999999999999E-2</v>
      </c>
      <c r="AU99" s="8">
        <v>0.21926000000000001</v>
      </c>
      <c r="AV99" s="8">
        <v>0.27605000000000002</v>
      </c>
      <c r="AW99" s="8">
        <v>0.97155000000000002</v>
      </c>
      <c r="AX99" s="8">
        <v>0.20049</v>
      </c>
      <c r="AY99" s="8">
        <v>0.16489000000000001</v>
      </c>
      <c r="AZ99" s="8">
        <v>0.1128</v>
      </c>
      <c r="BA99" s="8">
        <v>0.14371</v>
      </c>
      <c r="BB99" s="8">
        <v>5.0227000000000001E-2</v>
      </c>
      <c r="BC99" s="8">
        <v>9.2466000000000007E-2</v>
      </c>
      <c r="BD99" s="8">
        <v>0.74382999999999999</v>
      </c>
      <c r="BE99" s="8">
        <v>0.62990999999999997</v>
      </c>
      <c r="BF99" s="8">
        <v>0.26495999999999997</v>
      </c>
      <c r="BG99" s="8">
        <v>8.6599999999999996E-2</v>
      </c>
      <c r="BH99" s="8">
        <v>7.7165999999999998E-2</v>
      </c>
      <c r="BI99" s="8">
        <v>0.39226</v>
      </c>
      <c r="BJ99" s="8">
        <v>0.81152999999999997</v>
      </c>
      <c r="BK99" s="8">
        <v>0.36543999999999999</v>
      </c>
      <c r="BL99" s="8">
        <v>0.98299000000000003</v>
      </c>
      <c r="BM99" s="8">
        <v>0.2873</v>
      </c>
      <c r="BN99" s="8">
        <v>0.1056</v>
      </c>
      <c r="BO99" s="8">
        <v>1.3854999999999999E-2</v>
      </c>
      <c r="BP99" s="8">
        <v>5.8543999999999999E-2</v>
      </c>
      <c r="BQ99" s="8">
        <v>6.2616000000000005E-2</v>
      </c>
      <c r="BR99" s="8">
        <v>0.20069000000000001</v>
      </c>
      <c r="BS99" s="8">
        <v>0.17369000000000001</v>
      </c>
      <c r="BT99" s="8">
        <v>0.26871</v>
      </c>
      <c r="BU99" s="8">
        <v>0.41031000000000001</v>
      </c>
      <c r="BV99" s="8">
        <v>0.46518999999999999</v>
      </c>
      <c r="BW99" s="8">
        <v>0.89371</v>
      </c>
      <c r="BX99" s="8">
        <v>0.87788999999999995</v>
      </c>
      <c r="BY99" s="8">
        <v>0.28204000000000001</v>
      </c>
      <c r="BZ99" s="8">
        <v>4.1225999999999999E-2</v>
      </c>
      <c r="CA99" s="8">
        <v>0.23877999999999999</v>
      </c>
      <c r="CB99" s="8">
        <v>0.88465000000000005</v>
      </c>
      <c r="CC99" s="8">
        <v>0.92457999999999996</v>
      </c>
      <c r="CD99" s="8">
        <v>0.84838999999999998</v>
      </c>
      <c r="CE99" s="8">
        <v>0.52675000000000005</v>
      </c>
      <c r="CF99" s="8">
        <v>0.97882000000000002</v>
      </c>
      <c r="CG99" s="8">
        <v>0.91510999999999998</v>
      </c>
      <c r="CH99" s="8">
        <v>5.6353E-2</v>
      </c>
      <c r="CI99" s="8">
        <v>0.53185000000000004</v>
      </c>
      <c r="CJ99" s="8">
        <v>0.87102999999999997</v>
      </c>
      <c r="CK99" s="8">
        <v>0.16027</v>
      </c>
      <c r="CL99" s="8">
        <v>0.98155999999999999</v>
      </c>
      <c r="CM99" s="8">
        <v>0.92620999999999998</v>
      </c>
      <c r="CN99" s="8">
        <v>0.27350000000000002</v>
      </c>
      <c r="CO99" s="8">
        <v>0.47717999999999999</v>
      </c>
      <c r="CP99" s="8">
        <v>0.84153999999999995</v>
      </c>
      <c r="CQ99" s="8">
        <v>0.77353000000000005</v>
      </c>
      <c r="CR99" s="8">
        <v>0.94013999999999998</v>
      </c>
      <c r="CS99" s="8">
        <v>0.92844000000000004</v>
      </c>
      <c r="CT99" s="8">
        <v>0.94035000000000002</v>
      </c>
      <c r="CU99" s="8">
        <v>0.17613999999999999</v>
      </c>
      <c r="CV99" s="8">
        <v>0.94920000000000004</v>
      </c>
      <c r="CW99" s="8">
        <v>0.64651999999999998</v>
      </c>
    </row>
    <row r="100" spans="1:101">
      <c r="A100">
        <f t="shared" si="1"/>
        <v>810</v>
      </c>
      <c r="B100">
        <v>1</v>
      </c>
      <c r="C100" s="8">
        <v>0.91513999999999995</v>
      </c>
      <c r="D100" s="8">
        <v>0.87012</v>
      </c>
      <c r="E100" s="8">
        <v>0.32268000000000002</v>
      </c>
      <c r="F100" s="8">
        <v>0.54096</v>
      </c>
      <c r="G100" s="8">
        <v>0.96619999999999995</v>
      </c>
      <c r="H100" s="8">
        <v>0.92706</v>
      </c>
      <c r="I100" s="8">
        <v>0.44072</v>
      </c>
      <c r="J100" s="8">
        <v>0.69811000000000001</v>
      </c>
      <c r="K100" s="8">
        <v>5.4473000000000001E-2</v>
      </c>
      <c r="L100" s="8">
        <v>0.90061999999999998</v>
      </c>
      <c r="M100" s="8">
        <v>0.89748000000000006</v>
      </c>
      <c r="N100" s="8">
        <v>0.70215000000000005</v>
      </c>
      <c r="O100" s="8">
        <v>0.26124000000000003</v>
      </c>
      <c r="P100" s="8">
        <v>0.50172000000000005</v>
      </c>
      <c r="Q100" s="8">
        <v>0.66986999999999997</v>
      </c>
      <c r="R100" s="8">
        <v>0.76536999999999999</v>
      </c>
      <c r="S100" s="8">
        <v>0.91717000000000004</v>
      </c>
      <c r="T100" s="8">
        <v>0.45280999999999999</v>
      </c>
      <c r="U100" s="8">
        <v>0.50356999999999996</v>
      </c>
      <c r="V100" s="8">
        <v>0.93486999999999998</v>
      </c>
      <c r="W100" s="8">
        <v>0.92218</v>
      </c>
      <c r="X100" s="8">
        <v>0.86323000000000005</v>
      </c>
      <c r="Y100" s="8">
        <v>0.89200000000000002</v>
      </c>
      <c r="Z100" s="8">
        <v>0.81145999999999996</v>
      </c>
      <c r="AA100" s="8">
        <v>0.63266999999999995</v>
      </c>
      <c r="AB100" s="8">
        <v>0.91463000000000005</v>
      </c>
      <c r="AC100" s="8">
        <v>0.56364999999999998</v>
      </c>
      <c r="AD100" s="8">
        <v>0.12123</v>
      </c>
      <c r="AE100" s="8">
        <v>0.90232999999999997</v>
      </c>
      <c r="AF100" s="8">
        <v>0.44074000000000002</v>
      </c>
      <c r="AG100" s="8">
        <v>0.83123000000000002</v>
      </c>
      <c r="AH100" s="8">
        <v>0.97370000000000001</v>
      </c>
      <c r="AI100" s="8">
        <v>0.85516999999999999</v>
      </c>
      <c r="AJ100" s="8">
        <v>0.30375000000000002</v>
      </c>
      <c r="AK100" s="8">
        <v>0.115</v>
      </c>
      <c r="AL100" s="8">
        <v>0.41338999999999998</v>
      </c>
      <c r="AM100" s="8">
        <v>0.95552999999999999</v>
      </c>
      <c r="AN100" s="8">
        <v>0.73660999999999999</v>
      </c>
      <c r="AO100" s="8">
        <v>8.5165000000000005E-2</v>
      </c>
      <c r="AP100" s="8">
        <v>0.16808999999999999</v>
      </c>
      <c r="AQ100" s="8">
        <v>0.96594000000000002</v>
      </c>
      <c r="AR100" s="8">
        <v>0.80676999999999999</v>
      </c>
      <c r="AS100" s="8">
        <v>0.90591999999999995</v>
      </c>
      <c r="AT100" s="8">
        <v>5.0342999999999999E-2</v>
      </c>
      <c r="AU100" s="8">
        <v>0.21926000000000001</v>
      </c>
      <c r="AV100" s="8">
        <v>0.27605000000000002</v>
      </c>
      <c r="AW100" s="8">
        <v>0.97155000000000002</v>
      </c>
      <c r="AX100" s="8">
        <v>0.20049</v>
      </c>
      <c r="AY100" s="8">
        <v>0.16489000000000001</v>
      </c>
      <c r="AZ100" s="8">
        <v>0.1128</v>
      </c>
      <c r="BA100" s="8">
        <v>0.14371</v>
      </c>
      <c r="BB100" s="8">
        <v>5.0227000000000001E-2</v>
      </c>
      <c r="BC100" s="8">
        <v>9.2466000000000007E-2</v>
      </c>
      <c r="BD100" s="8">
        <v>0.74382999999999999</v>
      </c>
      <c r="BE100" s="8">
        <v>0.62990999999999997</v>
      </c>
      <c r="BF100" s="8">
        <v>0.26495999999999997</v>
      </c>
      <c r="BG100" s="8">
        <v>8.6599999999999996E-2</v>
      </c>
      <c r="BH100" s="8">
        <v>7.7165999999999998E-2</v>
      </c>
      <c r="BI100" s="8">
        <v>0.39226</v>
      </c>
      <c r="BJ100" s="8">
        <v>0.81152999999999997</v>
      </c>
      <c r="BK100" s="8">
        <v>0.36543999999999999</v>
      </c>
      <c r="BL100" s="8">
        <v>0.98299000000000003</v>
      </c>
      <c r="BM100" s="8">
        <v>0.2873</v>
      </c>
      <c r="BN100" s="8">
        <v>0.1056</v>
      </c>
      <c r="BO100" s="8">
        <v>1.3854999999999999E-2</v>
      </c>
      <c r="BP100" s="8">
        <v>5.8543999999999999E-2</v>
      </c>
      <c r="BQ100" s="8">
        <v>6.2616000000000005E-2</v>
      </c>
      <c r="BR100" s="8">
        <v>0.20069000000000001</v>
      </c>
      <c r="BS100" s="8">
        <v>0.17369000000000001</v>
      </c>
      <c r="BT100" s="8">
        <v>0.26871</v>
      </c>
      <c r="BU100" s="8">
        <v>0.41031000000000001</v>
      </c>
      <c r="BV100" s="8">
        <v>0.46518999999999999</v>
      </c>
      <c r="BW100" s="8">
        <v>0.89371</v>
      </c>
      <c r="BX100" s="8">
        <v>0.87788999999999995</v>
      </c>
      <c r="BY100" s="8">
        <v>0.28204000000000001</v>
      </c>
      <c r="BZ100" s="8">
        <v>4.1225999999999999E-2</v>
      </c>
      <c r="CA100" s="8">
        <v>0.23877999999999999</v>
      </c>
      <c r="CB100" s="8">
        <v>0.88465000000000005</v>
      </c>
      <c r="CC100" s="8">
        <v>0.92457999999999996</v>
      </c>
      <c r="CD100" s="8">
        <v>0.84838999999999998</v>
      </c>
      <c r="CE100" s="8">
        <v>0.52675000000000005</v>
      </c>
      <c r="CF100" s="8">
        <v>0.97882000000000002</v>
      </c>
      <c r="CG100" s="8">
        <v>0.91510999999999998</v>
      </c>
      <c r="CH100" s="8">
        <v>5.6353E-2</v>
      </c>
      <c r="CI100" s="8">
        <v>0.53185000000000004</v>
      </c>
      <c r="CJ100" s="8">
        <v>0.87102999999999997</v>
      </c>
      <c r="CK100" s="8">
        <v>0.16027</v>
      </c>
      <c r="CL100" s="8">
        <v>0.98155999999999999</v>
      </c>
      <c r="CM100" s="8">
        <v>0.92620999999999998</v>
      </c>
      <c r="CN100" s="8">
        <v>0.27350000000000002</v>
      </c>
      <c r="CO100" s="8">
        <v>0.47717999999999999</v>
      </c>
      <c r="CP100" s="8">
        <v>0.84153999999999995</v>
      </c>
      <c r="CQ100" s="8">
        <v>0.77353000000000005</v>
      </c>
      <c r="CR100" s="8">
        <v>0.94013999999999998</v>
      </c>
      <c r="CS100" s="8">
        <v>0.92844000000000004</v>
      </c>
      <c r="CT100" s="8">
        <v>0.94035000000000002</v>
      </c>
      <c r="CU100" s="8">
        <v>0.17613999999999999</v>
      </c>
      <c r="CV100" s="8">
        <v>0.94920000000000004</v>
      </c>
      <c r="CW100" s="8">
        <v>0.64651999999999998</v>
      </c>
    </row>
    <row r="101" spans="1:101">
      <c r="A101">
        <f t="shared" si="1"/>
        <v>815</v>
      </c>
      <c r="B101">
        <v>1</v>
      </c>
      <c r="C101" s="8">
        <v>0.91513999999999995</v>
      </c>
      <c r="D101" s="8">
        <v>0.87012</v>
      </c>
      <c r="E101" s="8">
        <v>0.32268000000000002</v>
      </c>
      <c r="F101" s="8">
        <v>0.54096</v>
      </c>
      <c r="G101" s="8">
        <v>0.96619999999999995</v>
      </c>
      <c r="H101" s="8">
        <v>0.92706</v>
      </c>
      <c r="I101" s="8">
        <v>0.44072</v>
      </c>
      <c r="J101" s="8">
        <v>0.69811000000000001</v>
      </c>
      <c r="K101" s="8">
        <v>5.4473000000000001E-2</v>
      </c>
      <c r="L101" s="8">
        <v>0.90061999999999998</v>
      </c>
      <c r="M101" s="8">
        <v>0.89748000000000006</v>
      </c>
      <c r="N101" s="8">
        <v>0.70215000000000005</v>
      </c>
      <c r="O101" s="8">
        <v>0.26124000000000003</v>
      </c>
      <c r="P101" s="8">
        <v>0.50172000000000005</v>
      </c>
      <c r="Q101" s="8">
        <v>0.66986999999999997</v>
      </c>
      <c r="R101" s="8">
        <v>0.76536999999999999</v>
      </c>
      <c r="S101" s="8">
        <v>0.91717000000000004</v>
      </c>
      <c r="T101" s="8">
        <v>0.45280999999999999</v>
      </c>
      <c r="U101" s="8">
        <v>0.50356999999999996</v>
      </c>
      <c r="V101" s="8">
        <v>0.93486999999999998</v>
      </c>
      <c r="W101" s="8">
        <v>0.92218</v>
      </c>
      <c r="X101" s="8">
        <v>0.86323000000000005</v>
      </c>
      <c r="Y101" s="8">
        <v>0.89200000000000002</v>
      </c>
      <c r="Z101" s="8">
        <v>0.81145999999999996</v>
      </c>
      <c r="AA101" s="8">
        <v>0.63266999999999995</v>
      </c>
      <c r="AB101" s="8">
        <v>0.91463000000000005</v>
      </c>
      <c r="AC101" s="8">
        <v>0.56364999999999998</v>
      </c>
      <c r="AD101" s="8">
        <v>0.12123</v>
      </c>
      <c r="AE101" s="8">
        <v>0.90232999999999997</v>
      </c>
      <c r="AF101" s="8">
        <v>0.44074000000000002</v>
      </c>
      <c r="AG101" s="8">
        <v>0.83123000000000002</v>
      </c>
      <c r="AH101" s="8">
        <v>0.97370000000000001</v>
      </c>
      <c r="AI101" s="8">
        <v>0.85516999999999999</v>
      </c>
      <c r="AJ101" s="8">
        <v>0.30375000000000002</v>
      </c>
      <c r="AK101" s="8">
        <v>0.115</v>
      </c>
      <c r="AL101" s="8">
        <v>0.41338999999999998</v>
      </c>
      <c r="AM101" s="8">
        <v>0.95552999999999999</v>
      </c>
      <c r="AN101" s="8">
        <v>0.73660999999999999</v>
      </c>
      <c r="AO101" s="8">
        <v>8.5165000000000005E-2</v>
      </c>
      <c r="AP101" s="8">
        <v>0.16808999999999999</v>
      </c>
      <c r="AQ101" s="8">
        <v>0.96594000000000002</v>
      </c>
      <c r="AR101" s="8">
        <v>0.80676999999999999</v>
      </c>
      <c r="AS101" s="8">
        <v>0.90591999999999995</v>
      </c>
      <c r="AT101" s="8">
        <v>5.0342999999999999E-2</v>
      </c>
      <c r="AU101" s="8">
        <v>0.21926000000000001</v>
      </c>
      <c r="AV101" s="8">
        <v>0.27605000000000002</v>
      </c>
      <c r="AW101" s="8">
        <v>0.97155000000000002</v>
      </c>
      <c r="AX101" s="8">
        <v>0.20049</v>
      </c>
      <c r="AY101" s="8">
        <v>0.16489000000000001</v>
      </c>
      <c r="AZ101" s="8">
        <v>0.1128</v>
      </c>
      <c r="BA101" s="8">
        <v>0.14371</v>
      </c>
      <c r="BB101" s="8">
        <v>5.0227000000000001E-2</v>
      </c>
      <c r="BC101" s="8">
        <v>9.2466000000000007E-2</v>
      </c>
      <c r="BD101" s="8">
        <v>0.74382999999999999</v>
      </c>
      <c r="BE101" s="8">
        <v>0.62990999999999997</v>
      </c>
      <c r="BF101" s="8">
        <v>0.26495999999999997</v>
      </c>
      <c r="BG101" s="8">
        <v>8.6599999999999996E-2</v>
      </c>
      <c r="BH101" s="8">
        <v>7.7165999999999998E-2</v>
      </c>
      <c r="BI101" s="8">
        <v>0.39226</v>
      </c>
      <c r="BJ101" s="8">
        <v>0.81152999999999997</v>
      </c>
      <c r="BK101" s="8">
        <v>0.36543999999999999</v>
      </c>
      <c r="BL101" s="8">
        <v>0.98299000000000003</v>
      </c>
      <c r="BM101" s="8">
        <v>0.2873</v>
      </c>
      <c r="BN101" s="8">
        <v>0.1056</v>
      </c>
      <c r="BO101" s="8">
        <v>1.3854999999999999E-2</v>
      </c>
      <c r="BP101" s="8">
        <v>5.8543999999999999E-2</v>
      </c>
      <c r="BQ101" s="8">
        <v>6.2616000000000005E-2</v>
      </c>
      <c r="BR101" s="8">
        <v>0.20069000000000001</v>
      </c>
      <c r="BS101" s="8">
        <v>0.17369000000000001</v>
      </c>
      <c r="BT101" s="8">
        <v>0.26871</v>
      </c>
      <c r="BU101" s="8">
        <v>0.41031000000000001</v>
      </c>
      <c r="BV101" s="8">
        <v>0.46518999999999999</v>
      </c>
      <c r="BW101" s="8">
        <v>0.89371</v>
      </c>
      <c r="BX101" s="8">
        <v>0.87788999999999995</v>
      </c>
      <c r="BY101" s="8">
        <v>0.28204000000000001</v>
      </c>
      <c r="BZ101" s="8">
        <v>4.1225999999999999E-2</v>
      </c>
      <c r="CA101" s="8">
        <v>0.23877999999999999</v>
      </c>
      <c r="CB101" s="8">
        <v>0.88465000000000005</v>
      </c>
      <c r="CC101" s="8">
        <v>0.92457999999999996</v>
      </c>
      <c r="CD101" s="8">
        <v>0.84838999999999998</v>
      </c>
      <c r="CE101" s="8">
        <v>0.52675000000000005</v>
      </c>
      <c r="CF101" s="8">
        <v>0.97882000000000002</v>
      </c>
      <c r="CG101" s="8">
        <v>0.91510999999999998</v>
      </c>
      <c r="CH101" s="8">
        <v>5.6353E-2</v>
      </c>
      <c r="CI101" s="8">
        <v>0.53185000000000004</v>
      </c>
      <c r="CJ101" s="8">
        <v>0.87102999999999997</v>
      </c>
      <c r="CK101" s="8">
        <v>0.16027</v>
      </c>
      <c r="CL101" s="8">
        <v>0.98155999999999999</v>
      </c>
      <c r="CM101" s="8">
        <v>0.92620999999999998</v>
      </c>
      <c r="CN101" s="8">
        <v>0.27350000000000002</v>
      </c>
      <c r="CO101" s="8">
        <v>0.47717999999999999</v>
      </c>
      <c r="CP101" s="8">
        <v>0.84153999999999995</v>
      </c>
      <c r="CQ101" s="8">
        <v>0.77353000000000005</v>
      </c>
      <c r="CR101" s="8">
        <v>0.94013999999999998</v>
      </c>
      <c r="CS101" s="8">
        <v>0.92844000000000004</v>
      </c>
      <c r="CT101" s="8">
        <v>0.94035000000000002</v>
      </c>
      <c r="CU101" s="8">
        <v>0.17613999999999999</v>
      </c>
      <c r="CV101" s="8">
        <v>0.94920000000000004</v>
      </c>
      <c r="CW101" s="8">
        <v>0.64651999999999998</v>
      </c>
    </row>
    <row r="102" spans="1:101">
      <c r="A102">
        <f t="shared" si="1"/>
        <v>820</v>
      </c>
      <c r="B102">
        <v>1</v>
      </c>
      <c r="C102" s="8">
        <v>0.91513999999999995</v>
      </c>
      <c r="D102" s="8">
        <v>0.87012</v>
      </c>
      <c r="E102" s="8">
        <v>0.32268000000000002</v>
      </c>
      <c r="F102" s="8">
        <v>0.54096</v>
      </c>
      <c r="G102" s="8">
        <v>0.96619999999999995</v>
      </c>
      <c r="H102" s="8">
        <v>0.92706</v>
      </c>
      <c r="I102" s="8">
        <v>0.44072</v>
      </c>
      <c r="J102" s="8">
        <v>0.69811000000000001</v>
      </c>
      <c r="K102" s="8">
        <v>5.4473000000000001E-2</v>
      </c>
      <c r="L102" s="8">
        <v>0.90061999999999998</v>
      </c>
      <c r="M102" s="8">
        <v>0.89748000000000006</v>
      </c>
      <c r="N102" s="8">
        <v>0.70215000000000005</v>
      </c>
      <c r="O102" s="8">
        <v>0.26124000000000003</v>
      </c>
      <c r="P102" s="8">
        <v>0.50172000000000005</v>
      </c>
      <c r="Q102" s="8">
        <v>0.66986999999999997</v>
      </c>
      <c r="R102" s="8">
        <v>0.76536999999999999</v>
      </c>
      <c r="S102" s="8">
        <v>0.91717000000000004</v>
      </c>
      <c r="T102" s="8">
        <v>0.45280999999999999</v>
      </c>
      <c r="U102" s="8">
        <v>0.50356999999999996</v>
      </c>
      <c r="V102" s="8">
        <v>0.93486999999999998</v>
      </c>
      <c r="W102" s="8">
        <v>0.92218</v>
      </c>
      <c r="X102" s="8">
        <v>0.86323000000000005</v>
      </c>
      <c r="Y102" s="8">
        <v>0.89200000000000002</v>
      </c>
      <c r="Z102" s="8">
        <v>0.81145999999999996</v>
      </c>
      <c r="AA102" s="8">
        <v>0.63266999999999995</v>
      </c>
      <c r="AB102" s="8">
        <v>0.91463000000000005</v>
      </c>
      <c r="AC102" s="8">
        <v>0.56364999999999998</v>
      </c>
      <c r="AD102" s="8">
        <v>0.12123</v>
      </c>
      <c r="AE102" s="8">
        <v>0.90232999999999997</v>
      </c>
      <c r="AF102" s="8">
        <v>0.44074000000000002</v>
      </c>
      <c r="AG102" s="8">
        <v>0.83123000000000002</v>
      </c>
      <c r="AH102" s="8">
        <v>0.97370000000000001</v>
      </c>
      <c r="AI102" s="8">
        <v>0.85516999999999999</v>
      </c>
      <c r="AJ102" s="8">
        <v>0.30375000000000002</v>
      </c>
      <c r="AK102" s="8">
        <v>0.115</v>
      </c>
      <c r="AL102" s="8">
        <v>0.41338999999999998</v>
      </c>
      <c r="AM102" s="8">
        <v>0.95552999999999999</v>
      </c>
      <c r="AN102" s="8">
        <v>0.73660999999999999</v>
      </c>
      <c r="AO102" s="8">
        <v>8.5165000000000005E-2</v>
      </c>
      <c r="AP102" s="8">
        <v>0.16808999999999999</v>
      </c>
      <c r="AQ102" s="8">
        <v>0.96594000000000002</v>
      </c>
      <c r="AR102" s="8">
        <v>0.80676999999999999</v>
      </c>
      <c r="AS102" s="8">
        <v>0.90591999999999995</v>
      </c>
      <c r="AT102" s="8">
        <v>5.0342999999999999E-2</v>
      </c>
      <c r="AU102" s="8">
        <v>0.21926000000000001</v>
      </c>
      <c r="AV102" s="8">
        <v>0.27605000000000002</v>
      </c>
      <c r="AW102" s="8">
        <v>0.97155000000000002</v>
      </c>
      <c r="AX102" s="8">
        <v>0.20049</v>
      </c>
      <c r="AY102" s="8">
        <v>0.16489000000000001</v>
      </c>
      <c r="AZ102" s="8">
        <v>0.1128</v>
      </c>
      <c r="BA102" s="8">
        <v>0.14371</v>
      </c>
      <c r="BB102" s="8">
        <v>5.0227000000000001E-2</v>
      </c>
      <c r="BC102" s="8">
        <v>9.2466000000000007E-2</v>
      </c>
      <c r="BD102" s="8">
        <v>0.74382999999999999</v>
      </c>
      <c r="BE102" s="8">
        <v>0.62990999999999997</v>
      </c>
      <c r="BF102" s="8">
        <v>0.26495999999999997</v>
      </c>
      <c r="BG102" s="8">
        <v>8.6599999999999996E-2</v>
      </c>
      <c r="BH102" s="8">
        <v>7.7165999999999998E-2</v>
      </c>
      <c r="BI102" s="8">
        <v>0.39226</v>
      </c>
      <c r="BJ102" s="8">
        <v>0.81152999999999997</v>
      </c>
      <c r="BK102" s="8">
        <v>0.36543999999999999</v>
      </c>
      <c r="BL102" s="8">
        <v>0.98299000000000003</v>
      </c>
      <c r="BM102" s="8">
        <v>0.2873</v>
      </c>
      <c r="BN102" s="8">
        <v>0.1056</v>
      </c>
      <c r="BO102" s="8">
        <v>1.3854999999999999E-2</v>
      </c>
      <c r="BP102" s="8">
        <v>5.8543999999999999E-2</v>
      </c>
      <c r="BQ102" s="8">
        <v>6.2616000000000005E-2</v>
      </c>
      <c r="BR102" s="8">
        <v>0.20069000000000001</v>
      </c>
      <c r="BS102" s="8">
        <v>0.17369000000000001</v>
      </c>
      <c r="BT102" s="8">
        <v>0.26871</v>
      </c>
      <c r="BU102" s="8">
        <v>0.41031000000000001</v>
      </c>
      <c r="BV102" s="8">
        <v>0.46518999999999999</v>
      </c>
      <c r="BW102" s="8">
        <v>0.89371</v>
      </c>
      <c r="BX102" s="8">
        <v>0.87788999999999995</v>
      </c>
      <c r="BY102" s="8">
        <v>0.28204000000000001</v>
      </c>
      <c r="BZ102" s="8">
        <v>4.1225999999999999E-2</v>
      </c>
      <c r="CA102" s="8">
        <v>0.23877999999999999</v>
      </c>
      <c r="CB102" s="8">
        <v>0.88465000000000005</v>
      </c>
      <c r="CC102" s="8">
        <v>0.92457999999999996</v>
      </c>
      <c r="CD102" s="8">
        <v>0.84838999999999998</v>
      </c>
      <c r="CE102" s="8">
        <v>0.52675000000000005</v>
      </c>
      <c r="CF102" s="8">
        <v>0.97882000000000002</v>
      </c>
      <c r="CG102" s="8">
        <v>0.91510999999999998</v>
      </c>
      <c r="CH102" s="8">
        <v>5.6353E-2</v>
      </c>
      <c r="CI102" s="8">
        <v>0.53185000000000004</v>
      </c>
      <c r="CJ102" s="8">
        <v>0.87102999999999997</v>
      </c>
      <c r="CK102" s="8">
        <v>0.16027</v>
      </c>
      <c r="CL102" s="8">
        <v>0.98155999999999999</v>
      </c>
      <c r="CM102" s="8">
        <v>0.92620999999999998</v>
      </c>
      <c r="CN102" s="8">
        <v>0.27350000000000002</v>
      </c>
      <c r="CO102" s="8">
        <v>0.47717999999999999</v>
      </c>
      <c r="CP102" s="8">
        <v>0.84153999999999995</v>
      </c>
      <c r="CQ102" s="8">
        <v>0.77353000000000005</v>
      </c>
      <c r="CR102" s="8">
        <v>0.94013999999999998</v>
      </c>
      <c r="CS102" s="8">
        <v>0.92844000000000004</v>
      </c>
      <c r="CT102" s="8">
        <v>0.94035000000000002</v>
      </c>
      <c r="CU102" s="8">
        <v>0.17613999999999999</v>
      </c>
      <c r="CV102" s="8">
        <v>0.94920000000000004</v>
      </c>
      <c r="CW102" s="8">
        <v>0.64651999999999998</v>
      </c>
    </row>
    <row r="103" spans="1:101">
      <c r="A103">
        <f t="shared" si="1"/>
        <v>825</v>
      </c>
      <c r="B103">
        <v>1</v>
      </c>
      <c r="C103" s="8">
        <v>0.91513999999999995</v>
      </c>
      <c r="D103" s="8">
        <v>0.87012</v>
      </c>
      <c r="E103" s="8">
        <v>0.32268000000000002</v>
      </c>
      <c r="F103" s="8">
        <v>0.54096</v>
      </c>
      <c r="G103" s="8">
        <v>0.96619999999999995</v>
      </c>
      <c r="H103" s="8">
        <v>0.92706</v>
      </c>
      <c r="I103" s="8">
        <v>0.44072</v>
      </c>
      <c r="J103" s="8">
        <v>0.69811000000000001</v>
      </c>
      <c r="K103" s="8">
        <v>5.4473000000000001E-2</v>
      </c>
      <c r="L103" s="8">
        <v>0.90061999999999998</v>
      </c>
      <c r="M103" s="8">
        <v>0.89748000000000006</v>
      </c>
      <c r="N103" s="8">
        <v>0.70215000000000005</v>
      </c>
      <c r="O103" s="8">
        <v>0.26124000000000003</v>
      </c>
      <c r="P103" s="8">
        <v>0.50172000000000005</v>
      </c>
      <c r="Q103" s="8">
        <v>0.66986999999999997</v>
      </c>
      <c r="R103" s="8">
        <v>0.76536999999999999</v>
      </c>
      <c r="S103" s="8">
        <v>0.91717000000000004</v>
      </c>
      <c r="T103" s="8">
        <v>0.45280999999999999</v>
      </c>
      <c r="U103" s="8">
        <v>0.50356999999999996</v>
      </c>
      <c r="V103" s="8">
        <v>0.93486999999999998</v>
      </c>
      <c r="W103" s="8">
        <v>0.92218</v>
      </c>
      <c r="X103" s="8">
        <v>0.86323000000000005</v>
      </c>
      <c r="Y103" s="8">
        <v>0.89200000000000002</v>
      </c>
      <c r="Z103" s="8">
        <v>0.81145999999999996</v>
      </c>
      <c r="AA103" s="8">
        <v>0.63266999999999995</v>
      </c>
      <c r="AB103" s="8">
        <v>0.91463000000000005</v>
      </c>
      <c r="AC103" s="8">
        <v>0.56364999999999998</v>
      </c>
      <c r="AD103" s="8">
        <v>0.12123</v>
      </c>
      <c r="AE103" s="8">
        <v>0.90232999999999997</v>
      </c>
      <c r="AF103" s="8">
        <v>0.44074000000000002</v>
      </c>
      <c r="AG103" s="8">
        <v>0.83123000000000002</v>
      </c>
      <c r="AH103" s="8">
        <v>0.97370000000000001</v>
      </c>
      <c r="AI103" s="8">
        <v>0.85516999999999999</v>
      </c>
      <c r="AJ103" s="8">
        <v>0.30375000000000002</v>
      </c>
      <c r="AK103" s="8">
        <v>0.115</v>
      </c>
      <c r="AL103" s="8">
        <v>0.41338999999999998</v>
      </c>
      <c r="AM103" s="8">
        <v>0.95552999999999999</v>
      </c>
      <c r="AN103" s="8">
        <v>0.73660999999999999</v>
      </c>
      <c r="AO103" s="8">
        <v>8.5165000000000005E-2</v>
      </c>
      <c r="AP103" s="8">
        <v>0.16808999999999999</v>
      </c>
      <c r="AQ103" s="8">
        <v>0.96594000000000002</v>
      </c>
      <c r="AR103" s="8">
        <v>0.80676999999999999</v>
      </c>
      <c r="AS103" s="8">
        <v>0.90591999999999995</v>
      </c>
      <c r="AT103" s="8">
        <v>5.0342999999999999E-2</v>
      </c>
      <c r="AU103" s="8">
        <v>0.21926000000000001</v>
      </c>
      <c r="AV103" s="8">
        <v>0.27605000000000002</v>
      </c>
      <c r="AW103" s="8">
        <v>0.97155000000000002</v>
      </c>
      <c r="AX103" s="8">
        <v>0.20049</v>
      </c>
      <c r="AY103" s="8">
        <v>0.16489000000000001</v>
      </c>
      <c r="AZ103" s="8">
        <v>0.1128</v>
      </c>
      <c r="BA103" s="8">
        <v>0.14371</v>
      </c>
      <c r="BB103" s="8">
        <v>5.0227000000000001E-2</v>
      </c>
      <c r="BC103" s="8">
        <v>9.2466000000000007E-2</v>
      </c>
      <c r="BD103" s="8">
        <v>0.74382999999999999</v>
      </c>
      <c r="BE103" s="8">
        <v>0.62990999999999997</v>
      </c>
      <c r="BF103" s="8">
        <v>0.26495999999999997</v>
      </c>
      <c r="BG103" s="8">
        <v>8.6599999999999996E-2</v>
      </c>
      <c r="BH103" s="8">
        <v>7.7165999999999998E-2</v>
      </c>
      <c r="BI103" s="8">
        <v>0.39226</v>
      </c>
      <c r="BJ103" s="8">
        <v>0.81152999999999997</v>
      </c>
      <c r="BK103" s="8">
        <v>0.36543999999999999</v>
      </c>
      <c r="BL103" s="8">
        <v>0.98299000000000003</v>
      </c>
      <c r="BM103" s="8">
        <v>0.2873</v>
      </c>
      <c r="BN103" s="8">
        <v>0.1056</v>
      </c>
      <c r="BO103" s="8">
        <v>1.3854999999999999E-2</v>
      </c>
      <c r="BP103" s="8">
        <v>5.8543999999999999E-2</v>
      </c>
      <c r="BQ103" s="8">
        <v>6.2616000000000005E-2</v>
      </c>
      <c r="BR103" s="8">
        <v>0.20069000000000001</v>
      </c>
      <c r="BS103" s="8">
        <v>0.17369000000000001</v>
      </c>
      <c r="BT103" s="8">
        <v>0.26871</v>
      </c>
      <c r="BU103" s="8">
        <v>0.41031000000000001</v>
      </c>
      <c r="BV103" s="8">
        <v>0.46518999999999999</v>
      </c>
      <c r="BW103" s="8">
        <v>0.89371</v>
      </c>
      <c r="BX103" s="8">
        <v>0.87788999999999995</v>
      </c>
      <c r="BY103" s="8">
        <v>0.28204000000000001</v>
      </c>
      <c r="BZ103" s="8">
        <v>4.1225999999999999E-2</v>
      </c>
      <c r="CA103" s="8">
        <v>0.23877999999999999</v>
      </c>
      <c r="CB103" s="8">
        <v>0.88465000000000005</v>
      </c>
      <c r="CC103" s="8">
        <v>0.92457999999999996</v>
      </c>
      <c r="CD103" s="8">
        <v>0.84838999999999998</v>
      </c>
      <c r="CE103" s="8">
        <v>0.52675000000000005</v>
      </c>
      <c r="CF103" s="8">
        <v>0.97882000000000002</v>
      </c>
      <c r="CG103" s="8">
        <v>0.91510999999999998</v>
      </c>
      <c r="CH103" s="8">
        <v>5.6353E-2</v>
      </c>
      <c r="CI103" s="8">
        <v>0.53185000000000004</v>
      </c>
      <c r="CJ103" s="8">
        <v>0.87102999999999997</v>
      </c>
      <c r="CK103" s="8">
        <v>0.16027</v>
      </c>
      <c r="CL103" s="8">
        <v>0.98155999999999999</v>
      </c>
      <c r="CM103" s="8">
        <v>0.92620999999999998</v>
      </c>
      <c r="CN103" s="8">
        <v>0.27350000000000002</v>
      </c>
      <c r="CO103" s="8">
        <v>0.47717999999999999</v>
      </c>
      <c r="CP103" s="8">
        <v>0.84153999999999995</v>
      </c>
      <c r="CQ103" s="8">
        <v>0.77353000000000005</v>
      </c>
      <c r="CR103" s="8">
        <v>0.94013999999999998</v>
      </c>
      <c r="CS103" s="8">
        <v>0.92844000000000004</v>
      </c>
      <c r="CT103" s="8">
        <v>0.94035000000000002</v>
      </c>
      <c r="CU103" s="8">
        <v>0.17613999999999999</v>
      </c>
      <c r="CV103" s="8">
        <v>0.94920000000000004</v>
      </c>
      <c r="CW103" s="8">
        <v>0.64651999999999998</v>
      </c>
    </row>
    <row r="104" spans="1:101">
      <c r="A104">
        <f t="shared" si="1"/>
        <v>830</v>
      </c>
      <c r="B104">
        <v>1</v>
      </c>
      <c r="C104" s="8">
        <v>0.91513999999999995</v>
      </c>
      <c r="D104" s="8">
        <v>0.87012</v>
      </c>
      <c r="E104" s="8">
        <v>0.32268000000000002</v>
      </c>
      <c r="F104" s="8">
        <v>0.54096</v>
      </c>
      <c r="G104" s="8">
        <v>0.96619999999999995</v>
      </c>
      <c r="H104" s="8">
        <v>0.92706</v>
      </c>
      <c r="I104" s="8">
        <v>0.44072</v>
      </c>
      <c r="J104" s="8">
        <v>0.69811000000000001</v>
      </c>
      <c r="K104" s="8">
        <v>5.4473000000000001E-2</v>
      </c>
      <c r="L104" s="8">
        <v>0.90061999999999998</v>
      </c>
      <c r="M104" s="8">
        <v>0.89748000000000006</v>
      </c>
      <c r="N104" s="8">
        <v>0.70215000000000005</v>
      </c>
      <c r="O104" s="8">
        <v>0.26124000000000003</v>
      </c>
      <c r="P104" s="8">
        <v>0.50172000000000005</v>
      </c>
      <c r="Q104" s="8">
        <v>0.66986999999999997</v>
      </c>
      <c r="R104" s="8">
        <v>0.76536999999999999</v>
      </c>
      <c r="S104" s="8">
        <v>0.91717000000000004</v>
      </c>
      <c r="T104" s="8">
        <v>0.45280999999999999</v>
      </c>
      <c r="U104" s="8">
        <v>0.50356999999999996</v>
      </c>
      <c r="V104" s="8">
        <v>0.93486999999999998</v>
      </c>
      <c r="W104" s="8">
        <v>0.92218</v>
      </c>
      <c r="X104" s="8">
        <v>0.86323000000000005</v>
      </c>
      <c r="Y104" s="8">
        <v>0.89200000000000002</v>
      </c>
      <c r="Z104" s="8">
        <v>0.81145999999999996</v>
      </c>
      <c r="AA104" s="8">
        <v>0.63266999999999995</v>
      </c>
      <c r="AB104" s="8">
        <v>0.91463000000000005</v>
      </c>
      <c r="AC104" s="8">
        <v>0.56364999999999998</v>
      </c>
      <c r="AD104" s="8">
        <v>0.12123</v>
      </c>
      <c r="AE104" s="8">
        <v>0.90232999999999997</v>
      </c>
      <c r="AF104" s="8">
        <v>0.44074000000000002</v>
      </c>
      <c r="AG104" s="8">
        <v>0.83123000000000002</v>
      </c>
      <c r="AH104" s="8">
        <v>0.97370000000000001</v>
      </c>
      <c r="AI104" s="8">
        <v>0.85516999999999999</v>
      </c>
      <c r="AJ104" s="8">
        <v>0.30375000000000002</v>
      </c>
      <c r="AK104" s="8">
        <v>0.115</v>
      </c>
      <c r="AL104" s="8">
        <v>0.41338999999999998</v>
      </c>
      <c r="AM104" s="8">
        <v>0.95552999999999999</v>
      </c>
      <c r="AN104" s="8">
        <v>0.73660999999999999</v>
      </c>
      <c r="AO104" s="8">
        <v>8.5165000000000005E-2</v>
      </c>
      <c r="AP104" s="8">
        <v>0.16808999999999999</v>
      </c>
      <c r="AQ104" s="8">
        <v>0.96594000000000002</v>
      </c>
      <c r="AR104" s="8">
        <v>0.80676999999999999</v>
      </c>
      <c r="AS104" s="8">
        <v>0.90591999999999995</v>
      </c>
      <c r="AT104" s="8">
        <v>5.0342999999999999E-2</v>
      </c>
      <c r="AU104" s="8">
        <v>0.21926000000000001</v>
      </c>
      <c r="AV104" s="8">
        <v>0.27605000000000002</v>
      </c>
      <c r="AW104" s="8">
        <v>0.97155000000000002</v>
      </c>
      <c r="AX104" s="8">
        <v>0.20049</v>
      </c>
      <c r="AY104" s="8">
        <v>0.16489000000000001</v>
      </c>
      <c r="AZ104" s="8">
        <v>0.1128</v>
      </c>
      <c r="BA104" s="8">
        <v>0.14371</v>
      </c>
      <c r="BB104" s="8">
        <v>5.0227000000000001E-2</v>
      </c>
      <c r="BC104" s="8">
        <v>9.2466000000000007E-2</v>
      </c>
      <c r="BD104" s="8">
        <v>0.74382999999999999</v>
      </c>
      <c r="BE104" s="8">
        <v>0.62990999999999997</v>
      </c>
      <c r="BF104" s="8">
        <v>0.26495999999999997</v>
      </c>
      <c r="BG104" s="8">
        <v>8.6599999999999996E-2</v>
      </c>
      <c r="BH104" s="8">
        <v>7.7165999999999998E-2</v>
      </c>
      <c r="BI104" s="8">
        <v>0.39226</v>
      </c>
      <c r="BJ104" s="8">
        <v>0.81152999999999997</v>
      </c>
      <c r="BK104" s="8">
        <v>0.36543999999999999</v>
      </c>
      <c r="BL104" s="8">
        <v>0.98299000000000003</v>
      </c>
      <c r="BM104" s="8">
        <v>0.2873</v>
      </c>
      <c r="BN104" s="8">
        <v>0.1056</v>
      </c>
      <c r="BO104" s="8">
        <v>1.3854999999999999E-2</v>
      </c>
      <c r="BP104" s="8">
        <v>5.8543999999999999E-2</v>
      </c>
      <c r="BQ104" s="8">
        <v>6.2616000000000005E-2</v>
      </c>
      <c r="BR104" s="8">
        <v>0.20069000000000001</v>
      </c>
      <c r="BS104" s="8">
        <v>0.17369000000000001</v>
      </c>
      <c r="BT104" s="8">
        <v>0.26871</v>
      </c>
      <c r="BU104" s="8">
        <v>0.41031000000000001</v>
      </c>
      <c r="BV104" s="8">
        <v>0.46518999999999999</v>
      </c>
      <c r="BW104" s="8">
        <v>0.89371</v>
      </c>
      <c r="BX104" s="8">
        <v>0.87788999999999995</v>
      </c>
      <c r="BY104" s="8">
        <v>0.28204000000000001</v>
      </c>
      <c r="BZ104" s="8">
        <v>4.1225999999999999E-2</v>
      </c>
      <c r="CA104" s="8">
        <v>0.23877999999999999</v>
      </c>
      <c r="CB104" s="8">
        <v>0.88465000000000005</v>
      </c>
      <c r="CC104" s="8">
        <v>0.92457999999999996</v>
      </c>
      <c r="CD104" s="8">
        <v>0.84838999999999998</v>
      </c>
      <c r="CE104" s="8">
        <v>0.52675000000000005</v>
      </c>
      <c r="CF104" s="8">
        <v>0.97882000000000002</v>
      </c>
      <c r="CG104" s="8">
        <v>0.91510999999999998</v>
      </c>
      <c r="CH104" s="8">
        <v>5.6353E-2</v>
      </c>
      <c r="CI104" s="8">
        <v>0.53185000000000004</v>
      </c>
      <c r="CJ104" s="8">
        <v>0.87102999999999997</v>
      </c>
      <c r="CK104" s="8">
        <v>0.16027</v>
      </c>
      <c r="CL104" s="8">
        <v>0.98155999999999999</v>
      </c>
      <c r="CM104" s="8">
        <v>0.92620999999999998</v>
      </c>
      <c r="CN104" s="8">
        <v>0.27350000000000002</v>
      </c>
      <c r="CO104" s="8">
        <v>0.47717999999999999</v>
      </c>
      <c r="CP104" s="8">
        <v>0.84153999999999995</v>
      </c>
      <c r="CQ104" s="8">
        <v>0.77353000000000005</v>
      </c>
      <c r="CR104" s="8">
        <v>0.94013999999999998</v>
      </c>
      <c r="CS104" s="8">
        <v>0.92844000000000004</v>
      </c>
      <c r="CT104" s="8">
        <v>0.94035000000000002</v>
      </c>
      <c r="CU104" s="8">
        <v>0.17613999999999999</v>
      </c>
      <c r="CV104" s="8">
        <v>0.94920000000000004</v>
      </c>
      <c r="CW104" s="8">
        <v>0.64651999999999998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H180"/>
  <sheetViews>
    <sheetView workbookViewId="0">
      <selection activeCell="W10" sqref="W10"/>
    </sheetView>
  </sheetViews>
  <sheetFormatPr defaultColWidth="11.453125" defaultRowHeight="12.5"/>
  <cols>
    <col min="1" max="1" width="12.453125" style="9" customWidth="1"/>
    <col min="2" max="2" width="9.6328125" style="29" customWidth="1"/>
    <col min="3" max="3" width="10.08984375" style="38" customWidth="1"/>
    <col min="4" max="4" width="12.08984375" style="30" customWidth="1"/>
    <col min="5" max="6" width="10.453125" style="30" customWidth="1"/>
    <col min="7" max="7" width="3" style="31" customWidth="1"/>
    <col min="8" max="8" width="9.36328125" style="31" customWidth="1"/>
    <col min="9" max="9" width="10.6328125" style="9" customWidth="1"/>
    <col min="10" max="10" width="9.08984375" style="38" customWidth="1"/>
    <col min="11" max="11" width="3" style="38" customWidth="1"/>
    <col min="12" max="12" width="3.90625" style="41" customWidth="1"/>
    <col min="13" max="13" width="9.08984375" style="31" customWidth="1"/>
    <col min="14" max="14" width="10.36328125" style="36" customWidth="1"/>
    <col min="15" max="15" width="5.453125" style="9" customWidth="1"/>
    <col min="16" max="16" width="7" style="37" customWidth="1"/>
    <col min="17" max="19" width="7.453125" style="9" customWidth="1"/>
    <col min="20" max="20" width="8" style="9" customWidth="1"/>
    <col min="21" max="21" width="8.453125" style="9" customWidth="1"/>
    <col min="22" max="23" width="10.90625" style="38" customWidth="1"/>
    <col min="24" max="26" width="11.453125" style="9" customWidth="1"/>
    <col min="27" max="27" width="10.6328125" style="9" customWidth="1"/>
    <col min="28" max="28" width="7.90625" style="9" customWidth="1"/>
    <col min="29" max="29" width="11.453125" style="9" customWidth="1"/>
    <col min="30" max="32" width="8.6328125" style="39" customWidth="1"/>
    <col min="33" max="34" width="8.6328125" style="9" customWidth="1"/>
    <col min="35" max="256" width="11.453125" style="9"/>
    <col min="257" max="257" width="12.453125" style="9" customWidth="1"/>
    <col min="258" max="258" width="9.6328125" style="9" customWidth="1"/>
    <col min="259" max="259" width="10.08984375" style="9" customWidth="1"/>
    <col min="260" max="262" width="10.453125" style="9" customWidth="1"/>
    <col min="263" max="263" width="3" style="9" customWidth="1"/>
    <col min="264" max="264" width="9.36328125" style="9" customWidth="1"/>
    <col min="265" max="265" width="10.6328125" style="9" customWidth="1"/>
    <col min="266" max="266" width="9.08984375" style="9" customWidth="1"/>
    <col min="267" max="267" width="3" style="9" customWidth="1"/>
    <col min="268" max="268" width="3.90625" style="9" customWidth="1"/>
    <col min="269" max="269" width="9.08984375" style="9" customWidth="1"/>
    <col min="270" max="270" width="10.36328125" style="9" customWidth="1"/>
    <col min="271" max="271" width="5.453125" style="9" customWidth="1"/>
    <col min="272" max="272" width="7" style="9" customWidth="1"/>
    <col min="273" max="275" width="7.453125" style="9" customWidth="1"/>
    <col min="276" max="276" width="8" style="9" customWidth="1"/>
    <col min="277" max="277" width="8.453125" style="9" customWidth="1"/>
    <col min="278" max="279" width="10.90625" style="9" customWidth="1"/>
    <col min="280" max="282" width="11.453125" style="9" customWidth="1"/>
    <col min="283" max="283" width="10.6328125" style="9" customWidth="1"/>
    <col min="284" max="284" width="7.90625" style="9" customWidth="1"/>
    <col min="285" max="285" width="11.453125" style="9" customWidth="1"/>
    <col min="286" max="290" width="8.6328125" style="9" customWidth="1"/>
    <col min="291" max="512" width="11.453125" style="9"/>
    <col min="513" max="513" width="12.453125" style="9" customWidth="1"/>
    <col min="514" max="514" width="9.6328125" style="9" customWidth="1"/>
    <col min="515" max="515" width="10.08984375" style="9" customWidth="1"/>
    <col min="516" max="518" width="10.453125" style="9" customWidth="1"/>
    <col min="519" max="519" width="3" style="9" customWidth="1"/>
    <col min="520" max="520" width="9.36328125" style="9" customWidth="1"/>
    <col min="521" max="521" width="10.6328125" style="9" customWidth="1"/>
    <col min="522" max="522" width="9.08984375" style="9" customWidth="1"/>
    <col min="523" max="523" width="3" style="9" customWidth="1"/>
    <col min="524" max="524" width="3.90625" style="9" customWidth="1"/>
    <col min="525" max="525" width="9.08984375" style="9" customWidth="1"/>
    <col min="526" max="526" width="10.36328125" style="9" customWidth="1"/>
    <col min="527" max="527" width="5.453125" style="9" customWidth="1"/>
    <col min="528" max="528" width="7" style="9" customWidth="1"/>
    <col min="529" max="531" width="7.453125" style="9" customWidth="1"/>
    <col min="532" max="532" width="8" style="9" customWidth="1"/>
    <col min="533" max="533" width="8.453125" style="9" customWidth="1"/>
    <col min="534" max="535" width="10.90625" style="9" customWidth="1"/>
    <col min="536" max="538" width="11.453125" style="9" customWidth="1"/>
    <col min="539" max="539" width="10.6328125" style="9" customWidth="1"/>
    <col min="540" max="540" width="7.90625" style="9" customWidth="1"/>
    <col min="541" max="541" width="11.453125" style="9" customWidth="1"/>
    <col min="542" max="546" width="8.6328125" style="9" customWidth="1"/>
    <col min="547" max="768" width="11.453125" style="9"/>
    <col min="769" max="769" width="12.453125" style="9" customWidth="1"/>
    <col min="770" max="770" width="9.6328125" style="9" customWidth="1"/>
    <col min="771" max="771" width="10.08984375" style="9" customWidth="1"/>
    <col min="772" max="774" width="10.453125" style="9" customWidth="1"/>
    <col min="775" max="775" width="3" style="9" customWidth="1"/>
    <col min="776" max="776" width="9.36328125" style="9" customWidth="1"/>
    <col min="777" max="777" width="10.6328125" style="9" customWidth="1"/>
    <col min="778" max="778" width="9.08984375" style="9" customWidth="1"/>
    <col min="779" max="779" width="3" style="9" customWidth="1"/>
    <col min="780" max="780" width="3.90625" style="9" customWidth="1"/>
    <col min="781" max="781" width="9.08984375" style="9" customWidth="1"/>
    <col min="782" max="782" width="10.36328125" style="9" customWidth="1"/>
    <col min="783" max="783" width="5.453125" style="9" customWidth="1"/>
    <col min="784" max="784" width="7" style="9" customWidth="1"/>
    <col min="785" max="787" width="7.453125" style="9" customWidth="1"/>
    <col min="788" max="788" width="8" style="9" customWidth="1"/>
    <col min="789" max="789" width="8.453125" style="9" customWidth="1"/>
    <col min="790" max="791" width="10.90625" style="9" customWidth="1"/>
    <col min="792" max="794" width="11.453125" style="9" customWidth="1"/>
    <col min="795" max="795" width="10.6328125" style="9" customWidth="1"/>
    <col min="796" max="796" width="7.90625" style="9" customWidth="1"/>
    <col min="797" max="797" width="11.453125" style="9" customWidth="1"/>
    <col min="798" max="802" width="8.6328125" style="9" customWidth="1"/>
    <col min="803" max="1024" width="11.453125" style="9"/>
    <col min="1025" max="1025" width="12.453125" style="9" customWidth="1"/>
    <col min="1026" max="1026" width="9.6328125" style="9" customWidth="1"/>
    <col min="1027" max="1027" width="10.08984375" style="9" customWidth="1"/>
    <col min="1028" max="1030" width="10.453125" style="9" customWidth="1"/>
    <col min="1031" max="1031" width="3" style="9" customWidth="1"/>
    <col min="1032" max="1032" width="9.36328125" style="9" customWidth="1"/>
    <col min="1033" max="1033" width="10.6328125" style="9" customWidth="1"/>
    <col min="1034" max="1034" width="9.08984375" style="9" customWidth="1"/>
    <col min="1035" max="1035" width="3" style="9" customWidth="1"/>
    <col min="1036" max="1036" width="3.90625" style="9" customWidth="1"/>
    <col min="1037" max="1037" width="9.08984375" style="9" customWidth="1"/>
    <col min="1038" max="1038" width="10.36328125" style="9" customWidth="1"/>
    <col min="1039" max="1039" width="5.453125" style="9" customWidth="1"/>
    <col min="1040" max="1040" width="7" style="9" customWidth="1"/>
    <col min="1041" max="1043" width="7.453125" style="9" customWidth="1"/>
    <col min="1044" max="1044" width="8" style="9" customWidth="1"/>
    <col min="1045" max="1045" width="8.453125" style="9" customWidth="1"/>
    <col min="1046" max="1047" width="10.90625" style="9" customWidth="1"/>
    <col min="1048" max="1050" width="11.453125" style="9" customWidth="1"/>
    <col min="1051" max="1051" width="10.6328125" style="9" customWidth="1"/>
    <col min="1052" max="1052" width="7.90625" style="9" customWidth="1"/>
    <col min="1053" max="1053" width="11.453125" style="9" customWidth="1"/>
    <col min="1054" max="1058" width="8.6328125" style="9" customWidth="1"/>
    <col min="1059" max="1280" width="11.453125" style="9"/>
    <col min="1281" max="1281" width="12.453125" style="9" customWidth="1"/>
    <col min="1282" max="1282" width="9.6328125" style="9" customWidth="1"/>
    <col min="1283" max="1283" width="10.08984375" style="9" customWidth="1"/>
    <col min="1284" max="1286" width="10.453125" style="9" customWidth="1"/>
    <col min="1287" max="1287" width="3" style="9" customWidth="1"/>
    <col min="1288" max="1288" width="9.36328125" style="9" customWidth="1"/>
    <col min="1289" max="1289" width="10.6328125" style="9" customWidth="1"/>
    <col min="1290" max="1290" width="9.08984375" style="9" customWidth="1"/>
    <col min="1291" max="1291" width="3" style="9" customWidth="1"/>
    <col min="1292" max="1292" width="3.90625" style="9" customWidth="1"/>
    <col min="1293" max="1293" width="9.08984375" style="9" customWidth="1"/>
    <col min="1294" max="1294" width="10.36328125" style="9" customWidth="1"/>
    <col min="1295" max="1295" width="5.453125" style="9" customWidth="1"/>
    <col min="1296" max="1296" width="7" style="9" customWidth="1"/>
    <col min="1297" max="1299" width="7.453125" style="9" customWidth="1"/>
    <col min="1300" max="1300" width="8" style="9" customWidth="1"/>
    <col min="1301" max="1301" width="8.453125" style="9" customWidth="1"/>
    <col min="1302" max="1303" width="10.90625" style="9" customWidth="1"/>
    <col min="1304" max="1306" width="11.453125" style="9" customWidth="1"/>
    <col min="1307" max="1307" width="10.6328125" style="9" customWidth="1"/>
    <col min="1308" max="1308" width="7.90625" style="9" customWidth="1"/>
    <col min="1309" max="1309" width="11.453125" style="9" customWidth="1"/>
    <col min="1310" max="1314" width="8.6328125" style="9" customWidth="1"/>
    <col min="1315" max="1536" width="11.453125" style="9"/>
    <col min="1537" max="1537" width="12.453125" style="9" customWidth="1"/>
    <col min="1538" max="1538" width="9.6328125" style="9" customWidth="1"/>
    <col min="1539" max="1539" width="10.08984375" style="9" customWidth="1"/>
    <col min="1540" max="1542" width="10.453125" style="9" customWidth="1"/>
    <col min="1543" max="1543" width="3" style="9" customWidth="1"/>
    <col min="1544" max="1544" width="9.36328125" style="9" customWidth="1"/>
    <col min="1545" max="1545" width="10.6328125" style="9" customWidth="1"/>
    <col min="1546" max="1546" width="9.08984375" style="9" customWidth="1"/>
    <col min="1547" max="1547" width="3" style="9" customWidth="1"/>
    <col min="1548" max="1548" width="3.90625" style="9" customWidth="1"/>
    <col min="1549" max="1549" width="9.08984375" style="9" customWidth="1"/>
    <col min="1550" max="1550" width="10.36328125" style="9" customWidth="1"/>
    <col min="1551" max="1551" width="5.453125" style="9" customWidth="1"/>
    <col min="1552" max="1552" width="7" style="9" customWidth="1"/>
    <col min="1553" max="1555" width="7.453125" style="9" customWidth="1"/>
    <col min="1556" max="1556" width="8" style="9" customWidth="1"/>
    <col min="1557" max="1557" width="8.453125" style="9" customWidth="1"/>
    <col min="1558" max="1559" width="10.90625" style="9" customWidth="1"/>
    <col min="1560" max="1562" width="11.453125" style="9" customWidth="1"/>
    <col min="1563" max="1563" width="10.6328125" style="9" customWidth="1"/>
    <col min="1564" max="1564" width="7.90625" style="9" customWidth="1"/>
    <col min="1565" max="1565" width="11.453125" style="9" customWidth="1"/>
    <col min="1566" max="1570" width="8.6328125" style="9" customWidth="1"/>
    <col min="1571" max="1792" width="11.453125" style="9"/>
    <col min="1793" max="1793" width="12.453125" style="9" customWidth="1"/>
    <col min="1794" max="1794" width="9.6328125" style="9" customWidth="1"/>
    <col min="1795" max="1795" width="10.08984375" style="9" customWidth="1"/>
    <col min="1796" max="1798" width="10.453125" style="9" customWidth="1"/>
    <col min="1799" max="1799" width="3" style="9" customWidth="1"/>
    <col min="1800" max="1800" width="9.36328125" style="9" customWidth="1"/>
    <col min="1801" max="1801" width="10.6328125" style="9" customWidth="1"/>
    <col min="1802" max="1802" width="9.08984375" style="9" customWidth="1"/>
    <col min="1803" max="1803" width="3" style="9" customWidth="1"/>
    <col min="1804" max="1804" width="3.90625" style="9" customWidth="1"/>
    <col min="1805" max="1805" width="9.08984375" style="9" customWidth="1"/>
    <col min="1806" max="1806" width="10.36328125" style="9" customWidth="1"/>
    <col min="1807" max="1807" width="5.453125" style="9" customWidth="1"/>
    <col min="1808" max="1808" width="7" style="9" customWidth="1"/>
    <col min="1809" max="1811" width="7.453125" style="9" customWidth="1"/>
    <col min="1812" max="1812" width="8" style="9" customWidth="1"/>
    <col min="1813" max="1813" width="8.453125" style="9" customWidth="1"/>
    <col min="1814" max="1815" width="10.90625" style="9" customWidth="1"/>
    <col min="1816" max="1818" width="11.453125" style="9" customWidth="1"/>
    <col min="1819" max="1819" width="10.6328125" style="9" customWidth="1"/>
    <col min="1820" max="1820" width="7.90625" style="9" customWidth="1"/>
    <col min="1821" max="1821" width="11.453125" style="9" customWidth="1"/>
    <col min="1822" max="1826" width="8.6328125" style="9" customWidth="1"/>
    <col min="1827" max="2048" width="11.453125" style="9"/>
    <col min="2049" max="2049" width="12.453125" style="9" customWidth="1"/>
    <col min="2050" max="2050" width="9.6328125" style="9" customWidth="1"/>
    <col min="2051" max="2051" width="10.08984375" style="9" customWidth="1"/>
    <col min="2052" max="2054" width="10.453125" style="9" customWidth="1"/>
    <col min="2055" max="2055" width="3" style="9" customWidth="1"/>
    <col min="2056" max="2056" width="9.36328125" style="9" customWidth="1"/>
    <col min="2057" max="2057" width="10.6328125" style="9" customWidth="1"/>
    <col min="2058" max="2058" width="9.08984375" style="9" customWidth="1"/>
    <col min="2059" max="2059" width="3" style="9" customWidth="1"/>
    <col min="2060" max="2060" width="3.90625" style="9" customWidth="1"/>
    <col min="2061" max="2061" width="9.08984375" style="9" customWidth="1"/>
    <col min="2062" max="2062" width="10.36328125" style="9" customWidth="1"/>
    <col min="2063" max="2063" width="5.453125" style="9" customWidth="1"/>
    <col min="2064" max="2064" width="7" style="9" customWidth="1"/>
    <col min="2065" max="2067" width="7.453125" style="9" customWidth="1"/>
    <col min="2068" max="2068" width="8" style="9" customWidth="1"/>
    <col min="2069" max="2069" width="8.453125" style="9" customWidth="1"/>
    <col min="2070" max="2071" width="10.90625" style="9" customWidth="1"/>
    <col min="2072" max="2074" width="11.453125" style="9" customWidth="1"/>
    <col min="2075" max="2075" width="10.6328125" style="9" customWidth="1"/>
    <col min="2076" max="2076" width="7.90625" style="9" customWidth="1"/>
    <col min="2077" max="2077" width="11.453125" style="9" customWidth="1"/>
    <col min="2078" max="2082" width="8.6328125" style="9" customWidth="1"/>
    <col min="2083" max="2304" width="11.453125" style="9"/>
    <col min="2305" max="2305" width="12.453125" style="9" customWidth="1"/>
    <col min="2306" max="2306" width="9.6328125" style="9" customWidth="1"/>
    <col min="2307" max="2307" width="10.08984375" style="9" customWidth="1"/>
    <col min="2308" max="2310" width="10.453125" style="9" customWidth="1"/>
    <col min="2311" max="2311" width="3" style="9" customWidth="1"/>
    <col min="2312" max="2312" width="9.36328125" style="9" customWidth="1"/>
    <col min="2313" max="2313" width="10.6328125" style="9" customWidth="1"/>
    <col min="2314" max="2314" width="9.08984375" style="9" customWidth="1"/>
    <col min="2315" max="2315" width="3" style="9" customWidth="1"/>
    <col min="2316" max="2316" width="3.90625" style="9" customWidth="1"/>
    <col min="2317" max="2317" width="9.08984375" style="9" customWidth="1"/>
    <col min="2318" max="2318" width="10.36328125" style="9" customWidth="1"/>
    <col min="2319" max="2319" width="5.453125" style="9" customWidth="1"/>
    <col min="2320" max="2320" width="7" style="9" customWidth="1"/>
    <col min="2321" max="2323" width="7.453125" style="9" customWidth="1"/>
    <col min="2324" max="2324" width="8" style="9" customWidth="1"/>
    <col min="2325" max="2325" width="8.453125" style="9" customWidth="1"/>
    <col min="2326" max="2327" width="10.90625" style="9" customWidth="1"/>
    <col min="2328" max="2330" width="11.453125" style="9" customWidth="1"/>
    <col min="2331" max="2331" width="10.6328125" style="9" customWidth="1"/>
    <col min="2332" max="2332" width="7.90625" style="9" customWidth="1"/>
    <col min="2333" max="2333" width="11.453125" style="9" customWidth="1"/>
    <col min="2334" max="2338" width="8.6328125" style="9" customWidth="1"/>
    <col min="2339" max="2560" width="11.453125" style="9"/>
    <col min="2561" max="2561" width="12.453125" style="9" customWidth="1"/>
    <col min="2562" max="2562" width="9.6328125" style="9" customWidth="1"/>
    <col min="2563" max="2563" width="10.08984375" style="9" customWidth="1"/>
    <col min="2564" max="2566" width="10.453125" style="9" customWidth="1"/>
    <col min="2567" max="2567" width="3" style="9" customWidth="1"/>
    <col min="2568" max="2568" width="9.36328125" style="9" customWidth="1"/>
    <col min="2569" max="2569" width="10.6328125" style="9" customWidth="1"/>
    <col min="2570" max="2570" width="9.08984375" style="9" customWidth="1"/>
    <col min="2571" max="2571" width="3" style="9" customWidth="1"/>
    <col min="2572" max="2572" width="3.90625" style="9" customWidth="1"/>
    <col min="2573" max="2573" width="9.08984375" style="9" customWidth="1"/>
    <col min="2574" max="2574" width="10.36328125" style="9" customWidth="1"/>
    <col min="2575" max="2575" width="5.453125" style="9" customWidth="1"/>
    <col min="2576" max="2576" width="7" style="9" customWidth="1"/>
    <col min="2577" max="2579" width="7.453125" style="9" customWidth="1"/>
    <col min="2580" max="2580" width="8" style="9" customWidth="1"/>
    <col min="2581" max="2581" width="8.453125" style="9" customWidth="1"/>
    <col min="2582" max="2583" width="10.90625" style="9" customWidth="1"/>
    <col min="2584" max="2586" width="11.453125" style="9" customWidth="1"/>
    <col min="2587" max="2587" width="10.6328125" style="9" customWidth="1"/>
    <col min="2588" max="2588" width="7.90625" style="9" customWidth="1"/>
    <col min="2589" max="2589" width="11.453125" style="9" customWidth="1"/>
    <col min="2590" max="2594" width="8.6328125" style="9" customWidth="1"/>
    <col min="2595" max="2816" width="11.453125" style="9"/>
    <col min="2817" max="2817" width="12.453125" style="9" customWidth="1"/>
    <col min="2818" max="2818" width="9.6328125" style="9" customWidth="1"/>
    <col min="2819" max="2819" width="10.08984375" style="9" customWidth="1"/>
    <col min="2820" max="2822" width="10.453125" style="9" customWidth="1"/>
    <col min="2823" max="2823" width="3" style="9" customWidth="1"/>
    <col min="2824" max="2824" width="9.36328125" style="9" customWidth="1"/>
    <col min="2825" max="2825" width="10.6328125" style="9" customWidth="1"/>
    <col min="2826" max="2826" width="9.08984375" style="9" customWidth="1"/>
    <col min="2827" max="2827" width="3" style="9" customWidth="1"/>
    <col min="2828" max="2828" width="3.90625" style="9" customWidth="1"/>
    <col min="2829" max="2829" width="9.08984375" style="9" customWidth="1"/>
    <col min="2830" max="2830" width="10.36328125" style="9" customWidth="1"/>
    <col min="2831" max="2831" width="5.453125" style="9" customWidth="1"/>
    <col min="2832" max="2832" width="7" style="9" customWidth="1"/>
    <col min="2833" max="2835" width="7.453125" style="9" customWidth="1"/>
    <col min="2836" max="2836" width="8" style="9" customWidth="1"/>
    <col min="2837" max="2837" width="8.453125" style="9" customWidth="1"/>
    <col min="2838" max="2839" width="10.90625" style="9" customWidth="1"/>
    <col min="2840" max="2842" width="11.453125" style="9" customWidth="1"/>
    <col min="2843" max="2843" width="10.6328125" style="9" customWidth="1"/>
    <col min="2844" max="2844" width="7.90625" style="9" customWidth="1"/>
    <col min="2845" max="2845" width="11.453125" style="9" customWidth="1"/>
    <col min="2846" max="2850" width="8.6328125" style="9" customWidth="1"/>
    <col min="2851" max="3072" width="11.453125" style="9"/>
    <col min="3073" max="3073" width="12.453125" style="9" customWidth="1"/>
    <col min="3074" max="3074" width="9.6328125" style="9" customWidth="1"/>
    <col min="3075" max="3075" width="10.08984375" style="9" customWidth="1"/>
    <col min="3076" max="3078" width="10.453125" style="9" customWidth="1"/>
    <col min="3079" max="3079" width="3" style="9" customWidth="1"/>
    <col min="3080" max="3080" width="9.36328125" style="9" customWidth="1"/>
    <col min="3081" max="3081" width="10.6328125" style="9" customWidth="1"/>
    <col min="3082" max="3082" width="9.08984375" style="9" customWidth="1"/>
    <col min="3083" max="3083" width="3" style="9" customWidth="1"/>
    <col min="3084" max="3084" width="3.90625" style="9" customWidth="1"/>
    <col min="3085" max="3085" width="9.08984375" style="9" customWidth="1"/>
    <col min="3086" max="3086" width="10.36328125" style="9" customWidth="1"/>
    <col min="3087" max="3087" width="5.453125" style="9" customWidth="1"/>
    <col min="3088" max="3088" width="7" style="9" customWidth="1"/>
    <col min="3089" max="3091" width="7.453125" style="9" customWidth="1"/>
    <col min="3092" max="3092" width="8" style="9" customWidth="1"/>
    <col min="3093" max="3093" width="8.453125" style="9" customWidth="1"/>
    <col min="3094" max="3095" width="10.90625" style="9" customWidth="1"/>
    <col min="3096" max="3098" width="11.453125" style="9" customWidth="1"/>
    <col min="3099" max="3099" width="10.6328125" style="9" customWidth="1"/>
    <col min="3100" max="3100" width="7.90625" style="9" customWidth="1"/>
    <col min="3101" max="3101" width="11.453125" style="9" customWidth="1"/>
    <col min="3102" max="3106" width="8.6328125" style="9" customWidth="1"/>
    <col min="3107" max="3328" width="11.453125" style="9"/>
    <col min="3329" max="3329" width="12.453125" style="9" customWidth="1"/>
    <col min="3330" max="3330" width="9.6328125" style="9" customWidth="1"/>
    <col min="3331" max="3331" width="10.08984375" style="9" customWidth="1"/>
    <col min="3332" max="3334" width="10.453125" style="9" customWidth="1"/>
    <col min="3335" max="3335" width="3" style="9" customWidth="1"/>
    <col min="3336" max="3336" width="9.36328125" style="9" customWidth="1"/>
    <col min="3337" max="3337" width="10.6328125" style="9" customWidth="1"/>
    <col min="3338" max="3338" width="9.08984375" style="9" customWidth="1"/>
    <col min="3339" max="3339" width="3" style="9" customWidth="1"/>
    <col min="3340" max="3340" width="3.90625" style="9" customWidth="1"/>
    <col min="3341" max="3341" width="9.08984375" style="9" customWidth="1"/>
    <col min="3342" max="3342" width="10.36328125" style="9" customWidth="1"/>
    <col min="3343" max="3343" width="5.453125" style="9" customWidth="1"/>
    <col min="3344" max="3344" width="7" style="9" customWidth="1"/>
    <col min="3345" max="3347" width="7.453125" style="9" customWidth="1"/>
    <col min="3348" max="3348" width="8" style="9" customWidth="1"/>
    <col min="3349" max="3349" width="8.453125" style="9" customWidth="1"/>
    <col min="3350" max="3351" width="10.90625" style="9" customWidth="1"/>
    <col min="3352" max="3354" width="11.453125" style="9" customWidth="1"/>
    <col min="3355" max="3355" width="10.6328125" style="9" customWidth="1"/>
    <col min="3356" max="3356" width="7.90625" style="9" customWidth="1"/>
    <col min="3357" max="3357" width="11.453125" style="9" customWidth="1"/>
    <col min="3358" max="3362" width="8.6328125" style="9" customWidth="1"/>
    <col min="3363" max="3584" width="11.453125" style="9"/>
    <col min="3585" max="3585" width="12.453125" style="9" customWidth="1"/>
    <col min="3586" max="3586" width="9.6328125" style="9" customWidth="1"/>
    <col min="3587" max="3587" width="10.08984375" style="9" customWidth="1"/>
    <col min="3588" max="3590" width="10.453125" style="9" customWidth="1"/>
    <col min="3591" max="3591" width="3" style="9" customWidth="1"/>
    <col min="3592" max="3592" width="9.36328125" style="9" customWidth="1"/>
    <col min="3593" max="3593" width="10.6328125" style="9" customWidth="1"/>
    <col min="3594" max="3594" width="9.08984375" style="9" customWidth="1"/>
    <col min="3595" max="3595" width="3" style="9" customWidth="1"/>
    <col min="3596" max="3596" width="3.90625" style="9" customWidth="1"/>
    <col min="3597" max="3597" width="9.08984375" style="9" customWidth="1"/>
    <col min="3598" max="3598" width="10.36328125" style="9" customWidth="1"/>
    <col min="3599" max="3599" width="5.453125" style="9" customWidth="1"/>
    <col min="3600" max="3600" width="7" style="9" customWidth="1"/>
    <col min="3601" max="3603" width="7.453125" style="9" customWidth="1"/>
    <col min="3604" max="3604" width="8" style="9" customWidth="1"/>
    <col min="3605" max="3605" width="8.453125" style="9" customWidth="1"/>
    <col min="3606" max="3607" width="10.90625" style="9" customWidth="1"/>
    <col min="3608" max="3610" width="11.453125" style="9" customWidth="1"/>
    <col min="3611" max="3611" width="10.6328125" style="9" customWidth="1"/>
    <col min="3612" max="3612" width="7.90625" style="9" customWidth="1"/>
    <col min="3613" max="3613" width="11.453125" style="9" customWidth="1"/>
    <col min="3614" max="3618" width="8.6328125" style="9" customWidth="1"/>
    <col min="3619" max="3840" width="11.453125" style="9"/>
    <col min="3841" max="3841" width="12.453125" style="9" customWidth="1"/>
    <col min="3842" max="3842" width="9.6328125" style="9" customWidth="1"/>
    <col min="3843" max="3843" width="10.08984375" style="9" customWidth="1"/>
    <col min="3844" max="3846" width="10.453125" style="9" customWidth="1"/>
    <col min="3847" max="3847" width="3" style="9" customWidth="1"/>
    <col min="3848" max="3848" width="9.36328125" style="9" customWidth="1"/>
    <col min="3849" max="3849" width="10.6328125" style="9" customWidth="1"/>
    <col min="3850" max="3850" width="9.08984375" style="9" customWidth="1"/>
    <col min="3851" max="3851" width="3" style="9" customWidth="1"/>
    <col min="3852" max="3852" width="3.90625" style="9" customWidth="1"/>
    <col min="3853" max="3853" width="9.08984375" style="9" customWidth="1"/>
    <col min="3854" max="3854" width="10.36328125" style="9" customWidth="1"/>
    <col min="3855" max="3855" width="5.453125" style="9" customWidth="1"/>
    <col min="3856" max="3856" width="7" style="9" customWidth="1"/>
    <col min="3857" max="3859" width="7.453125" style="9" customWidth="1"/>
    <col min="3860" max="3860" width="8" style="9" customWidth="1"/>
    <col min="3861" max="3861" width="8.453125" style="9" customWidth="1"/>
    <col min="3862" max="3863" width="10.90625" style="9" customWidth="1"/>
    <col min="3864" max="3866" width="11.453125" style="9" customWidth="1"/>
    <col min="3867" max="3867" width="10.6328125" style="9" customWidth="1"/>
    <col min="3868" max="3868" width="7.90625" style="9" customWidth="1"/>
    <col min="3869" max="3869" width="11.453125" style="9" customWidth="1"/>
    <col min="3870" max="3874" width="8.6328125" style="9" customWidth="1"/>
    <col min="3875" max="4096" width="11.453125" style="9"/>
    <col min="4097" max="4097" width="12.453125" style="9" customWidth="1"/>
    <col min="4098" max="4098" width="9.6328125" style="9" customWidth="1"/>
    <col min="4099" max="4099" width="10.08984375" style="9" customWidth="1"/>
    <col min="4100" max="4102" width="10.453125" style="9" customWidth="1"/>
    <col min="4103" max="4103" width="3" style="9" customWidth="1"/>
    <col min="4104" max="4104" width="9.36328125" style="9" customWidth="1"/>
    <col min="4105" max="4105" width="10.6328125" style="9" customWidth="1"/>
    <col min="4106" max="4106" width="9.08984375" style="9" customWidth="1"/>
    <col min="4107" max="4107" width="3" style="9" customWidth="1"/>
    <col min="4108" max="4108" width="3.90625" style="9" customWidth="1"/>
    <col min="4109" max="4109" width="9.08984375" style="9" customWidth="1"/>
    <col min="4110" max="4110" width="10.36328125" style="9" customWidth="1"/>
    <col min="4111" max="4111" width="5.453125" style="9" customWidth="1"/>
    <col min="4112" max="4112" width="7" style="9" customWidth="1"/>
    <col min="4113" max="4115" width="7.453125" style="9" customWidth="1"/>
    <col min="4116" max="4116" width="8" style="9" customWidth="1"/>
    <col min="4117" max="4117" width="8.453125" style="9" customWidth="1"/>
    <col min="4118" max="4119" width="10.90625" style="9" customWidth="1"/>
    <col min="4120" max="4122" width="11.453125" style="9" customWidth="1"/>
    <col min="4123" max="4123" width="10.6328125" style="9" customWidth="1"/>
    <col min="4124" max="4124" width="7.90625" style="9" customWidth="1"/>
    <col min="4125" max="4125" width="11.453125" style="9" customWidth="1"/>
    <col min="4126" max="4130" width="8.6328125" style="9" customWidth="1"/>
    <col min="4131" max="4352" width="11.453125" style="9"/>
    <col min="4353" max="4353" width="12.453125" style="9" customWidth="1"/>
    <col min="4354" max="4354" width="9.6328125" style="9" customWidth="1"/>
    <col min="4355" max="4355" width="10.08984375" style="9" customWidth="1"/>
    <col min="4356" max="4358" width="10.453125" style="9" customWidth="1"/>
    <col min="4359" max="4359" width="3" style="9" customWidth="1"/>
    <col min="4360" max="4360" width="9.36328125" style="9" customWidth="1"/>
    <col min="4361" max="4361" width="10.6328125" style="9" customWidth="1"/>
    <col min="4362" max="4362" width="9.08984375" style="9" customWidth="1"/>
    <col min="4363" max="4363" width="3" style="9" customWidth="1"/>
    <col min="4364" max="4364" width="3.90625" style="9" customWidth="1"/>
    <col min="4365" max="4365" width="9.08984375" style="9" customWidth="1"/>
    <col min="4366" max="4366" width="10.36328125" style="9" customWidth="1"/>
    <col min="4367" max="4367" width="5.453125" style="9" customWidth="1"/>
    <col min="4368" max="4368" width="7" style="9" customWidth="1"/>
    <col min="4369" max="4371" width="7.453125" style="9" customWidth="1"/>
    <col min="4372" max="4372" width="8" style="9" customWidth="1"/>
    <col min="4373" max="4373" width="8.453125" style="9" customWidth="1"/>
    <col min="4374" max="4375" width="10.90625" style="9" customWidth="1"/>
    <col min="4376" max="4378" width="11.453125" style="9" customWidth="1"/>
    <col min="4379" max="4379" width="10.6328125" style="9" customWidth="1"/>
    <col min="4380" max="4380" width="7.90625" style="9" customWidth="1"/>
    <col min="4381" max="4381" width="11.453125" style="9" customWidth="1"/>
    <col min="4382" max="4386" width="8.6328125" style="9" customWidth="1"/>
    <col min="4387" max="4608" width="11.453125" style="9"/>
    <col min="4609" max="4609" width="12.453125" style="9" customWidth="1"/>
    <col min="4610" max="4610" width="9.6328125" style="9" customWidth="1"/>
    <col min="4611" max="4611" width="10.08984375" style="9" customWidth="1"/>
    <col min="4612" max="4614" width="10.453125" style="9" customWidth="1"/>
    <col min="4615" max="4615" width="3" style="9" customWidth="1"/>
    <col min="4616" max="4616" width="9.36328125" style="9" customWidth="1"/>
    <col min="4617" max="4617" width="10.6328125" style="9" customWidth="1"/>
    <col min="4618" max="4618" width="9.08984375" style="9" customWidth="1"/>
    <col min="4619" max="4619" width="3" style="9" customWidth="1"/>
    <col min="4620" max="4620" width="3.90625" style="9" customWidth="1"/>
    <col min="4621" max="4621" width="9.08984375" style="9" customWidth="1"/>
    <col min="4622" max="4622" width="10.36328125" style="9" customWidth="1"/>
    <col min="4623" max="4623" width="5.453125" style="9" customWidth="1"/>
    <col min="4624" max="4624" width="7" style="9" customWidth="1"/>
    <col min="4625" max="4627" width="7.453125" style="9" customWidth="1"/>
    <col min="4628" max="4628" width="8" style="9" customWidth="1"/>
    <col min="4629" max="4629" width="8.453125" style="9" customWidth="1"/>
    <col min="4630" max="4631" width="10.90625" style="9" customWidth="1"/>
    <col min="4632" max="4634" width="11.453125" style="9" customWidth="1"/>
    <col min="4635" max="4635" width="10.6328125" style="9" customWidth="1"/>
    <col min="4636" max="4636" width="7.90625" style="9" customWidth="1"/>
    <col min="4637" max="4637" width="11.453125" style="9" customWidth="1"/>
    <col min="4638" max="4642" width="8.6328125" style="9" customWidth="1"/>
    <col min="4643" max="4864" width="11.453125" style="9"/>
    <col min="4865" max="4865" width="12.453125" style="9" customWidth="1"/>
    <col min="4866" max="4866" width="9.6328125" style="9" customWidth="1"/>
    <col min="4867" max="4867" width="10.08984375" style="9" customWidth="1"/>
    <col min="4868" max="4870" width="10.453125" style="9" customWidth="1"/>
    <col min="4871" max="4871" width="3" style="9" customWidth="1"/>
    <col min="4872" max="4872" width="9.36328125" style="9" customWidth="1"/>
    <col min="4873" max="4873" width="10.6328125" style="9" customWidth="1"/>
    <col min="4874" max="4874" width="9.08984375" style="9" customWidth="1"/>
    <col min="4875" max="4875" width="3" style="9" customWidth="1"/>
    <col min="4876" max="4876" width="3.90625" style="9" customWidth="1"/>
    <col min="4877" max="4877" width="9.08984375" style="9" customWidth="1"/>
    <col min="4878" max="4878" width="10.36328125" style="9" customWidth="1"/>
    <col min="4879" max="4879" width="5.453125" style="9" customWidth="1"/>
    <col min="4880" max="4880" width="7" style="9" customWidth="1"/>
    <col min="4881" max="4883" width="7.453125" style="9" customWidth="1"/>
    <col min="4884" max="4884" width="8" style="9" customWidth="1"/>
    <col min="4885" max="4885" width="8.453125" style="9" customWidth="1"/>
    <col min="4886" max="4887" width="10.90625" style="9" customWidth="1"/>
    <col min="4888" max="4890" width="11.453125" style="9" customWidth="1"/>
    <col min="4891" max="4891" width="10.6328125" style="9" customWidth="1"/>
    <col min="4892" max="4892" width="7.90625" style="9" customWidth="1"/>
    <col min="4893" max="4893" width="11.453125" style="9" customWidth="1"/>
    <col min="4894" max="4898" width="8.6328125" style="9" customWidth="1"/>
    <col min="4899" max="5120" width="11.453125" style="9"/>
    <col min="5121" max="5121" width="12.453125" style="9" customWidth="1"/>
    <col min="5122" max="5122" width="9.6328125" style="9" customWidth="1"/>
    <col min="5123" max="5123" width="10.08984375" style="9" customWidth="1"/>
    <col min="5124" max="5126" width="10.453125" style="9" customWidth="1"/>
    <col min="5127" max="5127" width="3" style="9" customWidth="1"/>
    <col min="5128" max="5128" width="9.36328125" style="9" customWidth="1"/>
    <col min="5129" max="5129" width="10.6328125" style="9" customWidth="1"/>
    <col min="5130" max="5130" width="9.08984375" style="9" customWidth="1"/>
    <col min="5131" max="5131" width="3" style="9" customWidth="1"/>
    <col min="5132" max="5132" width="3.90625" style="9" customWidth="1"/>
    <col min="5133" max="5133" width="9.08984375" style="9" customWidth="1"/>
    <col min="5134" max="5134" width="10.36328125" style="9" customWidth="1"/>
    <col min="5135" max="5135" width="5.453125" style="9" customWidth="1"/>
    <col min="5136" max="5136" width="7" style="9" customWidth="1"/>
    <col min="5137" max="5139" width="7.453125" style="9" customWidth="1"/>
    <col min="5140" max="5140" width="8" style="9" customWidth="1"/>
    <col min="5141" max="5141" width="8.453125" style="9" customWidth="1"/>
    <col min="5142" max="5143" width="10.90625" style="9" customWidth="1"/>
    <col min="5144" max="5146" width="11.453125" style="9" customWidth="1"/>
    <col min="5147" max="5147" width="10.6328125" style="9" customWidth="1"/>
    <col min="5148" max="5148" width="7.90625" style="9" customWidth="1"/>
    <col min="5149" max="5149" width="11.453125" style="9" customWidth="1"/>
    <col min="5150" max="5154" width="8.6328125" style="9" customWidth="1"/>
    <col min="5155" max="5376" width="11.453125" style="9"/>
    <col min="5377" max="5377" width="12.453125" style="9" customWidth="1"/>
    <col min="5378" max="5378" width="9.6328125" style="9" customWidth="1"/>
    <col min="5379" max="5379" width="10.08984375" style="9" customWidth="1"/>
    <col min="5380" max="5382" width="10.453125" style="9" customWidth="1"/>
    <col min="5383" max="5383" width="3" style="9" customWidth="1"/>
    <col min="5384" max="5384" width="9.36328125" style="9" customWidth="1"/>
    <col min="5385" max="5385" width="10.6328125" style="9" customWidth="1"/>
    <col min="5386" max="5386" width="9.08984375" style="9" customWidth="1"/>
    <col min="5387" max="5387" width="3" style="9" customWidth="1"/>
    <col min="5388" max="5388" width="3.90625" style="9" customWidth="1"/>
    <col min="5389" max="5389" width="9.08984375" style="9" customWidth="1"/>
    <col min="5390" max="5390" width="10.36328125" style="9" customWidth="1"/>
    <col min="5391" max="5391" width="5.453125" style="9" customWidth="1"/>
    <col min="5392" max="5392" width="7" style="9" customWidth="1"/>
    <col min="5393" max="5395" width="7.453125" style="9" customWidth="1"/>
    <col min="5396" max="5396" width="8" style="9" customWidth="1"/>
    <col min="5397" max="5397" width="8.453125" style="9" customWidth="1"/>
    <col min="5398" max="5399" width="10.90625" style="9" customWidth="1"/>
    <col min="5400" max="5402" width="11.453125" style="9" customWidth="1"/>
    <col min="5403" max="5403" width="10.6328125" style="9" customWidth="1"/>
    <col min="5404" max="5404" width="7.90625" style="9" customWidth="1"/>
    <col min="5405" max="5405" width="11.453125" style="9" customWidth="1"/>
    <col min="5406" max="5410" width="8.6328125" style="9" customWidth="1"/>
    <col min="5411" max="5632" width="11.453125" style="9"/>
    <col min="5633" max="5633" width="12.453125" style="9" customWidth="1"/>
    <col min="5634" max="5634" width="9.6328125" style="9" customWidth="1"/>
    <col min="5635" max="5635" width="10.08984375" style="9" customWidth="1"/>
    <col min="5636" max="5638" width="10.453125" style="9" customWidth="1"/>
    <col min="5639" max="5639" width="3" style="9" customWidth="1"/>
    <col min="5640" max="5640" width="9.36328125" style="9" customWidth="1"/>
    <col min="5641" max="5641" width="10.6328125" style="9" customWidth="1"/>
    <col min="5642" max="5642" width="9.08984375" style="9" customWidth="1"/>
    <col min="5643" max="5643" width="3" style="9" customWidth="1"/>
    <col min="5644" max="5644" width="3.90625" style="9" customWidth="1"/>
    <col min="5645" max="5645" width="9.08984375" style="9" customWidth="1"/>
    <col min="5646" max="5646" width="10.36328125" style="9" customWidth="1"/>
    <col min="5647" max="5647" width="5.453125" style="9" customWidth="1"/>
    <col min="5648" max="5648" width="7" style="9" customWidth="1"/>
    <col min="5649" max="5651" width="7.453125" style="9" customWidth="1"/>
    <col min="5652" max="5652" width="8" style="9" customWidth="1"/>
    <col min="5653" max="5653" width="8.453125" style="9" customWidth="1"/>
    <col min="5654" max="5655" width="10.90625" style="9" customWidth="1"/>
    <col min="5656" max="5658" width="11.453125" style="9" customWidth="1"/>
    <col min="5659" max="5659" width="10.6328125" style="9" customWidth="1"/>
    <col min="5660" max="5660" width="7.90625" style="9" customWidth="1"/>
    <col min="5661" max="5661" width="11.453125" style="9" customWidth="1"/>
    <col min="5662" max="5666" width="8.6328125" style="9" customWidth="1"/>
    <col min="5667" max="5888" width="11.453125" style="9"/>
    <col min="5889" max="5889" width="12.453125" style="9" customWidth="1"/>
    <col min="5890" max="5890" width="9.6328125" style="9" customWidth="1"/>
    <col min="5891" max="5891" width="10.08984375" style="9" customWidth="1"/>
    <col min="5892" max="5894" width="10.453125" style="9" customWidth="1"/>
    <col min="5895" max="5895" width="3" style="9" customWidth="1"/>
    <col min="5896" max="5896" width="9.36328125" style="9" customWidth="1"/>
    <col min="5897" max="5897" width="10.6328125" style="9" customWidth="1"/>
    <col min="5898" max="5898" width="9.08984375" style="9" customWidth="1"/>
    <col min="5899" max="5899" width="3" style="9" customWidth="1"/>
    <col min="5900" max="5900" width="3.90625" style="9" customWidth="1"/>
    <col min="5901" max="5901" width="9.08984375" style="9" customWidth="1"/>
    <col min="5902" max="5902" width="10.36328125" style="9" customWidth="1"/>
    <col min="5903" max="5903" width="5.453125" style="9" customWidth="1"/>
    <col min="5904" max="5904" width="7" style="9" customWidth="1"/>
    <col min="5905" max="5907" width="7.453125" style="9" customWidth="1"/>
    <col min="5908" max="5908" width="8" style="9" customWidth="1"/>
    <col min="5909" max="5909" width="8.453125" style="9" customWidth="1"/>
    <col min="5910" max="5911" width="10.90625" style="9" customWidth="1"/>
    <col min="5912" max="5914" width="11.453125" style="9" customWidth="1"/>
    <col min="5915" max="5915" width="10.6328125" style="9" customWidth="1"/>
    <col min="5916" max="5916" width="7.90625" style="9" customWidth="1"/>
    <col min="5917" max="5917" width="11.453125" style="9" customWidth="1"/>
    <col min="5918" max="5922" width="8.6328125" style="9" customWidth="1"/>
    <col min="5923" max="6144" width="11.453125" style="9"/>
    <col min="6145" max="6145" width="12.453125" style="9" customWidth="1"/>
    <col min="6146" max="6146" width="9.6328125" style="9" customWidth="1"/>
    <col min="6147" max="6147" width="10.08984375" style="9" customWidth="1"/>
    <col min="6148" max="6150" width="10.453125" style="9" customWidth="1"/>
    <col min="6151" max="6151" width="3" style="9" customWidth="1"/>
    <col min="6152" max="6152" width="9.36328125" style="9" customWidth="1"/>
    <col min="6153" max="6153" width="10.6328125" style="9" customWidth="1"/>
    <col min="6154" max="6154" width="9.08984375" style="9" customWidth="1"/>
    <col min="6155" max="6155" width="3" style="9" customWidth="1"/>
    <col min="6156" max="6156" width="3.90625" style="9" customWidth="1"/>
    <col min="6157" max="6157" width="9.08984375" style="9" customWidth="1"/>
    <col min="6158" max="6158" width="10.36328125" style="9" customWidth="1"/>
    <col min="6159" max="6159" width="5.453125" style="9" customWidth="1"/>
    <col min="6160" max="6160" width="7" style="9" customWidth="1"/>
    <col min="6161" max="6163" width="7.453125" style="9" customWidth="1"/>
    <col min="6164" max="6164" width="8" style="9" customWidth="1"/>
    <col min="6165" max="6165" width="8.453125" style="9" customWidth="1"/>
    <col min="6166" max="6167" width="10.90625" style="9" customWidth="1"/>
    <col min="6168" max="6170" width="11.453125" style="9" customWidth="1"/>
    <col min="6171" max="6171" width="10.6328125" style="9" customWidth="1"/>
    <col min="6172" max="6172" width="7.90625" style="9" customWidth="1"/>
    <col min="6173" max="6173" width="11.453125" style="9" customWidth="1"/>
    <col min="6174" max="6178" width="8.6328125" style="9" customWidth="1"/>
    <col min="6179" max="6400" width="11.453125" style="9"/>
    <col min="6401" max="6401" width="12.453125" style="9" customWidth="1"/>
    <col min="6402" max="6402" width="9.6328125" style="9" customWidth="1"/>
    <col min="6403" max="6403" width="10.08984375" style="9" customWidth="1"/>
    <col min="6404" max="6406" width="10.453125" style="9" customWidth="1"/>
    <col min="6407" max="6407" width="3" style="9" customWidth="1"/>
    <col min="6408" max="6408" width="9.36328125" style="9" customWidth="1"/>
    <col min="6409" max="6409" width="10.6328125" style="9" customWidth="1"/>
    <col min="6410" max="6410" width="9.08984375" style="9" customWidth="1"/>
    <col min="6411" max="6411" width="3" style="9" customWidth="1"/>
    <col min="6412" max="6412" width="3.90625" style="9" customWidth="1"/>
    <col min="6413" max="6413" width="9.08984375" style="9" customWidth="1"/>
    <col min="6414" max="6414" width="10.36328125" style="9" customWidth="1"/>
    <col min="6415" max="6415" width="5.453125" style="9" customWidth="1"/>
    <col min="6416" max="6416" width="7" style="9" customWidth="1"/>
    <col min="6417" max="6419" width="7.453125" style="9" customWidth="1"/>
    <col min="6420" max="6420" width="8" style="9" customWidth="1"/>
    <col min="6421" max="6421" width="8.453125" style="9" customWidth="1"/>
    <col min="6422" max="6423" width="10.90625" style="9" customWidth="1"/>
    <col min="6424" max="6426" width="11.453125" style="9" customWidth="1"/>
    <col min="6427" max="6427" width="10.6328125" style="9" customWidth="1"/>
    <col min="6428" max="6428" width="7.90625" style="9" customWidth="1"/>
    <col min="6429" max="6429" width="11.453125" style="9" customWidth="1"/>
    <col min="6430" max="6434" width="8.6328125" style="9" customWidth="1"/>
    <col min="6435" max="6656" width="11.453125" style="9"/>
    <col min="6657" max="6657" width="12.453125" style="9" customWidth="1"/>
    <col min="6658" max="6658" width="9.6328125" style="9" customWidth="1"/>
    <col min="6659" max="6659" width="10.08984375" style="9" customWidth="1"/>
    <col min="6660" max="6662" width="10.453125" style="9" customWidth="1"/>
    <col min="6663" max="6663" width="3" style="9" customWidth="1"/>
    <col min="6664" max="6664" width="9.36328125" style="9" customWidth="1"/>
    <col min="6665" max="6665" width="10.6328125" style="9" customWidth="1"/>
    <col min="6666" max="6666" width="9.08984375" style="9" customWidth="1"/>
    <col min="6667" max="6667" width="3" style="9" customWidth="1"/>
    <col min="6668" max="6668" width="3.90625" style="9" customWidth="1"/>
    <col min="6669" max="6669" width="9.08984375" style="9" customWidth="1"/>
    <col min="6670" max="6670" width="10.36328125" style="9" customWidth="1"/>
    <col min="6671" max="6671" width="5.453125" style="9" customWidth="1"/>
    <col min="6672" max="6672" width="7" style="9" customWidth="1"/>
    <col min="6673" max="6675" width="7.453125" style="9" customWidth="1"/>
    <col min="6676" max="6676" width="8" style="9" customWidth="1"/>
    <col min="6677" max="6677" width="8.453125" style="9" customWidth="1"/>
    <col min="6678" max="6679" width="10.90625" style="9" customWidth="1"/>
    <col min="6680" max="6682" width="11.453125" style="9" customWidth="1"/>
    <col min="6683" max="6683" width="10.6328125" style="9" customWidth="1"/>
    <col min="6684" max="6684" width="7.90625" style="9" customWidth="1"/>
    <col min="6685" max="6685" width="11.453125" style="9" customWidth="1"/>
    <col min="6686" max="6690" width="8.6328125" style="9" customWidth="1"/>
    <col min="6691" max="6912" width="11.453125" style="9"/>
    <col min="6913" max="6913" width="12.453125" style="9" customWidth="1"/>
    <col min="6914" max="6914" width="9.6328125" style="9" customWidth="1"/>
    <col min="6915" max="6915" width="10.08984375" style="9" customWidth="1"/>
    <col min="6916" max="6918" width="10.453125" style="9" customWidth="1"/>
    <col min="6919" max="6919" width="3" style="9" customWidth="1"/>
    <col min="6920" max="6920" width="9.36328125" style="9" customWidth="1"/>
    <col min="6921" max="6921" width="10.6328125" style="9" customWidth="1"/>
    <col min="6922" max="6922" width="9.08984375" style="9" customWidth="1"/>
    <col min="6923" max="6923" width="3" style="9" customWidth="1"/>
    <col min="6924" max="6924" width="3.90625" style="9" customWidth="1"/>
    <col min="6925" max="6925" width="9.08984375" style="9" customWidth="1"/>
    <col min="6926" max="6926" width="10.36328125" style="9" customWidth="1"/>
    <col min="6927" max="6927" width="5.453125" style="9" customWidth="1"/>
    <col min="6928" max="6928" width="7" style="9" customWidth="1"/>
    <col min="6929" max="6931" width="7.453125" style="9" customWidth="1"/>
    <col min="6932" max="6932" width="8" style="9" customWidth="1"/>
    <col min="6933" max="6933" width="8.453125" style="9" customWidth="1"/>
    <col min="6934" max="6935" width="10.90625" style="9" customWidth="1"/>
    <col min="6936" max="6938" width="11.453125" style="9" customWidth="1"/>
    <col min="6939" max="6939" width="10.6328125" style="9" customWidth="1"/>
    <col min="6940" max="6940" width="7.90625" style="9" customWidth="1"/>
    <col min="6941" max="6941" width="11.453125" style="9" customWidth="1"/>
    <col min="6942" max="6946" width="8.6328125" style="9" customWidth="1"/>
    <col min="6947" max="7168" width="11.453125" style="9"/>
    <col min="7169" max="7169" width="12.453125" style="9" customWidth="1"/>
    <col min="7170" max="7170" width="9.6328125" style="9" customWidth="1"/>
    <col min="7171" max="7171" width="10.08984375" style="9" customWidth="1"/>
    <col min="7172" max="7174" width="10.453125" style="9" customWidth="1"/>
    <col min="7175" max="7175" width="3" style="9" customWidth="1"/>
    <col min="7176" max="7176" width="9.36328125" style="9" customWidth="1"/>
    <col min="7177" max="7177" width="10.6328125" style="9" customWidth="1"/>
    <col min="7178" max="7178" width="9.08984375" style="9" customWidth="1"/>
    <col min="7179" max="7179" width="3" style="9" customWidth="1"/>
    <col min="7180" max="7180" width="3.90625" style="9" customWidth="1"/>
    <col min="7181" max="7181" width="9.08984375" style="9" customWidth="1"/>
    <col min="7182" max="7182" width="10.36328125" style="9" customWidth="1"/>
    <col min="7183" max="7183" width="5.453125" style="9" customWidth="1"/>
    <col min="7184" max="7184" width="7" style="9" customWidth="1"/>
    <col min="7185" max="7187" width="7.453125" style="9" customWidth="1"/>
    <col min="7188" max="7188" width="8" style="9" customWidth="1"/>
    <col min="7189" max="7189" width="8.453125" style="9" customWidth="1"/>
    <col min="7190" max="7191" width="10.90625" style="9" customWidth="1"/>
    <col min="7192" max="7194" width="11.453125" style="9" customWidth="1"/>
    <col min="7195" max="7195" width="10.6328125" style="9" customWidth="1"/>
    <col min="7196" max="7196" width="7.90625" style="9" customWidth="1"/>
    <col min="7197" max="7197" width="11.453125" style="9" customWidth="1"/>
    <col min="7198" max="7202" width="8.6328125" style="9" customWidth="1"/>
    <col min="7203" max="7424" width="11.453125" style="9"/>
    <col min="7425" max="7425" width="12.453125" style="9" customWidth="1"/>
    <col min="7426" max="7426" width="9.6328125" style="9" customWidth="1"/>
    <col min="7427" max="7427" width="10.08984375" style="9" customWidth="1"/>
    <col min="7428" max="7430" width="10.453125" style="9" customWidth="1"/>
    <col min="7431" max="7431" width="3" style="9" customWidth="1"/>
    <col min="7432" max="7432" width="9.36328125" style="9" customWidth="1"/>
    <col min="7433" max="7433" width="10.6328125" style="9" customWidth="1"/>
    <col min="7434" max="7434" width="9.08984375" style="9" customWidth="1"/>
    <col min="7435" max="7435" width="3" style="9" customWidth="1"/>
    <col min="7436" max="7436" width="3.90625" style="9" customWidth="1"/>
    <col min="7437" max="7437" width="9.08984375" style="9" customWidth="1"/>
    <col min="7438" max="7438" width="10.36328125" style="9" customWidth="1"/>
    <col min="7439" max="7439" width="5.453125" style="9" customWidth="1"/>
    <col min="7440" max="7440" width="7" style="9" customWidth="1"/>
    <col min="7441" max="7443" width="7.453125" style="9" customWidth="1"/>
    <col min="7444" max="7444" width="8" style="9" customWidth="1"/>
    <col min="7445" max="7445" width="8.453125" style="9" customWidth="1"/>
    <col min="7446" max="7447" width="10.90625" style="9" customWidth="1"/>
    <col min="7448" max="7450" width="11.453125" style="9" customWidth="1"/>
    <col min="7451" max="7451" width="10.6328125" style="9" customWidth="1"/>
    <col min="7452" max="7452" width="7.90625" style="9" customWidth="1"/>
    <col min="7453" max="7453" width="11.453125" style="9" customWidth="1"/>
    <col min="7454" max="7458" width="8.6328125" style="9" customWidth="1"/>
    <col min="7459" max="7680" width="11.453125" style="9"/>
    <col min="7681" max="7681" width="12.453125" style="9" customWidth="1"/>
    <col min="7682" max="7682" width="9.6328125" style="9" customWidth="1"/>
    <col min="7683" max="7683" width="10.08984375" style="9" customWidth="1"/>
    <col min="7684" max="7686" width="10.453125" style="9" customWidth="1"/>
    <col min="7687" max="7687" width="3" style="9" customWidth="1"/>
    <col min="7688" max="7688" width="9.36328125" style="9" customWidth="1"/>
    <col min="7689" max="7689" width="10.6328125" style="9" customWidth="1"/>
    <col min="7690" max="7690" width="9.08984375" style="9" customWidth="1"/>
    <col min="7691" max="7691" width="3" style="9" customWidth="1"/>
    <col min="7692" max="7692" width="3.90625" style="9" customWidth="1"/>
    <col min="7693" max="7693" width="9.08984375" style="9" customWidth="1"/>
    <col min="7694" max="7694" width="10.36328125" style="9" customWidth="1"/>
    <col min="7695" max="7695" width="5.453125" style="9" customWidth="1"/>
    <col min="7696" max="7696" width="7" style="9" customWidth="1"/>
    <col min="7697" max="7699" width="7.453125" style="9" customWidth="1"/>
    <col min="7700" max="7700" width="8" style="9" customWidth="1"/>
    <col min="7701" max="7701" width="8.453125" style="9" customWidth="1"/>
    <col min="7702" max="7703" width="10.90625" style="9" customWidth="1"/>
    <col min="7704" max="7706" width="11.453125" style="9" customWidth="1"/>
    <col min="7707" max="7707" width="10.6328125" style="9" customWidth="1"/>
    <col min="7708" max="7708" width="7.90625" style="9" customWidth="1"/>
    <col min="7709" max="7709" width="11.453125" style="9" customWidth="1"/>
    <col min="7710" max="7714" width="8.6328125" style="9" customWidth="1"/>
    <col min="7715" max="7936" width="11.453125" style="9"/>
    <col min="7937" max="7937" width="12.453125" style="9" customWidth="1"/>
    <col min="7938" max="7938" width="9.6328125" style="9" customWidth="1"/>
    <col min="7939" max="7939" width="10.08984375" style="9" customWidth="1"/>
    <col min="7940" max="7942" width="10.453125" style="9" customWidth="1"/>
    <col min="7943" max="7943" width="3" style="9" customWidth="1"/>
    <col min="7944" max="7944" width="9.36328125" style="9" customWidth="1"/>
    <col min="7945" max="7945" width="10.6328125" style="9" customWidth="1"/>
    <col min="7946" max="7946" width="9.08984375" style="9" customWidth="1"/>
    <col min="7947" max="7947" width="3" style="9" customWidth="1"/>
    <col min="7948" max="7948" width="3.90625" style="9" customWidth="1"/>
    <col min="7949" max="7949" width="9.08984375" style="9" customWidth="1"/>
    <col min="7950" max="7950" width="10.36328125" style="9" customWidth="1"/>
    <col min="7951" max="7951" width="5.453125" style="9" customWidth="1"/>
    <col min="7952" max="7952" width="7" style="9" customWidth="1"/>
    <col min="7953" max="7955" width="7.453125" style="9" customWidth="1"/>
    <col min="7956" max="7956" width="8" style="9" customWidth="1"/>
    <col min="7957" max="7957" width="8.453125" style="9" customWidth="1"/>
    <col min="7958" max="7959" width="10.90625" style="9" customWidth="1"/>
    <col min="7960" max="7962" width="11.453125" style="9" customWidth="1"/>
    <col min="7963" max="7963" width="10.6328125" style="9" customWidth="1"/>
    <col min="7964" max="7964" width="7.90625" style="9" customWidth="1"/>
    <col min="7965" max="7965" width="11.453125" style="9" customWidth="1"/>
    <col min="7966" max="7970" width="8.6328125" style="9" customWidth="1"/>
    <col min="7971" max="8192" width="11.453125" style="9"/>
    <col min="8193" max="8193" width="12.453125" style="9" customWidth="1"/>
    <col min="8194" max="8194" width="9.6328125" style="9" customWidth="1"/>
    <col min="8195" max="8195" width="10.08984375" style="9" customWidth="1"/>
    <col min="8196" max="8198" width="10.453125" style="9" customWidth="1"/>
    <col min="8199" max="8199" width="3" style="9" customWidth="1"/>
    <col min="8200" max="8200" width="9.36328125" style="9" customWidth="1"/>
    <col min="8201" max="8201" width="10.6328125" style="9" customWidth="1"/>
    <col min="8202" max="8202" width="9.08984375" style="9" customWidth="1"/>
    <col min="8203" max="8203" width="3" style="9" customWidth="1"/>
    <col min="8204" max="8204" width="3.90625" style="9" customWidth="1"/>
    <col min="8205" max="8205" width="9.08984375" style="9" customWidth="1"/>
    <col min="8206" max="8206" width="10.36328125" style="9" customWidth="1"/>
    <col min="8207" max="8207" width="5.453125" style="9" customWidth="1"/>
    <col min="8208" max="8208" width="7" style="9" customWidth="1"/>
    <col min="8209" max="8211" width="7.453125" style="9" customWidth="1"/>
    <col min="8212" max="8212" width="8" style="9" customWidth="1"/>
    <col min="8213" max="8213" width="8.453125" style="9" customWidth="1"/>
    <col min="8214" max="8215" width="10.90625" style="9" customWidth="1"/>
    <col min="8216" max="8218" width="11.453125" style="9" customWidth="1"/>
    <col min="8219" max="8219" width="10.6328125" style="9" customWidth="1"/>
    <col min="8220" max="8220" width="7.90625" style="9" customWidth="1"/>
    <col min="8221" max="8221" width="11.453125" style="9" customWidth="1"/>
    <col min="8222" max="8226" width="8.6328125" style="9" customWidth="1"/>
    <col min="8227" max="8448" width="11.453125" style="9"/>
    <col min="8449" max="8449" width="12.453125" style="9" customWidth="1"/>
    <col min="8450" max="8450" width="9.6328125" style="9" customWidth="1"/>
    <col min="8451" max="8451" width="10.08984375" style="9" customWidth="1"/>
    <col min="8452" max="8454" width="10.453125" style="9" customWidth="1"/>
    <col min="8455" max="8455" width="3" style="9" customWidth="1"/>
    <col min="8456" max="8456" width="9.36328125" style="9" customWidth="1"/>
    <col min="8457" max="8457" width="10.6328125" style="9" customWidth="1"/>
    <col min="8458" max="8458" width="9.08984375" style="9" customWidth="1"/>
    <col min="8459" max="8459" width="3" style="9" customWidth="1"/>
    <col min="8460" max="8460" width="3.90625" style="9" customWidth="1"/>
    <col min="8461" max="8461" width="9.08984375" style="9" customWidth="1"/>
    <col min="8462" max="8462" width="10.36328125" style="9" customWidth="1"/>
    <col min="8463" max="8463" width="5.453125" style="9" customWidth="1"/>
    <col min="8464" max="8464" width="7" style="9" customWidth="1"/>
    <col min="8465" max="8467" width="7.453125" style="9" customWidth="1"/>
    <col min="8468" max="8468" width="8" style="9" customWidth="1"/>
    <col min="8469" max="8469" width="8.453125" style="9" customWidth="1"/>
    <col min="8470" max="8471" width="10.90625" style="9" customWidth="1"/>
    <col min="8472" max="8474" width="11.453125" style="9" customWidth="1"/>
    <col min="8475" max="8475" width="10.6328125" style="9" customWidth="1"/>
    <col min="8476" max="8476" width="7.90625" style="9" customWidth="1"/>
    <col min="8477" max="8477" width="11.453125" style="9" customWidth="1"/>
    <col min="8478" max="8482" width="8.6328125" style="9" customWidth="1"/>
    <col min="8483" max="8704" width="11.453125" style="9"/>
    <col min="8705" max="8705" width="12.453125" style="9" customWidth="1"/>
    <col min="8706" max="8706" width="9.6328125" style="9" customWidth="1"/>
    <col min="8707" max="8707" width="10.08984375" style="9" customWidth="1"/>
    <col min="8708" max="8710" width="10.453125" style="9" customWidth="1"/>
    <col min="8711" max="8711" width="3" style="9" customWidth="1"/>
    <col min="8712" max="8712" width="9.36328125" style="9" customWidth="1"/>
    <col min="8713" max="8713" width="10.6328125" style="9" customWidth="1"/>
    <col min="8714" max="8714" width="9.08984375" style="9" customWidth="1"/>
    <col min="8715" max="8715" width="3" style="9" customWidth="1"/>
    <col min="8716" max="8716" width="3.90625" style="9" customWidth="1"/>
    <col min="8717" max="8717" width="9.08984375" style="9" customWidth="1"/>
    <col min="8718" max="8718" width="10.36328125" style="9" customWidth="1"/>
    <col min="8719" max="8719" width="5.453125" style="9" customWidth="1"/>
    <col min="8720" max="8720" width="7" style="9" customWidth="1"/>
    <col min="8721" max="8723" width="7.453125" style="9" customWidth="1"/>
    <col min="8724" max="8724" width="8" style="9" customWidth="1"/>
    <col min="8725" max="8725" width="8.453125" style="9" customWidth="1"/>
    <col min="8726" max="8727" width="10.90625" style="9" customWidth="1"/>
    <col min="8728" max="8730" width="11.453125" style="9" customWidth="1"/>
    <col min="8731" max="8731" width="10.6328125" style="9" customWidth="1"/>
    <col min="8732" max="8732" width="7.90625" style="9" customWidth="1"/>
    <col min="8733" max="8733" width="11.453125" style="9" customWidth="1"/>
    <col min="8734" max="8738" width="8.6328125" style="9" customWidth="1"/>
    <col min="8739" max="8960" width="11.453125" style="9"/>
    <col min="8961" max="8961" width="12.453125" style="9" customWidth="1"/>
    <col min="8962" max="8962" width="9.6328125" style="9" customWidth="1"/>
    <col min="8963" max="8963" width="10.08984375" style="9" customWidth="1"/>
    <col min="8964" max="8966" width="10.453125" style="9" customWidth="1"/>
    <col min="8967" max="8967" width="3" style="9" customWidth="1"/>
    <col min="8968" max="8968" width="9.36328125" style="9" customWidth="1"/>
    <col min="8969" max="8969" width="10.6328125" style="9" customWidth="1"/>
    <col min="8970" max="8970" width="9.08984375" style="9" customWidth="1"/>
    <col min="8971" max="8971" width="3" style="9" customWidth="1"/>
    <col min="8972" max="8972" width="3.90625" style="9" customWidth="1"/>
    <col min="8973" max="8973" width="9.08984375" style="9" customWidth="1"/>
    <col min="8974" max="8974" width="10.36328125" style="9" customWidth="1"/>
    <col min="8975" max="8975" width="5.453125" style="9" customWidth="1"/>
    <col min="8976" max="8976" width="7" style="9" customWidth="1"/>
    <col min="8977" max="8979" width="7.453125" style="9" customWidth="1"/>
    <col min="8980" max="8980" width="8" style="9" customWidth="1"/>
    <col min="8981" max="8981" width="8.453125" style="9" customWidth="1"/>
    <col min="8982" max="8983" width="10.90625" style="9" customWidth="1"/>
    <col min="8984" max="8986" width="11.453125" style="9" customWidth="1"/>
    <col min="8987" max="8987" width="10.6328125" style="9" customWidth="1"/>
    <col min="8988" max="8988" width="7.90625" style="9" customWidth="1"/>
    <col min="8989" max="8989" width="11.453125" style="9" customWidth="1"/>
    <col min="8990" max="8994" width="8.6328125" style="9" customWidth="1"/>
    <col min="8995" max="9216" width="11.453125" style="9"/>
    <col min="9217" max="9217" width="12.453125" style="9" customWidth="1"/>
    <col min="9218" max="9218" width="9.6328125" style="9" customWidth="1"/>
    <col min="9219" max="9219" width="10.08984375" style="9" customWidth="1"/>
    <col min="9220" max="9222" width="10.453125" style="9" customWidth="1"/>
    <col min="9223" max="9223" width="3" style="9" customWidth="1"/>
    <col min="9224" max="9224" width="9.36328125" style="9" customWidth="1"/>
    <col min="9225" max="9225" width="10.6328125" style="9" customWidth="1"/>
    <col min="9226" max="9226" width="9.08984375" style="9" customWidth="1"/>
    <col min="9227" max="9227" width="3" style="9" customWidth="1"/>
    <col min="9228" max="9228" width="3.90625" style="9" customWidth="1"/>
    <col min="9229" max="9229" width="9.08984375" style="9" customWidth="1"/>
    <col min="9230" max="9230" width="10.36328125" style="9" customWidth="1"/>
    <col min="9231" max="9231" width="5.453125" style="9" customWidth="1"/>
    <col min="9232" max="9232" width="7" style="9" customWidth="1"/>
    <col min="9233" max="9235" width="7.453125" style="9" customWidth="1"/>
    <col min="9236" max="9236" width="8" style="9" customWidth="1"/>
    <col min="9237" max="9237" width="8.453125" style="9" customWidth="1"/>
    <col min="9238" max="9239" width="10.90625" style="9" customWidth="1"/>
    <col min="9240" max="9242" width="11.453125" style="9" customWidth="1"/>
    <col min="9243" max="9243" width="10.6328125" style="9" customWidth="1"/>
    <col min="9244" max="9244" width="7.90625" style="9" customWidth="1"/>
    <col min="9245" max="9245" width="11.453125" style="9" customWidth="1"/>
    <col min="9246" max="9250" width="8.6328125" style="9" customWidth="1"/>
    <col min="9251" max="9472" width="11.453125" style="9"/>
    <col min="9473" max="9473" width="12.453125" style="9" customWidth="1"/>
    <col min="9474" max="9474" width="9.6328125" style="9" customWidth="1"/>
    <col min="9475" max="9475" width="10.08984375" style="9" customWidth="1"/>
    <col min="9476" max="9478" width="10.453125" style="9" customWidth="1"/>
    <col min="9479" max="9479" width="3" style="9" customWidth="1"/>
    <col min="9480" max="9480" width="9.36328125" style="9" customWidth="1"/>
    <col min="9481" max="9481" width="10.6328125" style="9" customWidth="1"/>
    <col min="9482" max="9482" width="9.08984375" style="9" customWidth="1"/>
    <col min="9483" max="9483" width="3" style="9" customWidth="1"/>
    <col min="9484" max="9484" width="3.90625" style="9" customWidth="1"/>
    <col min="9485" max="9485" width="9.08984375" style="9" customWidth="1"/>
    <col min="9486" max="9486" width="10.36328125" style="9" customWidth="1"/>
    <col min="9487" max="9487" width="5.453125" style="9" customWidth="1"/>
    <col min="9488" max="9488" width="7" style="9" customWidth="1"/>
    <col min="9489" max="9491" width="7.453125" style="9" customWidth="1"/>
    <col min="9492" max="9492" width="8" style="9" customWidth="1"/>
    <col min="9493" max="9493" width="8.453125" style="9" customWidth="1"/>
    <col min="9494" max="9495" width="10.90625" style="9" customWidth="1"/>
    <col min="9496" max="9498" width="11.453125" style="9" customWidth="1"/>
    <col min="9499" max="9499" width="10.6328125" style="9" customWidth="1"/>
    <col min="9500" max="9500" width="7.90625" style="9" customWidth="1"/>
    <col min="9501" max="9501" width="11.453125" style="9" customWidth="1"/>
    <col min="9502" max="9506" width="8.6328125" style="9" customWidth="1"/>
    <col min="9507" max="9728" width="11.453125" style="9"/>
    <col min="9729" max="9729" width="12.453125" style="9" customWidth="1"/>
    <col min="9730" max="9730" width="9.6328125" style="9" customWidth="1"/>
    <col min="9731" max="9731" width="10.08984375" style="9" customWidth="1"/>
    <col min="9732" max="9734" width="10.453125" style="9" customWidth="1"/>
    <col min="9735" max="9735" width="3" style="9" customWidth="1"/>
    <col min="9736" max="9736" width="9.36328125" style="9" customWidth="1"/>
    <col min="9737" max="9737" width="10.6328125" style="9" customWidth="1"/>
    <col min="9738" max="9738" width="9.08984375" style="9" customWidth="1"/>
    <col min="9739" max="9739" width="3" style="9" customWidth="1"/>
    <col min="9740" max="9740" width="3.90625" style="9" customWidth="1"/>
    <col min="9741" max="9741" width="9.08984375" style="9" customWidth="1"/>
    <col min="9742" max="9742" width="10.36328125" style="9" customWidth="1"/>
    <col min="9743" max="9743" width="5.453125" style="9" customWidth="1"/>
    <col min="9744" max="9744" width="7" style="9" customWidth="1"/>
    <col min="9745" max="9747" width="7.453125" style="9" customWidth="1"/>
    <col min="9748" max="9748" width="8" style="9" customWidth="1"/>
    <col min="9749" max="9749" width="8.453125" style="9" customWidth="1"/>
    <col min="9750" max="9751" width="10.90625" style="9" customWidth="1"/>
    <col min="9752" max="9754" width="11.453125" style="9" customWidth="1"/>
    <col min="9755" max="9755" width="10.6328125" style="9" customWidth="1"/>
    <col min="9756" max="9756" width="7.90625" style="9" customWidth="1"/>
    <col min="9757" max="9757" width="11.453125" style="9" customWidth="1"/>
    <col min="9758" max="9762" width="8.6328125" style="9" customWidth="1"/>
    <col min="9763" max="9984" width="11.453125" style="9"/>
    <col min="9985" max="9985" width="12.453125" style="9" customWidth="1"/>
    <col min="9986" max="9986" width="9.6328125" style="9" customWidth="1"/>
    <col min="9987" max="9987" width="10.08984375" style="9" customWidth="1"/>
    <col min="9988" max="9990" width="10.453125" style="9" customWidth="1"/>
    <col min="9991" max="9991" width="3" style="9" customWidth="1"/>
    <col min="9992" max="9992" width="9.36328125" style="9" customWidth="1"/>
    <col min="9993" max="9993" width="10.6328125" style="9" customWidth="1"/>
    <col min="9994" max="9994" width="9.08984375" style="9" customWidth="1"/>
    <col min="9995" max="9995" width="3" style="9" customWidth="1"/>
    <col min="9996" max="9996" width="3.90625" style="9" customWidth="1"/>
    <col min="9997" max="9997" width="9.08984375" style="9" customWidth="1"/>
    <col min="9998" max="9998" width="10.36328125" style="9" customWidth="1"/>
    <col min="9999" max="9999" width="5.453125" style="9" customWidth="1"/>
    <col min="10000" max="10000" width="7" style="9" customWidth="1"/>
    <col min="10001" max="10003" width="7.453125" style="9" customWidth="1"/>
    <col min="10004" max="10004" width="8" style="9" customWidth="1"/>
    <col min="10005" max="10005" width="8.453125" style="9" customWidth="1"/>
    <col min="10006" max="10007" width="10.90625" style="9" customWidth="1"/>
    <col min="10008" max="10010" width="11.453125" style="9" customWidth="1"/>
    <col min="10011" max="10011" width="10.6328125" style="9" customWidth="1"/>
    <col min="10012" max="10012" width="7.90625" style="9" customWidth="1"/>
    <col min="10013" max="10013" width="11.453125" style="9" customWidth="1"/>
    <col min="10014" max="10018" width="8.6328125" style="9" customWidth="1"/>
    <col min="10019" max="10240" width="11.453125" style="9"/>
    <col min="10241" max="10241" width="12.453125" style="9" customWidth="1"/>
    <col min="10242" max="10242" width="9.6328125" style="9" customWidth="1"/>
    <col min="10243" max="10243" width="10.08984375" style="9" customWidth="1"/>
    <col min="10244" max="10246" width="10.453125" style="9" customWidth="1"/>
    <col min="10247" max="10247" width="3" style="9" customWidth="1"/>
    <col min="10248" max="10248" width="9.36328125" style="9" customWidth="1"/>
    <col min="10249" max="10249" width="10.6328125" style="9" customWidth="1"/>
    <col min="10250" max="10250" width="9.08984375" style="9" customWidth="1"/>
    <col min="10251" max="10251" width="3" style="9" customWidth="1"/>
    <col min="10252" max="10252" width="3.90625" style="9" customWidth="1"/>
    <col min="10253" max="10253" width="9.08984375" style="9" customWidth="1"/>
    <col min="10254" max="10254" width="10.36328125" style="9" customWidth="1"/>
    <col min="10255" max="10255" width="5.453125" style="9" customWidth="1"/>
    <col min="10256" max="10256" width="7" style="9" customWidth="1"/>
    <col min="10257" max="10259" width="7.453125" style="9" customWidth="1"/>
    <col min="10260" max="10260" width="8" style="9" customWidth="1"/>
    <col min="10261" max="10261" width="8.453125" style="9" customWidth="1"/>
    <col min="10262" max="10263" width="10.90625" style="9" customWidth="1"/>
    <col min="10264" max="10266" width="11.453125" style="9" customWidth="1"/>
    <col min="10267" max="10267" width="10.6328125" style="9" customWidth="1"/>
    <col min="10268" max="10268" width="7.90625" style="9" customWidth="1"/>
    <col min="10269" max="10269" width="11.453125" style="9" customWidth="1"/>
    <col min="10270" max="10274" width="8.6328125" style="9" customWidth="1"/>
    <col min="10275" max="10496" width="11.453125" style="9"/>
    <col min="10497" max="10497" width="12.453125" style="9" customWidth="1"/>
    <col min="10498" max="10498" width="9.6328125" style="9" customWidth="1"/>
    <col min="10499" max="10499" width="10.08984375" style="9" customWidth="1"/>
    <col min="10500" max="10502" width="10.453125" style="9" customWidth="1"/>
    <col min="10503" max="10503" width="3" style="9" customWidth="1"/>
    <col min="10504" max="10504" width="9.36328125" style="9" customWidth="1"/>
    <col min="10505" max="10505" width="10.6328125" style="9" customWidth="1"/>
    <col min="10506" max="10506" width="9.08984375" style="9" customWidth="1"/>
    <col min="10507" max="10507" width="3" style="9" customWidth="1"/>
    <col min="10508" max="10508" width="3.90625" style="9" customWidth="1"/>
    <col min="10509" max="10509" width="9.08984375" style="9" customWidth="1"/>
    <col min="10510" max="10510" width="10.36328125" style="9" customWidth="1"/>
    <col min="10511" max="10511" width="5.453125" style="9" customWidth="1"/>
    <col min="10512" max="10512" width="7" style="9" customWidth="1"/>
    <col min="10513" max="10515" width="7.453125" style="9" customWidth="1"/>
    <col min="10516" max="10516" width="8" style="9" customWidth="1"/>
    <col min="10517" max="10517" width="8.453125" style="9" customWidth="1"/>
    <col min="10518" max="10519" width="10.90625" style="9" customWidth="1"/>
    <col min="10520" max="10522" width="11.453125" style="9" customWidth="1"/>
    <col min="10523" max="10523" width="10.6328125" style="9" customWidth="1"/>
    <col min="10524" max="10524" width="7.90625" style="9" customWidth="1"/>
    <col min="10525" max="10525" width="11.453125" style="9" customWidth="1"/>
    <col min="10526" max="10530" width="8.6328125" style="9" customWidth="1"/>
    <col min="10531" max="10752" width="11.453125" style="9"/>
    <col min="10753" max="10753" width="12.453125" style="9" customWidth="1"/>
    <col min="10754" max="10754" width="9.6328125" style="9" customWidth="1"/>
    <col min="10755" max="10755" width="10.08984375" style="9" customWidth="1"/>
    <col min="10756" max="10758" width="10.453125" style="9" customWidth="1"/>
    <col min="10759" max="10759" width="3" style="9" customWidth="1"/>
    <col min="10760" max="10760" width="9.36328125" style="9" customWidth="1"/>
    <col min="10761" max="10761" width="10.6328125" style="9" customWidth="1"/>
    <col min="10762" max="10762" width="9.08984375" style="9" customWidth="1"/>
    <col min="10763" max="10763" width="3" style="9" customWidth="1"/>
    <col min="10764" max="10764" width="3.90625" style="9" customWidth="1"/>
    <col min="10765" max="10765" width="9.08984375" style="9" customWidth="1"/>
    <col min="10766" max="10766" width="10.36328125" style="9" customWidth="1"/>
    <col min="10767" max="10767" width="5.453125" style="9" customWidth="1"/>
    <col min="10768" max="10768" width="7" style="9" customWidth="1"/>
    <col min="10769" max="10771" width="7.453125" style="9" customWidth="1"/>
    <col min="10772" max="10772" width="8" style="9" customWidth="1"/>
    <col min="10773" max="10773" width="8.453125" style="9" customWidth="1"/>
    <col min="10774" max="10775" width="10.90625" style="9" customWidth="1"/>
    <col min="10776" max="10778" width="11.453125" style="9" customWidth="1"/>
    <col min="10779" max="10779" width="10.6328125" style="9" customWidth="1"/>
    <col min="10780" max="10780" width="7.90625" style="9" customWidth="1"/>
    <col min="10781" max="10781" width="11.453125" style="9" customWidth="1"/>
    <col min="10782" max="10786" width="8.6328125" style="9" customWidth="1"/>
    <col min="10787" max="11008" width="11.453125" style="9"/>
    <col min="11009" max="11009" width="12.453125" style="9" customWidth="1"/>
    <col min="11010" max="11010" width="9.6328125" style="9" customWidth="1"/>
    <col min="11011" max="11011" width="10.08984375" style="9" customWidth="1"/>
    <col min="11012" max="11014" width="10.453125" style="9" customWidth="1"/>
    <col min="11015" max="11015" width="3" style="9" customWidth="1"/>
    <col min="11016" max="11016" width="9.36328125" style="9" customWidth="1"/>
    <col min="11017" max="11017" width="10.6328125" style="9" customWidth="1"/>
    <col min="11018" max="11018" width="9.08984375" style="9" customWidth="1"/>
    <col min="11019" max="11019" width="3" style="9" customWidth="1"/>
    <col min="11020" max="11020" width="3.90625" style="9" customWidth="1"/>
    <col min="11021" max="11021" width="9.08984375" style="9" customWidth="1"/>
    <col min="11022" max="11022" width="10.36328125" style="9" customWidth="1"/>
    <col min="11023" max="11023" width="5.453125" style="9" customWidth="1"/>
    <col min="11024" max="11024" width="7" style="9" customWidth="1"/>
    <col min="11025" max="11027" width="7.453125" style="9" customWidth="1"/>
    <col min="11028" max="11028" width="8" style="9" customWidth="1"/>
    <col min="11029" max="11029" width="8.453125" style="9" customWidth="1"/>
    <col min="11030" max="11031" width="10.90625" style="9" customWidth="1"/>
    <col min="11032" max="11034" width="11.453125" style="9" customWidth="1"/>
    <col min="11035" max="11035" width="10.6328125" style="9" customWidth="1"/>
    <col min="11036" max="11036" width="7.90625" style="9" customWidth="1"/>
    <col min="11037" max="11037" width="11.453125" style="9" customWidth="1"/>
    <col min="11038" max="11042" width="8.6328125" style="9" customWidth="1"/>
    <col min="11043" max="11264" width="11.453125" style="9"/>
    <col min="11265" max="11265" width="12.453125" style="9" customWidth="1"/>
    <col min="11266" max="11266" width="9.6328125" style="9" customWidth="1"/>
    <col min="11267" max="11267" width="10.08984375" style="9" customWidth="1"/>
    <col min="11268" max="11270" width="10.453125" style="9" customWidth="1"/>
    <col min="11271" max="11271" width="3" style="9" customWidth="1"/>
    <col min="11272" max="11272" width="9.36328125" style="9" customWidth="1"/>
    <col min="11273" max="11273" width="10.6328125" style="9" customWidth="1"/>
    <col min="11274" max="11274" width="9.08984375" style="9" customWidth="1"/>
    <col min="11275" max="11275" width="3" style="9" customWidth="1"/>
    <col min="11276" max="11276" width="3.90625" style="9" customWidth="1"/>
    <col min="11277" max="11277" width="9.08984375" style="9" customWidth="1"/>
    <col min="11278" max="11278" width="10.36328125" style="9" customWidth="1"/>
    <col min="11279" max="11279" width="5.453125" style="9" customWidth="1"/>
    <col min="11280" max="11280" width="7" style="9" customWidth="1"/>
    <col min="11281" max="11283" width="7.453125" style="9" customWidth="1"/>
    <col min="11284" max="11284" width="8" style="9" customWidth="1"/>
    <col min="11285" max="11285" width="8.453125" style="9" customWidth="1"/>
    <col min="11286" max="11287" width="10.90625" style="9" customWidth="1"/>
    <col min="11288" max="11290" width="11.453125" style="9" customWidth="1"/>
    <col min="11291" max="11291" width="10.6328125" style="9" customWidth="1"/>
    <col min="11292" max="11292" width="7.90625" style="9" customWidth="1"/>
    <col min="11293" max="11293" width="11.453125" style="9" customWidth="1"/>
    <col min="11294" max="11298" width="8.6328125" style="9" customWidth="1"/>
    <col min="11299" max="11520" width="11.453125" style="9"/>
    <col min="11521" max="11521" width="12.453125" style="9" customWidth="1"/>
    <col min="11522" max="11522" width="9.6328125" style="9" customWidth="1"/>
    <col min="11523" max="11523" width="10.08984375" style="9" customWidth="1"/>
    <col min="11524" max="11526" width="10.453125" style="9" customWidth="1"/>
    <col min="11527" max="11527" width="3" style="9" customWidth="1"/>
    <col min="11528" max="11528" width="9.36328125" style="9" customWidth="1"/>
    <col min="11529" max="11529" width="10.6328125" style="9" customWidth="1"/>
    <col min="11530" max="11530" width="9.08984375" style="9" customWidth="1"/>
    <col min="11531" max="11531" width="3" style="9" customWidth="1"/>
    <col min="11532" max="11532" width="3.90625" style="9" customWidth="1"/>
    <col min="11533" max="11533" width="9.08984375" style="9" customWidth="1"/>
    <col min="11534" max="11534" width="10.36328125" style="9" customWidth="1"/>
    <col min="11535" max="11535" width="5.453125" style="9" customWidth="1"/>
    <col min="11536" max="11536" width="7" style="9" customWidth="1"/>
    <col min="11537" max="11539" width="7.453125" style="9" customWidth="1"/>
    <col min="11540" max="11540" width="8" style="9" customWidth="1"/>
    <col min="11541" max="11541" width="8.453125" style="9" customWidth="1"/>
    <col min="11542" max="11543" width="10.90625" style="9" customWidth="1"/>
    <col min="11544" max="11546" width="11.453125" style="9" customWidth="1"/>
    <col min="11547" max="11547" width="10.6328125" style="9" customWidth="1"/>
    <col min="11548" max="11548" width="7.90625" style="9" customWidth="1"/>
    <col min="11549" max="11549" width="11.453125" style="9" customWidth="1"/>
    <col min="11550" max="11554" width="8.6328125" style="9" customWidth="1"/>
    <col min="11555" max="11776" width="11.453125" style="9"/>
    <col min="11777" max="11777" width="12.453125" style="9" customWidth="1"/>
    <col min="11778" max="11778" width="9.6328125" style="9" customWidth="1"/>
    <col min="11779" max="11779" width="10.08984375" style="9" customWidth="1"/>
    <col min="11780" max="11782" width="10.453125" style="9" customWidth="1"/>
    <col min="11783" max="11783" width="3" style="9" customWidth="1"/>
    <col min="11784" max="11784" width="9.36328125" style="9" customWidth="1"/>
    <col min="11785" max="11785" width="10.6328125" style="9" customWidth="1"/>
    <col min="11786" max="11786" width="9.08984375" style="9" customWidth="1"/>
    <col min="11787" max="11787" width="3" style="9" customWidth="1"/>
    <col min="11788" max="11788" width="3.90625" style="9" customWidth="1"/>
    <col min="11789" max="11789" width="9.08984375" style="9" customWidth="1"/>
    <col min="11790" max="11790" width="10.36328125" style="9" customWidth="1"/>
    <col min="11791" max="11791" width="5.453125" style="9" customWidth="1"/>
    <col min="11792" max="11792" width="7" style="9" customWidth="1"/>
    <col min="11793" max="11795" width="7.453125" style="9" customWidth="1"/>
    <col min="11796" max="11796" width="8" style="9" customWidth="1"/>
    <col min="11797" max="11797" width="8.453125" style="9" customWidth="1"/>
    <col min="11798" max="11799" width="10.90625" style="9" customWidth="1"/>
    <col min="11800" max="11802" width="11.453125" style="9" customWidth="1"/>
    <col min="11803" max="11803" width="10.6328125" style="9" customWidth="1"/>
    <col min="11804" max="11804" width="7.90625" style="9" customWidth="1"/>
    <col min="11805" max="11805" width="11.453125" style="9" customWidth="1"/>
    <col min="11806" max="11810" width="8.6328125" style="9" customWidth="1"/>
    <col min="11811" max="12032" width="11.453125" style="9"/>
    <col min="12033" max="12033" width="12.453125" style="9" customWidth="1"/>
    <col min="12034" max="12034" width="9.6328125" style="9" customWidth="1"/>
    <col min="12035" max="12035" width="10.08984375" style="9" customWidth="1"/>
    <col min="12036" max="12038" width="10.453125" style="9" customWidth="1"/>
    <col min="12039" max="12039" width="3" style="9" customWidth="1"/>
    <col min="12040" max="12040" width="9.36328125" style="9" customWidth="1"/>
    <col min="12041" max="12041" width="10.6328125" style="9" customWidth="1"/>
    <col min="12042" max="12042" width="9.08984375" style="9" customWidth="1"/>
    <col min="12043" max="12043" width="3" style="9" customWidth="1"/>
    <col min="12044" max="12044" width="3.90625" style="9" customWidth="1"/>
    <col min="12045" max="12045" width="9.08984375" style="9" customWidth="1"/>
    <col min="12046" max="12046" width="10.36328125" style="9" customWidth="1"/>
    <col min="12047" max="12047" width="5.453125" style="9" customWidth="1"/>
    <col min="12048" max="12048" width="7" style="9" customWidth="1"/>
    <col min="12049" max="12051" width="7.453125" style="9" customWidth="1"/>
    <col min="12052" max="12052" width="8" style="9" customWidth="1"/>
    <col min="12053" max="12053" width="8.453125" style="9" customWidth="1"/>
    <col min="12054" max="12055" width="10.90625" style="9" customWidth="1"/>
    <col min="12056" max="12058" width="11.453125" style="9" customWidth="1"/>
    <col min="12059" max="12059" width="10.6328125" style="9" customWidth="1"/>
    <col min="12060" max="12060" width="7.90625" style="9" customWidth="1"/>
    <col min="12061" max="12061" width="11.453125" style="9" customWidth="1"/>
    <col min="12062" max="12066" width="8.6328125" style="9" customWidth="1"/>
    <col min="12067" max="12288" width="11.453125" style="9"/>
    <col min="12289" max="12289" width="12.453125" style="9" customWidth="1"/>
    <col min="12290" max="12290" width="9.6328125" style="9" customWidth="1"/>
    <col min="12291" max="12291" width="10.08984375" style="9" customWidth="1"/>
    <col min="12292" max="12294" width="10.453125" style="9" customWidth="1"/>
    <col min="12295" max="12295" width="3" style="9" customWidth="1"/>
    <col min="12296" max="12296" width="9.36328125" style="9" customWidth="1"/>
    <col min="12297" max="12297" width="10.6328125" style="9" customWidth="1"/>
    <col min="12298" max="12298" width="9.08984375" style="9" customWidth="1"/>
    <col min="12299" max="12299" width="3" style="9" customWidth="1"/>
    <col min="12300" max="12300" width="3.90625" style="9" customWidth="1"/>
    <col min="12301" max="12301" width="9.08984375" style="9" customWidth="1"/>
    <col min="12302" max="12302" width="10.36328125" style="9" customWidth="1"/>
    <col min="12303" max="12303" width="5.453125" style="9" customWidth="1"/>
    <col min="12304" max="12304" width="7" style="9" customWidth="1"/>
    <col min="12305" max="12307" width="7.453125" style="9" customWidth="1"/>
    <col min="12308" max="12308" width="8" style="9" customWidth="1"/>
    <col min="12309" max="12309" width="8.453125" style="9" customWidth="1"/>
    <col min="12310" max="12311" width="10.90625" style="9" customWidth="1"/>
    <col min="12312" max="12314" width="11.453125" style="9" customWidth="1"/>
    <col min="12315" max="12315" width="10.6328125" style="9" customWidth="1"/>
    <col min="12316" max="12316" width="7.90625" style="9" customWidth="1"/>
    <col min="12317" max="12317" width="11.453125" style="9" customWidth="1"/>
    <col min="12318" max="12322" width="8.6328125" style="9" customWidth="1"/>
    <col min="12323" max="12544" width="11.453125" style="9"/>
    <col min="12545" max="12545" width="12.453125" style="9" customWidth="1"/>
    <col min="12546" max="12546" width="9.6328125" style="9" customWidth="1"/>
    <col min="12547" max="12547" width="10.08984375" style="9" customWidth="1"/>
    <col min="12548" max="12550" width="10.453125" style="9" customWidth="1"/>
    <col min="12551" max="12551" width="3" style="9" customWidth="1"/>
    <col min="12552" max="12552" width="9.36328125" style="9" customWidth="1"/>
    <col min="12553" max="12553" width="10.6328125" style="9" customWidth="1"/>
    <col min="12554" max="12554" width="9.08984375" style="9" customWidth="1"/>
    <col min="12555" max="12555" width="3" style="9" customWidth="1"/>
    <col min="12556" max="12556" width="3.90625" style="9" customWidth="1"/>
    <col min="12557" max="12557" width="9.08984375" style="9" customWidth="1"/>
    <col min="12558" max="12558" width="10.36328125" style="9" customWidth="1"/>
    <col min="12559" max="12559" width="5.453125" style="9" customWidth="1"/>
    <col min="12560" max="12560" width="7" style="9" customWidth="1"/>
    <col min="12561" max="12563" width="7.453125" style="9" customWidth="1"/>
    <col min="12564" max="12564" width="8" style="9" customWidth="1"/>
    <col min="12565" max="12565" width="8.453125" style="9" customWidth="1"/>
    <col min="12566" max="12567" width="10.90625" style="9" customWidth="1"/>
    <col min="12568" max="12570" width="11.453125" style="9" customWidth="1"/>
    <col min="12571" max="12571" width="10.6328125" style="9" customWidth="1"/>
    <col min="12572" max="12572" width="7.90625" style="9" customWidth="1"/>
    <col min="12573" max="12573" width="11.453125" style="9" customWidth="1"/>
    <col min="12574" max="12578" width="8.6328125" style="9" customWidth="1"/>
    <col min="12579" max="12800" width="11.453125" style="9"/>
    <col min="12801" max="12801" width="12.453125" style="9" customWidth="1"/>
    <col min="12802" max="12802" width="9.6328125" style="9" customWidth="1"/>
    <col min="12803" max="12803" width="10.08984375" style="9" customWidth="1"/>
    <col min="12804" max="12806" width="10.453125" style="9" customWidth="1"/>
    <col min="12807" max="12807" width="3" style="9" customWidth="1"/>
    <col min="12808" max="12808" width="9.36328125" style="9" customWidth="1"/>
    <col min="12809" max="12809" width="10.6328125" style="9" customWidth="1"/>
    <col min="12810" max="12810" width="9.08984375" style="9" customWidth="1"/>
    <col min="12811" max="12811" width="3" style="9" customWidth="1"/>
    <col min="12812" max="12812" width="3.90625" style="9" customWidth="1"/>
    <col min="12813" max="12813" width="9.08984375" style="9" customWidth="1"/>
    <col min="12814" max="12814" width="10.36328125" style="9" customWidth="1"/>
    <col min="12815" max="12815" width="5.453125" style="9" customWidth="1"/>
    <col min="12816" max="12816" width="7" style="9" customWidth="1"/>
    <col min="12817" max="12819" width="7.453125" style="9" customWidth="1"/>
    <col min="12820" max="12820" width="8" style="9" customWidth="1"/>
    <col min="12821" max="12821" width="8.453125" style="9" customWidth="1"/>
    <col min="12822" max="12823" width="10.90625" style="9" customWidth="1"/>
    <col min="12824" max="12826" width="11.453125" style="9" customWidth="1"/>
    <col min="12827" max="12827" width="10.6328125" style="9" customWidth="1"/>
    <col min="12828" max="12828" width="7.90625" style="9" customWidth="1"/>
    <col min="12829" max="12829" width="11.453125" style="9" customWidth="1"/>
    <col min="12830" max="12834" width="8.6328125" style="9" customWidth="1"/>
    <col min="12835" max="13056" width="11.453125" style="9"/>
    <col min="13057" max="13057" width="12.453125" style="9" customWidth="1"/>
    <col min="13058" max="13058" width="9.6328125" style="9" customWidth="1"/>
    <col min="13059" max="13059" width="10.08984375" style="9" customWidth="1"/>
    <col min="13060" max="13062" width="10.453125" style="9" customWidth="1"/>
    <col min="13063" max="13063" width="3" style="9" customWidth="1"/>
    <col min="13064" max="13064" width="9.36328125" style="9" customWidth="1"/>
    <col min="13065" max="13065" width="10.6328125" style="9" customWidth="1"/>
    <col min="13066" max="13066" width="9.08984375" style="9" customWidth="1"/>
    <col min="13067" max="13067" width="3" style="9" customWidth="1"/>
    <col min="13068" max="13068" width="3.90625" style="9" customWidth="1"/>
    <col min="13069" max="13069" width="9.08984375" style="9" customWidth="1"/>
    <col min="13070" max="13070" width="10.36328125" style="9" customWidth="1"/>
    <col min="13071" max="13071" width="5.453125" style="9" customWidth="1"/>
    <col min="13072" max="13072" width="7" style="9" customWidth="1"/>
    <col min="13073" max="13075" width="7.453125" style="9" customWidth="1"/>
    <col min="13076" max="13076" width="8" style="9" customWidth="1"/>
    <col min="13077" max="13077" width="8.453125" style="9" customWidth="1"/>
    <col min="13078" max="13079" width="10.90625" style="9" customWidth="1"/>
    <col min="13080" max="13082" width="11.453125" style="9" customWidth="1"/>
    <col min="13083" max="13083" width="10.6328125" style="9" customWidth="1"/>
    <col min="13084" max="13084" width="7.90625" style="9" customWidth="1"/>
    <col min="13085" max="13085" width="11.453125" style="9" customWidth="1"/>
    <col min="13086" max="13090" width="8.6328125" style="9" customWidth="1"/>
    <col min="13091" max="13312" width="11.453125" style="9"/>
    <col min="13313" max="13313" width="12.453125" style="9" customWidth="1"/>
    <col min="13314" max="13314" width="9.6328125" style="9" customWidth="1"/>
    <col min="13315" max="13315" width="10.08984375" style="9" customWidth="1"/>
    <col min="13316" max="13318" width="10.453125" style="9" customWidth="1"/>
    <col min="13319" max="13319" width="3" style="9" customWidth="1"/>
    <col min="13320" max="13320" width="9.36328125" style="9" customWidth="1"/>
    <col min="13321" max="13321" width="10.6328125" style="9" customWidth="1"/>
    <col min="13322" max="13322" width="9.08984375" style="9" customWidth="1"/>
    <col min="13323" max="13323" width="3" style="9" customWidth="1"/>
    <col min="13324" max="13324" width="3.90625" style="9" customWidth="1"/>
    <col min="13325" max="13325" width="9.08984375" style="9" customWidth="1"/>
    <col min="13326" max="13326" width="10.36328125" style="9" customWidth="1"/>
    <col min="13327" max="13327" width="5.453125" style="9" customWidth="1"/>
    <col min="13328" max="13328" width="7" style="9" customWidth="1"/>
    <col min="13329" max="13331" width="7.453125" style="9" customWidth="1"/>
    <col min="13332" max="13332" width="8" style="9" customWidth="1"/>
    <col min="13333" max="13333" width="8.453125" style="9" customWidth="1"/>
    <col min="13334" max="13335" width="10.90625" style="9" customWidth="1"/>
    <col min="13336" max="13338" width="11.453125" style="9" customWidth="1"/>
    <col min="13339" max="13339" width="10.6328125" style="9" customWidth="1"/>
    <col min="13340" max="13340" width="7.90625" style="9" customWidth="1"/>
    <col min="13341" max="13341" width="11.453125" style="9" customWidth="1"/>
    <col min="13342" max="13346" width="8.6328125" style="9" customWidth="1"/>
    <col min="13347" max="13568" width="11.453125" style="9"/>
    <col min="13569" max="13569" width="12.453125" style="9" customWidth="1"/>
    <col min="13570" max="13570" width="9.6328125" style="9" customWidth="1"/>
    <col min="13571" max="13571" width="10.08984375" style="9" customWidth="1"/>
    <col min="13572" max="13574" width="10.453125" style="9" customWidth="1"/>
    <col min="13575" max="13575" width="3" style="9" customWidth="1"/>
    <col min="13576" max="13576" width="9.36328125" style="9" customWidth="1"/>
    <col min="13577" max="13577" width="10.6328125" style="9" customWidth="1"/>
    <col min="13578" max="13578" width="9.08984375" style="9" customWidth="1"/>
    <col min="13579" max="13579" width="3" style="9" customWidth="1"/>
    <col min="13580" max="13580" width="3.90625" style="9" customWidth="1"/>
    <col min="13581" max="13581" width="9.08984375" style="9" customWidth="1"/>
    <col min="13582" max="13582" width="10.36328125" style="9" customWidth="1"/>
    <col min="13583" max="13583" width="5.453125" style="9" customWidth="1"/>
    <col min="13584" max="13584" width="7" style="9" customWidth="1"/>
    <col min="13585" max="13587" width="7.453125" style="9" customWidth="1"/>
    <col min="13588" max="13588" width="8" style="9" customWidth="1"/>
    <col min="13589" max="13589" width="8.453125" style="9" customWidth="1"/>
    <col min="13590" max="13591" width="10.90625" style="9" customWidth="1"/>
    <col min="13592" max="13594" width="11.453125" style="9" customWidth="1"/>
    <col min="13595" max="13595" width="10.6328125" style="9" customWidth="1"/>
    <col min="13596" max="13596" width="7.90625" style="9" customWidth="1"/>
    <col min="13597" max="13597" width="11.453125" style="9" customWidth="1"/>
    <col min="13598" max="13602" width="8.6328125" style="9" customWidth="1"/>
    <col min="13603" max="13824" width="11.453125" style="9"/>
    <col min="13825" max="13825" width="12.453125" style="9" customWidth="1"/>
    <col min="13826" max="13826" width="9.6328125" style="9" customWidth="1"/>
    <col min="13827" max="13827" width="10.08984375" style="9" customWidth="1"/>
    <col min="13828" max="13830" width="10.453125" style="9" customWidth="1"/>
    <col min="13831" max="13831" width="3" style="9" customWidth="1"/>
    <col min="13832" max="13832" width="9.36328125" style="9" customWidth="1"/>
    <col min="13833" max="13833" width="10.6328125" style="9" customWidth="1"/>
    <col min="13834" max="13834" width="9.08984375" style="9" customWidth="1"/>
    <col min="13835" max="13835" width="3" style="9" customWidth="1"/>
    <col min="13836" max="13836" width="3.90625" style="9" customWidth="1"/>
    <col min="13837" max="13837" width="9.08984375" style="9" customWidth="1"/>
    <col min="13838" max="13838" width="10.36328125" style="9" customWidth="1"/>
    <col min="13839" max="13839" width="5.453125" style="9" customWidth="1"/>
    <col min="13840" max="13840" width="7" style="9" customWidth="1"/>
    <col min="13841" max="13843" width="7.453125" style="9" customWidth="1"/>
    <col min="13844" max="13844" width="8" style="9" customWidth="1"/>
    <col min="13845" max="13845" width="8.453125" style="9" customWidth="1"/>
    <col min="13846" max="13847" width="10.90625" style="9" customWidth="1"/>
    <col min="13848" max="13850" width="11.453125" style="9" customWidth="1"/>
    <col min="13851" max="13851" width="10.6328125" style="9" customWidth="1"/>
    <col min="13852" max="13852" width="7.90625" style="9" customWidth="1"/>
    <col min="13853" max="13853" width="11.453125" style="9" customWidth="1"/>
    <col min="13854" max="13858" width="8.6328125" style="9" customWidth="1"/>
    <col min="13859" max="14080" width="11.453125" style="9"/>
    <col min="14081" max="14081" width="12.453125" style="9" customWidth="1"/>
    <col min="14082" max="14082" width="9.6328125" style="9" customWidth="1"/>
    <col min="14083" max="14083" width="10.08984375" style="9" customWidth="1"/>
    <col min="14084" max="14086" width="10.453125" style="9" customWidth="1"/>
    <col min="14087" max="14087" width="3" style="9" customWidth="1"/>
    <col min="14088" max="14088" width="9.36328125" style="9" customWidth="1"/>
    <col min="14089" max="14089" width="10.6328125" style="9" customWidth="1"/>
    <col min="14090" max="14090" width="9.08984375" style="9" customWidth="1"/>
    <col min="14091" max="14091" width="3" style="9" customWidth="1"/>
    <col min="14092" max="14092" width="3.90625" style="9" customWidth="1"/>
    <col min="14093" max="14093" width="9.08984375" style="9" customWidth="1"/>
    <col min="14094" max="14094" width="10.36328125" style="9" customWidth="1"/>
    <col min="14095" max="14095" width="5.453125" style="9" customWidth="1"/>
    <col min="14096" max="14096" width="7" style="9" customWidth="1"/>
    <col min="14097" max="14099" width="7.453125" style="9" customWidth="1"/>
    <col min="14100" max="14100" width="8" style="9" customWidth="1"/>
    <col min="14101" max="14101" width="8.453125" style="9" customWidth="1"/>
    <col min="14102" max="14103" width="10.90625" style="9" customWidth="1"/>
    <col min="14104" max="14106" width="11.453125" style="9" customWidth="1"/>
    <col min="14107" max="14107" width="10.6328125" style="9" customWidth="1"/>
    <col min="14108" max="14108" width="7.90625" style="9" customWidth="1"/>
    <col min="14109" max="14109" width="11.453125" style="9" customWidth="1"/>
    <col min="14110" max="14114" width="8.6328125" style="9" customWidth="1"/>
    <col min="14115" max="14336" width="11.453125" style="9"/>
    <col min="14337" max="14337" width="12.453125" style="9" customWidth="1"/>
    <col min="14338" max="14338" width="9.6328125" style="9" customWidth="1"/>
    <col min="14339" max="14339" width="10.08984375" style="9" customWidth="1"/>
    <col min="14340" max="14342" width="10.453125" style="9" customWidth="1"/>
    <col min="14343" max="14343" width="3" style="9" customWidth="1"/>
    <col min="14344" max="14344" width="9.36328125" style="9" customWidth="1"/>
    <col min="14345" max="14345" width="10.6328125" style="9" customWidth="1"/>
    <col min="14346" max="14346" width="9.08984375" style="9" customWidth="1"/>
    <col min="14347" max="14347" width="3" style="9" customWidth="1"/>
    <col min="14348" max="14348" width="3.90625" style="9" customWidth="1"/>
    <col min="14349" max="14349" width="9.08984375" style="9" customWidth="1"/>
    <col min="14350" max="14350" width="10.36328125" style="9" customWidth="1"/>
    <col min="14351" max="14351" width="5.453125" style="9" customWidth="1"/>
    <col min="14352" max="14352" width="7" style="9" customWidth="1"/>
    <col min="14353" max="14355" width="7.453125" style="9" customWidth="1"/>
    <col min="14356" max="14356" width="8" style="9" customWidth="1"/>
    <col min="14357" max="14357" width="8.453125" style="9" customWidth="1"/>
    <col min="14358" max="14359" width="10.90625" style="9" customWidth="1"/>
    <col min="14360" max="14362" width="11.453125" style="9" customWidth="1"/>
    <col min="14363" max="14363" width="10.6328125" style="9" customWidth="1"/>
    <col min="14364" max="14364" width="7.90625" style="9" customWidth="1"/>
    <col min="14365" max="14365" width="11.453125" style="9" customWidth="1"/>
    <col min="14366" max="14370" width="8.6328125" style="9" customWidth="1"/>
    <col min="14371" max="14592" width="11.453125" style="9"/>
    <col min="14593" max="14593" width="12.453125" style="9" customWidth="1"/>
    <col min="14594" max="14594" width="9.6328125" style="9" customWidth="1"/>
    <col min="14595" max="14595" width="10.08984375" style="9" customWidth="1"/>
    <col min="14596" max="14598" width="10.453125" style="9" customWidth="1"/>
    <col min="14599" max="14599" width="3" style="9" customWidth="1"/>
    <col min="14600" max="14600" width="9.36328125" style="9" customWidth="1"/>
    <col min="14601" max="14601" width="10.6328125" style="9" customWidth="1"/>
    <col min="14602" max="14602" width="9.08984375" style="9" customWidth="1"/>
    <col min="14603" max="14603" width="3" style="9" customWidth="1"/>
    <col min="14604" max="14604" width="3.90625" style="9" customWidth="1"/>
    <col min="14605" max="14605" width="9.08984375" style="9" customWidth="1"/>
    <col min="14606" max="14606" width="10.36328125" style="9" customWidth="1"/>
    <col min="14607" max="14607" width="5.453125" style="9" customWidth="1"/>
    <col min="14608" max="14608" width="7" style="9" customWidth="1"/>
    <col min="14609" max="14611" width="7.453125" style="9" customWidth="1"/>
    <col min="14612" max="14612" width="8" style="9" customWidth="1"/>
    <col min="14613" max="14613" width="8.453125" style="9" customWidth="1"/>
    <col min="14614" max="14615" width="10.90625" style="9" customWidth="1"/>
    <col min="14616" max="14618" width="11.453125" style="9" customWidth="1"/>
    <col min="14619" max="14619" width="10.6328125" style="9" customWidth="1"/>
    <col min="14620" max="14620" width="7.90625" style="9" customWidth="1"/>
    <col min="14621" max="14621" width="11.453125" style="9" customWidth="1"/>
    <col min="14622" max="14626" width="8.6328125" style="9" customWidth="1"/>
    <col min="14627" max="14848" width="11.453125" style="9"/>
    <col min="14849" max="14849" width="12.453125" style="9" customWidth="1"/>
    <col min="14850" max="14850" width="9.6328125" style="9" customWidth="1"/>
    <col min="14851" max="14851" width="10.08984375" style="9" customWidth="1"/>
    <col min="14852" max="14854" width="10.453125" style="9" customWidth="1"/>
    <col min="14855" max="14855" width="3" style="9" customWidth="1"/>
    <col min="14856" max="14856" width="9.36328125" style="9" customWidth="1"/>
    <col min="14857" max="14857" width="10.6328125" style="9" customWidth="1"/>
    <col min="14858" max="14858" width="9.08984375" style="9" customWidth="1"/>
    <col min="14859" max="14859" width="3" style="9" customWidth="1"/>
    <col min="14860" max="14860" width="3.90625" style="9" customWidth="1"/>
    <col min="14861" max="14861" width="9.08984375" style="9" customWidth="1"/>
    <col min="14862" max="14862" width="10.36328125" style="9" customWidth="1"/>
    <col min="14863" max="14863" width="5.453125" style="9" customWidth="1"/>
    <col min="14864" max="14864" width="7" style="9" customWidth="1"/>
    <col min="14865" max="14867" width="7.453125" style="9" customWidth="1"/>
    <col min="14868" max="14868" width="8" style="9" customWidth="1"/>
    <col min="14869" max="14869" width="8.453125" style="9" customWidth="1"/>
    <col min="14870" max="14871" width="10.90625" style="9" customWidth="1"/>
    <col min="14872" max="14874" width="11.453125" style="9" customWidth="1"/>
    <col min="14875" max="14875" width="10.6328125" style="9" customWidth="1"/>
    <col min="14876" max="14876" width="7.90625" style="9" customWidth="1"/>
    <col min="14877" max="14877" width="11.453125" style="9" customWidth="1"/>
    <col min="14878" max="14882" width="8.6328125" style="9" customWidth="1"/>
    <col min="14883" max="15104" width="11.453125" style="9"/>
    <col min="15105" max="15105" width="12.453125" style="9" customWidth="1"/>
    <col min="15106" max="15106" width="9.6328125" style="9" customWidth="1"/>
    <col min="15107" max="15107" width="10.08984375" style="9" customWidth="1"/>
    <col min="15108" max="15110" width="10.453125" style="9" customWidth="1"/>
    <col min="15111" max="15111" width="3" style="9" customWidth="1"/>
    <col min="15112" max="15112" width="9.36328125" style="9" customWidth="1"/>
    <col min="15113" max="15113" width="10.6328125" style="9" customWidth="1"/>
    <col min="15114" max="15114" width="9.08984375" style="9" customWidth="1"/>
    <col min="15115" max="15115" width="3" style="9" customWidth="1"/>
    <col min="15116" max="15116" width="3.90625" style="9" customWidth="1"/>
    <col min="15117" max="15117" width="9.08984375" style="9" customWidth="1"/>
    <col min="15118" max="15118" width="10.36328125" style="9" customWidth="1"/>
    <col min="15119" max="15119" width="5.453125" style="9" customWidth="1"/>
    <col min="15120" max="15120" width="7" style="9" customWidth="1"/>
    <col min="15121" max="15123" width="7.453125" style="9" customWidth="1"/>
    <col min="15124" max="15124" width="8" style="9" customWidth="1"/>
    <col min="15125" max="15125" width="8.453125" style="9" customWidth="1"/>
    <col min="15126" max="15127" width="10.90625" style="9" customWidth="1"/>
    <col min="15128" max="15130" width="11.453125" style="9" customWidth="1"/>
    <col min="15131" max="15131" width="10.6328125" style="9" customWidth="1"/>
    <col min="15132" max="15132" width="7.90625" style="9" customWidth="1"/>
    <col min="15133" max="15133" width="11.453125" style="9" customWidth="1"/>
    <col min="15134" max="15138" width="8.6328125" style="9" customWidth="1"/>
    <col min="15139" max="15360" width="11.453125" style="9"/>
    <col min="15361" max="15361" width="12.453125" style="9" customWidth="1"/>
    <col min="15362" max="15362" width="9.6328125" style="9" customWidth="1"/>
    <col min="15363" max="15363" width="10.08984375" style="9" customWidth="1"/>
    <col min="15364" max="15366" width="10.453125" style="9" customWidth="1"/>
    <col min="15367" max="15367" width="3" style="9" customWidth="1"/>
    <col min="15368" max="15368" width="9.36328125" style="9" customWidth="1"/>
    <col min="15369" max="15369" width="10.6328125" style="9" customWidth="1"/>
    <col min="15370" max="15370" width="9.08984375" style="9" customWidth="1"/>
    <col min="15371" max="15371" width="3" style="9" customWidth="1"/>
    <col min="15372" max="15372" width="3.90625" style="9" customWidth="1"/>
    <col min="15373" max="15373" width="9.08984375" style="9" customWidth="1"/>
    <col min="15374" max="15374" width="10.36328125" style="9" customWidth="1"/>
    <col min="15375" max="15375" width="5.453125" style="9" customWidth="1"/>
    <col min="15376" max="15376" width="7" style="9" customWidth="1"/>
    <col min="15377" max="15379" width="7.453125" style="9" customWidth="1"/>
    <col min="15380" max="15380" width="8" style="9" customWidth="1"/>
    <col min="15381" max="15381" width="8.453125" style="9" customWidth="1"/>
    <col min="15382" max="15383" width="10.90625" style="9" customWidth="1"/>
    <col min="15384" max="15386" width="11.453125" style="9" customWidth="1"/>
    <col min="15387" max="15387" width="10.6328125" style="9" customWidth="1"/>
    <col min="15388" max="15388" width="7.90625" style="9" customWidth="1"/>
    <col min="15389" max="15389" width="11.453125" style="9" customWidth="1"/>
    <col min="15390" max="15394" width="8.6328125" style="9" customWidth="1"/>
    <col min="15395" max="15616" width="11.453125" style="9"/>
    <col min="15617" max="15617" width="12.453125" style="9" customWidth="1"/>
    <col min="15618" max="15618" width="9.6328125" style="9" customWidth="1"/>
    <col min="15619" max="15619" width="10.08984375" style="9" customWidth="1"/>
    <col min="15620" max="15622" width="10.453125" style="9" customWidth="1"/>
    <col min="15623" max="15623" width="3" style="9" customWidth="1"/>
    <col min="15624" max="15624" width="9.36328125" style="9" customWidth="1"/>
    <col min="15625" max="15625" width="10.6328125" style="9" customWidth="1"/>
    <col min="15626" max="15626" width="9.08984375" style="9" customWidth="1"/>
    <col min="15627" max="15627" width="3" style="9" customWidth="1"/>
    <col min="15628" max="15628" width="3.90625" style="9" customWidth="1"/>
    <col min="15629" max="15629" width="9.08984375" style="9" customWidth="1"/>
    <col min="15630" max="15630" width="10.36328125" style="9" customWidth="1"/>
    <col min="15631" max="15631" width="5.453125" style="9" customWidth="1"/>
    <col min="15632" max="15632" width="7" style="9" customWidth="1"/>
    <col min="15633" max="15635" width="7.453125" style="9" customWidth="1"/>
    <col min="15636" max="15636" width="8" style="9" customWidth="1"/>
    <col min="15637" max="15637" width="8.453125" style="9" customWidth="1"/>
    <col min="15638" max="15639" width="10.90625" style="9" customWidth="1"/>
    <col min="15640" max="15642" width="11.453125" style="9" customWidth="1"/>
    <col min="15643" max="15643" width="10.6328125" style="9" customWidth="1"/>
    <col min="15644" max="15644" width="7.90625" style="9" customWidth="1"/>
    <col min="15645" max="15645" width="11.453125" style="9" customWidth="1"/>
    <col min="15646" max="15650" width="8.6328125" style="9" customWidth="1"/>
    <col min="15651" max="15872" width="11.453125" style="9"/>
    <col min="15873" max="15873" width="12.453125" style="9" customWidth="1"/>
    <col min="15874" max="15874" width="9.6328125" style="9" customWidth="1"/>
    <col min="15875" max="15875" width="10.08984375" style="9" customWidth="1"/>
    <col min="15876" max="15878" width="10.453125" style="9" customWidth="1"/>
    <col min="15879" max="15879" width="3" style="9" customWidth="1"/>
    <col min="15880" max="15880" width="9.36328125" style="9" customWidth="1"/>
    <col min="15881" max="15881" width="10.6328125" style="9" customWidth="1"/>
    <col min="15882" max="15882" width="9.08984375" style="9" customWidth="1"/>
    <col min="15883" max="15883" width="3" style="9" customWidth="1"/>
    <col min="15884" max="15884" width="3.90625" style="9" customWidth="1"/>
    <col min="15885" max="15885" width="9.08984375" style="9" customWidth="1"/>
    <col min="15886" max="15886" width="10.36328125" style="9" customWidth="1"/>
    <col min="15887" max="15887" width="5.453125" style="9" customWidth="1"/>
    <col min="15888" max="15888" width="7" style="9" customWidth="1"/>
    <col min="15889" max="15891" width="7.453125" style="9" customWidth="1"/>
    <col min="15892" max="15892" width="8" style="9" customWidth="1"/>
    <col min="15893" max="15893" width="8.453125" style="9" customWidth="1"/>
    <col min="15894" max="15895" width="10.90625" style="9" customWidth="1"/>
    <col min="15896" max="15898" width="11.453125" style="9" customWidth="1"/>
    <col min="15899" max="15899" width="10.6328125" style="9" customWidth="1"/>
    <col min="15900" max="15900" width="7.90625" style="9" customWidth="1"/>
    <col min="15901" max="15901" width="11.453125" style="9" customWidth="1"/>
    <col min="15902" max="15906" width="8.6328125" style="9" customWidth="1"/>
    <col min="15907" max="16128" width="11.453125" style="9"/>
    <col min="16129" max="16129" width="12.453125" style="9" customWidth="1"/>
    <col min="16130" max="16130" width="9.6328125" style="9" customWidth="1"/>
    <col min="16131" max="16131" width="10.08984375" style="9" customWidth="1"/>
    <col min="16132" max="16134" width="10.453125" style="9" customWidth="1"/>
    <col min="16135" max="16135" width="3" style="9" customWidth="1"/>
    <col min="16136" max="16136" width="9.36328125" style="9" customWidth="1"/>
    <col min="16137" max="16137" width="10.6328125" style="9" customWidth="1"/>
    <col min="16138" max="16138" width="9.08984375" style="9" customWidth="1"/>
    <col min="16139" max="16139" width="3" style="9" customWidth="1"/>
    <col min="16140" max="16140" width="3.90625" style="9" customWidth="1"/>
    <col min="16141" max="16141" width="9.08984375" style="9" customWidth="1"/>
    <col min="16142" max="16142" width="10.36328125" style="9" customWidth="1"/>
    <col min="16143" max="16143" width="5.453125" style="9" customWidth="1"/>
    <col min="16144" max="16144" width="7" style="9" customWidth="1"/>
    <col min="16145" max="16147" width="7.453125" style="9" customWidth="1"/>
    <col min="16148" max="16148" width="8" style="9" customWidth="1"/>
    <col min="16149" max="16149" width="8.453125" style="9" customWidth="1"/>
    <col min="16150" max="16151" width="10.90625" style="9" customWidth="1"/>
    <col min="16152" max="16154" width="11.453125" style="9" customWidth="1"/>
    <col min="16155" max="16155" width="10.6328125" style="9" customWidth="1"/>
    <col min="16156" max="16156" width="7.90625" style="9" customWidth="1"/>
    <col min="16157" max="16157" width="11.453125" style="9" customWidth="1"/>
    <col min="16158" max="16162" width="8.6328125" style="9" customWidth="1"/>
    <col min="16163" max="16384" width="11.453125" style="9"/>
  </cols>
  <sheetData>
    <row r="1" spans="1:34" ht="13.5" thickBot="1">
      <c r="B1" s="29" t="s">
        <v>74</v>
      </c>
      <c r="C1" s="9">
        <f>SUMPRODUCT(B5:B99,E5:E99)</f>
        <v>9.6709171818213076</v>
      </c>
      <c r="I1" s="32">
        <f>H17</f>
        <v>2937.9445549488432</v>
      </c>
      <c r="J1" s="33"/>
      <c r="K1" s="33"/>
      <c r="L1" s="34"/>
      <c r="M1" s="35"/>
      <c r="P1" s="37" t="s">
        <v>75</v>
      </c>
      <c r="V1" s="38">
        <f>SUMPRODUCT(V5:V99,E5:E99)</f>
        <v>2217.2079738452308</v>
      </c>
    </row>
    <row r="2" spans="1:34">
      <c r="B2" s="29" t="s">
        <v>16</v>
      </c>
      <c r="C2" s="40"/>
      <c r="I2" s="23">
        <v>3.7414999999999998E-16</v>
      </c>
      <c r="N2" s="42" t="s">
        <v>76</v>
      </c>
    </row>
    <row r="3" spans="1:34">
      <c r="B3" s="29" t="s">
        <v>16</v>
      </c>
      <c r="C3" s="38" t="s">
        <v>77</v>
      </c>
      <c r="D3" s="30" t="s">
        <v>78</v>
      </c>
      <c r="E3" s="43"/>
      <c r="I3" s="23">
        <v>1.4388E-2</v>
      </c>
      <c r="J3" s="40" t="s">
        <v>79</v>
      </c>
      <c r="K3" s="40"/>
      <c r="L3" s="44"/>
      <c r="M3" s="45"/>
      <c r="N3" s="42" t="s">
        <v>80</v>
      </c>
      <c r="T3" s="46" t="s">
        <v>81</v>
      </c>
      <c r="U3" s="47">
        <f>I1</f>
        <v>2937.9445549488432</v>
      </c>
      <c r="V3" s="38" t="s">
        <v>82</v>
      </c>
      <c r="W3" s="38" t="s">
        <v>83</v>
      </c>
      <c r="AD3" s="39" t="s">
        <v>357</v>
      </c>
      <c r="AH3" s="13" t="s">
        <v>84</v>
      </c>
    </row>
    <row r="4" spans="1:34" ht="11.5">
      <c r="A4" s="9" t="s">
        <v>85</v>
      </c>
      <c r="B4" s="48" t="s">
        <v>358</v>
      </c>
      <c r="C4" s="38" t="s">
        <v>86</v>
      </c>
      <c r="D4" s="49" t="s">
        <v>87</v>
      </c>
      <c r="E4" s="49" t="s">
        <v>88</v>
      </c>
      <c r="F4" s="49" t="s">
        <v>89</v>
      </c>
      <c r="I4" s="50" t="s">
        <v>90</v>
      </c>
      <c r="J4" s="51" t="s">
        <v>91</v>
      </c>
      <c r="K4" s="52"/>
      <c r="M4" s="53"/>
      <c r="N4" s="42" t="s">
        <v>92</v>
      </c>
      <c r="P4" s="37" t="s">
        <v>93</v>
      </c>
      <c r="Q4" s="9" t="s">
        <v>94</v>
      </c>
      <c r="R4" s="9" t="s">
        <v>95</v>
      </c>
      <c r="S4" s="9" t="s">
        <v>96</v>
      </c>
      <c r="V4" s="38" t="s">
        <v>97</v>
      </c>
      <c r="W4" s="38" t="s">
        <v>79</v>
      </c>
      <c r="AD4" s="39">
        <v>3300</v>
      </c>
      <c r="AE4" s="54" t="s">
        <v>98</v>
      </c>
      <c r="AF4" s="54" t="s">
        <v>99</v>
      </c>
      <c r="AG4" s="9" t="s">
        <v>85</v>
      </c>
    </row>
    <row r="5" spans="1:34" ht="11.5">
      <c r="A5" s="9">
        <v>360</v>
      </c>
      <c r="B5" s="55">
        <f>B9</f>
        <v>1.8824306472919418E-2</v>
      </c>
      <c r="C5" s="56">
        <f t="shared" ref="C5:C68" si="0">B5/$C$1*100</f>
        <v>0.19464861624814644</v>
      </c>
      <c r="D5" s="57">
        <f>xyzs!B2</f>
        <v>1.2990000000000001E-4</v>
      </c>
      <c r="E5" s="57">
        <f>xyzs!C2</f>
        <v>3.9169999999999999E-6</v>
      </c>
      <c r="F5" s="57">
        <f>xyzs!D2</f>
        <v>6.0610000000000004E-4</v>
      </c>
      <c r="G5" s="56"/>
      <c r="H5" s="56" t="s">
        <v>77</v>
      </c>
      <c r="I5" s="9">
        <f>$I$2/((A5*0.000000001)^5)/(EXP($I$3/(A5*0.000000001*$I$1))-1)</f>
        <v>76481931411.718765</v>
      </c>
      <c r="J5" s="58">
        <f>I5/$I$101*100</f>
        <v>0.3288910725078098</v>
      </c>
      <c r="K5" s="58"/>
      <c r="L5" s="59"/>
      <c r="M5" s="60" t="s">
        <v>100</v>
      </c>
      <c r="N5" s="61">
        <f>J5*$U$23+W5*$U$24</f>
        <v>0.3288910725078098</v>
      </c>
      <c r="O5" s="62" t="s">
        <v>101</v>
      </c>
      <c r="P5" s="37">
        <v>360</v>
      </c>
      <c r="Q5" s="63">
        <v>61.5</v>
      </c>
      <c r="R5" s="63">
        <v>38</v>
      </c>
      <c r="S5" s="63">
        <v>5.3</v>
      </c>
      <c r="T5" s="9" t="s">
        <v>102</v>
      </c>
      <c r="V5" s="64">
        <f>Q5+R5*U$15+S5*U$16</f>
        <v>48.049867281511396</v>
      </c>
      <c r="W5" s="56">
        <f>V5/$V$1*100</f>
        <v>2.1671339742739644</v>
      </c>
      <c r="AA5" s="23" t="s">
        <v>103</v>
      </c>
      <c r="AE5" s="65">
        <f>M15</f>
        <v>0.25281819591720983</v>
      </c>
      <c r="AF5" s="65">
        <f>M16*1.5</f>
        <v>0.52263823295800682</v>
      </c>
      <c r="AG5" s="9">
        <v>360</v>
      </c>
      <c r="AH5" s="9">
        <v>7.3487793367358352</v>
      </c>
    </row>
    <row r="6" spans="1:34" ht="11.5">
      <c r="A6" s="9">
        <v>365</v>
      </c>
      <c r="B6" s="55">
        <f>B9</f>
        <v>1.8824306472919418E-2</v>
      </c>
      <c r="C6" s="56">
        <f t="shared" si="0"/>
        <v>0.19464861624814644</v>
      </c>
      <c r="D6" s="57">
        <f>xyzs!B3</f>
        <v>2.321E-4</v>
      </c>
      <c r="E6" s="57">
        <f>xyzs!C3</f>
        <v>6.9650000000000002E-6</v>
      </c>
      <c r="F6" s="57">
        <f>xyzs!D3</f>
        <v>1.0859999999999999E-3</v>
      </c>
      <c r="G6" s="56"/>
      <c r="H6" s="56" t="s">
        <v>104</v>
      </c>
      <c r="I6" s="9">
        <f t="shared" ref="I6:I16" si="1">$I$2/((A6*0.000000001)^5)/(EXP($I$3/(A6*0.000000001*$I$1))-1)</f>
        <v>86007891649.742264</v>
      </c>
      <c r="J6" s="58">
        <f t="shared" ref="J6:J69" si="2">I6/$I$101*100</f>
        <v>0.3698550390489353</v>
      </c>
      <c r="K6" s="58"/>
      <c r="L6" s="59"/>
      <c r="M6" s="66"/>
      <c r="N6" s="61">
        <f t="shared" ref="N6:N69" si="3">J6*$U$23+W6*$U$24</f>
        <v>0.3698550390489353</v>
      </c>
      <c r="P6" s="37">
        <v>365</v>
      </c>
      <c r="Q6" s="63">
        <v>65.150000000000006</v>
      </c>
      <c r="R6" s="63">
        <v>40.200000000000003</v>
      </c>
      <c r="S6" s="63">
        <v>5.7</v>
      </c>
      <c r="T6" s="13" t="s">
        <v>105</v>
      </c>
      <c r="U6" s="67">
        <f>-4.607*10^9/U3^3+2.9678*10^6/U3^2+0.09911*10^3/U3+0.244063</f>
        <v>0.43995861557227511</v>
      </c>
      <c r="V6" s="64">
        <f t="shared" ref="V6:V69" si="4">Q6+R6*U$15+S6*U$16</f>
        <v>51.821069500100933</v>
      </c>
      <c r="W6" s="56">
        <f t="shared" ref="W6:W69" si="5">V6/$V$1*100</f>
        <v>2.337221862423188</v>
      </c>
      <c r="AA6" s="23"/>
      <c r="AD6" s="68">
        <v>1000</v>
      </c>
      <c r="AE6" s="69">
        <v>0.44808727067702214</v>
      </c>
      <c r="AF6" s="69">
        <v>0.53190419531064681</v>
      </c>
      <c r="AG6" s="9">
        <v>365</v>
      </c>
      <c r="AH6" s="9">
        <v>7.7832760580432634</v>
      </c>
    </row>
    <row r="7" spans="1:34" ht="11.5">
      <c r="A7" s="9">
        <v>370</v>
      </c>
      <c r="B7" s="55">
        <f>B9</f>
        <v>1.8824306472919418E-2</v>
      </c>
      <c r="C7" s="56">
        <f t="shared" si="0"/>
        <v>0.19464861624814644</v>
      </c>
      <c r="D7" s="57">
        <f>xyzs!B4</f>
        <v>4.149E-4</v>
      </c>
      <c r="E7" s="57">
        <f>xyzs!C4</f>
        <v>1.239E-5</v>
      </c>
      <c r="F7" s="57">
        <f>xyzs!D4</f>
        <v>1.946E-3</v>
      </c>
      <c r="G7" s="56"/>
      <c r="H7" s="38">
        <f>MAX(B5:B99)</f>
        <v>1</v>
      </c>
      <c r="I7" s="9">
        <f t="shared" si="1"/>
        <v>96324766966.065598</v>
      </c>
      <c r="J7" s="58">
        <f t="shared" si="2"/>
        <v>0.4142201345046056</v>
      </c>
      <c r="K7" s="58"/>
      <c r="L7" s="59"/>
      <c r="M7" s="66"/>
      <c r="N7" s="61">
        <f t="shared" si="3"/>
        <v>0.4142201345046056</v>
      </c>
      <c r="P7" s="37">
        <v>370</v>
      </c>
      <c r="Q7" s="63">
        <v>68.8</v>
      </c>
      <c r="R7" s="63">
        <v>42.4</v>
      </c>
      <c r="S7" s="63">
        <v>6.1</v>
      </c>
      <c r="T7" s="13"/>
      <c r="U7" s="67"/>
      <c r="V7" s="64">
        <f t="shared" si="4"/>
        <v>55.592271718690455</v>
      </c>
      <c r="W7" s="56">
        <f t="shared" si="5"/>
        <v>2.5073097505724107</v>
      </c>
      <c r="AA7" s="23"/>
      <c r="AD7" s="68">
        <v>1200</v>
      </c>
      <c r="AE7" s="69">
        <v>0.40595695185435382</v>
      </c>
      <c r="AF7" s="69">
        <v>0.53689619563238278</v>
      </c>
      <c r="AG7" s="9">
        <v>370</v>
      </c>
      <c r="AH7" s="9">
        <v>8.2177727793506925</v>
      </c>
    </row>
    <row r="8" spans="1:34" ht="11.5">
      <c r="A8" s="9">
        <v>375</v>
      </c>
      <c r="B8" s="55">
        <f>B9</f>
        <v>1.8824306472919418E-2</v>
      </c>
      <c r="C8" s="56">
        <f t="shared" si="0"/>
        <v>0.19464861624814644</v>
      </c>
      <c r="D8" s="57">
        <f>xyzs!B5</f>
        <v>7.4160000000000003E-4</v>
      </c>
      <c r="E8" s="57">
        <f>xyzs!C5</f>
        <v>2.2019999999999999E-5</v>
      </c>
      <c r="F8" s="57">
        <f>xyzs!D5</f>
        <v>3.4859999999999999E-3</v>
      </c>
      <c r="G8" s="56"/>
      <c r="H8" s="56"/>
      <c r="I8" s="9">
        <f t="shared" si="1"/>
        <v>107456922263.1994</v>
      </c>
      <c r="J8" s="58">
        <f t="shared" si="2"/>
        <v>0.46209113393437218</v>
      </c>
      <c r="K8" s="58"/>
      <c r="L8" s="59"/>
      <c r="M8" s="66"/>
      <c r="N8" s="61">
        <f t="shared" si="3"/>
        <v>0.46209113393437218</v>
      </c>
      <c r="P8" s="37">
        <v>375</v>
      </c>
      <c r="Q8" s="63">
        <v>66.099999999999994</v>
      </c>
      <c r="R8" s="63">
        <v>40.450000000000003</v>
      </c>
      <c r="S8" s="63">
        <v>4.55</v>
      </c>
      <c r="T8" s="9" t="s">
        <v>106</v>
      </c>
      <c r="U8" s="67"/>
      <c r="V8" s="64">
        <f t="shared" si="4"/>
        <v>41.236894657835748</v>
      </c>
      <c r="W8" s="56">
        <f t="shared" si="5"/>
        <v>1.8598568625170495</v>
      </c>
      <c r="AA8" s="23">
        <v>3.7414999999999998E-16</v>
      </c>
      <c r="AD8" s="68">
        <v>1400</v>
      </c>
      <c r="AE8" s="69">
        <v>0.37221628707672211</v>
      </c>
      <c r="AF8" s="69">
        <v>0.53976163458987525</v>
      </c>
      <c r="AG8" s="9">
        <v>375</v>
      </c>
      <c r="AH8" s="9">
        <v>7.7913510691269394</v>
      </c>
    </row>
    <row r="9" spans="1:34" ht="11.5">
      <c r="A9" s="9">
        <v>380</v>
      </c>
      <c r="B9" s="48">
        <f>'Color metric'!B3</f>
        <v>1.8824306472919418E-2</v>
      </c>
      <c r="C9" s="56">
        <f t="shared" si="0"/>
        <v>0.19464861624814644</v>
      </c>
      <c r="D9" s="57">
        <f>xyzs!B6</f>
        <v>1.3680000000000001E-3</v>
      </c>
      <c r="E9" s="57">
        <f>xyzs!C6</f>
        <v>3.8999999999999999E-5</v>
      </c>
      <c r="F9" s="57">
        <f>xyzs!D6</f>
        <v>6.4500010000000003E-3</v>
      </c>
      <c r="G9" s="70"/>
      <c r="H9" s="71" t="s">
        <v>77</v>
      </c>
      <c r="I9" s="9">
        <f t="shared" si="1"/>
        <v>119426300241.84502</v>
      </c>
      <c r="J9" s="58">
        <f t="shared" si="2"/>
        <v>0.51356239633563705</v>
      </c>
      <c r="K9" s="58"/>
      <c r="L9" s="72"/>
      <c r="M9" s="73" t="s">
        <v>80</v>
      </c>
      <c r="N9" s="61">
        <f t="shared" si="3"/>
        <v>0.51356239633563705</v>
      </c>
      <c r="P9" s="37">
        <v>380</v>
      </c>
      <c r="Q9" s="63">
        <v>63.4</v>
      </c>
      <c r="R9" s="63">
        <v>38.5</v>
      </c>
      <c r="S9" s="63">
        <v>3</v>
      </c>
      <c r="T9" s="13" t="s">
        <v>105</v>
      </c>
      <c r="U9" s="67">
        <f>-2.0064*10^9/U3^3+1.9018*10^6/U3^2+0.24748*10^3/U3+0.23704</f>
        <v>0.46248771811444156</v>
      </c>
      <c r="V9" s="64">
        <f t="shared" si="4"/>
        <v>26.881517596981062</v>
      </c>
      <c r="W9" s="56">
        <f t="shared" si="5"/>
        <v>1.2124039744616888</v>
      </c>
      <c r="AA9" s="23">
        <v>1.4388E-2</v>
      </c>
      <c r="AB9" s="29"/>
      <c r="AD9" s="68">
        <v>1600</v>
      </c>
      <c r="AE9" s="69">
        <v>0.34509306914253618</v>
      </c>
      <c r="AF9" s="69">
        <v>0.54077227712344611</v>
      </c>
      <c r="AG9" s="9">
        <v>380</v>
      </c>
      <c r="AH9" s="9">
        <v>7.3649293589031855</v>
      </c>
    </row>
    <row r="10" spans="1:34">
      <c r="A10" s="9">
        <v>385</v>
      </c>
      <c r="B10" s="48">
        <f>'Color metric'!B4</f>
        <v>2.3117569352708055E-2</v>
      </c>
      <c r="C10" s="56">
        <f t="shared" si="0"/>
        <v>0.23904216030474126</v>
      </c>
      <c r="D10" s="57">
        <f>xyzs!B7</f>
        <v>2.2360000000000001E-3</v>
      </c>
      <c r="E10" s="57">
        <f>xyzs!C7</f>
        <v>6.3999999999999997E-5</v>
      </c>
      <c r="F10" s="57">
        <f>xyzs!D7</f>
        <v>1.054999E-2</v>
      </c>
      <c r="G10" s="74" t="s">
        <v>107</v>
      </c>
      <c r="H10" s="75">
        <f>SUMPRODUCT(C5:C99,D5:D99)</f>
        <v>109.2017933825929</v>
      </c>
      <c r="I10" s="9">
        <f t="shared" si="1"/>
        <v>132252290020.59688</v>
      </c>
      <c r="J10" s="58">
        <f t="shared" si="2"/>
        <v>0.56871729967613449</v>
      </c>
      <c r="K10" s="58"/>
      <c r="L10" s="76" t="s">
        <v>107</v>
      </c>
      <c r="M10" s="77">
        <f>SUMPRODUCT(N5:N99,D5:D99)</f>
        <v>108.84028472127255</v>
      </c>
      <c r="N10" s="61">
        <f t="shared" si="3"/>
        <v>0.56871729967613449</v>
      </c>
      <c r="P10" s="37">
        <v>385</v>
      </c>
      <c r="Q10" s="63">
        <v>64.599999999999994</v>
      </c>
      <c r="R10" s="63">
        <v>36.75</v>
      </c>
      <c r="S10" s="63">
        <v>2.1</v>
      </c>
      <c r="V10" s="64">
        <f t="shared" si="4"/>
        <v>22.364812744435994</v>
      </c>
      <c r="W10" s="56">
        <f t="shared" si="5"/>
        <v>1.0086925993527542</v>
      </c>
      <c r="AA10" s="23"/>
      <c r="AB10" s="14"/>
      <c r="AD10" s="68">
        <v>1800</v>
      </c>
      <c r="AE10" s="69">
        <v>0.32308989740667565</v>
      </c>
      <c r="AF10" s="69">
        <v>0.54026847051375282</v>
      </c>
      <c r="AG10" s="9">
        <v>385</v>
      </c>
      <c r="AH10" s="9">
        <v>7.1697807935129605</v>
      </c>
    </row>
    <row r="11" spans="1:34" ht="11.5">
      <c r="A11" s="9">
        <v>390</v>
      </c>
      <c r="B11" s="48">
        <f>'Color metric'!B5</f>
        <v>2.8731836195508585E-2</v>
      </c>
      <c r="C11" s="56">
        <f t="shared" si="0"/>
        <v>0.29709525637874989</v>
      </c>
      <c r="D11" s="57">
        <f>xyzs!B8</f>
        <v>4.2430000000000002E-3</v>
      </c>
      <c r="E11" s="57">
        <f>xyzs!C8</f>
        <v>1.2E-4</v>
      </c>
      <c r="F11" s="57">
        <f>xyzs!D8</f>
        <v>2.005001E-2</v>
      </c>
      <c r="G11" s="74" t="s">
        <v>108</v>
      </c>
      <c r="H11" s="75">
        <f>SUMPRODUCT(C5:C99,E5:E99)</f>
        <v>100.00000000000003</v>
      </c>
      <c r="I11" s="9">
        <f t="shared" si="1"/>
        <v>145951619246.61505</v>
      </c>
      <c r="J11" s="58">
        <f t="shared" si="2"/>
        <v>0.62762777694334881</v>
      </c>
      <c r="K11" s="58"/>
      <c r="L11" s="76" t="s">
        <v>108</v>
      </c>
      <c r="M11" s="77">
        <f>SUMPRODUCT(N5:N99,E5:E99)</f>
        <v>100.00000000000004</v>
      </c>
      <c r="N11" s="61">
        <f t="shared" si="3"/>
        <v>0.62762777694334881</v>
      </c>
      <c r="P11" s="37">
        <v>390</v>
      </c>
      <c r="Q11" s="63">
        <v>65.8</v>
      </c>
      <c r="R11" s="63">
        <v>35</v>
      </c>
      <c r="S11" s="63">
        <v>1.2</v>
      </c>
      <c r="T11" s="9" t="s">
        <v>109</v>
      </c>
      <c r="V11" s="64">
        <f t="shared" si="4"/>
        <v>17.848107891890944</v>
      </c>
      <c r="W11" s="56">
        <f t="shared" si="5"/>
        <v>0.80498122424382046</v>
      </c>
      <c r="AA11" s="78" t="s">
        <v>90</v>
      </c>
      <c r="AB11" s="79" t="s">
        <v>110</v>
      </c>
      <c r="AD11" s="39">
        <v>2000</v>
      </c>
      <c r="AE11" s="65">
        <v>0.30505695445195496</v>
      </c>
      <c r="AF11" s="65">
        <v>0.53858793179375331</v>
      </c>
      <c r="AG11" s="9">
        <v>390</v>
      </c>
      <c r="AH11" s="9">
        <v>6.9746322281227364</v>
      </c>
    </row>
    <row r="12" spans="1:34" ht="11.5">
      <c r="A12" s="9">
        <v>395</v>
      </c>
      <c r="B12" s="48">
        <f>'Color metric'!B6</f>
        <v>3.2364597093791282E-2</v>
      </c>
      <c r="C12" s="56">
        <f t="shared" si="0"/>
        <v>0.33465902442663781</v>
      </c>
      <c r="D12" s="57">
        <f>xyzs!B9</f>
        <v>7.6499999999999997E-3</v>
      </c>
      <c r="E12" s="57">
        <f>xyzs!C9</f>
        <v>2.1699999999999999E-4</v>
      </c>
      <c r="F12" s="57">
        <f>xyzs!D9</f>
        <v>3.6209999999999999E-2</v>
      </c>
      <c r="G12" s="74" t="s">
        <v>111</v>
      </c>
      <c r="H12" s="80">
        <f>SUMPRODUCT(C5:C99,F5:F99)</f>
        <v>38.88300790435153</v>
      </c>
      <c r="I12" s="9">
        <f t="shared" si="1"/>
        <v>160538269588.05319</v>
      </c>
      <c r="J12" s="58">
        <f t="shared" si="2"/>
        <v>0.69035395274121736</v>
      </c>
      <c r="K12" s="58"/>
      <c r="L12" s="76" t="s">
        <v>111</v>
      </c>
      <c r="M12" s="81">
        <f>SUMPRODUCT(N5:N99,F5:F99)</f>
        <v>37.730723823242116</v>
      </c>
      <c r="N12" s="61">
        <f t="shared" si="3"/>
        <v>0.69035395274121736</v>
      </c>
      <c r="P12" s="37">
        <v>395</v>
      </c>
      <c r="Q12" s="63">
        <v>80.3</v>
      </c>
      <c r="R12" s="63">
        <v>39.200000000000003</v>
      </c>
      <c r="S12" s="63">
        <v>0.05</v>
      </c>
      <c r="T12" s="13" t="s">
        <v>105</v>
      </c>
      <c r="U12" s="9">
        <f>IF(U3&lt;7000,U6,U9)</f>
        <v>0.43995861557227511</v>
      </c>
      <c r="V12" s="64">
        <f t="shared" si="4"/>
        <v>14.093995721551241</v>
      </c>
      <c r="W12" s="56">
        <f t="shared" si="5"/>
        <v>0.63566412748861301</v>
      </c>
      <c r="Z12" s="9">
        <v>380</v>
      </c>
      <c r="AA12" s="9">
        <f>$AA$8/((Z12*0.000000001)^5)/(EXP($AA$9/(Z12*0.000000001*$U$3))-1)</f>
        <v>119426300241.84502</v>
      </c>
      <c r="AB12" s="65">
        <v>4.0000000000000003E-5</v>
      </c>
      <c r="AD12" s="39">
        <v>2500</v>
      </c>
      <c r="AE12" s="65">
        <v>0.27218283264014165</v>
      </c>
      <c r="AF12" s="65">
        <v>0.53109471354430249</v>
      </c>
      <c r="AG12" s="9">
        <v>395</v>
      </c>
      <c r="AH12" s="9">
        <v>8.0342977448979394</v>
      </c>
    </row>
    <row r="13" spans="1:34" ht="11.5">
      <c r="A13" s="9">
        <v>400</v>
      </c>
      <c r="B13" s="48">
        <f>'Color metric'!B7</f>
        <v>6.6380449141347414E-2</v>
      </c>
      <c r="C13" s="56">
        <f t="shared" si="0"/>
        <v>0.68639248887504267</v>
      </c>
      <c r="D13" s="57">
        <f>xyzs!B10</f>
        <v>1.431E-2</v>
      </c>
      <c r="E13" s="57">
        <f>xyzs!C10</f>
        <v>3.9599999999999998E-4</v>
      </c>
      <c r="F13" s="57">
        <f>xyzs!D10</f>
        <v>6.7850010000000002E-2</v>
      </c>
      <c r="G13" s="74" t="s">
        <v>112</v>
      </c>
      <c r="H13" s="80">
        <f>H10/(H10+H11+H12)</f>
        <v>0.44017929682151663</v>
      </c>
      <c r="I13" s="9">
        <f t="shared" si="1"/>
        <v>176023415208.3851</v>
      </c>
      <c r="J13" s="58">
        <f t="shared" si="2"/>
        <v>0.75694387871463786</v>
      </c>
      <c r="K13" s="58"/>
      <c r="L13" s="76" t="s">
        <v>112</v>
      </c>
      <c r="M13" s="81">
        <f>M10/(M10+M11+M12)</f>
        <v>0.44141557989216346</v>
      </c>
      <c r="N13" s="61">
        <f t="shared" si="3"/>
        <v>0.75694387871463786</v>
      </c>
      <c r="P13" s="37">
        <v>400</v>
      </c>
      <c r="Q13" s="63">
        <v>94.8</v>
      </c>
      <c r="R13" s="63">
        <v>43.4</v>
      </c>
      <c r="S13" s="63">
        <v>-1.1000000000000001</v>
      </c>
      <c r="T13" s="13" t="s">
        <v>113</v>
      </c>
      <c r="U13" s="67">
        <f>-3*U12^2+2.87*U12-0.275</f>
        <v>0.40699047644361075</v>
      </c>
      <c r="V13" s="64">
        <f t="shared" si="4"/>
        <v>10.339883551211535</v>
      </c>
      <c r="W13" s="56">
        <f t="shared" si="5"/>
        <v>0.4663470307334055</v>
      </c>
      <c r="Z13" s="9">
        <v>385</v>
      </c>
      <c r="AA13" s="9">
        <f t="shared" ref="AA13:AA76" si="6">$AA$8/((Z13*0.000000001)^5)/(EXP($AA$9/(Z13*0.000000001*$U$3))-1)</f>
        <v>132252290020.59688</v>
      </c>
      <c r="AB13" s="65">
        <v>6.0000000000000002E-5</v>
      </c>
      <c r="AD13" s="39">
        <v>3000</v>
      </c>
      <c r="AE13" s="65">
        <v>0.25057610689754245</v>
      </c>
      <c r="AF13" s="65">
        <v>0.5213816884799779</v>
      </c>
      <c r="AG13" s="9">
        <v>400</v>
      </c>
      <c r="AH13" s="9">
        <v>9.0939632616731387</v>
      </c>
    </row>
    <row r="14" spans="1:34" ht="11.5">
      <c r="A14" s="9">
        <v>405</v>
      </c>
      <c r="B14" s="48">
        <f>'Color metric'!B8</f>
        <v>0.45409511228533683</v>
      </c>
      <c r="C14" s="56">
        <f t="shared" si="0"/>
        <v>4.695471005985989</v>
      </c>
      <c r="D14" s="57">
        <f>xyzs!B11</f>
        <v>2.3189999999999999E-2</v>
      </c>
      <c r="E14" s="57">
        <f>xyzs!C11</f>
        <v>6.4000000000000005E-4</v>
      </c>
      <c r="F14" s="57">
        <f>xyzs!D11</f>
        <v>0.11020000000000001</v>
      </c>
      <c r="G14" s="74" t="s">
        <v>114</v>
      </c>
      <c r="H14" s="80">
        <f>H11/(H10+H11+H12)</f>
        <v>0.40308797427834431</v>
      </c>
      <c r="I14" s="9">
        <f t="shared" si="1"/>
        <v>192415383567.76248</v>
      </c>
      <c r="J14" s="58">
        <f t="shared" si="2"/>
        <v>0.82743336498568754</v>
      </c>
      <c r="K14" s="58"/>
      <c r="L14" s="76" t="s">
        <v>114</v>
      </c>
      <c r="M14" s="81">
        <f>M11/(M10+M11+M12)</f>
        <v>0.40556268391118067</v>
      </c>
      <c r="N14" s="61">
        <f t="shared" si="3"/>
        <v>0.82743336498568754</v>
      </c>
      <c r="P14" s="37">
        <v>405</v>
      </c>
      <c r="Q14" s="63">
        <v>99.8</v>
      </c>
      <c r="R14" s="63">
        <v>44.85</v>
      </c>
      <c r="S14" s="63">
        <v>-0.8</v>
      </c>
      <c r="V14" s="64">
        <f t="shared" si="4"/>
        <v>15.771035206448598</v>
      </c>
      <c r="W14" s="56">
        <f t="shared" si="5"/>
        <v>0.71130157353247347</v>
      </c>
      <c r="Z14" s="9">
        <v>390</v>
      </c>
      <c r="AA14" s="9">
        <f t="shared" si="6"/>
        <v>145951619246.61505</v>
      </c>
      <c r="AB14" s="65">
        <v>1.2E-4</v>
      </c>
      <c r="AD14" s="39">
        <v>3500</v>
      </c>
      <c r="AE14" s="65">
        <v>0.23571888035085711</v>
      </c>
      <c r="AF14" s="65">
        <v>0.51126291245811317</v>
      </c>
      <c r="AG14" s="9">
        <v>405</v>
      </c>
      <c r="AH14" s="9">
        <v>9.4974679326568943</v>
      </c>
    </row>
    <row r="15" spans="1:34" ht="11.5">
      <c r="A15" s="9">
        <v>410</v>
      </c>
      <c r="B15" s="48">
        <f>'Color metric'!B9</f>
        <v>6.4398943196829581E-2</v>
      </c>
      <c r="C15" s="56">
        <f t="shared" si="0"/>
        <v>0.66590316084892198</v>
      </c>
      <c r="D15" s="57">
        <f>xyzs!B12</f>
        <v>4.351E-2</v>
      </c>
      <c r="E15" s="57">
        <f>xyzs!C12</f>
        <v>1.2099999999999999E-3</v>
      </c>
      <c r="F15" s="57">
        <f>xyzs!D12</f>
        <v>0.2074</v>
      </c>
      <c r="G15" s="82" t="s">
        <v>21</v>
      </c>
      <c r="H15" s="80">
        <f>4*H10/(H10+15*H11+3*H12)</f>
        <v>0.25309671566251224</v>
      </c>
      <c r="I15" s="9">
        <f t="shared" si="1"/>
        <v>209719637677.39709</v>
      </c>
      <c r="J15" s="58">
        <f t="shared" si="2"/>
        <v>0.90184590384311203</v>
      </c>
      <c r="K15" s="58"/>
      <c r="L15" s="41" t="s">
        <v>21</v>
      </c>
      <c r="M15" s="81">
        <f>4*M10/(M10+15*M11+3*M12)</f>
        <v>0.25281819591720983</v>
      </c>
      <c r="N15" s="61">
        <f t="shared" si="3"/>
        <v>0.90184590384311203</v>
      </c>
      <c r="P15" s="37">
        <v>410</v>
      </c>
      <c r="Q15" s="63">
        <v>104.8</v>
      </c>
      <c r="R15" s="63">
        <v>46.3</v>
      </c>
      <c r="S15" s="63">
        <v>-0.5</v>
      </c>
      <c r="T15" s="9" t="s">
        <v>115</v>
      </c>
      <c r="U15" s="9">
        <f>(-1.3515-1.7703*U12+5.9114*U13)/(0.0241+0.2562*U12-0.7341*U13)</f>
        <v>-1.7012499564745651</v>
      </c>
      <c r="V15" s="64">
        <f t="shared" si="4"/>
        <v>21.202186861685675</v>
      </c>
      <c r="W15" s="56">
        <f t="shared" si="5"/>
        <v>0.95625611633154195</v>
      </c>
      <c r="Z15" s="9">
        <v>395</v>
      </c>
      <c r="AA15" s="9">
        <f t="shared" si="6"/>
        <v>160538269588.05319</v>
      </c>
      <c r="AB15" s="65">
        <v>2.1699999999999999E-4</v>
      </c>
      <c r="AD15" s="39">
        <v>4000</v>
      </c>
      <c r="AE15" s="65">
        <v>0.22511916451219421</v>
      </c>
      <c r="AF15" s="65">
        <v>0.50158720929968892</v>
      </c>
      <c r="AG15" s="9">
        <v>410</v>
      </c>
      <c r="AH15" s="9">
        <v>9.9009726036406516</v>
      </c>
    </row>
    <row r="16" spans="1:34" ht="11.5">
      <c r="A16" s="9">
        <v>415</v>
      </c>
      <c r="B16" s="48">
        <f>'Color metric'!B10</f>
        <v>5.2509907529722587E-2</v>
      </c>
      <c r="C16" s="56">
        <f t="shared" si="0"/>
        <v>0.54296719269219806</v>
      </c>
      <c r="D16" s="57">
        <f>xyzs!B13</f>
        <v>7.7630000000000005E-2</v>
      </c>
      <c r="E16" s="57">
        <f>xyzs!C13</f>
        <v>2.1800000000000001E-3</v>
      </c>
      <c r="F16" s="57">
        <f>xyzs!D13</f>
        <v>0.37130000000000002</v>
      </c>
      <c r="G16" s="82" t="s">
        <v>26</v>
      </c>
      <c r="H16" s="80">
        <f>6*H11/(H10+15*H11+3*H12)</f>
        <v>0.34765461420918853</v>
      </c>
      <c r="I16" s="9">
        <f t="shared" si="1"/>
        <v>227938778749.17099</v>
      </c>
      <c r="J16" s="58">
        <f t="shared" si="2"/>
        <v>0.98019268113629998</v>
      </c>
      <c r="K16" s="58"/>
      <c r="L16" s="41" t="s">
        <v>26</v>
      </c>
      <c r="M16" s="81">
        <f>6*M11/(M10+15*M11+3*M12)</f>
        <v>0.34842548863867118</v>
      </c>
      <c r="N16" s="61">
        <f t="shared" si="3"/>
        <v>0.98019268113629998</v>
      </c>
      <c r="P16" s="37">
        <v>415</v>
      </c>
      <c r="Q16" s="63">
        <v>105.35</v>
      </c>
      <c r="R16" s="63">
        <v>45.1</v>
      </c>
      <c r="S16" s="63">
        <v>-0.6</v>
      </c>
      <c r="T16" s="9" t="s">
        <v>116</v>
      </c>
      <c r="U16" s="9">
        <f>(0.03-31.4424*U12+30.0717*U13)/(0.0241+0.2562*U12-0.7341*U13)</f>
        <v>9.6598803070839381</v>
      </c>
      <c r="V16" s="64">
        <f t="shared" si="4"/>
        <v>22.827698778746743</v>
      </c>
      <c r="W16" s="56">
        <f t="shared" si="5"/>
        <v>1.0295695779569751</v>
      </c>
      <c r="Z16" s="9">
        <v>400</v>
      </c>
      <c r="AA16" s="9">
        <f t="shared" si="6"/>
        <v>176023415208.3851</v>
      </c>
      <c r="AB16" s="65">
        <v>4.0000000000000002E-4</v>
      </c>
      <c r="AD16" s="39">
        <v>4500</v>
      </c>
      <c r="AE16" s="65">
        <v>0.2173222285636951</v>
      </c>
      <c r="AF16" s="65">
        <v>0.49269781975034443</v>
      </c>
      <c r="AG16" s="9">
        <v>415</v>
      </c>
      <c r="AH16" s="9">
        <v>9.7831881147758697</v>
      </c>
    </row>
    <row r="17" spans="1:34" ht="11.5">
      <c r="A17" s="9">
        <v>420</v>
      </c>
      <c r="B17" s="48">
        <f>'Color metric'!B11</f>
        <v>5.8124174372523117E-2</v>
      </c>
      <c r="C17" s="56">
        <f t="shared" si="0"/>
        <v>0.60102028876620661</v>
      </c>
      <c r="D17" s="57">
        <f>xyzs!B14</f>
        <v>0.13438</v>
      </c>
      <c r="E17" s="57">
        <f>xyzs!C14</f>
        <v>4.0000000000000001E-3</v>
      </c>
      <c r="F17" s="57">
        <f>xyzs!D14</f>
        <v>0.64559999999999995</v>
      </c>
      <c r="G17" s="74" t="s">
        <v>117</v>
      </c>
      <c r="H17" s="83">
        <f t="array" ref="H17:H18">CCT(H13,H14)</f>
        <v>2937.9445549488432</v>
      </c>
      <c r="I17" s="9">
        <f>$I$2/((A17*0.000000001)^5)/(EXP($I$3/(A17*0.000000001*$I$1))-1)</f>
        <v>247072568032.99075</v>
      </c>
      <c r="J17" s="58">
        <f t="shared" si="2"/>
        <v>1.0624726701812641</v>
      </c>
      <c r="K17" s="58"/>
      <c r="L17" s="76" t="s">
        <v>117</v>
      </c>
      <c r="M17" s="85">
        <f t="array" ref="M17:M18">CCT(M13,M14)</f>
        <v>2937.9016902232925</v>
      </c>
      <c r="N17" s="61">
        <f t="shared" si="3"/>
        <v>1.0624726701812641</v>
      </c>
      <c r="P17" s="37">
        <v>420</v>
      </c>
      <c r="Q17" s="63">
        <v>105.9</v>
      </c>
      <c r="R17" s="63">
        <v>43.9</v>
      </c>
      <c r="S17" s="63">
        <v>-0.7</v>
      </c>
      <c r="V17" s="64">
        <f t="shared" si="4"/>
        <v>24.453210695807844</v>
      </c>
      <c r="W17" s="56">
        <f t="shared" si="5"/>
        <v>1.1028830395824099</v>
      </c>
      <c r="Z17" s="9">
        <v>405</v>
      </c>
      <c r="AA17" s="9">
        <f t="shared" si="6"/>
        <v>192415383567.76248</v>
      </c>
      <c r="AB17" s="65">
        <v>6.4000000000000005E-4</v>
      </c>
      <c r="AD17" s="39">
        <v>4999</v>
      </c>
      <c r="AE17" s="65">
        <v>0.21144757571806896</v>
      </c>
      <c r="AF17" s="65">
        <v>0.48470630333469322</v>
      </c>
      <c r="AG17" s="9">
        <v>420</v>
      </c>
      <c r="AH17" s="9">
        <v>9.665403625911086</v>
      </c>
    </row>
    <row r="18" spans="1:34" ht="11.5">
      <c r="A18" s="9">
        <v>425</v>
      </c>
      <c r="B18" s="48">
        <f>'Color metric'!B12</f>
        <v>6.3738441215323641E-2</v>
      </c>
      <c r="C18" s="56">
        <f t="shared" si="0"/>
        <v>0.65907338484021516</v>
      </c>
      <c r="D18" s="57">
        <f>xyzs!B15</f>
        <v>0.21476999999999999</v>
      </c>
      <c r="E18" s="57">
        <f>xyzs!C15</f>
        <v>7.3000000000000001E-3</v>
      </c>
      <c r="F18" s="57">
        <f>xyzs!D15</f>
        <v>1.0390501000000001</v>
      </c>
      <c r="G18" s="87" t="s">
        <v>118</v>
      </c>
      <c r="H18" s="84">
        <v>-8.1932133886055889E-4</v>
      </c>
      <c r="I18" s="9">
        <f t="shared" ref="I18:I81" si="7">$I$2/((A18*0.000000001)^5)/(EXP($I$3/(A18*0.000000001*$I$1))-1)</f>
        <v>267117966517.18054</v>
      </c>
      <c r="J18" s="58">
        <f t="shared" si="2"/>
        <v>1.1486728024820738</v>
      </c>
      <c r="K18" s="58"/>
      <c r="L18" s="88" t="s">
        <v>118</v>
      </c>
      <c r="M18" s="86">
        <v>3.2427345233004745E-7</v>
      </c>
      <c r="N18" s="61">
        <f t="shared" si="3"/>
        <v>1.1486728024820738</v>
      </c>
      <c r="P18" s="37">
        <v>425</v>
      </c>
      <c r="Q18" s="63">
        <v>101.35</v>
      </c>
      <c r="R18" s="63">
        <v>40.5</v>
      </c>
      <c r="S18" s="63">
        <v>-0.95</v>
      </c>
      <c r="V18" s="64">
        <f t="shared" si="4"/>
        <v>23.272490471050364</v>
      </c>
      <c r="W18" s="56">
        <f t="shared" si="5"/>
        <v>1.0496304697429737</v>
      </c>
      <c r="Z18" s="9">
        <v>410</v>
      </c>
      <c r="AA18" s="9">
        <f t="shared" si="6"/>
        <v>209719637677.39709</v>
      </c>
      <c r="AB18" s="65">
        <v>1.2099999999999999E-3</v>
      </c>
      <c r="AD18" s="39">
        <v>5001</v>
      </c>
      <c r="AE18" s="65">
        <v>0.20918369416119151</v>
      </c>
      <c r="AF18" s="65">
        <v>0.48810230588139425</v>
      </c>
      <c r="AG18" s="9">
        <v>425</v>
      </c>
      <c r="AH18" s="9">
        <v>9.0623668437950631</v>
      </c>
    </row>
    <row r="19" spans="1:34" ht="11.5">
      <c r="A19" s="9">
        <v>430</v>
      </c>
      <c r="B19" s="48">
        <f>'Color metric'!B13</f>
        <v>6.9352708058124171E-2</v>
      </c>
      <c r="C19" s="56">
        <f t="shared" si="0"/>
        <v>0.71712648091422382</v>
      </c>
      <c r="D19" s="57">
        <f>xyzs!B16</f>
        <v>0.28389999999999999</v>
      </c>
      <c r="E19" s="57">
        <f>xyzs!C16</f>
        <v>1.1599999999999999E-2</v>
      </c>
      <c r="F19" s="57">
        <f>xyzs!D16</f>
        <v>1.3855999999999999</v>
      </c>
      <c r="G19" s="89"/>
      <c r="H19" s="89"/>
      <c r="I19" s="9">
        <f t="shared" si="7"/>
        <v>288069191080.19141</v>
      </c>
      <c r="J19" s="58">
        <f t="shared" si="2"/>
        <v>1.2387682091969834</v>
      </c>
      <c r="K19" s="58"/>
      <c r="L19" s="76"/>
      <c r="M19" s="89"/>
      <c r="N19" s="61">
        <f t="shared" si="3"/>
        <v>1.2387682091969834</v>
      </c>
      <c r="P19" s="37">
        <v>430</v>
      </c>
      <c r="Q19" s="63">
        <v>96.8</v>
      </c>
      <c r="R19" s="63">
        <v>37.1</v>
      </c>
      <c r="S19" s="63">
        <v>-1.2</v>
      </c>
      <c r="T19" s="9" t="s">
        <v>343</v>
      </c>
      <c r="V19" s="64">
        <f t="shared" si="4"/>
        <v>22.091770246292906</v>
      </c>
      <c r="W19" s="56">
        <f t="shared" si="5"/>
        <v>0.99637789990353853</v>
      </c>
      <c r="Z19" s="9">
        <v>415</v>
      </c>
      <c r="AA19" s="9">
        <f t="shared" si="6"/>
        <v>227938778749.17099</v>
      </c>
      <c r="AB19" s="65">
        <v>2.1800000000000001E-3</v>
      </c>
      <c r="AD19" s="39">
        <v>6000</v>
      </c>
      <c r="AE19" s="65">
        <v>0.20078650329617084</v>
      </c>
      <c r="AF19" s="65">
        <v>0.47422549834017824</v>
      </c>
      <c r="AG19" s="9">
        <v>430</v>
      </c>
      <c r="AH19" s="9">
        <v>8.4593300616790383</v>
      </c>
    </row>
    <row r="20" spans="1:34" ht="11.5">
      <c r="A20" s="9">
        <v>435</v>
      </c>
      <c r="B20" s="48">
        <f>'Color metric'!B14</f>
        <v>1</v>
      </c>
      <c r="C20" s="56">
        <f t="shared" si="0"/>
        <v>10.340280877182236</v>
      </c>
      <c r="D20" s="57">
        <f>xyzs!B17</f>
        <v>0.32850000000000001</v>
      </c>
      <c r="E20" s="57">
        <f>xyzs!C17</f>
        <v>1.6840000000000001E-2</v>
      </c>
      <c r="F20" s="57">
        <f>xyzs!D17</f>
        <v>1.62296</v>
      </c>
      <c r="G20" s="56" t="s">
        <v>119</v>
      </c>
      <c r="H20" s="90">
        <f>683*SUMPRODUCT(B9:B89,E9:E89)/SUM(B9:B89)</f>
        <v>370.26591094069863</v>
      </c>
      <c r="I20" s="9">
        <f t="shared" si="7"/>
        <v>309917785622.89014</v>
      </c>
      <c r="J20" s="58">
        <f t="shared" si="2"/>
        <v>1.3327225270247289</v>
      </c>
      <c r="K20" s="58"/>
      <c r="L20" s="91" t="s">
        <v>120</v>
      </c>
      <c r="M20" s="61">
        <f>SQRT((H15-M15)^2+(H16-M16)^2)</f>
        <v>8.1964665225541986E-4</v>
      </c>
      <c r="N20" s="61">
        <f t="shared" si="3"/>
        <v>1.3327225270247289</v>
      </c>
      <c r="P20" s="37">
        <v>435</v>
      </c>
      <c r="Q20" s="63">
        <v>105.35</v>
      </c>
      <c r="R20" s="63">
        <v>36.9</v>
      </c>
      <c r="S20" s="63">
        <v>-1.9</v>
      </c>
      <c r="T20" s="9" t="s">
        <v>344</v>
      </c>
      <c r="U20" s="9">
        <v>4500</v>
      </c>
      <c r="V20" s="64">
        <f t="shared" si="4"/>
        <v>24.220104022629066</v>
      </c>
      <c r="W20" s="56">
        <f t="shared" si="5"/>
        <v>1.0923695164520331</v>
      </c>
      <c r="Z20" s="9">
        <v>420</v>
      </c>
      <c r="AA20" s="9">
        <f t="shared" si="6"/>
        <v>247072568032.99075</v>
      </c>
      <c r="AB20" s="65">
        <v>4.0000000000000001E-3</v>
      </c>
      <c r="AD20" s="39">
        <v>7000</v>
      </c>
      <c r="AE20" s="65">
        <v>0.195505065162736</v>
      </c>
      <c r="AF20" s="65">
        <v>0.46319642650267506</v>
      </c>
      <c r="AG20" s="9">
        <v>435</v>
      </c>
      <c r="AH20" s="9">
        <v>8.777948912642783</v>
      </c>
    </row>
    <row r="21" spans="1:34" ht="11.5">
      <c r="A21" s="9">
        <v>440</v>
      </c>
      <c r="B21" s="48">
        <f>'Color metric'!B15</f>
        <v>0.2651915455746367</v>
      </c>
      <c r="C21" s="56">
        <f t="shared" si="0"/>
        <v>2.7421550674958177</v>
      </c>
      <c r="D21" s="57">
        <f>xyzs!B18</f>
        <v>0.34827999999999998</v>
      </c>
      <c r="E21" s="57">
        <f>xyzs!C18</f>
        <v>2.3E-2</v>
      </c>
      <c r="F21" s="57">
        <f>xyzs!D18</f>
        <v>1.7470600000000001</v>
      </c>
      <c r="I21" s="9">
        <f t="shared" si="7"/>
        <v>332652705676.89819</v>
      </c>
      <c r="J21" s="58">
        <f t="shared" si="2"/>
        <v>1.4304882620411479</v>
      </c>
      <c r="K21" s="58"/>
      <c r="L21" s="59"/>
      <c r="M21" s="66"/>
      <c r="N21" s="61">
        <f t="shared" si="3"/>
        <v>1.4304882620411479</v>
      </c>
      <c r="P21" s="37">
        <v>440</v>
      </c>
      <c r="Q21" s="63">
        <v>113.9</v>
      </c>
      <c r="R21" s="63">
        <v>36.700000000000003</v>
      </c>
      <c r="S21" s="63">
        <v>-2.6</v>
      </c>
      <c r="T21" s="9" t="s">
        <v>345</v>
      </c>
      <c r="U21" s="9">
        <v>5500</v>
      </c>
      <c r="V21" s="64">
        <f t="shared" si="4"/>
        <v>26.348437798965222</v>
      </c>
      <c r="W21" s="56">
        <f t="shared" si="5"/>
        <v>1.1883611330005273</v>
      </c>
      <c r="Z21" s="9">
        <v>425</v>
      </c>
      <c r="AA21" s="9">
        <f t="shared" si="6"/>
        <v>267117966517.18054</v>
      </c>
      <c r="AB21" s="65">
        <v>7.3000000000000001E-3</v>
      </c>
      <c r="AD21" s="39">
        <v>8000</v>
      </c>
      <c r="AE21" s="65">
        <v>0.19195437408752905</v>
      </c>
      <c r="AF21" s="65">
        <v>0.45446340739847424</v>
      </c>
      <c r="AG21" s="9">
        <v>440</v>
      </c>
      <c r="AH21" s="9">
        <v>9.0965677636065259</v>
      </c>
    </row>
    <row r="22" spans="1:34" ht="11.5">
      <c r="A22" s="9">
        <v>445</v>
      </c>
      <c r="B22" s="48">
        <f>'Color metric'!B16</f>
        <v>8.4214002642007915E-2</v>
      </c>
      <c r="C22" s="56">
        <f t="shared" si="0"/>
        <v>0.87079644111012888</v>
      </c>
      <c r="D22" s="57">
        <f>xyzs!B19</f>
        <v>0.34805999999999998</v>
      </c>
      <c r="E22" s="57">
        <f>xyzs!C19</f>
        <v>2.98E-2</v>
      </c>
      <c r="F22" s="57">
        <f>xyzs!D19</f>
        <v>1.7826</v>
      </c>
      <c r="I22" s="9">
        <f t="shared" si="7"/>
        <v>356260414973.38129</v>
      </c>
      <c r="J22" s="58">
        <f t="shared" si="2"/>
        <v>1.5320072049686697</v>
      </c>
      <c r="K22" s="58"/>
      <c r="L22" s="59"/>
      <c r="M22" s="66"/>
      <c r="N22" s="61">
        <f t="shared" si="3"/>
        <v>1.5320072049686697</v>
      </c>
      <c r="P22" s="37">
        <v>445</v>
      </c>
      <c r="Q22" s="63">
        <v>119.75</v>
      </c>
      <c r="R22" s="63">
        <v>36.299999999999997</v>
      </c>
      <c r="S22" s="63">
        <v>-2.75</v>
      </c>
      <c r="V22" s="64">
        <f t="shared" si="4"/>
        <v>31.429955735492463</v>
      </c>
      <c r="W22" s="56">
        <f t="shared" si="5"/>
        <v>1.4175465768772484</v>
      </c>
      <c r="Z22" s="9">
        <v>430</v>
      </c>
      <c r="AA22" s="9">
        <f t="shared" si="6"/>
        <v>288069191080.19141</v>
      </c>
      <c r="AB22" s="65">
        <v>1.1599999999999999E-2</v>
      </c>
      <c r="AD22" s="39">
        <v>9000</v>
      </c>
      <c r="AE22" s="65">
        <v>0.18944549757864795</v>
      </c>
      <c r="AF22" s="65">
        <v>0.44751088821277107</v>
      </c>
      <c r="AG22" s="9">
        <v>445</v>
      </c>
      <c r="AH22" s="9">
        <v>9.3024812632463583</v>
      </c>
    </row>
    <row r="23" spans="1:34" ht="11.5">
      <c r="A23" s="9">
        <v>450</v>
      </c>
      <c r="B23" s="48">
        <f>'Color metric'!B17</f>
        <v>8.9167767503302506E-2</v>
      </c>
      <c r="C23" s="56">
        <f t="shared" si="0"/>
        <v>0.92201976117543061</v>
      </c>
      <c r="D23" s="57">
        <f>xyzs!B20</f>
        <v>0.3362</v>
      </c>
      <c r="E23" s="57">
        <f>xyzs!C20</f>
        <v>3.7999999999999999E-2</v>
      </c>
      <c r="F23" s="57">
        <f>xyzs!D20</f>
        <v>1.7721100000000001</v>
      </c>
      <c r="I23" s="9">
        <f t="shared" si="7"/>
        <v>380724992465.56683</v>
      </c>
      <c r="J23" s="58">
        <f t="shared" si="2"/>
        <v>1.6372108913994032</v>
      </c>
      <c r="K23" s="58"/>
      <c r="L23" s="59"/>
      <c r="M23" s="66"/>
      <c r="N23" s="61">
        <f t="shared" si="3"/>
        <v>1.6372108913994032</v>
      </c>
      <c r="P23" s="37">
        <v>450</v>
      </c>
      <c r="Q23" s="63">
        <v>125.6</v>
      </c>
      <c r="R23" s="63">
        <v>35.9</v>
      </c>
      <c r="S23" s="63">
        <v>-2.9</v>
      </c>
      <c r="T23" s="9" t="s">
        <v>346</v>
      </c>
      <c r="U23" s="9">
        <f>IF(U3&lt;U20,1,IF(U3&gt;U21,0,(U21-U3)/(U21-U20)))</f>
        <v>1</v>
      </c>
      <c r="V23" s="64">
        <f t="shared" si="4"/>
        <v>36.511473672019697</v>
      </c>
      <c r="W23" s="56">
        <f t="shared" si="5"/>
        <v>1.6467320207539689</v>
      </c>
      <c r="Z23" s="9">
        <v>435</v>
      </c>
      <c r="AA23" s="9">
        <f t="shared" si="6"/>
        <v>309917785622.89014</v>
      </c>
      <c r="AB23" s="65">
        <v>1.6840000000000001E-2</v>
      </c>
      <c r="AD23" s="39">
        <v>10000</v>
      </c>
      <c r="AE23" s="65">
        <v>0.18759296056333161</v>
      </c>
      <c r="AF23" s="65">
        <v>0.4418937078083558</v>
      </c>
      <c r="AG23" s="9">
        <v>450</v>
      </c>
      <c r="AH23" s="9">
        <v>9.5083947628861907</v>
      </c>
    </row>
    <row r="24" spans="1:34" ht="11.5">
      <c r="A24" s="9">
        <v>455</v>
      </c>
      <c r="B24" s="48">
        <f>'Color metric'!B18</f>
        <v>9.3130779392338173E-2</v>
      </c>
      <c r="C24" s="56">
        <f t="shared" si="0"/>
        <v>0.96299841722767199</v>
      </c>
      <c r="D24" s="57">
        <f>xyzs!B21</f>
        <v>0.31869999999999998</v>
      </c>
      <c r="E24" s="57">
        <f>xyzs!C21</f>
        <v>4.8000000000000001E-2</v>
      </c>
      <c r="F24" s="57">
        <f>xyzs!D21</f>
        <v>1.7441</v>
      </c>
      <c r="I24" s="9">
        <f t="shared" si="7"/>
        <v>406028248324.46674</v>
      </c>
      <c r="J24" s="58">
        <f t="shared" si="2"/>
        <v>1.746021100605208</v>
      </c>
      <c r="K24" s="58"/>
      <c r="L24" s="59"/>
      <c r="M24" s="66"/>
      <c r="N24" s="61">
        <f t="shared" si="3"/>
        <v>1.746021100605208</v>
      </c>
      <c r="P24" s="37">
        <v>455</v>
      </c>
      <c r="Q24" s="63">
        <v>125.55</v>
      </c>
      <c r="R24" s="63">
        <v>34.25</v>
      </c>
      <c r="S24" s="63">
        <v>-2.85</v>
      </c>
      <c r="T24" s="9" t="s">
        <v>347</v>
      </c>
      <c r="U24" s="9">
        <f>IF(U3&gt;U21,1,1-U23)</f>
        <v>0</v>
      </c>
      <c r="V24" s="64">
        <f t="shared" si="4"/>
        <v>39.751530115556911</v>
      </c>
      <c r="W24" s="56">
        <f t="shared" si="5"/>
        <v>1.7928642952973484</v>
      </c>
      <c r="Z24" s="9">
        <v>440</v>
      </c>
      <c r="AA24" s="9">
        <f t="shared" si="6"/>
        <v>332652705676.89819</v>
      </c>
      <c r="AB24" s="65">
        <v>2.3E-2</v>
      </c>
      <c r="AD24" s="39">
        <v>15000</v>
      </c>
      <c r="AE24" s="65">
        <v>0.18282993567607439</v>
      </c>
      <c r="AF24" s="65">
        <v>0.42516619269624356</v>
      </c>
      <c r="AG24" s="9">
        <v>455</v>
      </c>
      <c r="AH24" s="9">
        <v>9.3208581389511096</v>
      </c>
    </row>
    <row r="25" spans="1:34" ht="11.5">
      <c r="A25" s="9">
        <v>460</v>
      </c>
      <c r="B25" s="48">
        <f>'Color metric'!B19</f>
        <v>9.610303830911493E-2</v>
      </c>
      <c r="C25" s="56">
        <f t="shared" si="0"/>
        <v>0.99373240926685302</v>
      </c>
      <c r="D25" s="57">
        <f>xyzs!B22</f>
        <v>0.2908</v>
      </c>
      <c r="E25" s="57">
        <f>xyzs!C22</f>
        <v>0.06</v>
      </c>
      <c r="F25" s="57">
        <f>xyzs!D22</f>
        <v>1.6692</v>
      </c>
      <c r="I25" s="9">
        <f t="shared" si="7"/>
        <v>432149847468.24725</v>
      </c>
      <c r="J25" s="58">
        <f t="shared" si="2"/>
        <v>1.8583503867442959</v>
      </c>
      <c r="K25" s="58"/>
      <c r="L25" s="59"/>
      <c r="M25" s="66"/>
      <c r="N25" s="61">
        <f t="shared" si="3"/>
        <v>1.8583503867442959</v>
      </c>
      <c r="P25" s="37">
        <v>460</v>
      </c>
      <c r="Q25" s="63">
        <v>125.5</v>
      </c>
      <c r="R25" s="63">
        <v>32.6</v>
      </c>
      <c r="S25" s="63">
        <v>-2.8</v>
      </c>
      <c r="V25" s="64">
        <f t="shared" si="4"/>
        <v>42.991586559094159</v>
      </c>
      <c r="W25" s="56">
        <f t="shared" si="5"/>
        <v>1.9389965698407292</v>
      </c>
      <c r="Z25" s="9">
        <v>445</v>
      </c>
      <c r="AA25" s="9">
        <f t="shared" si="6"/>
        <v>356260414973.38129</v>
      </c>
      <c r="AB25" s="65">
        <v>2.98E-2</v>
      </c>
      <c r="AD25" s="39">
        <v>20000</v>
      </c>
      <c r="AE25" s="65">
        <v>0.18088033042737359</v>
      </c>
      <c r="AF25" s="65">
        <v>0.4171696064148831</v>
      </c>
      <c r="AG25" s="9">
        <v>460</v>
      </c>
      <c r="AH25" s="9">
        <v>9.1333215150160303</v>
      </c>
    </row>
    <row r="26" spans="1:34" ht="11.5">
      <c r="A26" s="9">
        <v>465</v>
      </c>
      <c r="B26" s="48">
        <f>'Color metric'!B20</f>
        <v>9.8745046235138703E-2</v>
      </c>
      <c r="C26" s="56">
        <f t="shared" si="0"/>
        <v>1.0210515133016806</v>
      </c>
      <c r="D26" s="57">
        <f>xyzs!B23</f>
        <v>0.25109999999999999</v>
      </c>
      <c r="E26" s="57">
        <f>xyzs!C23</f>
        <v>7.3899999999999993E-2</v>
      </c>
      <c r="F26" s="57">
        <f>xyzs!D23</f>
        <v>1.5281</v>
      </c>
      <c r="I26" s="9">
        <f t="shared" si="7"/>
        <v>459067439239.02008</v>
      </c>
      <c r="J26" s="58">
        <f t="shared" si="2"/>
        <v>1.974102636503255</v>
      </c>
      <c r="K26" s="58"/>
      <c r="L26" s="59"/>
      <c r="M26" s="66"/>
      <c r="N26" s="61">
        <f t="shared" si="3"/>
        <v>1.974102636503255</v>
      </c>
      <c r="P26" s="37">
        <v>465</v>
      </c>
      <c r="Q26" s="63">
        <v>123.4</v>
      </c>
      <c r="R26" s="63">
        <v>30.25</v>
      </c>
      <c r="S26" s="63">
        <v>-2.7</v>
      </c>
      <c r="V26" s="64">
        <f t="shared" si="4"/>
        <v>45.855511987517772</v>
      </c>
      <c r="W26" s="56">
        <f t="shared" si="5"/>
        <v>2.0681646705424783</v>
      </c>
      <c r="Z26" s="9">
        <v>450</v>
      </c>
      <c r="AA26" s="9">
        <f t="shared" si="6"/>
        <v>380724992465.56683</v>
      </c>
      <c r="AB26" s="65">
        <v>3.7999999999999999E-2</v>
      </c>
      <c r="AG26" s="9">
        <v>465</v>
      </c>
      <c r="AH26" s="9">
        <v>8.7777395659194006</v>
      </c>
    </row>
    <row r="27" spans="1:34" ht="11.5">
      <c r="A27" s="9">
        <v>470</v>
      </c>
      <c r="B27" s="48">
        <f>'Color metric'!B21</f>
        <v>0.10039630118890357</v>
      </c>
      <c r="C27" s="56">
        <f t="shared" si="0"/>
        <v>1.0381259533234479</v>
      </c>
      <c r="D27" s="57">
        <f>xyzs!B24</f>
        <v>0.19536000000000001</v>
      </c>
      <c r="E27" s="57">
        <f>xyzs!C24</f>
        <v>9.0980000000000005E-2</v>
      </c>
      <c r="F27" s="57">
        <f>xyzs!D24</f>
        <v>1.2876399999999999</v>
      </c>
      <c r="I27" s="9">
        <f t="shared" si="7"/>
        <v>486756791904.11346</v>
      </c>
      <c r="J27" s="58">
        <f t="shared" si="2"/>
        <v>2.0931736474855192</v>
      </c>
      <c r="K27" s="58"/>
      <c r="L27" s="59"/>
      <c r="M27" s="66"/>
      <c r="N27" s="61">
        <f t="shared" si="3"/>
        <v>2.0931736474855192</v>
      </c>
      <c r="P27" s="37">
        <v>470</v>
      </c>
      <c r="Q27" s="63">
        <v>121.3</v>
      </c>
      <c r="R27" s="63">
        <v>27.9</v>
      </c>
      <c r="S27" s="63">
        <v>-2.6</v>
      </c>
      <c r="V27" s="64">
        <f t="shared" si="4"/>
        <v>48.719437415941393</v>
      </c>
      <c r="W27" s="56">
        <f t="shared" si="5"/>
        <v>2.1973327712442274</v>
      </c>
      <c r="Z27" s="9">
        <v>455</v>
      </c>
      <c r="AA27" s="9">
        <f t="shared" si="6"/>
        <v>406028248324.46674</v>
      </c>
      <c r="AB27" s="65">
        <v>4.8000000000000001E-2</v>
      </c>
      <c r="AG27" s="9">
        <v>470</v>
      </c>
      <c r="AH27" s="9">
        <v>8.4221576168227692</v>
      </c>
    </row>
    <row r="28" spans="1:34" ht="11.5">
      <c r="A28" s="9">
        <v>475</v>
      </c>
      <c r="B28" s="48">
        <f>'Color metric'!B22</f>
        <v>0.10171730515191546</v>
      </c>
      <c r="C28" s="56">
        <f t="shared" si="0"/>
        <v>1.0517855053408618</v>
      </c>
      <c r="D28" s="57">
        <f>xyzs!B25</f>
        <v>0.1421</v>
      </c>
      <c r="E28" s="57">
        <f>xyzs!C25</f>
        <v>0.11260000000000001</v>
      </c>
      <c r="F28" s="57">
        <f>xyzs!D25</f>
        <v>1.0419</v>
      </c>
      <c r="I28" s="9">
        <f t="shared" si="7"/>
        <v>515191930730.21283</v>
      </c>
      <c r="J28" s="58">
        <f t="shared" si="2"/>
        <v>2.2154517219640533</v>
      </c>
      <c r="K28" s="58"/>
      <c r="L28" s="59"/>
      <c r="M28" s="66"/>
      <c r="N28" s="61">
        <f t="shared" si="3"/>
        <v>2.2154517219640533</v>
      </c>
      <c r="P28" s="37">
        <v>475</v>
      </c>
      <c r="Q28" s="63">
        <v>121.3</v>
      </c>
      <c r="R28" s="63">
        <v>26.1</v>
      </c>
      <c r="S28" s="63">
        <v>-2.6</v>
      </c>
      <c r="V28" s="64">
        <f t="shared" si="4"/>
        <v>51.781687337595606</v>
      </c>
      <c r="W28" s="56">
        <f t="shared" si="5"/>
        <v>2.3354456572602134</v>
      </c>
      <c r="Z28" s="9">
        <v>460</v>
      </c>
      <c r="AA28" s="9">
        <f t="shared" si="6"/>
        <v>432149847468.24725</v>
      </c>
      <c r="AB28" s="65">
        <v>0.06</v>
      </c>
      <c r="AG28" s="9">
        <v>475</v>
      </c>
      <c r="AH28" s="9">
        <v>8.2170249367132033</v>
      </c>
    </row>
    <row r="29" spans="1:34" ht="11.5">
      <c r="A29" s="9">
        <v>480</v>
      </c>
      <c r="B29" s="48">
        <f>'Color metric'!B23</f>
        <v>0.10204755614266842</v>
      </c>
      <c r="C29" s="56">
        <f t="shared" si="0"/>
        <v>1.055200393345215</v>
      </c>
      <c r="D29" s="57">
        <f>xyzs!B26</f>
        <v>9.5640000000000003E-2</v>
      </c>
      <c r="E29" s="57">
        <f>xyzs!C26</f>
        <v>0.13902</v>
      </c>
      <c r="F29" s="57">
        <f>xyzs!D26</f>
        <v>0.81295010000000001</v>
      </c>
      <c r="I29" s="9">
        <f t="shared" si="7"/>
        <v>544345278455.99927</v>
      </c>
      <c r="J29" s="58">
        <f t="shared" si="2"/>
        <v>2.3408182709481693</v>
      </c>
      <c r="K29" s="58"/>
      <c r="L29" s="59"/>
      <c r="M29" s="66"/>
      <c r="N29" s="61">
        <f t="shared" si="3"/>
        <v>2.3408182709481693</v>
      </c>
      <c r="P29" s="37">
        <v>480</v>
      </c>
      <c r="Q29" s="63">
        <v>121.3</v>
      </c>
      <c r="R29" s="63">
        <v>24.3</v>
      </c>
      <c r="S29" s="63">
        <v>-2.6</v>
      </c>
      <c r="V29" s="64">
        <f t="shared" si="4"/>
        <v>54.84393725924982</v>
      </c>
      <c r="W29" s="56">
        <f t="shared" si="5"/>
        <v>2.4735585432761988</v>
      </c>
      <c r="Z29" s="9">
        <v>465</v>
      </c>
      <c r="AA29" s="9">
        <f t="shared" si="6"/>
        <v>459067439239.02008</v>
      </c>
      <c r="AB29" s="65">
        <v>7.3899999999999993E-2</v>
      </c>
      <c r="AG29" s="9">
        <v>480</v>
      </c>
      <c r="AH29" s="9">
        <v>8.0118922566036392</v>
      </c>
    </row>
    <row r="30" spans="1:34" ht="11.5">
      <c r="A30" s="9">
        <v>485</v>
      </c>
      <c r="B30" s="48">
        <f>'Color metric'!B24</f>
        <v>0.10204755614266842</v>
      </c>
      <c r="C30" s="56">
        <f t="shared" si="0"/>
        <v>1.055200393345215</v>
      </c>
      <c r="D30" s="57">
        <f>xyzs!B27</f>
        <v>5.7950010000000003E-2</v>
      </c>
      <c r="E30" s="57">
        <f>xyzs!C27</f>
        <v>0.16930000000000001</v>
      </c>
      <c r="F30" s="57">
        <f>xyzs!D27</f>
        <v>0.61619999999999997</v>
      </c>
      <c r="I30" s="9">
        <f t="shared" si="7"/>
        <v>574187797070.38928</v>
      </c>
      <c r="J30" s="58">
        <f t="shared" si="2"/>
        <v>2.4691484238647461</v>
      </c>
      <c r="K30" s="58"/>
      <c r="L30" s="59"/>
      <c r="M30" s="66"/>
      <c r="N30" s="61">
        <f t="shared" si="3"/>
        <v>2.4691484238647461</v>
      </c>
      <c r="P30" s="37">
        <v>485</v>
      </c>
      <c r="Q30" s="63">
        <v>117.4</v>
      </c>
      <c r="R30" s="63">
        <v>22.2</v>
      </c>
      <c r="S30" s="63">
        <v>-2.2000000000000002</v>
      </c>
      <c r="V30" s="64">
        <f t="shared" si="4"/>
        <v>58.380514290679997</v>
      </c>
      <c r="W30" s="56">
        <f t="shared" si="5"/>
        <v>2.633064420629545</v>
      </c>
      <c r="Z30" s="9">
        <v>470</v>
      </c>
      <c r="AA30" s="9">
        <f t="shared" si="6"/>
        <v>486756791904.11346</v>
      </c>
      <c r="AB30" s="65">
        <v>9.0980000000000005E-2</v>
      </c>
      <c r="AG30" s="9">
        <v>485</v>
      </c>
      <c r="AH30" s="9">
        <v>7.6212310760511217</v>
      </c>
    </row>
    <row r="31" spans="1:34" ht="11.5">
      <c r="A31" s="9">
        <v>490</v>
      </c>
      <c r="B31" s="48">
        <f>'Color metric'!B25</f>
        <v>0.10369881109643329</v>
      </c>
      <c r="C31" s="56">
        <f t="shared" si="0"/>
        <v>1.0722748333669823</v>
      </c>
      <c r="D31" s="57">
        <f>xyzs!B28</f>
        <v>3.2009999999999997E-2</v>
      </c>
      <c r="E31" s="57">
        <f>xyzs!C28</f>
        <v>0.20802000000000001</v>
      </c>
      <c r="F31" s="57">
        <f>xyzs!D28</f>
        <v>0.46517999999999998</v>
      </c>
      <c r="I31" s="9">
        <f t="shared" si="7"/>
        <v>604689129887.75281</v>
      </c>
      <c r="J31" s="58">
        <f t="shared" si="2"/>
        <v>2.6003116395165318</v>
      </c>
      <c r="K31" s="58"/>
      <c r="L31" s="59"/>
      <c r="M31" s="66"/>
      <c r="N31" s="61">
        <f t="shared" si="3"/>
        <v>2.6003116395165318</v>
      </c>
      <c r="P31" s="37">
        <v>490</v>
      </c>
      <c r="Q31" s="63">
        <v>113.5</v>
      </c>
      <c r="R31" s="63">
        <v>20.100000000000001</v>
      </c>
      <c r="S31" s="63">
        <v>-1.8</v>
      </c>
      <c r="V31" s="64">
        <f t="shared" si="4"/>
        <v>61.917091322110153</v>
      </c>
      <c r="W31" s="56">
        <f t="shared" si="5"/>
        <v>2.7925702979828899</v>
      </c>
      <c r="Z31" s="9">
        <v>475</v>
      </c>
      <c r="AA31" s="9">
        <f t="shared" si="6"/>
        <v>515191930730.21283</v>
      </c>
      <c r="AB31" s="65">
        <v>0.11260000000000001</v>
      </c>
      <c r="AG31" s="9">
        <v>490</v>
      </c>
      <c r="AH31" s="9">
        <v>7.2305698954986033</v>
      </c>
    </row>
    <row r="32" spans="1:34" ht="11.5">
      <c r="A32" s="9">
        <v>495</v>
      </c>
      <c r="B32" s="48">
        <f>'Color metric'!B26</f>
        <v>0.10105680317040951</v>
      </c>
      <c r="C32" s="56">
        <f t="shared" si="0"/>
        <v>1.0449557293321547</v>
      </c>
      <c r="D32" s="57">
        <f>xyzs!B29</f>
        <v>1.47E-2</v>
      </c>
      <c r="E32" s="57">
        <f>xyzs!C29</f>
        <v>0.2586</v>
      </c>
      <c r="F32" s="57">
        <f>xyzs!D29</f>
        <v>0.3533</v>
      </c>
      <c r="I32" s="9">
        <f t="shared" si="7"/>
        <v>635817742996.88232</v>
      </c>
      <c r="J32" s="58">
        <f t="shared" si="2"/>
        <v>2.7341723143474184</v>
      </c>
      <c r="K32" s="58"/>
      <c r="L32" s="59"/>
      <c r="M32" s="66"/>
      <c r="N32" s="61">
        <f t="shared" si="3"/>
        <v>2.7341723143474184</v>
      </c>
      <c r="P32" s="37">
        <v>495</v>
      </c>
      <c r="Q32" s="63">
        <v>113.3</v>
      </c>
      <c r="R32" s="63">
        <v>18.149999999999999</v>
      </c>
      <c r="S32" s="63">
        <v>-1.65</v>
      </c>
      <c r="V32" s="64">
        <f t="shared" si="4"/>
        <v>66.483510783298158</v>
      </c>
      <c r="W32" s="56">
        <f t="shared" si="5"/>
        <v>2.9985238898450288</v>
      </c>
      <c r="Z32" s="9">
        <v>480</v>
      </c>
      <c r="AA32" s="9">
        <f t="shared" si="6"/>
        <v>544345278455.99927</v>
      </c>
      <c r="AB32" s="65">
        <v>0.13902</v>
      </c>
      <c r="AG32" s="9">
        <v>495</v>
      </c>
      <c r="AH32" s="9">
        <v>7.0076284945938605</v>
      </c>
    </row>
    <row r="33" spans="1:34" ht="11.5">
      <c r="A33" s="9">
        <v>500</v>
      </c>
      <c r="B33" s="48">
        <f>'Color metric'!B27</f>
        <v>9.9075297225891673E-2</v>
      </c>
      <c r="C33" s="56">
        <f t="shared" si="0"/>
        <v>1.0244664013060341</v>
      </c>
      <c r="D33" s="57">
        <f>xyzs!B30</f>
        <v>4.8999999999999998E-3</v>
      </c>
      <c r="E33" s="57">
        <f>xyzs!C30</f>
        <v>0.32300000000000001</v>
      </c>
      <c r="F33" s="57">
        <f>xyzs!D30</f>
        <v>0.27200000000000002</v>
      </c>
      <c r="G33" s="89"/>
      <c r="H33" s="89"/>
      <c r="I33" s="9">
        <f t="shared" si="7"/>
        <v>667541065246.16614</v>
      </c>
      <c r="J33" s="58">
        <f t="shared" si="2"/>
        <v>2.8705903844130387</v>
      </c>
      <c r="K33" s="58"/>
      <c r="L33" s="59"/>
      <c r="M33" s="66"/>
      <c r="N33" s="61">
        <f t="shared" si="3"/>
        <v>2.8705903844130387</v>
      </c>
      <c r="P33" s="37">
        <v>500</v>
      </c>
      <c r="Q33" s="63">
        <v>113.1</v>
      </c>
      <c r="R33" s="63">
        <v>16.2</v>
      </c>
      <c r="S33" s="63">
        <v>-1.5</v>
      </c>
      <c r="V33" s="64">
        <f t="shared" si="4"/>
        <v>71.049930244486134</v>
      </c>
      <c r="W33" s="56">
        <f t="shared" si="5"/>
        <v>3.204477481707166</v>
      </c>
      <c r="Z33" s="9">
        <v>485</v>
      </c>
      <c r="AA33" s="9">
        <f t="shared" si="6"/>
        <v>574187797070.38928</v>
      </c>
      <c r="AB33" s="65">
        <v>0.16930000000000001</v>
      </c>
      <c r="AG33" s="9">
        <v>500</v>
      </c>
      <c r="AH33" s="9">
        <v>6.7846870936891168</v>
      </c>
    </row>
    <row r="34" spans="1:34" ht="11.5">
      <c r="A34" s="9">
        <v>505</v>
      </c>
      <c r="B34" s="48">
        <f>'Color metric'!B28</f>
        <v>9.8414795244385733E-2</v>
      </c>
      <c r="C34" s="56">
        <f t="shared" si="0"/>
        <v>1.0176366252973272</v>
      </c>
      <c r="D34" s="57">
        <f>xyzs!B31</f>
        <v>2.3999999999999998E-3</v>
      </c>
      <c r="E34" s="57">
        <f>xyzs!C31</f>
        <v>0.4073</v>
      </c>
      <c r="F34" s="57">
        <f>xyzs!D31</f>
        <v>0.21229999999999999</v>
      </c>
      <c r="G34" s="89"/>
      <c r="H34" s="89"/>
      <c r="I34" s="9">
        <f t="shared" si="7"/>
        <v>699825626012.06628</v>
      </c>
      <c r="J34" s="58">
        <f t="shared" si="2"/>
        <v>3.0094219178190258</v>
      </c>
      <c r="K34" s="58"/>
      <c r="L34" s="59"/>
      <c r="M34" s="66"/>
      <c r="N34" s="61">
        <f t="shared" si="3"/>
        <v>3.0094219178190258</v>
      </c>
      <c r="P34" s="37">
        <v>505</v>
      </c>
      <c r="Q34" s="63">
        <v>111.95</v>
      </c>
      <c r="R34" s="63">
        <v>14.7</v>
      </c>
      <c r="S34" s="63">
        <v>-1.4</v>
      </c>
      <c r="V34" s="64">
        <f t="shared" si="4"/>
        <v>73.417793209906392</v>
      </c>
      <c r="W34" s="56">
        <f t="shared" si="5"/>
        <v>3.3112722882094068</v>
      </c>
      <c r="Z34" s="9">
        <v>490</v>
      </c>
      <c r="AA34" s="9">
        <f t="shared" si="6"/>
        <v>604689129887.75281</v>
      </c>
      <c r="AB34" s="65">
        <v>0.20802000000000001</v>
      </c>
      <c r="AG34" s="9">
        <v>505</v>
      </c>
      <c r="AH34" s="9">
        <v>6.5681406110042637</v>
      </c>
    </row>
    <row r="35" spans="1:34" ht="11.5">
      <c r="A35" s="9">
        <v>510</v>
      </c>
      <c r="B35" s="48">
        <f>'Color metric'!B29</f>
        <v>9.9405548216644643E-2</v>
      </c>
      <c r="C35" s="56">
        <f t="shared" si="0"/>
        <v>1.0278812893103875</v>
      </c>
      <c r="D35" s="57">
        <f>xyzs!B32</f>
        <v>9.2999999999999992E-3</v>
      </c>
      <c r="E35" s="57">
        <f>xyzs!C32</f>
        <v>0.503</v>
      </c>
      <c r="F35" s="57">
        <f>xyzs!D32</f>
        <v>0.15820000000000001</v>
      </c>
      <c r="G35" s="89"/>
      <c r="H35" s="89"/>
      <c r="I35" s="9">
        <f t="shared" si="7"/>
        <v>732637190080.89331</v>
      </c>
      <c r="J35" s="58">
        <f t="shared" si="2"/>
        <v>3.1505196947457437</v>
      </c>
      <c r="K35" s="58"/>
      <c r="L35" s="59"/>
      <c r="M35" s="66"/>
      <c r="N35" s="61">
        <f t="shared" si="3"/>
        <v>3.1505196947457437</v>
      </c>
      <c r="P35" s="37">
        <v>510</v>
      </c>
      <c r="Q35" s="63">
        <v>110.8</v>
      </c>
      <c r="R35" s="63">
        <v>13.2</v>
      </c>
      <c r="S35" s="63">
        <v>-1.3</v>
      </c>
      <c r="V35" s="64">
        <f t="shared" si="4"/>
        <v>75.785656175326622</v>
      </c>
      <c r="W35" s="56">
        <f t="shared" si="5"/>
        <v>3.4180670947116458</v>
      </c>
      <c r="Z35" s="9">
        <v>495</v>
      </c>
      <c r="AA35" s="9">
        <f t="shared" si="6"/>
        <v>635817742996.88232</v>
      </c>
      <c r="AB35" s="65">
        <v>0.2586</v>
      </c>
      <c r="AG35" s="9">
        <v>510</v>
      </c>
      <c r="AH35" s="9">
        <v>6.3515941283194115</v>
      </c>
    </row>
    <row r="36" spans="1:34" ht="11.5">
      <c r="A36" s="9">
        <v>515</v>
      </c>
      <c r="B36" s="48">
        <f>'Color metric'!B30</f>
        <v>0.10369881109643329</v>
      </c>
      <c r="C36" s="56">
        <f t="shared" si="0"/>
        <v>1.0722748333669823</v>
      </c>
      <c r="D36" s="57">
        <f>xyzs!B33</f>
        <v>2.9100000000000001E-2</v>
      </c>
      <c r="E36" s="57">
        <f>xyzs!C33</f>
        <v>0.60819999999999996</v>
      </c>
      <c r="F36" s="57">
        <f>xyzs!D33</f>
        <v>0.11169999999999999</v>
      </c>
      <c r="G36" s="89"/>
      <c r="H36" s="89"/>
      <c r="I36" s="9">
        <f t="shared" si="7"/>
        <v>765940889054.25098</v>
      </c>
      <c r="J36" s="58">
        <f t="shared" si="2"/>
        <v>3.2937337725239444</v>
      </c>
      <c r="K36" s="58"/>
      <c r="L36" s="59"/>
      <c r="M36" s="66"/>
      <c r="N36" s="61">
        <f t="shared" si="3"/>
        <v>3.2937337725239444</v>
      </c>
      <c r="P36" s="37">
        <v>515</v>
      </c>
      <c r="Q36" s="63">
        <v>108.65</v>
      </c>
      <c r="R36" s="63">
        <v>10.9</v>
      </c>
      <c r="S36" s="63">
        <v>-1.25</v>
      </c>
      <c r="V36" s="64">
        <f t="shared" si="4"/>
        <v>78.031525090572316</v>
      </c>
      <c r="W36" s="56">
        <f t="shared" si="5"/>
        <v>3.5193597538459511</v>
      </c>
      <c r="Z36" s="9">
        <v>500</v>
      </c>
      <c r="AA36" s="9">
        <f t="shared" si="6"/>
        <v>667541065246.16614</v>
      </c>
      <c r="AB36" s="65">
        <v>0.32300000000000001</v>
      </c>
      <c r="AG36" s="9">
        <v>515</v>
      </c>
      <c r="AH36" s="9">
        <v>5.9967699844962565</v>
      </c>
    </row>
    <row r="37" spans="1:34" ht="11.5">
      <c r="A37" s="9">
        <v>520</v>
      </c>
      <c r="B37" s="48">
        <f>'Color metric'!B31</f>
        <v>0.11261558784676354</v>
      </c>
      <c r="C37" s="56">
        <f t="shared" si="0"/>
        <v>1.1644768094845253</v>
      </c>
      <c r="D37" s="57">
        <f>xyzs!B34</f>
        <v>6.3270000000000007E-2</v>
      </c>
      <c r="E37" s="57">
        <f>xyzs!C34</f>
        <v>0.71</v>
      </c>
      <c r="F37" s="57">
        <f>xyzs!D34</f>
        <v>7.8249990000000005E-2</v>
      </c>
      <c r="G37" s="89"/>
      <c r="H37" s="89"/>
      <c r="I37" s="9">
        <f t="shared" si="7"/>
        <v>799701348765.82556</v>
      </c>
      <c r="J37" s="58">
        <f t="shared" si="2"/>
        <v>3.4389120335582253</v>
      </c>
      <c r="K37" s="58"/>
      <c r="L37" s="59"/>
      <c r="M37" s="66"/>
      <c r="N37" s="61">
        <f t="shared" si="3"/>
        <v>3.4389120335582253</v>
      </c>
      <c r="P37" s="37">
        <v>520</v>
      </c>
      <c r="Q37" s="63">
        <v>106.5</v>
      </c>
      <c r="R37" s="63">
        <v>8.6</v>
      </c>
      <c r="S37" s="63">
        <v>-1.2</v>
      </c>
      <c r="V37" s="64">
        <f t="shared" si="4"/>
        <v>80.27739400581801</v>
      </c>
      <c r="W37" s="56">
        <f t="shared" si="5"/>
        <v>3.6206524129802569</v>
      </c>
      <c r="Z37" s="9">
        <v>505</v>
      </c>
      <c r="AA37" s="9">
        <f t="shared" si="6"/>
        <v>699825626012.06628</v>
      </c>
      <c r="AB37" s="65">
        <v>0.4073</v>
      </c>
      <c r="AG37" s="9">
        <v>520</v>
      </c>
      <c r="AH37" s="9">
        <v>5.6419458406731016</v>
      </c>
    </row>
    <row r="38" spans="1:34" ht="11.5">
      <c r="A38" s="9">
        <v>525</v>
      </c>
      <c r="B38" s="48">
        <f>'Color metric'!B32</f>
        <v>0.12879788639365916</v>
      </c>
      <c r="C38" s="56">
        <f t="shared" si="0"/>
        <v>1.331806321697844</v>
      </c>
      <c r="D38" s="57">
        <f>xyzs!B35</f>
        <v>0.1096</v>
      </c>
      <c r="E38" s="57">
        <f>xyzs!C35</f>
        <v>0.79320000000000002</v>
      </c>
      <c r="F38" s="57">
        <f>xyzs!D35</f>
        <v>5.7250009999999997E-2</v>
      </c>
      <c r="G38" s="89"/>
      <c r="H38" s="89"/>
      <c r="I38" s="9">
        <f t="shared" si="7"/>
        <v>833882812270.84998</v>
      </c>
      <c r="J38" s="58">
        <f t="shared" si="2"/>
        <v>3.5859007142119079</v>
      </c>
      <c r="K38" s="58"/>
      <c r="L38" s="59"/>
      <c r="M38" s="66"/>
      <c r="N38" s="61">
        <f t="shared" si="3"/>
        <v>3.5859007142119079</v>
      </c>
      <c r="P38" s="37">
        <v>525</v>
      </c>
      <c r="Q38" s="63">
        <v>107.65</v>
      </c>
      <c r="R38" s="63">
        <v>7.35</v>
      </c>
      <c r="S38" s="63">
        <v>-1.1000000000000001</v>
      </c>
      <c r="V38" s="64">
        <f t="shared" si="4"/>
        <v>84.519944482119627</v>
      </c>
      <c r="W38" s="56">
        <f t="shared" si="5"/>
        <v>3.8119989409716704</v>
      </c>
      <c r="Z38" s="9">
        <v>510</v>
      </c>
      <c r="AA38" s="9">
        <f t="shared" si="6"/>
        <v>732637190080.89331</v>
      </c>
      <c r="AB38" s="65">
        <v>0.503</v>
      </c>
      <c r="AG38" s="9">
        <v>525</v>
      </c>
      <c r="AH38" s="9">
        <v>5.5559791549804052</v>
      </c>
    </row>
    <row r="39" spans="1:34" ht="11.5">
      <c r="A39" s="9">
        <v>530</v>
      </c>
      <c r="B39" s="48">
        <f>'Color metric'!B33</f>
        <v>0.15488771466314399</v>
      </c>
      <c r="C39" s="56">
        <f t="shared" si="0"/>
        <v>1.6015824740417666</v>
      </c>
      <c r="D39" s="57">
        <f>xyzs!B36</f>
        <v>0.16550000000000001</v>
      </c>
      <c r="E39" s="57">
        <f>xyzs!C36</f>
        <v>0.86199999999999999</v>
      </c>
      <c r="F39" s="57">
        <f>xyzs!D36</f>
        <v>4.2160000000000003E-2</v>
      </c>
      <c r="G39" s="89"/>
      <c r="H39" s="89"/>
      <c r="I39" s="9">
        <f t="shared" si="7"/>
        <v>868449258039.45215</v>
      </c>
      <c r="J39" s="58">
        <f t="shared" si="2"/>
        <v>3.7345449130674391</v>
      </c>
      <c r="K39" s="58"/>
      <c r="L39" s="59"/>
      <c r="M39" s="66"/>
      <c r="N39" s="61">
        <f t="shared" si="3"/>
        <v>3.7345449130674391</v>
      </c>
      <c r="P39" s="37">
        <v>530</v>
      </c>
      <c r="Q39" s="63">
        <v>108.8</v>
      </c>
      <c r="R39" s="63">
        <v>6.1</v>
      </c>
      <c r="S39" s="63">
        <v>-1</v>
      </c>
      <c r="V39" s="64">
        <f t="shared" si="4"/>
        <v>88.762494958421215</v>
      </c>
      <c r="W39" s="56">
        <f t="shared" si="5"/>
        <v>4.003345468963083</v>
      </c>
      <c r="Z39" s="9">
        <v>515</v>
      </c>
      <c r="AA39" s="9">
        <f t="shared" si="6"/>
        <v>765940889054.25098</v>
      </c>
      <c r="AB39" s="65">
        <v>0.60819999999999996</v>
      </c>
      <c r="AG39" s="9">
        <v>530</v>
      </c>
      <c r="AH39" s="9">
        <v>5.470012469287707</v>
      </c>
    </row>
    <row r="40" spans="1:34" ht="11.5">
      <c r="A40" s="9">
        <v>535</v>
      </c>
      <c r="B40" s="48">
        <f>'Color metric'!B34</f>
        <v>0.19187582562747688</v>
      </c>
      <c r="C40" s="56">
        <f t="shared" si="0"/>
        <v>1.9840499305293529</v>
      </c>
      <c r="D40" s="57">
        <f>xyzs!B37</f>
        <v>0.2257499</v>
      </c>
      <c r="E40" s="57">
        <f>xyzs!C37</f>
        <v>0.9148501</v>
      </c>
      <c r="F40" s="57">
        <f>xyzs!D37</f>
        <v>2.9839999999999998E-2</v>
      </c>
      <c r="G40" s="89"/>
      <c r="H40" s="89"/>
      <c r="I40" s="9">
        <f t="shared" si="7"/>
        <v>903364513050.67163</v>
      </c>
      <c r="J40" s="58">
        <f t="shared" si="2"/>
        <v>3.8846890772584102</v>
      </c>
      <c r="K40" s="58"/>
      <c r="L40" s="59"/>
      <c r="M40" s="66"/>
      <c r="N40" s="61">
        <f t="shared" si="3"/>
        <v>3.8846890772584102</v>
      </c>
      <c r="P40" s="37">
        <v>535</v>
      </c>
      <c r="Q40" s="63">
        <v>107.05</v>
      </c>
      <c r="R40" s="63">
        <v>5.15</v>
      </c>
      <c r="S40" s="63">
        <v>-0.75</v>
      </c>
      <c r="V40" s="64">
        <f t="shared" si="4"/>
        <v>91.043652493843027</v>
      </c>
      <c r="W40" s="56">
        <f t="shared" si="5"/>
        <v>4.1062297072632763</v>
      </c>
      <c r="Z40" s="9">
        <v>520</v>
      </c>
      <c r="AA40" s="9">
        <f t="shared" si="6"/>
        <v>799701348765.82556</v>
      </c>
      <c r="AB40" s="65">
        <v>0.71</v>
      </c>
      <c r="AG40" s="9">
        <v>535</v>
      </c>
      <c r="AH40" s="9">
        <v>5.2976764515934258</v>
      </c>
    </row>
    <row r="41" spans="1:34" ht="11.5">
      <c r="A41" s="9">
        <v>540</v>
      </c>
      <c r="B41" s="48">
        <f>'Color metric'!B35</f>
        <v>0.24174372523117568</v>
      </c>
      <c r="C41" s="56">
        <f t="shared" si="0"/>
        <v>2.4996980191867229</v>
      </c>
      <c r="D41" s="57">
        <f>xyzs!B38</f>
        <v>0.29039999999999999</v>
      </c>
      <c r="E41" s="57">
        <f>xyzs!C38</f>
        <v>0.95399999999999996</v>
      </c>
      <c r="F41" s="57">
        <f>xyzs!D38</f>
        <v>2.0299999999999999E-2</v>
      </c>
      <c r="G41" s="89"/>
      <c r="H41" s="89"/>
      <c r="I41" s="9">
        <f t="shared" si="7"/>
        <v>938592360545.22827</v>
      </c>
      <c r="J41" s="58">
        <f t="shared" si="2"/>
        <v>4.036177465832905</v>
      </c>
      <c r="K41" s="58"/>
      <c r="L41" s="59"/>
      <c r="M41" s="66"/>
      <c r="N41" s="61">
        <f t="shared" si="3"/>
        <v>4.036177465832905</v>
      </c>
      <c r="P41" s="37">
        <v>540</v>
      </c>
      <c r="Q41" s="63">
        <v>105.3</v>
      </c>
      <c r="R41" s="63">
        <v>4.2</v>
      </c>
      <c r="S41" s="63">
        <v>-0.5</v>
      </c>
      <c r="V41" s="64">
        <f t="shared" si="4"/>
        <v>93.324810029264853</v>
      </c>
      <c r="W41" s="56">
        <f t="shared" si="5"/>
        <v>4.2091139455634696</v>
      </c>
      <c r="Z41" s="9">
        <v>525</v>
      </c>
      <c r="AA41" s="9">
        <f t="shared" si="6"/>
        <v>833882812270.84998</v>
      </c>
      <c r="AB41" s="65">
        <v>0.79320000000000002</v>
      </c>
      <c r="AG41" s="9">
        <v>540</v>
      </c>
      <c r="AH41" s="9">
        <v>5.1253404338991428</v>
      </c>
    </row>
    <row r="42" spans="1:34" ht="11.5">
      <c r="A42" s="9">
        <v>545</v>
      </c>
      <c r="B42" s="48">
        <f>'Color metric'!B36</f>
        <v>0.74603698811096431</v>
      </c>
      <c r="C42" s="56">
        <f t="shared" si="0"/>
        <v>7.7142320018344366</v>
      </c>
      <c r="D42" s="57">
        <f>xyzs!B39</f>
        <v>0.35970000000000002</v>
      </c>
      <c r="E42" s="57">
        <f>xyzs!C39</f>
        <v>0.98029999999999995</v>
      </c>
      <c r="F42" s="57">
        <f>xyzs!D39</f>
        <v>1.34E-2</v>
      </c>
      <c r="G42" s="89"/>
      <c r="H42" s="89"/>
      <c r="I42" s="9">
        <f t="shared" si="7"/>
        <v>974096642252.06995</v>
      </c>
      <c r="J42" s="58">
        <f t="shared" si="2"/>
        <v>4.18885458935274</v>
      </c>
      <c r="K42" s="58"/>
      <c r="L42" s="59"/>
      <c r="M42" s="66"/>
      <c r="N42" s="61">
        <f t="shared" si="3"/>
        <v>4.18885458935274</v>
      </c>
      <c r="P42" s="37">
        <v>545</v>
      </c>
      <c r="Q42" s="63">
        <v>104.85</v>
      </c>
      <c r="R42" s="63">
        <v>3.05</v>
      </c>
      <c r="S42" s="63">
        <v>-0.4</v>
      </c>
      <c r="V42" s="64">
        <f t="shared" si="4"/>
        <v>95.797235509918991</v>
      </c>
      <c r="W42" s="56">
        <f t="shared" si="5"/>
        <v>4.3206247063860683</v>
      </c>
      <c r="Z42" s="9">
        <v>530</v>
      </c>
      <c r="AA42" s="9">
        <f t="shared" si="6"/>
        <v>868449258039.45215</v>
      </c>
      <c r="AB42" s="65">
        <v>0.86199999999999999</v>
      </c>
      <c r="AG42" s="9">
        <v>545</v>
      </c>
      <c r="AH42" s="9">
        <v>4.9797514711850965</v>
      </c>
    </row>
    <row r="43" spans="1:34" ht="11.5">
      <c r="A43" s="9">
        <v>550</v>
      </c>
      <c r="B43" s="48">
        <f>'Color metric'!B37</f>
        <v>0.49900924702774102</v>
      </c>
      <c r="C43" s="56">
        <f t="shared" si="0"/>
        <v>5.1598957745780574</v>
      </c>
      <c r="D43" s="57">
        <f>xyzs!B40</f>
        <v>0.4334499</v>
      </c>
      <c r="E43" s="57">
        <f>xyzs!C40</f>
        <v>0.99495009999999995</v>
      </c>
      <c r="F43" s="57">
        <f>xyzs!D40</f>
        <v>8.7499989999999996E-3</v>
      </c>
      <c r="G43" s="89"/>
      <c r="H43" s="89"/>
      <c r="I43" s="9">
        <f t="shared" si="7"/>
        <v>1009841354956.0172</v>
      </c>
      <c r="J43" s="58">
        <f t="shared" si="2"/>
        <v>4.3425656251580342</v>
      </c>
      <c r="K43" s="58"/>
      <c r="L43" s="59"/>
      <c r="M43" s="66"/>
      <c r="N43" s="61">
        <f t="shared" si="3"/>
        <v>4.3425656251580342</v>
      </c>
      <c r="P43" s="37">
        <v>550</v>
      </c>
      <c r="Q43" s="63">
        <v>104.4</v>
      </c>
      <c r="R43" s="63">
        <v>1.9</v>
      </c>
      <c r="S43" s="63">
        <v>-0.3</v>
      </c>
      <c r="V43" s="64">
        <f t="shared" si="4"/>
        <v>98.269660990573158</v>
      </c>
      <c r="W43" s="56">
        <f t="shared" si="5"/>
        <v>4.4321354672086679</v>
      </c>
      <c r="Z43" s="9">
        <v>535</v>
      </c>
      <c r="AA43" s="9">
        <f t="shared" si="6"/>
        <v>903364513050.67163</v>
      </c>
      <c r="AB43" s="65">
        <v>0.91485000000000005</v>
      </c>
      <c r="AG43" s="9">
        <v>550</v>
      </c>
      <c r="AH43" s="9">
        <v>4.834162508471052</v>
      </c>
    </row>
    <row r="44" spans="1:34" ht="11.5">
      <c r="A44" s="9">
        <v>555</v>
      </c>
      <c r="B44" s="48">
        <f>'Color metric'!B38</f>
        <v>0.45838837516512548</v>
      </c>
      <c r="C44" s="56">
        <f t="shared" si="0"/>
        <v>4.7398645500425847</v>
      </c>
      <c r="D44" s="57">
        <f>xyzs!B41</f>
        <v>0.51205009999999995</v>
      </c>
      <c r="E44" s="57">
        <f>xyzs!C41</f>
        <v>1</v>
      </c>
      <c r="F44" s="57">
        <f>xyzs!D41</f>
        <v>5.7499990000000004E-3</v>
      </c>
      <c r="G44" s="89"/>
      <c r="H44" s="89"/>
      <c r="I44" s="9">
        <f t="shared" si="7"/>
        <v>1045790741321.9672</v>
      </c>
      <c r="J44" s="58">
        <f t="shared" si="2"/>
        <v>4.4971568079335684</v>
      </c>
      <c r="K44" s="58"/>
      <c r="L44" s="59"/>
      <c r="M44" s="66"/>
      <c r="N44" s="61">
        <f t="shared" si="3"/>
        <v>4.4971568079335684</v>
      </c>
      <c r="P44" s="37">
        <v>555</v>
      </c>
      <c r="Q44" s="63">
        <v>102.2</v>
      </c>
      <c r="R44" s="63">
        <v>0.95</v>
      </c>
      <c r="S44" s="63">
        <v>-0.15</v>
      </c>
      <c r="V44" s="64">
        <f t="shared" si="4"/>
        <v>99.134830495286565</v>
      </c>
      <c r="W44" s="56">
        <f t="shared" si="5"/>
        <v>4.4711561416297947</v>
      </c>
      <c r="Z44" s="9">
        <v>540</v>
      </c>
      <c r="AA44" s="9">
        <f t="shared" si="6"/>
        <v>938592360545.22827</v>
      </c>
      <c r="AB44" s="65">
        <v>0.95399999999999996</v>
      </c>
      <c r="AG44" s="9">
        <v>555</v>
      </c>
      <c r="AH44" s="9">
        <v>4.6364105363428827</v>
      </c>
    </row>
    <row r="45" spans="1:34" ht="11.5">
      <c r="A45" s="9">
        <v>560</v>
      </c>
      <c r="B45" s="48">
        <f>'Color metric'!B39</f>
        <v>0.5392998678996036</v>
      </c>
      <c r="C45" s="56">
        <f t="shared" si="0"/>
        <v>5.576512111109178</v>
      </c>
      <c r="D45" s="57">
        <f>xyzs!B42</f>
        <v>0.59450000000000003</v>
      </c>
      <c r="E45" s="57">
        <f>xyzs!C42</f>
        <v>0.995</v>
      </c>
      <c r="F45" s="57">
        <f>xyzs!D42</f>
        <v>3.8999999999999998E-3</v>
      </c>
      <c r="G45" s="89"/>
      <c r="H45" s="89"/>
      <c r="I45" s="9">
        <f t="shared" si="7"/>
        <v>1081909374934.6497</v>
      </c>
      <c r="J45" s="58">
        <f t="shared" si="2"/>
        <v>4.6524757954006093</v>
      </c>
      <c r="K45" s="58"/>
      <c r="L45" s="59"/>
      <c r="M45" s="66"/>
      <c r="N45" s="61">
        <f t="shared" si="3"/>
        <v>4.6524757954006093</v>
      </c>
      <c r="P45" s="37">
        <v>560</v>
      </c>
      <c r="Q45" s="63">
        <v>100</v>
      </c>
      <c r="R45" s="63">
        <v>0</v>
      </c>
      <c r="S45" s="63">
        <v>0</v>
      </c>
      <c r="V45" s="64">
        <f t="shared" si="4"/>
        <v>100</v>
      </c>
      <c r="W45" s="56">
        <f t="shared" si="5"/>
        <v>4.5101768160509224</v>
      </c>
      <c r="Z45" s="9">
        <v>545</v>
      </c>
      <c r="AA45" s="9">
        <f t="shared" si="6"/>
        <v>974096642252.06995</v>
      </c>
      <c r="AB45" s="65">
        <v>0.98029999999999995</v>
      </c>
      <c r="AG45" s="9">
        <v>560</v>
      </c>
      <c r="AH45" s="9">
        <v>4.4386585642147143</v>
      </c>
    </row>
    <row r="46" spans="1:34" ht="11.5">
      <c r="A46" s="9">
        <v>565</v>
      </c>
      <c r="B46" s="48">
        <f>'Color metric'!B40</f>
        <v>0.6169088507265521</v>
      </c>
      <c r="C46" s="56">
        <f t="shared" si="0"/>
        <v>6.3790107921322381</v>
      </c>
      <c r="D46" s="57">
        <f>xyzs!B43</f>
        <v>0.6784</v>
      </c>
      <c r="E46" s="57">
        <f>xyzs!C43</f>
        <v>0.97860000000000003</v>
      </c>
      <c r="F46" s="57">
        <f>xyzs!D43</f>
        <v>2.7499989999999999E-3</v>
      </c>
      <c r="G46" s="89"/>
      <c r="H46" s="89"/>
      <c r="I46" s="9">
        <f t="shared" si="7"/>
        <v>1118162239552.4143</v>
      </c>
      <c r="J46" s="58">
        <f t="shared" si="2"/>
        <v>4.808372009127635</v>
      </c>
      <c r="K46" s="58"/>
      <c r="L46" s="59"/>
      <c r="M46" s="66"/>
      <c r="N46" s="61">
        <f t="shared" si="3"/>
        <v>4.808372009127635</v>
      </c>
      <c r="P46" s="37">
        <v>565</v>
      </c>
      <c r="Q46" s="63">
        <v>98</v>
      </c>
      <c r="R46" s="63">
        <v>-0.8</v>
      </c>
      <c r="S46" s="63">
        <v>0.1</v>
      </c>
      <c r="V46" s="64">
        <f t="shared" si="4"/>
        <v>100.32698799588805</v>
      </c>
      <c r="W46" s="56">
        <f t="shared" si="5"/>
        <v>4.5249245528327346</v>
      </c>
      <c r="Z46" s="9">
        <v>550</v>
      </c>
      <c r="AA46" s="9">
        <f t="shared" si="6"/>
        <v>1009841354956.0172</v>
      </c>
      <c r="AB46" s="65">
        <v>0.99495</v>
      </c>
      <c r="AG46" s="9">
        <v>565</v>
      </c>
      <c r="AH46" s="9">
        <v>4.2641573037766447</v>
      </c>
    </row>
    <row r="47" spans="1:34" ht="11.5">
      <c r="A47" s="9">
        <v>570</v>
      </c>
      <c r="B47" s="48">
        <f>'Color metric'!B41</f>
        <v>0.68163804491413471</v>
      </c>
      <c r="C47" s="56">
        <f t="shared" si="0"/>
        <v>7.0483288409855138</v>
      </c>
      <c r="D47" s="57">
        <f>xyzs!B44</f>
        <v>0.7621</v>
      </c>
      <c r="E47" s="57">
        <f>xyzs!C44</f>
        <v>0.95199999999999996</v>
      </c>
      <c r="F47" s="57">
        <f>xyzs!D44</f>
        <v>2.0999999999999999E-3</v>
      </c>
      <c r="G47" s="89"/>
      <c r="H47" s="89"/>
      <c r="I47" s="9">
        <f t="shared" si="7"/>
        <v>1154514802608.8406</v>
      </c>
      <c r="J47" s="58">
        <f t="shared" si="2"/>
        <v>4.9646969506053011</v>
      </c>
      <c r="K47" s="58"/>
      <c r="L47" s="59"/>
      <c r="M47" s="66"/>
      <c r="N47" s="61">
        <f t="shared" si="3"/>
        <v>4.9646969506053011</v>
      </c>
      <c r="P47" s="37">
        <v>570</v>
      </c>
      <c r="Q47" s="63">
        <v>96</v>
      </c>
      <c r="R47" s="63">
        <v>-1.6</v>
      </c>
      <c r="S47" s="63">
        <v>0.2</v>
      </c>
      <c r="V47" s="64">
        <f t="shared" si="4"/>
        <v>100.65397599177609</v>
      </c>
      <c r="W47" s="56">
        <f t="shared" si="5"/>
        <v>4.5396722896145469</v>
      </c>
      <c r="Z47" s="9">
        <v>555</v>
      </c>
      <c r="AA47" s="9">
        <f t="shared" si="6"/>
        <v>1045790741321.9672</v>
      </c>
      <c r="AB47" s="65">
        <v>1</v>
      </c>
      <c r="AG47" s="9">
        <v>570</v>
      </c>
      <c r="AH47" s="9">
        <v>4.089656043338576</v>
      </c>
    </row>
    <row r="48" spans="1:34" ht="11.5">
      <c r="A48" s="9">
        <v>575</v>
      </c>
      <c r="B48" s="48">
        <f>'Color metric'!B42</f>
        <v>0.8018494055482166</v>
      </c>
      <c r="C48" s="56">
        <f t="shared" si="0"/>
        <v>8.2913480745701698</v>
      </c>
      <c r="D48" s="57">
        <f>xyzs!B45</f>
        <v>0.84250000000000003</v>
      </c>
      <c r="E48" s="57">
        <f>xyzs!C45</f>
        <v>0.91539999999999999</v>
      </c>
      <c r="F48" s="57">
        <f>xyzs!D45</f>
        <v>1.8E-3</v>
      </c>
      <c r="G48" s="89"/>
      <c r="H48" s="89"/>
      <c r="I48" s="9">
        <f t="shared" si="7"/>
        <v>1190933083027.3843</v>
      </c>
      <c r="J48" s="58">
        <f t="shared" si="2"/>
        <v>5.1213044928660567</v>
      </c>
      <c r="K48" s="58"/>
      <c r="L48" s="59"/>
      <c r="M48" s="66"/>
      <c r="N48" s="61">
        <f t="shared" si="3"/>
        <v>5.1213044928660567</v>
      </c>
      <c r="P48" s="37">
        <v>575</v>
      </c>
      <c r="Q48" s="63">
        <v>95.55</v>
      </c>
      <c r="R48" s="63">
        <v>-2.5499999999999998</v>
      </c>
      <c r="S48" s="63">
        <v>0.35</v>
      </c>
      <c r="V48" s="64">
        <f t="shared" si="4"/>
        <v>103.26914549648951</v>
      </c>
      <c r="W48" s="56">
        <f t="shared" si="5"/>
        <v>4.6576210583165656</v>
      </c>
      <c r="Z48" s="9">
        <v>560</v>
      </c>
      <c r="AA48" s="9">
        <f t="shared" si="6"/>
        <v>1081909374934.6497</v>
      </c>
      <c r="AB48" s="65">
        <v>0.995</v>
      </c>
      <c r="AG48" s="9">
        <v>575</v>
      </c>
      <c r="AH48" s="9">
        <v>3.9695805960841635</v>
      </c>
    </row>
    <row r="49" spans="1:34" ht="11.5">
      <c r="A49" s="9">
        <v>580</v>
      </c>
      <c r="B49" s="48">
        <f>'Color metric'!B43</f>
        <v>0.86723910171730512</v>
      </c>
      <c r="C49" s="56">
        <f t="shared" si="0"/>
        <v>8.9674958994321514</v>
      </c>
      <c r="D49" s="57">
        <f>xyzs!B46</f>
        <v>0.9163</v>
      </c>
      <c r="E49" s="57">
        <f>xyzs!C46</f>
        <v>0.87</v>
      </c>
      <c r="F49" s="57">
        <f>xyzs!D46</f>
        <v>1.6500009999999999E-3</v>
      </c>
      <c r="G49" s="89"/>
      <c r="H49" s="89"/>
      <c r="I49" s="9">
        <f t="shared" si="7"/>
        <v>1227383713441.9587</v>
      </c>
      <c r="J49" s="58">
        <f t="shared" si="2"/>
        <v>5.2780511480479149</v>
      </c>
      <c r="K49" s="58"/>
      <c r="L49" s="59"/>
      <c r="M49" s="66"/>
      <c r="N49" s="61">
        <f t="shared" si="3"/>
        <v>5.2780511480479149</v>
      </c>
      <c r="P49" s="37">
        <v>580</v>
      </c>
      <c r="Q49" s="63">
        <v>95.1</v>
      </c>
      <c r="R49" s="63">
        <v>-3.5</v>
      </c>
      <c r="S49" s="63">
        <v>0.5</v>
      </c>
      <c r="V49" s="64">
        <f t="shared" si="4"/>
        <v>105.88431500120294</v>
      </c>
      <c r="W49" s="56">
        <f t="shared" si="5"/>
        <v>4.7755698270185842</v>
      </c>
      <c r="Z49" s="9">
        <v>565</v>
      </c>
      <c r="AA49" s="9">
        <f t="shared" si="6"/>
        <v>1118162239552.4143</v>
      </c>
      <c r="AB49" s="65">
        <v>0.97860000000000003</v>
      </c>
      <c r="AG49" s="9">
        <v>580</v>
      </c>
      <c r="AH49" s="9">
        <v>3.8495051488297518</v>
      </c>
    </row>
    <row r="50" spans="1:34" ht="11.5">
      <c r="A50" s="9">
        <v>585</v>
      </c>
      <c r="B50" s="48">
        <f>'Color metric'!B44</f>
        <v>0.76882430647291944</v>
      </c>
      <c r="C50" s="56">
        <f t="shared" si="0"/>
        <v>7.9498592741348242</v>
      </c>
      <c r="D50" s="57">
        <f>xyzs!B47</f>
        <v>0.97860000000000003</v>
      </c>
      <c r="E50" s="57">
        <f>xyzs!C47</f>
        <v>0.81630000000000003</v>
      </c>
      <c r="F50" s="57">
        <f>xyzs!D47</f>
        <v>1.4E-3</v>
      </c>
      <c r="G50" s="89"/>
      <c r="H50" s="89"/>
      <c r="I50" s="9">
        <f t="shared" si="7"/>
        <v>1263833996940.5142</v>
      </c>
      <c r="J50" s="58">
        <f t="shared" si="2"/>
        <v>5.4347963114057638</v>
      </c>
      <c r="K50" s="58"/>
      <c r="L50" s="59"/>
      <c r="M50" s="66"/>
      <c r="N50" s="61">
        <f t="shared" si="3"/>
        <v>5.4347963114057638</v>
      </c>
      <c r="P50" s="37">
        <v>585</v>
      </c>
      <c r="Q50" s="63">
        <v>92.1</v>
      </c>
      <c r="R50" s="63">
        <v>-3.5</v>
      </c>
      <c r="S50" s="63">
        <v>1.3</v>
      </c>
      <c r="V50" s="64">
        <f t="shared" si="4"/>
        <v>110.61221924687008</v>
      </c>
      <c r="W50" s="56">
        <f t="shared" si="5"/>
        <v>4.9888066681917511</v>
      </c>
      <c r="Z50" s="9">
        <v>570</v>
      </c>
      <c r="AA50" s="9">
        <f t="shared" si="6"/>
        <v>1154514802608.8406</v>
      </c>
      <c r="AB50" s="65">
        <v>0.95199999999999996</v>
      </c>
      <c r="AG50" s="9">
        <v>585</v>
      </c>
      <c r="AH50" s="9">
        <v>3.759881319062671</v>
      </c>
    </row>
    <row r="51" spans="1:34" ht="11.5">
      <c r="A51" s="9">
        <v>590</v>
      </c>
      <c r="B51" s="48">
        <f>'Color metric'!B45</f>
        <v>0.75759577278731838</v>
      </c>
      <c r="C51" s="56">
        <f t="shared" si="0"/>
        <v>7.8337530819868082</v>
      </c>
      <c r="D51" s="57">
        <f>xyzs!B48</f>
        <v>1.0263</v>
      </c>
      <c r="E51" s="57">
        <f>xyzs!C48</f>
        <v>0.75700000000000001</v>
      </c>
      <c r="F51" s="57">
        <f>xyzs!D48</f>
        <v>1.1000000000000001E-3</v>
      </c>
      <c r="G51" s="89"/>
      <c r="H51" s="89"/>
      <c r="I51" s="9">
        <f t="shared" si="7"/>
        <v>1300251958469.5295</v>
      </c>
      <c r="J51" s="58">
        <f t="shared" si="2"/>
        <v>5.5914024823632982</v>
      </c>
      <c r="K51" s="58"/>
      <c r="L51" s="59"/>
      <c r="M51" s="66"/>
      <c r="N51" s="61">
        <f t="shared" si="3"/>
        <v>5.5914024823632982</v>
      </c>
      <c r="P51" s="37">
        <v>590</v>
      </c>
      <c r="Q51" s="63">
        <v>89.1</v>
      </c>
      <c r="R51" s="63">
        <v>-3.5</v>
      </c>
      <c r="S51" s="63">
        <v>2.1</v>
      </c>
      <c r="V51" s="64">
        <f t="shared" si="4"/>
        <v>115.34012349253723</v>
      </c>
      <c r="W51" s="56">
        <f t="shared" si="5"/>
        <v>5.202043509364918</v>
      </c>
      <c r="Z51" s="9">
        <v>575</v>
      </c>
      <c r="AA51" s="9">
        <f t="shared" si="6"/>
        <v>1190933083027.3843</v>
      </c>
      <c r="AB51" s="65">
        <v>0.91539999999999999</v>
      </c>
      <c r="AG51" s="9">
        <v>590</v>
      </c>
      <c r="AH51" s="9">
        <v>3.6702574892955906</v>
      </c>
    </row>
    <row r="52" spans="1:34" ht="11.5">
      <c r="A52" s="9">
        <v>595</v>
      </c>
      <c r="B52" s="48">
        <f>'Color metric'!B46</f>
        <v>0.73117569352708056</v>
      </c>
      <c r="C52" s="56">
        <f t="shared" si="0"/>
        <v>7.5605620416385317</v>
      </c>
      <c r="D52" s="57">
        <f>xyzs!B49</f>
        <v>1.0567</v>
      </c>
      <c r="E52" s="57">
        <f>xyzs!C49</f>
        <v>0.69489999999999996</v>
      </c>
      <c r="F52" s="57">
        <f>xyzs!D49</f>
        <v>1E-3</v>
      </c>
      <c r="G52" s="89"/>
      <c r="H52" s="89"/>
      <c r="I52" s="9">
        <f t="shared" si="7"/>
        <v>1336606391055.0969</v>
      </c>
      <c r="J52" s="58">
        <f t="shared" si="2"/>
        <v>5.7477354632750233</v>
      </c>
      <c r="K52" s="58"/>
      <c r="L52" s="59"/>
      <c r="M52" s="66"/>
      <c r="N52" s="61">
        <f t="shared" si="3"/>
        <v>5.7477354632750233</v>
      </c>
      <c r="P52" s="37">
        <v>595</v>
      </c>
      <c r="Q52" s="63">
        <v>89.8</v>
      </c>
      <c r="R52" s="63">
        <v>-4.6500000000000004</v>
      </c>
      <c r="S52" s="63">
        <v>2.65</v>
      </c>
      <c r="V52" s="64">
        <f t="shared" si="4"/>
        <v>123.30949511137916</v>
      </c>
      <c r="W52" s="56">
        <f t="shared" si="5"/>
        <v>5.5614762605028689</v>
      </c>
      <c r="Z52" s="9">
        <v>580</v>
      </c>
      <c r="AA52" s="9">
        <f t="shared" si="6"/>
        <v>1227383713441.9587</v>
      </c>
      <c r="AB52" s="65">
        <v>0.87</v>
      </c>
      <c r="AG52" s="9">
        <v>595</v>
      </c>
      <c r="AH52" s="9">
        <v>3.6002020590971551</v>
      </c>
    </row>
    <row r="53" spans="1:34" ht="11.5">
      <c r="A53" s="9">
        <v>600</v>
      </c>
      <c r="B53" s="48">
        <f>'Color metric'!B47</f>
        <v>0.69055482166446502</v>
      </c>
      <c r="C53" s="56">
        <f t="shared" si="0"/>
        <v>7.1405308171030581</v>
      </c>
      <c r="D53" s="57">
        <f>xyzs!B50</f>
        <v>1.0622</v>
      </c>
      <c r="E53" s="57">
        <f>xyzs!C50</f>
        <v>0.63100000000000001</v>
      </c>
      <c r="F53" s="57">
        <f>xyzs!D50</f>
        <v>8.0000000000000004E-4</v>
      </c>
      <c r="G53" s="89"/>
      <c r="H53" s="89"/>
      <c r="I53" s="9">
        <f t="shared" si="7"/>
        <v>1372866897011.1196</v>
      </c>
      <c r="J53" s="58">
        <f t="shared" si="2"/>
        <v>5.9036645366316209</v>
      </c>
      <c r="K53" s="58"/>
      <c r="L53" s="59"/>
      <c r="M53" s="66"/>
      <c r="N53" s="61">
        <f t="shared" si="3"/>
        <v>5.9036645366316209</v>
      </c>
      <c r="P53" s="37">
        <v>600</v>
      </c>
      <c r="Q53" s="63">
        <v>90.5</v>
      </c>
      <c r="R53" s="63">
        <v>-5.8</v>
      </c>
      <c r="S53" s="63">
        <v>3.2</v>
      </c>
      <c r="V53" s="64">
        <f t="shared" si="4"/>
        <v>131.27886673022107</v>
      </c>
      <c r="W53" s="56">
        <f t="shared" si="5"/>
        <v>5.920909011640819</v>
      </c>
      <c r="Z53" s="9">
        <v>585</v>
      </c>
      <c r="AA53" s="9">
        <f t="shared" si="6"/>
        <v>1263833996940.5142</v>
      </c>
      <c r="AB53" s="65">
        <v>0.81630000000000003</v>
      </c>
      <c r="AG53" s="9">
        <v>600</v>
      </c>
      <c r="AH53" s="9">
        <v>3.53014662889872</v>
      </c>
    </row>
    <row r="54" spans="1:34" ht="11.5">
      <c r="A54" s="9">
        <v>605</v>
      </c>
      <c r="B54" s="48">
        <f>'Color metric'!B48</f>
        <v>0.64167767503302509</v>
      </c>
      <c r="C54" s="56">
        <f t="shared" si="0"/>
        <v>6.6351273924587479</v>
      </c>
      <c r="D54" s="57">
        <f>xyzs!B51</f>
        <v>1.0456000000000001</v>
      </c>
      <c r="E54" s="57">
        <f>xyzs!C51</f>
        <v>0.56679999999999997</v>
      </c>
      <c r="F54" s="57">
        <f>xyzs!D51</f>
        <v>5.9999999999999995E-4</v>
      </c>
      <c r="G54" s="89"/>
      <c r="H54" s="89"/>
      <c r="I54" s="9">
        <f t="shared" si="7"/>
        <v>1409003924317.3977</v>
      </c>
      <c r="J54" s="58">
        <f t="shared" si="2"/>
        <v>6.0590626214946388</v>
      </c>
      <c r="K54" s="58"/>
      <c r="L54" s="59"/>
      <c r="M54" s="66"/>
      <c r="N54" s="61">
        <f t="shared" si="3"/>
        <v>6.0590626214946388</v>
      </c>
      <c r="P54" s="37">
        <v>605</v>
      </c>
      <c r="Q54" s="63">
        <v>90.4</v>
      </c>
      <c r="R54" s="63">
        <v>-6.5</v>
      </c>
      <c r="S54" s="63">
        <v>3.65</v>
      </c>
      <c r="V54" s="64">
        <f t="shared" si="4"/>
        <v>136.71668783794104</v>
      </c>
      <c r="W54" s="56">
        <f t="shared" si="5"/>
        <v>6.166164358539528</v>
      </c>
      <c r="Z54" s="9">
        <v>590</v>
      </c>
      <c r="AA54" s="9">
        <f t="shared" si="6"/>
        <v>1300251958469.5295</v>
      </c>
      <c r="AB54" s="65">
        <v>0.75700000000000001</v>
      </c>
      <c r="AG54" s="9">
        <v>605</v>
      </c>
      <c r="AH54" s="9">
        <v>3.4704231093190376</v>
      </c>
    </row>
    <row r="55" spans="1:34" ht="11.5">
      <c r="A55" s="9">
        <v>610</v>
      </c>
      <c r="B55" s="48">
        <f>'Color metric'!B49</f>
        <v>0.58586525759577268</v>
      </c>
      <c r="C55" s="56">
        <f t="shared" si="0"/>
        <v>6.0580113197230139</v>
      </c>
      <c r="D55" s="57">
        <f>xyzs!B52</f>
        <v>1.0025999999999999</v>
      </c>
      <c r="E55" s="57">
        <f>xyzs!C52</f>
        <v>0.503</v>
      </c>
      <c r="F55" s="57">
        <f>xyzs!D52</f>
        <v>3.4000000000000002E-4</v>
      </c>
      <c r="G55" s="89"/>
      <c r="H55" s="89"/>
      <c r="I55" s="9">
        <f t="shared" si="7"/>
        <v>1444988798360.0845</v>
      </c>
      <c r="J55" s="58">
        <f t="shared" si="2"/>
        <v>6.2138064099882477</v>
      </c>
      <c r="K55" s="58"/>
      <c r="L55" s="59"/>
      <c r="M55" s="66"/>
      <c r="N55" s="61">
        <f t="shared" si="3"/>
        <v>6.2138064099882477</v>
      </c>
      <c r="P55" s="37">
        <v>610</v>
      </c>
      <c r="Q55" s="63">
        <v>90.3</v>
      </c>
      <c r="R55" s="63">
        <v>-7.2</v>
      </c>
      <c r="S55" s="63">
        <v>4.0999999999999996</v>
      </c>
      <c r="V55" s="64">
        <f t="shared" si="4"/>
        <v>142.15450894566101</v>
      </c>
      <c r="W55" s="56">
        <f t="shared" si="5"/>
        <v>6.4114197054382371</v>
      </c>
      <c r="Z55" s="9">
        <v>595</v>
      </c>
      <c r="AA55" s="9">
        <f t="shared" si="6"/>
        <v>1336606391055.0969</v>
      </c>
      <c r="AB55" s="65">
        <v>0.69489999999999996</v>
      </c>
      <c r="AG55" s="9">
        <v>610</v>
      </c>
      <c r="AH55" s="9">
        <v>3.4106995897393548</v>
      </c>
    </row>
    <row r="56" spans="1:34" ht="11.5">
      <c r="A56" s="9">
        <v>615</v>
      </c>
      <c r="B56" s="48">
        <f>'Color metric'!B50</f>
        <v>0.52840158520475555</v>
      </c>
      <c r="C56" s="56">
        <f t="shared" si="0"/>
        <v>5.4638208069655141</v>
      </c>
      <c r="D56" s="57">
        <f>xyzs!B53</f>
        <v>0.93840000000000001</v>
      </c>
      <c r="E56" s="57">
        <f>xyzs!C53</f>
        <v>0.44119999999999998</v>
      </c>
      <c r="F56" s="57">
        <f>xyzs!D53</f>
        <v>2.4000000000000001E-4</v>
      </c>
      <c r="G56" s="89"/>
      <c r="H56" s="89"/>
      <c r="I56" s="9">
        <f t="shared" si="7"/>
        <v>1480793749234.6047</v>
      </c>
      <c r="J56" s="58">
        <f t="shared" si="2"/>
        <v>6.3677764847084841</v>
      </c>
      <c r="K56" s="58"/>
      <c r="L56" s="59"/>
      <c r="M56" s="66"/>
      <c r="N56" s="61">
        <f t="shared" si="3"/>
        <v>6.3677764847084841</v>
      </c>
      <c r="P56" s="37">
        <v>615</v>
      </c>
      <c r="Q56" s="63">
        <v>89.35</v>
      </c>
      <c r="R56" s="63">
        <v>-7.9</v>
      </c>
      <c r="S56" s="63">
        <v>4.4000000000000004</v>
      </c>
      <c r="V56" s="64">
        <f t="shared" si="4"/>
        <v>145.2933480073184</v>
      </c>
      <c r="W56" s="56">
        <f t="shared" si="5"/>
        <v>6.5529868970902596</v>
      </c>
      <c r="Z56" s="9">
        <v>600</v>
      </c>
      <c r="AA56" s="9">
        <f t="shared" si="6"/>
        <v>1372866897011.1196</v>
      </c>
      <c r="AB56" s="65">
        <v>0.63100000000000001</v>
      </c>
      <c r="AG56" s="9">
        <v>615</v>
      </c>
      <c r="AH56" s="9">
        <v>3.3050844860214674</v>
      </c>
    </row>
    <row r="57" spans="1:34" ht="11.5">
      <c r="A57" s="9">
        <v>620</v>
      </c>
      <c r="B57" s="48">
        <f>'Color metric'!B51</f>
        <v>0.476221928665786</v>
      </c>
      <c r="C57" s="56">
        <f t="shared" si="0"/>
        <v>4.9242685022776707</v>
      </c>
      <c r="D57" s="57">
        <f>xyzs!B54</f>
        <v>0.85444989999999998</v>
      </c>
      <c r="E57" s="57">
        <f>xyzs!C54</f>
        <v>0.38100000000000001</v>
      </c>
      <c r="F57" s="57">
        <f>xyzs!D54</f>
        <v>1.9000000000000001E-4</v>
      </c>
      <c r="G57" s="89"/>
      <c r="H57" s="89"/>
      <c r="I57" s="9">
        <f t="shared" si="7"/>
        <v>1516391934816.4888</v>
      </c>
      <c r="J57" s="58">
        <f t="shared" si="2"/>
        <v>6.520857417933505</v>
      </c>
      <c r="K57" s="58"/>
      <c r="L57" s="59"/>
      <c r="M57" s="66"/>
      <c r="N57" s="61">
        <f t="shared" si="3"/>
        <v>6.520857417933505</v>
      </c>
      <c r="P57" s="37">
        <v>620</v>
      </c>
      <c r="Q57" s="63">
        <v>88.4</v>
      </c>
      <c r="R57" s="63">
        <v>-8.6</v>
      </c>
      <c r="S57" s="63">
        <v>4.7</v>
      </c>
      <c r="V57" s="64">
        <f t="shared" si="4"/>
        <v>148.43218706897579</v>
      </c>
      <c r="W57" s="56">
        <f t="shared" si="5"/>
        <v>6.6945540887422812</v>
      </c>
      <c r="Z57" s="9">
        <v>605</v>
      </c>
      <c r="AA57" s="9">
        <f t="shared" si="6"/>
        <v>1409003924317.3977</v>
      </c>
      <c r="AB57" s="65">
        <v>0.56679999999999997</v>
      </c>
      <c r="AG57" s="9">
        <v>620</v>
      </c>
      <c r="AH57" s="9">
        <v>3.1994693823035796</v>
      </c>
    </row>
    <row r="58" spans="1:34" ht="11.5">
      <c r="A58" s="9">
        <v>625</v>
      </c>
      <c r="B58" s="48">
        <f>'Color metric'!B52</f>
        <v>0.41479524438573318</v>
      </c>
      <c r="C58" s="56">
        <f t="shared" si="0"/>
        <v>4.289099333467929</v>
      </c>
      <c r="D58" s="57">
        <f>xyzs!B55</f>
        <v>0.75139999999999996</v>
      </c>
      <c r="E58" s="57">
        <f>xyzs!C55</f>
        <v>0.32100000000000001</v>
      </c>
      <c r="F58" s="57">
        <f>xyzs!D55</f>
        <v>1E-4</v>
      </c>
      <c r="G58" s="89"/>
      <c r="H58" s="89"/>
      <c r="I58" s="9">
        <f t="shared" si="7"/>
        <v>1551757459809.3508</v>
      </c>
      <c r="J58" s="58">
        <f t="shared" si="2"/>
        <v>6.6729378535345596</v>
      </c>
      <c r="K58" s="58"/>
      <c r="L58" s="59"/>
      <c r="M58" s="66"/>
      <c r="N58" s="61">
        <f t="shared" si="3"/>
        <v>6.6729378535345596</v>
      </c>
      <c r="P58" s="37">
        <v>625</v>
      </c>
      <c r="Q58" s="63">
        <v>86.2</v>
      </c>
      <c r="R58" s="63">
        <v>-9.0500000000000007</v>
      </c>
      <c r="S58" s="63">
        <v>4.9000000000000004</v>
      </c>
      <c r="V58" s="64">
        <f t="shared" si="4"/>
        <v>148.92972561080612</v>
      </c>
      <c r="W58" s="56">
        <f t="shared" si="5"/>
        <v>6.7169939567068306</v>
      </c>
      <c r="Z58" s="9">
        <v>610</v>
      </c>
      <c r="AA58" s="9">
        <f t="shared" si="6"/>
        <v>1444988798360.0845</v>
      </c>
      <c r="AB58" s="65">
        <v>0.503</v>
      </c>
      <c r="AG58" s="9">
        <v>625</v>
      </c>
      <c r="AH58" s="9">
        <v>3.0614197056533055</v>
      </c>
    </row>
    <row r="59" spans="1:34" ht="11.5">
      <c r="A59" s="9">
        <v>630</v>
      </c>
      <c r="B59" s="48">
        <f>'Color metric'!B53</f>
        <v>0.36096433289299867</v>
      </c>
      <c r="C59" s="56">
        <f t="shared" si="0"/>
        <v>3.7324725887583177</v>
      </c>
      <c r="D59" s="57">
        <f>xyzs!B56</f>
        <v>0.64239999999999997</v>
      </c>
      <c r="E59" s="57">
        <f>xyzs!C56</f>
        <v>0.26500000000000001</v>
      </c>
      <c r="F59" s="57">
        <f>xyzs!D56</f>
        <v>4.9999990000000002E-5</v>
      </c>
      <c r="G59" s="89"/>
      <c r="H59" s="89"/>
      <c r="I59" s="9">
        <f t="shared" si="7"/>
        <v>1586865390981.1274</v>
      </c>
      <c r="J59" s="58">
        <f t="shared" si="2"/>
        <v>6.82391057249556</v>
      </c>
      <c r="K59" s="58"/>
      <c r="L59" s="59"/>
      <c r="M59" s="66"/>
      <c r="N59" s="61">
        <f t="shared" si="3"/>
        <v>6.82391057249556</v>
      </c>
      <c r="P59" s="37">
        <v>630</v>
      </c>
      <c r="Q59" s="63">
        <v>84</v>
      </c>
      <c r="R59" s="63">
        <v>-9.5</v>
      </c>
      <c r="S59" s="63">
        <v>5.0999999999999996</v>
      </c>
      <c r="V59" s="64">
        <f t="shared" si="4"/>
        <v>149.42726415263644</v>
      </c>
      <c r="W59" s="56">
        <f t="shared" si="5"/>
        <v>6.7394338246713801</v>
      </c>
      <c r="Z59" s="9">
        <v>615</v>
      </c>
      <c r="AA59" s="9">
        <f t="shared" si="6"/>
        <v>1480793749234.6047</v>
      </c>
      <c r="AB59" s="65">
        <v>0.44119999999999998</v>
      </c>
      <c r="AG59" s="9">
        <v>630</v>
      </c>
      <c r="AH59" s="9">
        <v>2.92337002900303</v>
      </c>
    </row>
    <row r="60" spans="1:34" ht="11.5">
      <c r="A60" s="9">
        <v>635</v>
      </c>
      <c r="B60" s="48">
        <f>'Color metric'!B54</f>
        <v>0.31439894319682954</v>
      </c>
      <c r="C60" s="56">
        <f t="shared" si="0"/>
        <v>3.2509733801444813</v>
      </c>
      <c r="D60" s="57">
        <f>xyzs!B57</f>
        <v>0.54190000000000005</v>
      </c>
      <c r="E60" s="57">
        <f>xyzs!C57</f>
        <v>0.217</v>
      </c>
      <c r="F60" s="57">
        <f>xyzs!D57</f>
        <v>3.0000000000000001E-5</v>
      </c>
      <c r="G60" s="89"/>
      <c r="H60" s="89"/>
      <c r="I60" s="9">
        <f t="shared" si="7"/>
        <v>1621691768800.2559</v>
      </c>
      <c r="J60" s="58">
        <f t="shared" si="2"/>
        <v>6.9736725429515047</v>
      </c>
      <c r="K60" s="58"/>
      <c r="L60" s="59"/>
      <c r="M60" s="66"/>
      <c r="N60" s="61">
        <f t="shared" si="3"/>
        <v>6.9736725429515047</v>
      </c>
      <c r="P60" s="37">
        <v>635</v>
      </c>
      <c r="Q60" s="63">
        <v>84.55</v>
      </c>
      <c r="R60" s="63">
        <v>-10.199999999999999</v>
      </c>
      <c r="S60" s="63">
        <v>5.9</v>
      </c>
      <c r="V60" s="64">
        <f t="shared" si="4"/>
        <v>158.8960433678358</v>
      </c>
      <c r="W60" s="56">
        <f t="shared" si="5"/>
        <v>7.16649250959835</v>
      </c>
      <c r="Z60" s="9">
        <v>620</v>
      </c>
      <c r="AA60" s="9">
        <f t="shared" si="6"/>
        <v>1516391934816.4888</v>
      </c>
      <c r="AB60" s="65">
        <v>0.38100000000000001</v>
      </c>
      <c r="AG60" s="9">
        <v>635</v>
      </c>
      <c r="AH60" s="9">
        <v>2.9115447582229637</v>
      </c>
    </row>
    <row r="61" spans="1:34" ht="11.5">
      <c r="A61" s="9">
        <v>640</v>
      </c>
      <c r="B61" s="48">
        <f>'Color metric'!B55</f>
        <v>0.27014531043593126</v>
      </c>
      <c r="C61" s="56">
        <f t="shared" si="0"/>
        <v>2.7933783875611193</v>
      </c>
      <c r="D61" s="57">
        <f>xyzs!B58</f>
        <v>0.44790000000000002</v>
      </c>
      <c r="E61" s="57">
        <f>xyzs!C58</f>
        <v>0.17499999999999999</v>
      </c>
      <c r="F61" s="57">
        <f>xyzs!D58</f>
        <v>2.0000000000000002E-5</v>
      </c>
      <c r="G61" s="89"/>
      <c r="H61" s="89"/>
      <c r="I61" s="9">
        <f t="shared" si="7"/>
        <v>1656213615682.6331</v>
      </c>
      <c r="J61" s="58">
        <f t="shared" si="2"/>
        <v>7.1221249556524171</v>
      </c>
      <c r="K61" s="58"/>
      <c r="L61" s="59"/>
      <c r="M61" s="66"/>
      <c r="N61" s="61">
        <f t="shared" si="3"/>
        <v>7.1221249556524171</v>
      </c>
      <c r="P61" s="37">
        <v>640</v>
      </c>
      <c r="Q61" s="63">
        <v>85.1</v>
      </c>
      <c r="R61" s="63">
        <v>-10.9</v>
      </c>
      <c r="S61" s="63">
        <v>6.7</v>
      </c>
      <c r="V61" s="64">
        <f t="shared" si="4"/>
        <v>168.36482258303516</v>
      </c>
      <c r="W61" s="56">
        <f t="shared" si="5"/>
        <v>7.5935511945253209</v>
      </c>
      <c r="Z61" s="9">
        <v>625</v>
      </c>
      <c r="AA61" s="9">
        <f t="shared" si="6"/>
        <v>1551757459809.3508</v>
      </c>
      <c r="AB61" s="65">
        <v>0.32100000000000001</v>
      </c>
      <c r="AG61" s="9">
        <v>640</v>
      </c>
      <c r="AH61" s="9">
        <v>2.8997194874428973</v>
      </c>
    </row>
    <row r="62" spans="1:34" ht="11.5">
      <c r="A62" s="9">
        <v>645</v>
      </c>
      <c r="B62" s="48">
        <f>'Color metric'!B56</f>
        <v>0.23150594451783355</v>
      </c>
      <c r="C62" s="56">
        <f t="shared" si="0"/>
        <v>2.3938364910517662</v>
      </c>
      <c r="D62" s="57">
        <f>xyzs!B59</f>
        <v>0.36080000000000001</v>
      </c>
      <c r="E62" s="57">
        <f>xyzs!C59</f>
        <v>0.13819999999999999</v>
      </c>
      <c r="F62" s="57">
        <f>xyzs!D59</f>
        <v>1.0000000000000001E-5</v>
      </c>
      <c r="G62" s="89"/>
      <c r="H62" s="89"/>
      <c r="I62" s="9">
        <f t="shared" si="7"/>
        <v>1690408941058.249</v>
      </c>
      <c r="J62" s="58">
        <f t="shared" si="2"/>
        <v>7.2691732457511247</v>
      </c>
      <c r="K62" s="58"/>
      <c r="L62" s="59"/>
      <c r="M62" s="66"/>
      <c r="N62" s="61">
        <f t="shared" si="3"/>
        <v>7.2691732457511247</v>
      </c>
      <c r="P62" s="37">
        <v>645</v>
      </c>
      <c r="Q62" s="63">
        <v>83.5</v>
      </c>
      <c r="R62" s="63">
        <v>-10.8</v>
      </c>
      <c r="S62" s="63">
        <v>7</v>
      </c>
      <c r="V62" s="64">
        <f t="shared" si="4"/>
        <v>169.49266167951288</v>
      </c>
      <c r="W62" s="56">
        <f t="shared" si="5"/>
        <v>7.6444187319770167</v>
      </c>
      <c r="Z62" s="9">
        <v>630</v>
      </c>
      <c r="AA62" s="9">
        <f t="shared" si="6"/>
        <v>1586865390981.1274</v>
      </c>
      <c r="AB62" s="65">
        <v>0.26500000000000001</v>
      </c>
      <c r="AG62" s="9">
        <v>645</v>
      </c>
      <c r="AH62" s="9">
        <v>2.8564231831063092</v>
      </c>
    </row>
    <row r="63" spans="1:34" ht="11.5">
      <c r="A63" s="9">
        <v>650</v>
      </c>
      <c r="B63" s="48">
        <f>'Color metric'!B57</f>
        <v>0.19815059445178335</v>
      </c>
      <c r="C63" s="56">
        <f t="shared" si="0"/>
        <v>2.0489328026120681</v>
      </c>
      <c r="D63" s="57">
        <f>xyzs!B60</f>
        <v>0.28349999999999997</v>
      </c>
      <c r="E63" s="57">
        <f>xyzs!C60</f>
        <v>0.107</v>
      </c>
      <c r="F63" s="57">
        <f>xyzs!D60</f>
        <v>0</v>
      </c>
      <c r="G63" s="89"/>
      <c r="H63" s="89"/>
      <c r="I63" s="9">
        <f t="shared" si="7"/>
        <v>1724256743463.366</v>
      </c>
      <c r="J63" s="58">
        <f t="shared" si="2"/>
        <v>7.4147271018001319</v>
      </c>
      <c r="K63" s="58"/>
      <c r="L63" s="59"/>
      <c r="M63" s="66"/>
      <c r="N63" s="61">
        <f t="shared" si="3"/>
        <v>7.4147271018001319</v>
      </c>
      <c r="P63" s="37">
        <v>650</v>
      </c>
      <c r="Q63" s="63">
        <v>81.900000000000006</v>
      </c>
      <c r="R63" s="63">
        <v>-10.7</v>
      </c>
      <c r="S63" s="63">
        <v>7.3</v>
      </c>
      <c r="V63" s="64">
        <f t="shared" si="4"/>
        <v>170.62050077599059</v>
      </c>
      <c r="W63" s="56">
        <f t="shared" si="5"/>
        <v>7.6952862694287125</v>
      </c>
      <c r="Z63" s="9">
        <v>635</v>
      </c>
      <c r="AA63" s="9">
        <f t="shared" si="6"/>
        <v>1621691768800.2559</v>
      </c>
      <c r="AB63" s="65">
        <v>0.217</v>
      </c>
      <c r="AG63" s="9">
        <v>650</v>
      </c>
      <c r="AH63" s="9">
        <v>2.8131268787697215</v>
      </c>
    </row>
    <row r="64" spans="1:34" ht="11.5">
      <c r="A64" s="9">
        <v>655</v>
      </c>
      <c r="B64" s="48">
        <f>'Color metric'!B58</f>
        <v>0.16875825627476884</v>
      </c>
      <c r="C64" s="56">
        <f t="shared" si="0"/>
        <v>1.7450077702246116</v>
      </c>
      <c r="D64" s="57">
        <f>xyzs!B61</f>
        <v>0.21870000000000001</v>
      </c>
      <c r="E64" s="57">
        <f>xyzs!C61</f>
        <v>8.1600000000000006E-2</v>
      </c>
      <c r="F64" s="57">
        <f>xyzs!D61</f>
        <v>0</v>
      </c>
      <c r="G64" s="89"/>
      <c r="H64" s="89"/>
      <c r="I64" s="9">
        <f t="shared" si="7"/>
        <v>1757737009860.3293</v>
      </c>
      <c r="J64" s="58">
        <f t="shared" si="2"/>
        <v>7.5587004628266463</v>
      </c>
      <c r="K64" s="58"/>
      <c r="L64" s="59"/>
      <c r="M64" s="66"/>
      <c r="N64" s="61">
        <f t="shared" si="3"/>
        <v>7.5587004628266463</v>
      </c>
      <c r="P64" s="37">
        <v>655</v>
      </c>
      <c r="Q64" s="63">
        <v>82.25</v>
      </c>
      <c r="R64" s="63">
        <v>-11.35</v>
      </c>
      <c r="S64" s="63">
        <v>7.95</v>
      </c>
      <c r="V64" s="64">
        <f t="shared" si="4"/>
        <v>178.35523544730364</v>
      </c>
      <c r="W64" s="56">
        <f t="shared" si="5"/>
        <v>8.0441364793573271</v>
      </c>
      <c r="Z64" s="9">
        <v>640</v>
      </c>
      <c r="AA64" s="9">
        <f t="shared" si="6"/>
        <v>1656213615682.6331</v>
      </c>
      <c r="AB64" s="65">
        <v>0.17499999999999999</v>
      </c>
      <c r="AG64" s="9">
        <v>655</v>
      </c>
      <c r="AH64" s="9">
        <v>2.7899594345218888</v>
      </c>
    </row>
    <row r="65" spans="1:34" ht="11.5">
      <c r="A65" s="9">
        <v>660</v>
      </c>
      <c r="B65" s="48">
        <f>'Color metric'!B59</f>
        <v>0.14398943196829592</v>
      </c>
      <c r="C65" s="56">
        <f t="shared" si="0"/>
        <v>1.4888911698981031</v>
      </c>
      <c r="D65" s="57">
        <f>xyzs!B62</f>
        <v>0.16489999999999999</v>
      </c>
      <c r="E65" s="57">
        <f>xyzs!C62</f>
        <v>6.0999999999999999E-2</v>
      </c>
      <c r="F65" s="57">
        <f>xyzs!D62</f>
        <v>0</v>
      </c>
      <c r="G65" s="89"/>
      <c r="H65" s="89"/>
      <c r="I65" s="9">
        <f t="shared" si="7"/>
        <v>1790830712382.4133</v>
      </c>
      <c r="J65" s="58">
        <f t="shared" si="2"/>
        <v>7.7010115043346135</v>
      </c>
      <c r="K65" s="58"/>
      <c r="L65" s="59"/>
      <c r="M65" s="66"/>
      <c r="N65" s="61">
        <f t="shared" si="3"/>
        <v>7.7010115043346135</v>
      </c>
      <c r="P65" s="37">
        <v>660</v>
      </c>
      <c r="Q65" s="63">
        <v>82.6</v>
      </c>
      <c r="R65" s="63">
        <v>-12</v>
      </c>
      <c r="S65" s="63">
        <v>8.6</v>
      </c>
      <c r="V65" s="64">
        <f t="shared" si="4"/>
        <v>186.08997011861663</v>
      </c>
      <c r="W65" s="56">
        <f t="shared" si="5"/>
        <v>8.3929866892859373</v>
      </c>
      <c r="Z65" s="9">
        <v>645</v>
      </c>
      <c r="AA65" s="9">
        <f t="shared" si="6"/>
        <v>1690408941058.249</v>
      </c>
      <c r="AB65" s="65">
        <v>0.13800000000000001</v>
      </c>
      <c r="AG65" s="9">
        <v>660</v>
      </c>
      <c r="AH65" s="9">
        <v>2.7667919902740556</v>
      </c>
    </row>
    <row r="66" spans="1:34" ht="11.5">
      <c r="A66" s="9">
        <v>665</v>
      </c>
      <c r="B66" s="48">
        <f>'Color metric'!B60</f>
        <v>0.12186261558784675</v>
      </c>
      <c r="C66" s="56">
        <f t="shared" si="0"/>
        <v>1.2600936736064219</v>
      </c>
      <c r="D66" s="57">
        <f>xyzs!B63</f>
        <v>0.1212</v>
      </c>
      <c r="E66" s="57">
        <f>xyzs!C63</f>
        <v>4.4580000000000002E-2</v>
      </c>
      <c r="F66" s="57">
        <f>xyzs!D63</f>
        <v>0</v>
      </c>
      <c r="G66" s="89"/>
      <c r="H66" s="89"/>
      <c r="I66" s="9">
        <f t="shared" si="7"/>
        <v>1823519802695.9033</v>
      </c>
      <c r="J66" s="58">
        <f t="shared" si="2"/>
        <v>7.8415826140602896</v>
      </c>
      <c r="K66" s="58"/>
      <c r="L66" s="59"/>
      <c r="M66" s="66"/>
      <c r="N66" s="61">
        <f t="shared" si="3"/>
        <v>7.8415826140602896</v>
      </c>
      <c r="P66" s="37">
        <v>665</v>
      </c>
      <c r="Q66" s="63">
        <v>83.75</v>
      </c>
      <c r="R66" s="63">
        <v>-13</v>
      </c>
      <c r="S66" s="63">
        <v>9.1999999999999993</v>
      </c>
      <c r="V66" s="64">
        <f t="shared" si="4"/>
        <v>194.73714825934155</v>
      </c>
      <c r="W66" s="56">
        <f t="shared" si="5"/>
        <v>8.7829897130315366</v>
      </c>
      <c r="Z66" s="9">
        <v>650</v>
      </c>
      <c r="AA66" s="9">
        <f t="shared" si="6"/>
        <v>1724256743463.366</v>
      </c>
      <c r="AB66" s="65">
        <v>0.107</v>
      </c>
      <c r="AG66" s="9">
        <v>665</v>
      </c>
      <c r="AH66" s="9">
        <v>2.7365259090711769</v>
      </c>
    </row>
    <row r="67" spans="1:34" ht="11.5">
      <c r="A67" s="9">
        <v>670</v>
      </c>
      <c r="B67" s="48">
        <f>'Color metric'!B61</f>
        <v>0.10336856010568031</v>
      </c>
      <c r="C67" s="56">
        <f t="shared" si="0"/>
        <v>1.0688599453626288</v>
      </c>
      <c r="D67" s="57">
        <f>xyzs!B64</f>
        <v>8.7400000000000005E-2</v>
      </c>
      <c r="E67" s="57">
        <f>xyzs!C64</f>
        <v>3.2000000000000001E-2</v>
      </c>
      <c r="F67" s="57">
        <f>xyzs!D64</f>
        <v>0</v>
      </c>
      <c r="G67" s="89"/>
      <c r="H67" s="89"/>
      <c r="I67" s="9">
        <f t="shared" si="7"/>
        <v>1855787204165.8174</v>
      </c>
      <c r="J67" s="58">
        <f t="shared" si="2"/>
        <v>7.9803403582829207</v>
      </c>
      <c r="K67" s="58"/>
      <c r="L67" s="59"/>
      <c r="M67" s="66"/>
      <c r="N67" s="61">
        <f t="shared" si="3"/>
        <v>7.9803403582829207</v>
      </c>
      <c r="P67" s="37">
        <v>670</v>
      </c>
      <c r="Q67" s="63">
        <v>84.9</v>
      </c>
      <c r="R67" s="63">
        <v>-14</v>
      </c>
      <c r="S67" s="63">
        <v>9.8000000000000007</v>
      </c>
      <c r="V67" s="64">
        <f t="shared" si="4"/>
        <v>203.38432640006653</v>
      </c>
      <c r="W67" s="56">
        <f t="shared" si="5"/>
        <v>9.172992736777136</v>
      </c>
      <c r="Z67" s="9">
        <v>655</v>
      </c>
      <c r="AA67" s="9">
        <f t="shared" si="6"/>
        <v>1757737009860.3293</v>
      </c>
      <c r="AB67" s="65">
        <v>8.1600000000000006E-2</v>
      </c>
      <c r="AG67" s="9">
        <v>670</v>
      </c>
      <c r="AH67" s="9">
        <v>2.7062598278682986</v>
      </c>
    </row>
    <row r="68" spans="1:34" ht="11.5">
      <c r="A68" s="9">
        <v>675</v>
      </c>
      <c r="B68" s="48">
        <f>'Color metric'!B62</f>
        <v>8.7186261558784672E-2</v>
      </c>
      <c r="C68" s="56">
        <f t="shared" si="0"/>
        <v>0.90153043314930992</v>
      </c>
      <c r="D68" s="57">
        <f>xyzs!B65</f>
        <v>6.3600000000000004E-2</v>
      </c>
      <c r="E68" s="57">
        <f>xyzs!C65</f>
        <v>2.3199999999999998E-2</v>
      </c>
      <c r="F68" s="57">
        <f>xyzs!D65</f>
        <v>0</v>
      </c>
      <c r="G68" s="89"/>
      <c r="H68" s="89"/>
      <c r="I68" s="9">
        <f t="shared" si="7"/>
        <v>1887616802005.4771</v>
      </c>
      <c r="J68" s="58">
        <f t="shared" si="2"/>
        <v>8.1172154394654807</v>
      </c>
      <c r="K68" s="58"/>
      <c r="L68" s="59"/>
      <c r="M68" s="66"/>
      <c r="N68" s="61">
        <f t="shared" si="3"/>
        <v>8.1172154394654807</v>
      </c>
      <c r="P68" s="37">
        <v>675</v>
      </c>
      <c r="Q68" s="63">
        <v>83.1</v>
      </c>
      <c r="R68" s="63">
        <v>-13.8</v>
      </c>
      <c r="S68" s="63">
        <v>10</v>
      </c>
      <c r="V68" s="64">
        <f t="shared" si="4"/>
        <v>203.17605247018838</v>
      </c>
      <c r="W68" s="56">
        <f t="shared" si="5"/>
        <v>9.1635992142778946</v>
      </c>
      <c r="Z68" s="9">
        <v>660</v>
      </c>
      <c r="AA68" s="9">
        <f t="shared" si="6"/>
        <v>1790830712382.4133</v>
      </c>
      <c r="AB68" s="65">
        <v>6.0999999999999999E-2</v>
      </c>
      <c r="AG68" s="9">
        <v>675</v>
      </c>
      <c r="AH68" s="9">
        <v>2.6600404755144469</v>
      </c>
    </row>
    <row r="69" spans="1:34" ht="11.5">
      <c r="A69" s="9">
        <v>680</v>
      </c>
      <c r="B69" s="48">
        <f>'Color metric'!B63</f>
        <v>7.3976221928665792E-2</v>
      </c>
      <c r="C69" s="56">
        <f t="shared" ref="C69:C99" si="8">B69/$C$1*100</f>
        <v>0.76493491297517224</v>
      </c>
      <c r="D69" s="57">
        <f>xyzs!B66</f>
        <v>4.6769999999999999E-2</v>
      </c>
      <c r="E69" s="57">
        <f>xyzs!C66</f>
        <v>1.7000000000000001E-2</v>
      </c>
      <c r="F69" s="57">
        <f>xyzs!D66</f>
        <v>0</v>
      </c>
      <c r="G69" s="89"/>
      <c r="H69" s="89"/>
      <c r="I69" s="9">
        <f t="shared" si="7"/>
        <v>1918993431583.5786</v>
      </c>
      <c r="J69" s="58">
        <f t="shared" si="2"/>
        <v>8.2521426459722047</v>
      </c>
      <c r="K69" s="58"/>
      <c r="L69" s="59"/>
      <c r="M69" s="66"/>
      <c r="N69" s="61">
        <f t="shared" si="3"/>
        <v>8.2521426459722047</v>
      </c>
      <c r="P69" s="37">
        <v>680</v>
      </c>
      <c r="Q69" s="63">
        <v>81.3</v>
      </c>
      <c r="R69" s="63">
        <v>-13.6</v>
      </c>
      <c r="S69" s="63">
        <v>10.199999999999999</v>
      </c>
      <c r="V69" s="64">
        <f t="shared" si="4"/>
        <v>202.96777854031023</v>
      </c>
      <c r="W69" s="56">
        <f t="shared" si="5"/>
        <v>9.1542056917786532</v>
      </c>
      <c r="Z69" s="9">
        <v>665</v>
      </c>
      <c r="AA69" s="9">
        <f t="shared" si="6"/>
        <v>1823519802695.9033</v>
      </c>
      <c r="AB69" s="65">
        <v>4.4580000000000002E-2</v>
      </c>
      <c r="AG69" s="9">
        <v>680</v>
      </c>
      <c r="AH69" s="9">
        <v>2.6138211231605961</v>
      </c>
    </row>
    <row r="70" spans="1:34" ht="11.5">
      <c r="A70" s="9">
        <v>685</v>
      </c>
      <c r="B70" s="48">
        <f>'Color metric'!B64</f>
        <v>6.3077939233817701E-2</v>
      </c>
      <c r="C70" s="56">
        <f t="shared" si="8"/>
        <v>0.65224360883150845</v>
      </c>
      <c r="D70" s="57">
        <f>xyzs!B67</f>
        <v>3.2899999999999999E-2</v>
      </c>
      <c r="E70" s="57">
        <f>xyzs!C67</f>
        <v>1.192E-2</v>
      </c>
      <c r="F70" s="57">
        <f>xyzs!D67</f>
        <v>0</v>
      </c>
      <c r="G70" s="89"/>
      <c r="H70" s="89"/>
      <c r="I70" s="9">
        <f t="shared" si="7"/>
        <v>1949902865055.5864</v>
      </c>
      <c r="J70" s="58">
        <f t="shared" ref="J70:J99" si="9">I70/$I$101*100</f>
        <v>8.3850607945803048</v>
      </c>
      <c r="K70" s="58"/>
      <c r="L70" s="59"/>
      <c r="M70" s="66"/>
      <c r="N70" s="61">
        <f t="shared" ref="N70:N99" si="10">J70*$U$23+W70*$U$24</f>
        <v>8.3850607945803048</v>
      </c>
      <c r="P70" s="37">
        <v>685</v>
      </c>
      <c r="Q70" s="63">
        <v>76.599999999999994</v>
      </c>
      <c r="R70" s="63">
        <v>-12.8</v>
      </c>
      <c r="S70" s="63">
        <v>9.25</v>
      </c>
      <c r="V70" s="64">
        <f t="shared" ref="V70:V99" si="11">Q70+R70*U$15+S70*U$16</f>
        <v>187.72989228340086</v>
      </c>
      <c r="W70" s="56">
        <f t="shared" ref="W70:W99" si="12">V70/$V$1*100</f>
        <v>8.4669500785633147</v>
      </c>
      <c r="Z70" s="9">
        <v>670</v>
      </c>
      <c r="AA70" s="9">
        <f t="shared" si="6"/>
        <v>1855787204165.8174</v>
      </c>
      <c r="AB70" s="65">
        <v>3.2000000000000001E-2</v>
      </c>
      <c r="AG70" s="9">
        <v>685</v>
      </c>
      <c r="AH70" s="9">
        <v>2.4446753371894583</v>
      </c>
    </row>
    <row r="71" spans="1:34" ht="11.5">
      <c r="A71" s="9">
        <v>690</v>
      </c>
      <c r="B71" s="48">
        <f>'Color metric'!B65</f>
        <v>5.6142668428005284E-2</v>
      </c>
      <c r="C71" s="56">
        <f t="shared" si="8"/>
        <v>0.58053096074008592</v>
      </c>
      <c r="D71" s="57">
        <f>xyzs!B68</f>
        <v>2.2700000000000001E-2</v>
      </c>
      <c r="E71" s="57">
        <f>xyzs!C68</f>
        <v>8.2100000000000003E-3</v>
      </c>
      <c r="F71" s="57">
        <f>xyzs!D68</f>
        <v>0</v>
      </c>
      <c r="G71" s="89"/>
      <c r="H71" s="89"/>
      <c r="I71" s="9">
        <f t="shared" si="7"/>
        <v>1980331796479.2759</v>
      </c>
      <c r="J71" s="58">
        <f t="shared" si="9"/>
        <v>8.5159126664731541</v>
      </c>
      <c r="K71" s="58"/>
      <c r="L71" s="59"/>
      <c r="M71" s="66"/>
      <c r="N71" s="61">
        <f t="shared" si="10"/>
        <v>8.5159126664731541</v>
      </c>
      <c r="P71" s="37">
        <v>690</v>
      </c>
      <c r="Q71" s="63">
        <v>71.900000000000006</v>
      </c>
      <c r="R71" s="63">
        <v>-12</v>
      </c>
      <c r="S71" s="63">
        <v>8.3000000000000007</v>
      </c>
      <c r="V71" s="64">
        <f t="shared" si="11"/>
        <v>172.49200602649148</v>
      </c>
      <c r="W71" s="56">
        <f t="shared" si="12"/>
        <v>7.7796944653479789</v>
      </c>
      <c r="Z71" s="9">
        <v>675</v>
      </c>
      <c r="AA71" s="9">
        <f t="shared" si="6"/>
        <v>1887616802005.4771</v>
      </c>
      <c r="AB71" s="65">
        <v>2.3199999999999998E-2</v>
      </c>
      <c r="AG71" s="9">
        <v>690</v>
      </c>
      <c r="AH71" s="9">
        <v>2.2755295512183218</v>
      </c>
    </row>
    <row r="72" spans="1:34" ht="11.5">
      <c r="A72" s="9">
        <v>695</v>
      </c>
      <c r="B72" s="48">
        <f>'Color metric'!B66</f>
        <v>4.590488771466314E-2</v>
      </c>
      <c r="C72" s="56">
        <f t="shared" si="8"/>
        <v>0.47466943260512912</v>
      </c>
      <c r="D72" s="57">
        <f>xyzs!B69</f>
        <v>1.584E-2</v>
      </c>
      <c r="E72" s="57">
        <f>xyzs!C69</f>
        <v>5.7229999999999998E-3</v>
      </c>
      <c r="F72" s="57">
        <f>xyzs!D69</f>
        <v>0</v>
      </c>
      <c r="G72" s="89"/>
      <c r="H72" s="89"/>
      <c r="I72" s="9">
        <f t="shared" si="7"/>
        <v>2010267825567.0933</v>
      </c>
      <c r="J72" s="58">
        <f t="shared" si="9"/>
        <v>8.6446449373714369</v>
      </c>
      <c r="K72" s="58"/>
      <c r="L72" s="59"/>
      <c r="M72" s="66"/>
      <c r="N72" s="61">
        <f t="shared" si="10"/>
        <v>8.6446449373714369</v>
      </c>
      <c r="P72" s="37">
        <v>695</v>
      </c>
      <c r="Q72" s="63">
        <v>73.099999999999994</v>
      </c>
      <c r="R72" s="63">
        <v>-12.65</v>
      </c>
      <c r="S72" s="63">
        <v>8.9499999999999993</v>
      </c>
      <c r="V72" s="64">
        <f t="shared" si="11"/>
        <v>181.0767406978045</v>
      </c>
      <c r="W72" s="56">
        <f t="shared" si="12"/>
        <v>8.1668811782130248</v>
      </c>
      <c r="Z72" s="9">
        <v>680</v>
      </c>
      <c r="AA72" s="9">
        <f t="shared" si="6"/>
        <v>1918993431583.5786</v>
      </c>
      <c r="AB72" s="65">
        <v>1.7000000000000001E-2</v>
      </c>
      <c r="AG72" s="9">
        <v>695</v>
      </c>
      <c r="AH72" s="9">
        <v>2.290090704766313</v>
      </c>
    </row>
    <row r="73" spans="1:34" ht="11.5">
      <c r="A73" s="9">
        <v>700</v>
      </c>
      <c r="B73" s="48">
        <f>'Color metric'!B67</f>
        <v>3.8969616908850722E-2</v>
      </c>
      <c r="C73" s="56">
        <f t="shared" si="8"/>
        <v>0.40295678451370665</v>
      </c>
      <c r="D73" s="57">
        <f>xyzs!B70</f>
        <v>1.135916E-2</v>
      </c>
      <c r="E73" s="57">
        <f>xyzs!C70</f>
        <v>4.1019999999999997E-3</v>
      </c>
      <c r="F73" s="57">
        <f>xyzs!D70</f>
        <v>0</v>
      </c>
      <c r="G73" s="89"/>
      <c r="H73" s="89"/>
      <c r="I73" s="9">
        <f t="shared" si="7"/>
        <v>2039699440220.8076</v>
      </c>
      <c r="J73" s="58">
        <f t="shared" si="9"/>
        <v>8.7712081024278774</v>
      </c>
      <c r="K73" s="58"/>
      <c r="L73" s="59"/>
      <c r="M73" s="66"/>
      <c r="N73" s="61">
        <f t="shared" si="10"/>
        <v>8.7712081024278774</v>
      </c>
      <c r="P73" s="37">
        <v>700</v>
      </c>
      <c r="Q73" s="63">
        <v>74.3</v>
      </c>
      <c r="R73" s="63">
        <v>-13.3</v>
      </c>
      <c r="S73" s="63">
        <v>9.6</v>
      </c>
      <c r="V73" s="64">
        <f t="shared" si="11"/>
        <v>189.66147536911751</v>
      </c>
      <c r="W73" s="56">
        <f t="shared" si="12"/>
        <v>8.5540678910780681</v>
      </c>
      <c r="Z73" s="9">
        <v>685</v>
      </c>
      <c r="AA73" s="9">
        <f t="shared" si="6"/>
        <v>1949902865055.5864</v>
      </c>
      <c r="AB73" s="65">
        <v>1.192E-2</v>
      </c>
      <c r="AG73" s="9">
        <v>700</v>
      </c>
      <c r="AH73" s="9">
        <v>2.3046518583143065</v>
      </c>
    </row>
    <row r="74" spans="1:34" ht="11.5">
      <c r="A74" s="9">
        <v>705</v>
      </c>
      <c r="B74" s="48">
        <f>'Color metric'!B68</f>
        <v>3.4015852047556146E-2</v>
      </c>
      <c r="C74" s="56">
        <f t="shared" si="8"/>
        <v>0.35173346444840509</v>
      </c>
      <c r="D74" s="57">
        <f>xyzs!B71</f>
        <v>8.1109159999999993E-3</v>
      </c>
      <c r="E74" s="57">
        <f>xyzs!C71</f>
        <v>2.9290000000000002E-3</v>
      </c>
      <c r="F74" s="57">
        <f>xyzs!D71</f>
        <v>0</v>
      </c>
      <c r="G74" s="89"/>
      <c r="H74" s="89"/>
      <c r="I74" s="9">
        <f t="shared" si="7"/>
        <v>2068615997986.6592</v>
      </c>
      <c r="J74" s="58">
        <f t="shared" si="9"/>
        <v>8.8955563964798205</v>
      </c>
      <c r="K74" s="58"/>
      <c r="L74" s="59"/>
      <c r="M74" s="66"/>
      <c r="N74" s="61">
        <f t="shared" si="10"/>
        <v>8.8955563964798205</v>
      </c>
      <c r="P74" s="37">
        <v>705</v>
      </c>
      <c r="Q74" s="63">
        <v>75.349999999999994</v>
      </c>
      <c r="R74" s="63">
        <v>-13.1</v>
      </c>
      <c r="S74" s="63">
        <v>9.0500000000000007</v>
      </c>
      <c r="V74" s="64">
        <f t="shared" si="11"/>
        <v>185.05829120892645</v>
      </c>
      <c r="W74" s="56">
        <f t="shared" si="12"/>
        <v>8.3464561462850035</v>
      </c>
      <c r="Z74" s="9">
        <v>690</v>
      </c>
      <c r="AA74" s="9">
        <f t="shared" si="6"/>
        <v>1980331796479.2759</v>
      </c>
      <c r="AB74" s="65">
        <v>8.2100000000000003E-3</v>
      </c>
      <c r="AG74" s="9">
        <v>705</v>
      </c>
      <c r="AH74" s="9">
        <v>2.3441193433286736</v>
      </c>
    </row>
    <row r="75" spans="1:34" ht="11.5">
      <c r="A75" s="9">
        <v>710</v>
      </c>
      <c r="B75" s="48">
        <f>'Color metric'!B69</f>
        <v>2.9062087186261559E-2</v>
      </c>
      <c r="C75" s="56">
        <f t="shared" si="8"/>
        <v>0.30051014438310331</v>
      </c>
      <c r="D75" s="57">
        <f>xyzs!B72</f>
        <v>5.790346E-3</v>
      </c>
      <c r="E75" s="57">
        <f>xyzs!C72</f>
        <v>2.091E-3</v>
      </c>
      <c r="F75" s="57">
        <f>xyzs!D72</f>
        <v>0</v>
      </c>
      <c r="G75" s="89"/>
      <c r="H75" s="89"/>
      <c r="I75" s="9">
        <f t="shared" si="7"/>
        <v>2097007706562.0691</v>
      </c>
      <c r="J75" s="58">
        <f t="shared" si="9"/>
        <v>9.0176477102233026</v>
      </c>
      <c r="K75" s="58"/>
      <c r="L75" s="59"/>
      <c r="M75" s="66"/>
      <c r="N75" s="61">
        <f t="shared" si="10"/>
        <v>9.0176477102233026</v>
      </c>
      <c r="P75" s="37">
        <v>710</v>
      </c>
      <c r="Q75" s="63">
        <v>76.400000000000006</v>
      </c>
      <c r="R75" s="63">
        <v>-12.9</v>
      </c>
      <c r="S75" s="63">
        <v>8.5</v>
      </c>
      <c r="V75" s="64">
        <f t="shared" si="11"/>
        <v>180.45510704873539</v>
      </c>
      <c r="W75" s="56">
        <f t="shared" si="12"/>
        <v>8.1388444014919372</v>
      </c>
      <c r="Z75" s="9">
        <v>695</v>
      </c>
      <c r="AA75" s="9">
        <f t="shared" si="6"/>
        <v>2010267825567.0933</v>
      </c>
      <c r="AB75" s="65">
        <v>5.7229999999999998E-3</v>
      </c>
      <c r="AG75" s="9">
        <v>710</v>
      </c>
      <c r="AH75" s="9">
        <v>2.3835868283430419</v>
      </c>
    </row>
    <row r="76" spans="1:34" ht="11.5">
      <c r="A76" s="9">
        <v>715</v>
      </c>
      <c r="B76" s="48">
        <f>'Color metric'!B70</f>
        <v>2.4438573315719945E-2</v>
      </c>
      <c r="C76" s="56">
        <f t="shared" si="8"/>
        <v>0.25270171232215505</v>
      </c>
      <c r="D76" s="57">
        <f>xyzs!B73</f>
        <v>4.1094570000000004E-3</v>
      </c>
      <c r="E76" s="57">
        <f>xyzs!C73</f>
        <v>1.4840000000000001E-3</v>
      </c>
      <c r="F76" s="57">
        <f>xyzs!D73</f>
        <v>0</v>
      </c>
      <c r="G76" s="89"/>
      <c r="H76" s="89"/>
      <c r="I76" s="9">
        <f t="shared" si="7"/>
        <v>2124865603477.7395</v>
      </c>
      <c r="J76" s="58">
        <f t="shared" si="9"/>
        <v>9.1374435028411014</v>
      </c>
      <c r="K76" s="58"/>
      <c r="L76" s="59"/>
      <c r="M76" s="66"/>
      <c r="N76" s="61">
        <f t="shared" si="10"/>
        <v>9.1374435028411014</v>
      </c>
      <c r="P76" s="37">
        <v>715</v>
      </c>
      <c r="Q76" s="63">
        <v>69.849999999999994</v>
      </c>
      <c r="R76" s="63">
        <v>-11.75</v>
      </c>
      <c r="S76" s="63">
        <v>7.75</v>
      </c>
      <c r="V76" s="64">
        <f t="shared" si="11"/>
        <v>164.70375936847665</v>
      </c>
      <c r="W76" s="56">
        <f t="shared" si="12"/>
        <v>7.4284307702013326</v>
      </c>
      <c r="Z76" s="9">
        <v>700</v>
      </c>
      <c r="AA76" s="9">
        <f t="shared" si="6"/>
        <v>2039699440220.8076</v>
      </c>
      <c r="AB76" s="65">
        <v>4.1019999999999997E-3</v>
      </c>
      <c r="AG76" s="9">
        <v>715</v>
      </c>
      <c r="AH76" s="9">
        <v>2.1830967507450763</v>
      </c>
    </row>
    <row r="77" spans="1:34" ht="11.5">
      <c r="A77" s="9">
        <v>720</v>
      </c>
      <c r="B77" s="48">
        <f>'Color metric'!B71</f>
        <v>2.1136063408190225E-2</v>
      </c>
      <c r="C77" s="56">
        <f t="shared" si="8"/>
        <v>0.2185528322786206</v>
      </c>
      <c r="D77" s="57">
        <f>xyzs!B74</f>
        <v>2.8993270000000002E-3</v>
      </c>
      <c r="E77" s="57">
        <f>xyzs!C74</f>
        <v>1.047E-3</v>
      </c>
      <c r="F77" s="57">
        <f>xyzs!D74</f>
        <v>0</v>
      </c>
      <c r="G77" s="89"/>
      <c r="H77" s="89"/>
      <c r="I77" s="9">
        <f t="shared" si="7"/>
        <v>2152181535071.98</v>
      </c>
      <c r="J77" s="58">
        <f t="shared" si="9"/>
        <v>9.2549087115871647</v>
      </c>
      <c r="K77" s="58"/>
      <c r="L77" s="59"/>
      <c r="M77" s="66"/>
      <c r="N77" s="61">
        <f t="shared" si="10"/>
        <v>9.2549087115871647</v>
      </c>
      <c r="P77" s="37">
        <v>720</v>
      </c>
      <c r="Q77" s="63">
        <v>63.3</v>
      </c>
      <c r="R77" s="63">
        <v>-10.6</v>
      </c>
      <c r="S77" s="63">
        <v>7</v>
      </c>
      <c r="V77" s="64">
        <f t="shared" si="11"/>
        <v>148.95241168821795</v>
      </c>
      <c r="W77" s="56">
        <f t="shared" si="12"/>
        <v>6.7180171389107297</v>
      </c>
      <c r="Z77" s="9">
        <v>705</v>
      </c>
      <c r="AA77" s="9">
        <f t="shared" ref="AA77:AA92" si="13">$AA$8/((Z77*0.000000001)^5)/(EXP($AA$9/(Z77*0.000000001*$U$3))-1)</f>
        <v>2068615997986.6592</v>
      </c>
      <c r="AB77" s="65">
        <v>2.9290000000000002E-3</v>
      </c>
      <c r="AG77" s="9">
        <v>720</v>
      </c>
      <c r="AH77" s="9">
        <v>1.9826066731471106</v>
      </c>
    </row>
    <row r="78" spans="1:34" ht="11.5">
      <c r="A78" s="9">
        <v>725</v>
      </c>
      <c r="B78" s="48">
        <f>'Color metric'!B72</f>
        <v>1.7833553500660501E-2</v>
      </c>
      <c r="C78" s="56">
        <f t="shared" si="8"/>
        <v>0.18440395223508613</v>
      </c>
      <c r="D78" s="57">
        <f>xyzs!B75</f>
        <v>2.0491900000000002E-3</v>
      </c>
      <c r="E78" s="57">
        <f>xyzs!C75</f>
        <v>7.3999999999999999E-4</v>
      </c>
      <c r="F78" s="57">
        <f>xyzs!D75</f>
        <v>0</v>
      </c>
      <c r="G78" s="89"/>
      <c r="H78" s="89"/>
      <c r="I78" s="9">
        <f t="shared" si="7"/>
        <v>2178948134867.1865</v>
      </c>
      <c r="J78" s="58">
        <f t="shared" si="9"/>
        <v>9.3700116588001841</v>
      </c>
      <c r="K78" s="58"/>
      <c r="L78" s="59"/>
      <c r="M78" s="66"/>
      <c r="N78" s="61">
        <f t="shared" si="10"/>
        <v>9.3700116588001841</v>
      </c>
      <c r="P78" s="37">
        <v>725</v>
      </c>
      <c r="Q78" s="63">
        <v>67.5</v>
      </c>
      <c r="R78" s="63">
        <v>-11.1</v>
      </c>
      <c r="S78" s="63">
        <v>7.3</v>
      </c>
      <c r="V78" s="64">
        <f t="shared" si="11"/>
        <v>156.90100075858044</v>
      </c>
      <c r="W78" s="56">
        <f t="shared" si="12"/>
        <v>7.0765125603653765</v>
      </c>
      <c r="Z78" s="9">
        <v>710</v>
      </c>
      <c r="AA78" s="9">
        <f t="shared" si="13"/>
        <v>2097007706562.0691</v>
      </c>
      <c r="AB78" s="65">
        <v>2.091E-3</v>
      </c>
      <c r="AG78" s="9">
        <v>725</v>
      </c>
      <c r="AH78" s="9">
        <v>2.1283750054984547</v>
      </c>
    </row>
    <row r="79" spans="1:34" ht="11.5">
      <c r="A79" s="9">
        <v>730</v>
      </c>
      <c r="B79" s="48">
        <f>'Color metric'!B73</f>
        <v>1.6182298546895641E-2</v>
      </c>
      <c r="C79" s="56">
        <f t="shared" si="8"/>
        <v>0.1673295122133189</v>
      </c>
      <c r="D79" s="57">
        <f>xyzs!B76</f>
        <v>1.439971E-3</v>
      </c>
      <c r="E79" s="57">
        <f>xyzs!C76</f>
        <v>5.1999999999999995E-4</v>
      </c>
      <c r="F79" s="57">
        <f>xyzs!D76</f>
        <v>0</v>
      </c>
      <c r="G79" s="89"/>
      <c r="H79" s="89"/>
      <c r="I79" s="9">
        <f t="shared" si="7"/>
        <v>2205158801451.5684</v>
      </c>
      <c r="J79" s="58">
        <f t="shared" si="9"/>
        <v>9.4827239567895774</v>
      </c>
      <c r="K79" s="58"/>
      <c r="L79" s="59"/>
      <c r="M79" s="66"/>
      <c r="N79" s="61">
        <f t="shared" si="10"/>
        <v>9.4827239567895774</v>
      </c>
      <c r="P79" s="37">
        <v>730</v>
      </c>
      <c r="Q79" s="63">
        <v>71.7</v>
      </c>
      <c r="R79" s="63">
        <v>-11.6</v>
      </c>
      <c r="S79" s="63">
        <v>7.6</v>
      </c>
      <c r="V79" s="64">
        <f t="shared" si="11"/>
        <v>164.8495898289429</v>
      </c>
      <c r="W79" s="56">
        <f t="shared" si="12"/>
        <v>7.4350079818200214</v>
      </c>
      <c r="Z79" s="9">
        <v>715</v>
      </c>
      <c r="AA79" s="9">
        <f t="shared" si="13"/>
        <v>2124865603477.7395</v>
      </c>
      <c r="AB79" s="65">
        <v>1.4840000000000001E-3</v>
      </c>
      <c r="AG79" s="9">
        <v>730</v>
      </c>
      <c r="AH79" s="9">
        <v>2.2741433378497988</v>
      </c>
    </row>
    <row r="80" spans="1:34" ht="11.5">
      <c r="A80" s="9">
        <v>735</v>
      </c>
      <c r="B80" s="48">
        <f>'Color metric'!B74</f>
        <v>1.5191545574636724E-2</v>
      </c>
      <c r="C80" s="56">
        <f t="shared" si="8"/>
        <v>0.15708484820025856</v>
      </c>
      <c r="D80" s="57">
        <f>xyzs!B77</f>
        <v>9.9994930000000008E-4</v>
      </c>
      <c r="E80" s="57">
        <f>xyzs!C77</f>
        <v>3.611E-4</v>
      </c>
      <c r="F80" s="57">
        <f>xyzs!D77</f>
        <v>0</v>
      </c>
      <c r="G80" s="89"/>
      <c r="H80" s="89"/>
      <c r="I80" s="9">
        <f t="shared" si="7"/>
        <v>2230807675962.6792</v>
      </c>
      <c r="J80" s="58">
        <f t="shared" si="9"/>
        <v>9.593020411009153</v>
      </c>
      <c r="K80" s="58"/>
      <c r="L80" s="59"/>
      <c r="M80" s="66"/>
      <c r="N80" s="61">
        <f t="shared" si="10"/>
        <v>9.593020411009153</v>
      </c>
      <c r="P80" s="37">
        <v>735</v>
      </c>
      <c r="Q80" s="63">
        <v>74.349999999999994</v>
      </c>
      <c r="R80" s="63">
        <v>-11.9</v>
      </c>
      <c r="S80" s="63">
        <v>7.8</v>
      </c>
      <c r="V80" s="64">
        <f t="shared" si="11"/>
        <v>169.94194087730205</v>
      </c>
      <c r="W80" s="56">
        <f t="shared" si="12"/>
        <v>7.6646820181950428</v>
      </c>
      <c r="Z80" s="9">
        <v>720</v>
      </c>
      <c r="AA80" s="9">
        <f t="shared" si="13"/>
        <v>2152181535071.98</v>
      </c>
      <c r="AB80" s="65">
        <v>1.047E-3</v>
      </c>
      <c r="AG80" s="9">
        <v>735</v>
      </c>
      <c r="AH80" s="9">
        <v>2.3684629915730682</v>
      </c>
    </row>
    <row r="81" spans="1:34" ht="11.5">
      <c r="A81" s="9">
        <v>740</v>
      </c>
      <c r="B81" s="48">
        <f>'Color metric'!B75</f>
        <v>1.3870541611624834E-2</v>
      </c>
      <c r="C81" s="56">
        <f t="shared" si="8"/>
        <v>0.14342529618284477</v>
      </c>
      <c r="D81" s="57">
        <f>xyzs!B78</f>
        <v>6.9007859999999999E-4</v>
      </c>
      <c r="E81" s="57">
        <f>xyzs!C78</f>
        <v>2.4919999999999999E-4</v>
      </c>
      <c r="F81" s="57">
        <f>xyzs!D78</f>
        <v>0</v>
      </c>
      <c r="G81" s="89"/>
      <c r="H81" s="89"/>
      <c r="I81" s="9">
        <f t="shared" si="7"/>
        <v>2255889619262.8555</v>
      </c>
      <c r="J81" s="58">
        <f t="shared" si="9"/>
        <v>9.7008789219059004</v>
      </c>
      <c r="K81" s="58"/>
      <c r="L81" s="59"/>
      <c r="M81" s="66"/>
      <c r="N81" s="61">
        <f t="shared" si="10"/>
        <v>9.7008789219059004</v>
      </c>
      <c r="P81" s="37">
        <v>740</v>
      </c>
      <c r="Q81" s="63">
        <v>77</v>
      </c>
      <c r="R81" s="63">
        <v>-12.2</v>
      </c>
      <c r="S81" s="63">
        <v>8</v>
      </c>
      <c r="V81" s="64">
        <f t="shared" si="11"/>
        <v>175.03429192566119</v>
      </c>
      <c r="W81" s="56">
        <f t="shared" si="12"/>
        <v>7.8943560545700633</v>
      </c>
      <c r="Z81" s="9">
        <v>725</v>
      </c>
      <c r="AA81" s="9">
        <f t="shared" si="13"/>
        <v>2178948134867.1865</v>
      </c>
      <c r="AB81" s="65">
        <v>7.3999999999999999E-4</v>
      </c>
      <c r="AG81" s="9">
        <v>740</v>
      </c>
      <c r="AH81" s="9">
        <v>2.4627826452963379</v>
      </c>
    </row>
    <row r="82" spans="1:34" ht="11.5">
      <c r="A82" s="9">
        <v>745</v>
      </c>
      <c r="B82" s="48">
        <f>'Color metric'!B76</f>
        <v>1.2219286657859972E-2</v>
      </c>
      <c r="C82" s="56">
        <f t="shared" si="8"/>
        <v>0.12635085616107752</v>
      </c>
      <c r="D82" s="57">
        <f>xyzs!B79</f>
        <v>4.7602130000000002E-4</v>
      </c>
      <c r="E82" s="57">
        <f>xyzs!C79</f>
        <v>1.719E-4</v>
      </c>
      <c r="F82" s="57">
        <f>xyzs!D79</f>
        <v>0</v>
      </c>
      <c r="G82" s="89"/>
      <c r="H82" s="89"/>
      <c r="I82" s="9">
        <f t="shared" ref="I82:I99" si="14">$I$2/((A82*0.000000001)^5)/(EXP($I$3/(A82*0.000000001*$I$1))-1)</f>
        <v>2280400188890.5254</v>
      </c>
      <c r="J82" s="58">
        <f t="shared" si="9"/>
        <v>9.8062803858049481</v>
      </c>
      <c r="K82" s="58"/>
      <c r="L82" s="59"/>
      <c r="M82" s="66"/>
      <c r="N82" s="61">
        <f t="shared" si="10"/>
        <v>9.8062803858049481</v>
      </c>
      <c r="P82" s="37">
        <v>745</v>
      </c>
      <c r="Q82" s="63">
        <v>71.099999999999994</v>
      </c>
      <c r="R82" s="63">
        <v>-11.2</v>
      </c>
      <c r="S82" s="63">
        <v>7.35</v>
      </c>
      <c r="V82" s="64">
        <f t="shared" si="11"/>
        <v>161.15411976958205</v>
      </c>
      <c r="W82" s="56">
        <f t="shared" si="12"/>
        <v>7.2683357479586261</v>
      </c>
      <c r="Z82" s="9">
        <v>730</v>
      </c>
      <c r="AA82" s="9">
        <f t="shared" si="13"/>
        <v>2205158801451.5684</v>
      </c>
      <c r="AB82" s="65">
        <v>5.1999999999999995E-4</v>
      </c>
      <c r="AG82" s="9">
        <v>745</v>
      </c>
      <c r="AH82" s="9">
        <v>2.2794914492515574</v>
      </c>
    </row>
    <row r="83" spans="1:34" ht="11.5">
      <c r="A83" s="9">
        <v>750</v>
      </c>
      <c r="B83" s="48">
        <f>'Color metric'!B77</f>
        <v>1.2219286657859972E-2</v>
      </c>
      <c r="C83" s="56">
        <f t="shared" si="8"/>
        <v>0.12635085616107752</v>
      </c>
      <c r="D83" s="57">
        <f>xyzs!B80</f>
        <v>3.323011E-4</v>
      </c>
      <c r="E83" s="57">
        <f>xyzs!C80</f>
        <v>1.2E-4</v>
      </c>
      <c r="F83" s="57">
        <f>xyzs!D80</f>
        <v>0</v>
      </c>
      <c r="G83" s="89"/>
      <c r="H83" s="89"/>
      <c r="I83" s="9">
        <f t="shared" si="14"/>
        <v>2304335615865.2305</v>
      </c>
      <c r="J83" s="58">
        <f t="shared" si="9"/>
        <v>9.9092085951654774</v>
      </c>
      <c r="K83" s="58"/>
      <c r="L83" s="59"/>
      <c r="M83" s="66"/>
      <c r="N83" s="61">
        <f t="shared" si="10"/>
        <v>9.9092085951654774</v>
      </c>
      <c r="P83" s="37">
        <v>750</v>
      </c>
      <c r="Q83" s="63">
        <v>65.2</v>
      </c>
      <c r="R83" s="63">
        <v>-10.199999999999999</v>
      </c>
      <c r="S83" s="63">
        <v>6.7</v>
      </c>
      <c r="V83" s="64">
        <f t="shared" si="11"/>
        <v>147.27394761350297</v>
      </c>
      <c r="W83" s="56">
        <f t="shared" si="12"/>
        <v>6.6423154413471925</v>
      </c>
      <c r="Z83" s="9">
        <v>735</v>
      </c>
      <c r="AA83" s="9">
        <f t="shared" si="13"/>
        <v>2230807675962.6792</v>
      </c>
      <c r="AB83" s="65">
        <v>3.6099999999999999E-4</v>
      </c>
      <c r="AG83" s="9">
        <v>750</v>
      </c>
      <c r="AH83" s="9">
        <v>2.0962002532067778</v>
      </c>
    </row>
    <row r="84" spans="1:34" ht="11.5">
      <c r="A84" s="9">
        <v>755</v>
      </c>
      <c r="B84" s="48">
        <f>'Color metric'!B78</f>
        <v>1.0898282694848084E-2</v>
      </c>
      <c r="C84" s="56">
        <f t="shared" si="8"/>
        <v>0.11269130414366374</v>
      </c>
      <c r="D84" s="57">
        <f>xyzs!B81</f>
        <v>2.348261E-4</v>
      </c>
      <c r="E84" s="57">
        <f>xyzs!C81</f>
        <v>8.4800000000000001E-5</v>
      </c>
      <c r="F84" s="57">
        <f>xyzs!D81</f>
        <v>0</v>
      </c>
      <c r="G84" s="89"/>
      <c r="H84" s="89"/>
      <c r="I84" s="9">
        <f t="shared" si="14"/>
        <v>2327692781418.6157</v>
      </c>
      <c r="J84" s="58">
        <f t="shared" si="9"/>
        <v>10.009650138518269</v>
      </c>
      <c r="K84" s="58"/>
      <c r="L84" s="59"/>
      <c r="M84" s="66"/>
      <c r="N84" s="61">
        <f t="shared" si="10"/>
        <v>10.009650138518269</v>
      </c>
      <c r="P84" s="37">
        <v>755</v>
      </c>
      <c r="Q84" s="63">
        <v>56.45</v>
      </c>
      <c r="R84" s="63">
        <v>-9</v>
      </c>
      <c r="S84" s="63">
        <v>5.95</v>
      </c>
      <c r="V84" s="64">
        <f t="shared" si="11"/>
        <v>129.23753743542051</v>
      </c>
      <c r="W84" s="56">
        <f t="shared" si="12"/>
        <v>5.8288414510474684</v>
      </c>
      <c r="Z84" s="9">
        <v>740</v>
      </c>
      <c r="AA84" s="9">
        <f t="shared" si="13"/>
        <v>2255889619262.8555</v>
      </c>
      <c r="AB84" s="65">
        <v>2.4899999999999998E-4</v>
      </c>
      <c r="AG84" s="9">
        <v>755</v>
      </c>
      <c r="AH84" s="9">
        <v>1.8037578171991322</v>
      </c>
    </row>
    <row r="85" spans="1:34" ht="11.5">
      <c r="A85" s="9">
        <v>760</v>
      </c>
      <c r="B85" s="48">
        <f>'Color metric'!B79</f>
        <v>1.1558784676354027E-2</v>
      </c>
      <c r="C85" s="56">
        <f t="shared" si="8"/>
        <v>0.11952108015237063</v>
      </c>
      <c r="D85" s="57">
        <f>xyzs!B82</f>
        <v>1.6615050000000001E-4</v>
      </c>
      <c r="E85" s="57">
        <f>xyzs!C82</f>
        <v>6.0000000000000002E-5</v>
      </c>
      <c r="F85" s="57">
        <f>xyzs!D82</f>
        <v>0</v>
      </c>
      <c r="G85" s="89"/>
      <c r="H85" s="89"/>
      <c r="I85" s="9">
        <f t="shared" si="14"/>
        <v>2350469193717.9561</v>
      </c>
      <c r="J85" s="58">
        <f t="shared" si="9"/>
        <v>10.107594300371147</v>
      </c>
      <c r="K85" s="58"/>
      <c r="L85" s="59"/>
      <c r="M85" s="66"/>
      <c r="N85" s="61">
        <f t="shared" si="10"/>
        <v>10.107594300371147</v>
      </c>
      <c r="P85" s="37">
        <v>760</v>
      </c>
      <c r="Q85" s="63">
        <v>47.7</v>
      </c>
      <c r="R85" s="63">
        <v>-7.8</v>
      </c>
      <c r="S85" s="63">
        <v>5.2</v>
      </c>
      <c r="V85" s="64">
        <f t="shared" si="11"/>
        <v>111.2011272573381</v>
      </c>
      <c r="W85" s="56">
        <f t="shared" si="12"/>
        <v>5.0153674607477461</v>
      </c>
      <c r="Z85" s="9">
        <v>745</v>
      </c>
      <c r="AA85" s="9">
        <f t="shared" si="13"/>
        <v>2280400188890.5254</v>
      </c>
      <c r="AB85" s="65">
        <v>1.719E-4</v>
      </c>
      <c r="AG85" s="9">
        <v>760</v>
      </c>
      <c r="AH85" s="9">
        <v>1.5113153811914868</v>
      </c>
    </row>
    <row r="86" spans="1:34" ht="11.5">
      <c r="A86" s="9">
        <v>765</v>
      </c>
      <c r="B86" s="48">
        <f>'Color metric'!B80</f>
        <v>1.1889035667107001E-2</v>
      </c>
      <c r="C86" s="56">
        <f t="shared" si="8"/>
        <v>0.12293596815672407</v>
      </c>
      <c r="D86" s="57">
        <f>xyzs!B83</f>
        <v>1.17413E-4</v>
      </c>
      <c r="E86" s="57">
        <f>xyzs!C83</f>
        <v>4.2400000000000001E-5</v>
      </c>
      <c r="F86" s="57">
        <f>xyzs!D83</f>
        <v>0</v>
      </c>
      <c r="G86" s="89"/>
      <c r="H86" s="89"/>
      <c r="I86" s="9">
        <f t="shared" si="14"/>
        <v>2372662964643.5508</v>
      </c>
      <c r="J86" s="58">
        <f t="shared" si="9"/>
        <v>10.203032961346086</v>
      </c>
      <c r="K86" s="58"/>
      <c r="L86" s="59"/>
      <c r="M86" s="66"/>
      <c r="N86" s="61">
        <f t="shared" si="10"/>
        <v>10.203032961346086</v>
      </c>
      <c r="P86" s="37">
        <v>765</v>
      </c>
      <c r="Q86" s="63">
        <v>58.15</v>
      </c>
      <c r="R86" s="63">
        <v>-9.5</v>
      </c>
      <c r="S86" s="63">
        <v>6.3</v>
      </c>
      <c r="V86" s="64">
        <f t="shared" si="11"/>
        <v>135.16912052113719</v>
      </c>
      <c r="W86" s="56">
        <f t="shared" si="12"/>
        <v>6.0963663362042588</v>
      </c>
      <c r="Z86" s="9">
        <v>750</v>
      </c>
      <c r="AA86" s="9">
        <f t="shared" si="13"/>
        <v>2304335615865.2305</v>
      </c>
      <c r="AB86" s="65">
        <v>1.2E-4</v>
      </c>
      <c r="AG86" s="9">
        <v>765</v>
      </c>
      <c r="AH86" s="9">
        <v>1.8412806808925684</v>
      </c>
    </row>
    <row r="87" spans="1:34" ht="11.5">
      <c r="A87" s="9">
        <v>770</v>
      </c>
      <c r="B87" s="48">
        <f>'Color metric'!B81</f>
        <v>1.0237780713342139E-2</v>
      </c>
      <c r="C87" s="56">
        <f t="shared" si="8"/>
        <v>0.10586152813495683</v>
      </c>
      <c r="D87" s="57">
        <f>xyzs!B84</f>
        <v>8.3075270000000005E-5</v>
      </c>
      <c r="E87" s="57">
        <f>xyzs!C84</f>
        <v>3.0000000000000001E-5</v>
      </c>
      <c r="F87" s="57">
        <f>xyzs!D84</f>
        <v>0</v>
      </c>
      <c r="G87" s="89"/>
      <c r="H87" s="89"/>
      <c r="I87" s="9">
        <f t="shared" si="14"/>
        <v>2394272786676.231</v>
      </c>
      <c r="J87" s="58">
        <f t="shared" si="9"/>
        <v>10.295960498789814</v>
      </c>
      <c r="K87" s="58"/>
      <c r="L87" s="59"/>
      <c r="M87" s="66"/>
      <c r="N87" s="61">
        <f t="shared" si="10"/>
        <v>10.295960498789814</v>
      </c>
      <c r="P87" s="37">
        <v>770</v>
      </c>
      <c r="Q87" s="63">
        <v>68.599999999999994</v>
      </c>
      <c r="R87" s="63">
        <v>-11.2</v>
      </c>
      <c r="S87" s="63">
        <v>7.4</v>
      </c>
      <c r="V87" s="64">
        <f t="shared" si="11"/>
        <v>159.13711378493628</v>
      </c>
      <c r="W87" s="56">
        <f t="shared" si="12"/>
        <v>7.1773652116607733</v>
      </c>
      <c r="Z87" s="9">
        <v>755</v>
      </c>
      <c r="AA87" s="9">
        <f t="shared" si="13"/>
        <v>2327692781418.6157</v>
      </c>
      <c r="AB87" s="65">
        <v>8.4800000000000001E-5</v>
      </c>
      <c r="AG87" s="9">
        <v>770</v>
      </c>
      <c r="AH87" s="9">
        <v>2.1712459805936497</v>
      </c>
    </row>
    <row r="88" spans="1:34" ht="11.5">
      <c r="A88" s="9">
        <v>775</v>
      </c>
      <c r="B88" s="48">
        <f>'Color metric'!B82</f>
        <v>8.5865257595772789E-3</v>
      </c>
      <c r="C88" s="56">
        <f t="shared" si="8"/>
        <v>8.8787088113189624E-2</v>
      </c>
      <c r="D88" s="57">
        <f>xyzs!B85</f>
        <v>5.8706519999999999E-5</v>
      </c>
      <c r="E88" s="57">
        <f>xyzs!C85</f>
        <v>2.12E-5</v>
      </c>
      <c r="F88" s="57">
        <f>xyzs!D85</f>
        <v>0</v>
      </c>
      <c r="G88" s="89"/>
      <c r="H88" s="89"/>
      <c r="I88" s="9">
        <f t="shared" si="14"/>
        <v>2415297909946.4453</v>
      </c>
      <c r="J88" s="58">
        <f t="shared" si="9"/>
        <v>10.386373688079253</v>
      </c>
      <c r="K88" s="58"/>
      <c r="L88" s="59"/>
      <c r="M88" s="66"/>
      <c r="N88" s="61">
        <f t="shared" si="10"/>
        <v>10.386373688079253</v>
      </c>
      <c r="P88" s="37">
        <v>775</v>
      </c>
      <c r="Q88" s="63">
        <v>66.8</v>
      </c>
      <c r="R88" s="63">
        <v>-10.8</v>
      </c>
      <c r="S88" s="63">
        <v>7.1</v>
      </c>
      <c r="V88" s="64">
        <f t="shared" si="11"/>
        <v>153.75864971022125</v>
      </c>
      <c r="W88" s="56">
        <f t="shared" si="12"/>
        <v>6.9347869719033479</v>
      </c>
      <c r="Z88" s="9">
        <v>760</v>
      </c>
      <c r="AA88" s="9">
        <f t="shared" si="13"/>
        <v>2350469193717.9561</v>
      </c>
      <c r="AB88" s="65">
        <v>6.0000000000000002E-5</v>
      </c>
      <c r="AG88" s="9">
        <v>775</v>
      </c>
      <c r="AH88" s="9">
        <v>2.1206091937773723</v>
      </c>
    </row>
    <row r="89" spans="1:34" ht="11.5">
      <c r="A89" s="9">
        <v>780</v>
      </c>
      <c r="B89" s="48">
        <f>'Color metric'!B83</f>
        <v>6.2747688243064729E-3</v>
      </c>
      <c r="C89" s="56">
        <f t="shared" si="8"/>
        <v>6.4882872082715495E-2</v>
      </c>
      <c r="D89" s="57">
        <f>xyzs!B86</f>
        <v>4.1509940000000003E-5</v>
      </c>
      <c r="E89" s="57">
        <f>xyzs!C86</f>
        <v>1.499E-5</v>
      </c>
      <c r="F89" s="57">
        <f>xyzs!D86</f>
        <v>0</v>
      </c>
      <c r="G89" s="89"/>
      <c r="H89" s="89"/>
      <c r="I89" s="9">
        <f t="shared" si="14"/>
        <v>2435738119491.6768</v>
      </c>
      <c r="J89" s="58">
        <f t="shared" si="9"/>
        <v>10.474271604822833</v>
      </c>
      <c r="K89" s="58"/>
      <c r="L89" s="59"/>
      <c r="M89" s="66"/>
      <c r="N89" s="61">
        <f t="shared" si="10"/>
        <v>10.474271604822833</v>
      </c>
      <c r="P89" s="37">
        <v>780</v>
      </c>
      <c r="Q89" s="63">
        <v>65</v>
      </c>
      <c r="R89" s="63">
        <v>-10.4</v>
      </c>
      <c r="S89" s="63">
        <v>6.8</v>
      </c>
      <c r="V89" s="64">
        <f t="shared" si="11"/>
        <v>148.38018563550625</v>
      </c>
      <c r="W89" s="56">
        <f t="shared" si="12"/>
        <v>6.6922087321459243</v>
      </c>
      <c r="Z89" s="9">
        <v>765</v>
      </c>
      <c r="AA89" s="9">
        <f t="shared" si="13"/>
        <v>2372662964643.5508</v>
      </c>
      <c r="AB89" s="65">
        <v>4.2400000000000001E-5</v>
      </c>
      <c r="AG89" s="9">
        <v>780</v>
      </c>
      <c r="AH89" s="9">
        <v>2.069972406961095</v>
      </c>
    </row>
    <row r="90" spans="1:34" ht="11.5">
      <c r="A90" s="9">
        <v>785</v>
      </c>
      <c r="B90" s="211">
        <f>B89</f>
        <v>6.2747688243064729E-3</v>
      </c>
      <c r="C90" s="56">
        <f t="shared" si="8"/>
        <v>6.4882872082715495E-2</v>
      </c>
      <c r="D90" s="57">
        <f>xyzs!B87</f>
        <v>2.935326E-5</v>
      </c>
      <c r="E90" s="57">
        <f>xyzs!C87</f>
        <v>1.06E-5</v>
      </c>
      <c r="F90" s="57">
        <f>xyzs!D87</f>
        <v>0</v>
      </c>
      <c r="G90" s="89"/>
      <c r="H90" s="89"/>
      <c r="I90" s="9">
        <f t="shared" si="14"/>
        <v>2455593712764.7192</v>
      </c>
      <c r="J90" s="58">
        <f t="shared" si="9"/>
        <v>10.55965552814056</v>
      </c>
      <c r="K90" s="58"/>
      <c r="L90" s="59"/>
      <c r="M90" s="66"/>
      <c r="N90" s="61">
        <f t="shared" si="10"/>
        <v>10.55965552814056</v>
      </c>
      <c r="P90" s="37">
        <v>785</v>
      </c>
      <c r="Q90" s="63">
        <v>65.5</v>
      </c>
      <c r="R90" s="63">
        <v>-10.5</v>
      </c>
      <c r="S90" s="63">
        <v>6.9</v>
      </c>
      <c r="V90" s="64">
        <f t="shared" si="11"/>
        <v>150.01629866186209</v>
      </c>
      <c r="W90" s="56">
        <f t="shared" si="12"/>
        <v>6.7660003225450138</v>
      </c>
      <c r="Z90" s="9">
        <v>770</v>
      </c>
      <c r="AA90" s="9">
        <f t="shared" si="13"/>
        <v>2394272786676.231</v>
      </c>
      <c r="AB90" s="65">
        <v>3.0000000000000001E-5</v>
      </c>
      <c r="AG90" s="9">
        <v>785</v>
      </c>
      <c r="AH90" s="9">
        <v>2.0862114306710016</v>
      </c>
    </row>
    <row r="91" spans="1:34" ht="11.5">
      <c r="A91" s="9">
        <v>790</v>
      </c>
      <c r="B91" s="211">
        <f t="shared" ref="B91:B99" si="15">B90</f>
        <v>6.2747688243064729E-3</v>
      </c>
      <c r="C91" s="56">
        <f t="shared" si="8"/>
        <v>6.4882872082715495E-2</v>
      </c>
      <c r="D91" s="57">
        <f>xyzs!B88</f>
        <v>2.0673830000000001E-5</v>
      </c>
      <c r="E91" s="57">
        <f>xyzs!C88</f>
        <v>7.4657000000000004E-6</v>
      </c>
      <c r="F91" s="57">
        <f>xyzs!D88</f>
        <v>0</v>
      </c>
      <c r="G91" s="89"/>
      <c r="H91" s="89"/>
      <c r="I91" s="9">
        <f t="shared" si="14"/>
        <v>2474865477431.1045</v>
      </c>
      <c r="J91" s="58">
        <f t="shared" si="9"/>
        <v>10.642528845187499</v>
      </c>
      <c r="K91" s="58"/>
      <c r="L91" s="59"/>
      <c r="M91" s="66"/>
      <c r="N91" s="61">
        <f t="shared" si="10"/>
        <v>10.642528845187499</v>
      </c>
      <c r="P91" s="37">
        <v>790</v>
      </c>
      <c r="Q91" s="63">
        <v>66</v>
      </c>
      <c r="R91" s="63">
        <v>-10.6</v>
      </c>
      <c r="S91" s="63">
        <v>7</v>
      </c>
      <c r="V91" s="64">
        <f t="shared" si="11"/>
        <v>151.65241168821797</v>
      </c>
      <c r="W91" s="56">
        <f t="shared" si="12"/>
        <v>6.839791912944106</v>
      </c>
      <c r="Z91" s="9">
        <v>775</v>
      </c>
      <c r="AA91" s="9">
        <f t="shared" si="13"/>
        <v>2415297909946.4453</v>
      </c>
      <c r="AB91" s="65">
        <v>2.0999999999999999E-5</v>
      </c>
      <c r="AG91" s="9">
        <v>790</v>
      </c>
      <c r="AH91" s="9">
        <v>2.1024504543809082</v>
      </c>
    </row>
    <row r="92" spans="1:34" ht="11.5">
      <c r="A92" s="9">
        <v>795</v>
      </c>
      <c r="B92" s="211">
        <f t="shared" si="15"/>
        <v>6.2747688243064729E-3</v>
      </c>
      <c r="C92" s="56">
        <f t="shared" si="8"/>
        <v>6.4882872082715495E-2</v>
      </c>
      <c r="D92" s="57">
        <f>xyzs!B89</f>
        <v>1.455977E-5</v>
      </c>
      <c r="E92" s="57">
        <f>xyzs!C89</f>
        <v>5.2577999999999999E-6</v>
      </c>
      <c r="F92" s="57">
        <f>xyzs!D89</f>
        <v>0</v>
      </c>
      <c r="G92" s="89"/>
      <c r="H92" s="89"/>
      <c r="I92" s="9">
        <f t="shared" si="14"/>
        <v>2493554669490.1279</v>
      </c>
      <c r="J92" s="58">
        <f t="shared" si="9"/>
        <v>10.722896957068821</v>
      </c>
      <c r="K92" s="58"/>
      <c r="L92" s="59"/>
      <c r="M92" s="66"/>
      <c r="N92" s="61">
        <f t="shared" si="10"/>
        <v>10.722896957068821</v>
      </c>
      <c r="P92" s="37">
        <v>795</v>
      </c>
      <c r="Q92" s="63">
        <v>63.5</v>
      </c>
      <c r="R92" s="63">
        <v>-10.15</v>
      </c>
      <c r="S92" s="63">
        <v>6.7</v>
      </c>
      <c r="V92" s="64">
        <f t="shared" si="11"/>
        <v>145.48888511567924</v>
      </c>
      <c r="W92" s="56">
        <f t="shared" si="12"/>
        <v>6.5618059664183273</v>
      </c>
      <c r="Z92" s="9">
        <v>780</v>
      </c>
      <c r="AA92" s="9">
        <f t="shared" si="13"/>
        <v>2435738119491.6768</v>
      </c>
      <c r="AB92" s="65">
        <v>1.5E-5</v>
      </c>
      <c r="AG92" s="9">
        <v>795</v>
      </c>
      <c r="AH92" s="9">
        <v>2.0264411876181709</v>
      </c>
    </row>
    <row r="93" spans="1:34" ht="11.5">
      <c r="A93" s="9">
        <v>800</v>
      </c>
      <c r="B93" s="211">
        <f t="shared" si="15"/>
        <v>6.2747688243064729E-3</v>
      </c>
      <c r="C93" s="56">
        <f t="shared" si="8"/>
        <v>6.4882872082715495E-2</v>
      </c>
      <c r="D93" s="57">
        <f>xyzs!B90</f>
        <v>1.0253980000000001E-5</v>
      </c>
      <c r="E93" s="57">
        <f>xyzs!C90</f>
        <v>3.7029000000000002E-6</v>
      </c>
      <c r="F93" s="57">
        <f>xyzs!D90</f>
        <v>0</v>
      </c>
      <c r="G93" s="89"/>
      <c r="H93" s="89"/>
      <c r="I93" s="9">
        <f t="shared" si="14"/>
        <v>2511662991750.1714</v>
      </c>
      <c r="J93" s="58">
        <f t="shared" si="9"/>
        <v>10.800767186278412</v>
      </c>
      <c r="K93" s="58"/>
      <c r="L93" s="59"/>
      <c r="M93" s="66"/>
      <c r="N93" s="61">
        <f t="shared" si="10"/>
        <v>10.800767186278412</v>
      </c>
      <c r="P93" s="37">
        <v>800</v>
      </c>
      <c r="Q93" s="63">
        <v>61</v>
      </c>
      <c r="R93" s="63">
        <v>-9.6999999999999993</v>
      </c>
      <c r="S93" s="63">
        <v>6.4</v>
      </c>
      <c r="V93" s="64">
        <f t="shared" si="11"/>
        <v>139.32535854314048</v>
      </c>
      <c r="W93" s="56">
        <f t="shared" si="12"/>
        <v>6.2838200198925458</v>
      </c>
      <c r="AG93" s="9">
        <v>800</v>
      </c>
      <c r="AH93" s="9">
        <v>1.9504319208554339</v>
      </c>
    </row>
    <row r="94" spans="1:34" ht="11.5">
      <c r="A94" s="9">
        <v>805</v>
      </c>
      <c r="B94" s="211">
        <f t="shared" si="15"/>
        <v>6.2747688243064729E-3</v>
      </c>
      <c r="C94" s="56">
        <f t="shared" si="8"/>
        <v>6.4882872082715495E-2</v>
      </c>
      <c r="D94" s="57">
        <f>xyzs!B91</f>
        <v>7.2214559999999999E-6</v>
      </c>
      <c r="E94" s="57">
        <f>xyzs!C91</f>
        <v>2.6077999999999998E-6</v>
      </c>
      <c r="F94" s="57">
        <f>xyzs!D91</f>
        <v>0</v>
      </c>
      <c r="G94" s="89"/>
      <c r="H94" s="89"/>
      <c r="I94" s="9">
        <f t="shared" si="14"/>
        <v>2529192572685.6626</v>
      </c>
      <c r="J94" s="58">
        <f t="shared" si="9"/>
        <v>10.876148685778604</v>
      </c>
      <c r="K94" s="58"/>
      <c r="L94" s="59"/>
      <c r="M94" s="66"/>
      <c r="N94" s="61">
        <f t="shared" si="10"/>
        <v>10.876148685778604</v>
      </c>
      <c r="P94" s="37">
        <v>805</v>
      </c>
      <c r="Q94" s="63">
        <v>57.15</v>
      </c>
      <c r="R94" s="63">
        <v>-9</v>
      </c>
      <c r="S94" s="63">
        <v>5.95</v>
      </c>
      <c r="V94" s="64">
        <f t="shared" si="11"/>
        <v>129.93753743542052</v>
      </c>
      <c r="W94" s="56">
        <f t="shared" si="12"/>
        <v>5.8604126887598254</v>
      </c>
      <c r="AA94" s="9">
        <f>AA76</f>
        <v>2039699440220.8076</v>
      </c>
      <c r="AG94" s="9">
        <v>805</v>
      </c>
      <c r="AH94" s="9">
        <v>1.8348284271486355</v>
      </c>
    </row>
    <row r="95" spans="1:34" ht="11.5">
      <c r="A95" s="9">
        <v>810</v>
      </c>
      <c r="B95" s="211">
        <f t="shared" si="15"/>
        <v>6.2747688243064729E-3</v>
      </c>
      <c r="C95" s="56">
        <f t="shared" si="8"/>
        <v>6.4882872082715495E-2</v>
      </c>
      <c r="D95" s="57">
        <f>xyzs!B92</f>
        <v>5.0858679999999998E-6</v>
      </c>
      <c r="E95" s="57">
        <f>xyzs!C92</f>
        <v>1.8365999999999999E-6</v>
      </c>
      <c r="F95" s="57">
        <f>xyzs!D92</f>
        <v>0</v>
      </c>
      <c r="G95" s="89"/>
      <c r="H95" s="89"/>
      <c r="I95" s="9">
        <f t="shared" si="14"/>
        <v>2546145945699.5713</v>
      </c>
      <c r="J95" s="58">
        <f t="shared" si="9"/>
        <v>10.949052349823821</v>
      </c>
      <c r="K95" s="58"/>
      <c r="L95" s="59"/>
      <c r="M95" s="66"/>
      <c r="N95" s="61">
        <f t="shared" si="10"/>
        <v>10.949052349823821</v>
      </c>
      <c r="P95" s="37">
        <v>810</v>
      </c>
      <c r="Q95" s="63">
        <v>53.3</v>
      </c>
      <c r="R95" s="63">
        <v>-8.3000000000000007</v>
      </c>
      <c r="S95" s="63">
        <v>5.5</v>
      </c>
      <c r="V95" s="64">
        <f t="shared" si="11"/>
        <v>120.54971632770055</v>
      </c>
      <c r="W95" s="56">
        <f t="shared" si="12"/>
        <v>5.437005357627104</v>
      </c>
      <c r="AG95" s="9">
        <v>810</v>
      </c>
      <c r="AH95" s="9">
        <v>1.7192249334418361</v>
      </c>
    </row>
    <row r="96" spans="1:34" ht="11.5">
      <c r="A96" s="9">
        <v>815</v>
      </c>
      <c r="B96" s="211">
        <f t="shared" si="15"/>
        <v>6.2747688243064729E-3</v>
      </c>
      <c r="C96" s="56">
        <f t="shared" si="8"/>
        <v>6.4882872082715495E-2</v>
      </c>
      <c r="D96" s="57">
        <f>xyzs!B93</f>
        <v>3.5816519999999999E-6</v>
      </c>
      <c r="E96" s="57">
        <f>xyzs!C93</f>
        <v>1.2934E-6</v>
      </c>
      <c r="F96" s="57">
        <f>xyzs!D93</f>
        <v>0</v>
      </c>
      <c r="G96" s="89"/>
      <c r="H96" s="89"/>
      <c r="I96" s="9">
        <f t="shared" si="14"/>
        <v>2562526028812.5054</v>
      </c>
      <c r="J96" s="58">
        <f t="shared" si="9"/>
        <v>11.019490726618717</v>
      </c>
      <c r="K96" s="58"/>
      <c r="L96" s="59"/>
      <c r="M96" s="66"/>
      <c r="N96" s="61">
        <f t="shared" si="10"/>
        <v>11.019490726618717</v>
      </c>
      <c r="P96" s="37">
        <v>815</v>
      </c>
      <c r="Q96" s="63">
        <v>56.1</v>
      </c>
      <c r="R96" s="63">
        <v>-8.8000000000000007</v>
      </c>
      <c r="S96" s="63">
        <v>5.8</v>
      </c>
      <c r="V96" s="64">
        <f t="shared" si="11"/>
        <v>127.09830539806302</v>
      </c>
      <c r="W96" s="56">
        <f t="shared" si="12"/>
        <v>5.732358303657036</v>
      </c>
      <c r="AG96" s="9">
        <v>815</v>
      </c>
      <c r="AH96" s="9">
        <v>1.8028520458941748</v>
      </c>
    </row>
    <row r="97" spans="1:34" ht="11.5">
      <c r="A97" s="9">
        <v>820</v>
      </c>
      <c r="B97" s="211">
        <f t="shared" si="15"/>
        <v>6.2747688243064729E-3</v>
      </c>
      <c r="C97" s="56">
        <f t="shared" si="8"/>
        <v>6.4882872082715495E-2</v>
      </c>
      <c r="D97" s="57">
        <f>xyzs!B94</f>
        <v>2.522525E-6</v>
      </c>
      <c r="E97" s="57">
        <f>xyzs!C94</f>
        <v>9.1093000000000002E-7</v>
      </c>
      <c r="F97" s="57">
        <f>xyzs!D94</f>
        <v>0</v>
      </c>
      <c r="G97" s="89"/>
      <c r="H97" s="89"/>
      <c r="I97" s="9">
        <f t="shared" si="14"/>
        <v>2578336104796.3965</v>
      </c>
      <c r="J97" s="58">
        <f t="shared" si="9"/>
        <v>11.087477932888135</v>
      </c>
      <c r="K97" s="58"/>
      <c r="L97" s="59"/>
      <c r="M97" s="66"/>
      <c r="N97" s="61">
        <f t="shared" si="10"/>
        <v>11.087477932888135</v>
      </c>
      <c r="P97" s="37">
        <v>820</v>
      </c>
      <c r="Q97" s="63">
        <v>58.9</v>
      </c>
      <c r="R97" s="63">
        <v>-9.3000000000000007</v>
      </c>
      <c r="S97" s="63">
        <v>6.1</v>
      </c>
      <c r="V97" s="64">
        <f t="shared" si="11"/>
        <v>133.64689446842547</v>
      </c>
      <c r="W97" s="56">
        <f t="shared" si="12"/>
        <v>6.0277112496869689</v>
      </c>
      <c r="AG97" s="9">
        <v>820</v>
      </c>
      <c r="AH97" s="9">
        <v>1.8864791583465121</v>
      </c>
    </row>
    <row r="98" spans="1:34" ht="11.5">
      <c r="A98" s="9">
        <v>825</v>
      </c>
      <c r="B98" s="211">
        <f t="shared" si="15"/>
        <v>6.2747688243064729E-3</v>
      </c>
      <c r="C98" s="56">
        <f t="shared" si="8"/>
        <v>6.4882872082715495E-2</v>
      </c>
      <c r="D98" s="57">
        <f>xyzs!B95</f>
        <v>1.7765090000000001E-6</v>
      </c>
      <c r="E98" s="57">
        <f>xyzs!C95</f>
        <v>6.4153E-7</v>
      </c>
      <c r="F98" s="57">
        <f>xyzs!D95</f>
        <v>0</v>
      </c>
      <c r="G98" s="89"/>
      <c r="H98" s="89"/>
      <c r="I98" s="9">
        <f t="shared" si="14"/>
        <v>2593579801768.2471</v>
      </c>
      <c r="J98" s="58">
        <f t="shared" si="9"/>
        <v>11.153029570425463</v>
      </c>
      <c r="K98" s="58"/>
      <c r="L98" s="59"/>
      <c r="M98" s="66"/>
      <c r="N98" s="61">
        <f t="shared" si="10"/>
        <v>11.153029570425463</v>
      </c>
      <c r="P98" s="37">
        <v>825</v>
      </c>
      <c r="Q98" s="63">
        <v>60.4</v>
      </c>
      <c r="R98" s="63">
        <v>-9.5500000000000007</v>
      </c>
      <c r="S98" s="63">
        <v>6.3</v>
      </c>
      <c r="V98" s="64">
        <f t="shared" si="11"/>
        <v>137.5041830189609</v>
      </c>
      <c r="W98" s="56">
        <f t="shared" si="12"/>
        <v>6.2016817836214049</v>
      </c>
      <c r="AG98" s="9">
        <v>825</v>
      </c>
      <c r="AH98" s="9">
        <v>1.9354523685843557</v>
      </c>
    </row>
    <row r="99" spans="1:34" ht="11.5">
      <c r="A99" s="9">
        <v>830</v>
      </c>
      <c r="B99" s="211">
        <f t="shared" si="15"/>
        <v>6.2747688243064729E-3</v>
      </c>
      <c r="C99" s="56">
        <f t="shared" si="8"/>
        <v>6.4882872082715495E-2</v>
      </c>
      <c r="D99" s="57">
        <f>xyzs!B96</f>
        <v>1.251141E-6</v>
      </c>
      <c r="E99" s="57">
        <f>xyzs!C96</f>
        <v>4.5181000000000002E-7</v>
      </c>
      <c r="F99" s="57">
        <f>xyzs!D96</f>
        <v>0</v>
      </c>
      <c r="G99" s="89"/>
      <c r="H99" s="89"/>
      <c r="I99" s="9">
        <f t="shared" si="14"/>
        <v>2608261074256.811</v>
      </c>
      <c r="J99" s="58">
        <f t="shared" si="9"/>
        <v>11.216162644674728</v>
      </c>
      <c r="K99" s="58"/>
      <c r="L99" s="59"/>
      <c r="M99" s="66"/>
      <c r="N99" s="61">
        <f t="shared" si="10"/>
        <v>11.216162644674728</v>
      </c>
      <c r="P99" s="37">
        <v>830</v>
      </c>
      <c r="Q99" s="63">
        <v>61.9</v>
      </c>
      <c r="R99" s="63">
        <v>-9.8000000000000007</v>
      </c>
      <c r="S99" s="63">
        <v>6.5</v>
      </c>
      <c r="V99" s="64">
        <f t="shared" si="11"/>
        <v>141.36147156949633</v>
      </c>
      <c r="W99" s="56">
        <f t="shared" si="12"/>
        <v>6.3756523175558399</v>
      </c>
      <c r="AG99" s="9">
        <v>830</v>
      </c>
      <c r="AH99" s="9">
        <v>1.9844255788221996</v>
      </c>
    </row>
    <row r="100" spans="1:34">
      <c r="J100" s="58"/>
      <c r="K100" s="58"/>
      <c r="L100" s="59"/>
      <c r="M100" s="66"/>
    </row>
    <row r="101" spans="1:34">
      <c r="B101" s="29" t="e">
        <f>SUMPRODUCT(B4:B99,C5:C99)</f>
        <v>#VALUE!</v>
      </c>
      <c r="I101" s="9">
        <f>SUMPRODUCT(E5:E99,I5:I99)</f>
        <v>23254486912198.758</v>
      </c>
    </row>
    <row r="106" spans="1:34">
      <c r="A106" s="9" t="s">
        <v>121</v>
      </c>
    </row>
    <row r="107" spans="1:34">
      <c r="A107" s="76" t="s">
        <v>107</v>
      </c>
      <c r="B107" s="92">
        <v>95.047752460558485</v>
      </c>
    </row>
    <row r="108" spans="1:34">
      <c r="A108" s="76" t="s">
        <v>108</v>
      </c>
      <c r="B108" s="92">
        <v>100</v>
      </c>
    </row>
    <row r="109" spans="1:34">
      <c r="A109" s="76" t="s">
        <v>111</v>
      </c>
      <c r="B109" s="92">
        <v>108.887701799973</v>
      </c>
    </row>
    <row r="110" spans="1:34">
      <c r="A110" s="76" t="s">
        <v>112</v>
      </c>
      <c r="B110" s="81">
        <v>0.31272347838394721</v>
      </c>
    </row>
    <row r="111" spans="1:34">
      <c r="A111" s="76" t="s">
        <v>114</v>
      </c>
      <c r="B111" s="81">
        <v>0.32901722585572607</v>
      </c>
    </row>
    <row r="112" spans="1:34">
      <c r="A112" s="41" t="s">
        <v>21</v>
      </c>
      <c r="B112" s="81">
        <v>0.19783986143759258</v>
      </c>
    </row>
    <row r="113" spans="1:2">
      <c r="A113" s="41" t="s">
        <v>26</v>
      </c>
      <c r="B113" s="81">
        <v>0.3122217879686674</v>
      </c>
    </row>
    <row r="114" spans="1:2">
      <c r="A114" s="76" t="s">
        <v>117</v>
      </c>
      <c r="B114" s="85">
        <v>6502.838432951311</v>
      </c>
    </row>
    <row r="115" spans="1:2">
      <c r="A115" s="88" t="s">
        <v>118</v>
      </c>
      <c r="B115" s="86">
        <v>3.2042828294378393E-3</v>
      </c>
    </row>
    <row r="180" spans="28:28">
      <c r="AB180" s="93"/>
    </row>
  </sheetData>
  <pageMargins left="0.75" right="0.75" top="1" bottom="1" header="0.5" footer="0.5"/>
  <pageSetup orientation="portrait" horizontalDpi="4294967292" verticalDpi="429496729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5</vt:i4>
      </vt:variant>
      <vt:variant>
        <vt:lpstr>Excel 4.0-macro's</vt:lpstr>
      </vt:variant>
      <vt:variant>
        <vt:i4>1</vt:i4>
      </vt:variant>
    </vt:vector>
  </HeadingPairs>
  <TitlesOfParts>
    <vt:vector size="6" baseType="lpstr">
      <vt:lpstr>Color metric</vt:lpstr>
      <vt:lpstr>Calculator</vt:lpstr>
      <vt:lpstr>xyzs</vt:lpstr>
      <vt:lpstr>99set</vt:lpstr>
      <vt:lpstr>Reference</vt:lpstr>
      <vt:lpstr>CCT.v</vt:lpstr>
    </vt:vector>
  </TitlesOfParts>
  <Company>KaHo St Lieven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Smet</dc:creator>
  <cp:lastModifiedBy>Kevin Smet</cp:lastModifiedBy>
  <dcterms:created xsi:type="dcterms:W3CDTF">2015-11-30T14:03:59Z</dcterms:created>
  <dcterms:modified xsi:type="dcterms:W3CDTF">2019-08-31T20:56:18Z</dcterms:modified>
</cp:coreProperties>
</file>