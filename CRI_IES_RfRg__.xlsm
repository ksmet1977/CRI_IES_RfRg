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evin\Downloads\"/>
    </mc:Choice>
  </mc:AlternateContent>
  <bookViews>
    <workbookView xWindow="120" yWindow="130" windowWidth="19150" windowHeight="8760" activeTab="2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externalReferences>
    <externalReference r:id="rId7"/>
    <externalReference r:id="rId8"/>
  </externalReferences>
  <definedNames>
    <definedName name="CAM_UCS_xyY">[1]CAM_UCS!$A$1</definedName>
    <definedName name="CCT" localSheetId="4">'CCT.v'!$A$1</definedName>
    <definedName name="CCT">'CCT.v'!$A$1</definedName>
    <definedName name="CMCCAT">[2]CMCCAT!$A$1</definedName>
    <definedName name="CMCCATv">[2]CMCCAT!$B$1</definedName>
    <definedName name="DOMIN" function="1" xlm="1">#REF!</definedName>
    <definedName name="DOMIN_V">#REF!</definedName>
    <definedName name="Duvtoxy">[2]Duvtoxy!$A$1</definedName>
    <definedName name="LAB">[2]CIELAB!$A$1</definedName>
    <definedName name="Monochromator" function="1" xlm="1">#REF!</definedName>
    <definedName name="RUNMACRO">#REF!</definedName>
    <definedName name="x" localSheetId="5">0.441415579892163</definedName>
    <definedName name="xy" localSheetId="5">'CCT.v'!$D$1:$D$2</definedName>
    <definedName name="y" localSheetId="5">0.405562683911181</definedName>
  </definedNames>
  <calcPr calcId="152511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17" i="6"/>
  <c r="DO18" i="6"/>
  <c r="DO28" i="6"/>
  <c r="DO31" i="6"/>
  <c r="DO42" i="6"/>
  <c r="DO43" i="6"/>
  <c r="DO55" i="6"/>
  <c r="DO57" i="6"/>
  <c r="DO68" i="6"/>
  <c r="DO82" i="6"/>
  <c r="DO95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Z141" i="6"/>
  <c r="CY141" i="6"/>
  <c r="CL141" i="6"/>
  <c r="CJ141" i="6"/>
  <c r="CI141" i="6"/>
  <c r="BV141" i="6"/>
  <c r="BS141" i="6"/>
  <c r="BN141" i="6"/>
  <c r="BC141" i="6"/>
  <c r="AX141" i="6"/>
  <c r="AU141" i="6"/>
  <c r="AH141" i="6"/>
  <c r="AE141" i="6"/>
  <c r="R141" i="6"/>
  <c r="P141" i="6"/>
  <c r="O141" i="6"/>
  <c r="DA140" i="6"/>
  <c r="DA141" i="6" s="1"/>
  <c r="CZ140" i="6"/>
  <c r="CY140" i="6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K140" i="6"/>
  <c r="CK141" i="6" s="1"/>
  <c r="CJ140" i="6"/>
  <c r="CI140" i="6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U140" i="6"/>
  <c r="BU141" i="6" s="1"/>
  <c r="BT140" i="6"/>
  <c r="BT141" i="6" s="1"/>
  <c r="BS140" i="6"/>
  <c r="BR140" i="6"/>
  <c r="BR141" i="6" s="1"/>
  <c r="BQ140" i="6"/>
  <c r="BQ141" i="6" s="1"/>
  <c r="BP140" i="6"/>
  <c r="BP141" i="6" s="1"/>
  <c r="BO140" i="6"/>
  <c r="BO141" i="6" s="1"/>
  <c r="BN140" i="6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B140" i="6"/>
  <c r="BB141" i="6" s="1"/>
  <c r="BA140" i="6"/>
  <c r="BA141" i="6" s="1"/>
  <c r="AZ140" i="6"/>
  <c r="AZ141" i="6" s="1"/>
  <c r="AY140" i="6"/>
  <c r="AY141" i="6" s="1"/>
  <c r="AX140" i="6"/>
  <c r="AW140" i="6"/>
  <c r="AW141" i="6" s="1"/>
  <c r="AV140" i="6"/>
  <c r="AV141" i="6" s="1"/>
  <c r="AU140" i="6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G140" i="6"/>
  <c r="AG141" i="6" s="1"/>
  <c r="AF140" i="6"/>
  <c r="AF141" i="6" s="1"/>
  <c r="AE140" i="6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Q140" i="6"/>
  <c r="Q141" i="6" s="1"/>
  <c r="P140" i="6"/>
  <c r="O140" i="6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9" i="6"/>
  <c r="CZ59" i="6"/>
  <c r="CS59" i="6"/>
  <c r="CR59" i="6"/>
  <c r="CL59" i="6"/>
  <c r="CK59" i="6"/>
  <c r="CJ59" i="6"/>
  <c r="BU59" i="6"/>
  <c r="BT59" i="6"/>
  <c r="BM59" i="6"/>
  <c r="BL59" i="6"/>
  <c r="BE59" i="6"/>
  <c r="BD59" i="6"/>
  <c r="AW59" i="6"/>
  <c r="AV59" i="6"/>
  <c r="AO59" i="6"/>
  <c r="AN59" i="6"/>
  <c r="AG59" i="6"/>
  <c r="AF59" i="6"/>
  <c r="X59" i="6"/>
  <c r="Q59" i="6"/>
  <c r="I59" i="6"/>
  <c r="H59" i="6"/>
  <c r="DA58" i="6"/>
  <c r="CZ58" i="6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R58" i="6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K58" i="6"/>
  <c r="CJ58" i="6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T58" i="6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L58" i="6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D58" i="6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V58" i="6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N58" i="6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F58" i="6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H58" i="6"/>
  <c r="G58" i="6"/>
  <c r="G59" i="6" s="1"/>
  <c r="F58" i="6"/>
  <c r="F59" i="6" s="1"/>
  <c r="F49" i="6"/>
  <c r="W45" i="6"/>
  <c r="V44" i="6"/>
  <c r="U44" i="6"/>
  <c r="U43" i="6" a="1"/>
  <c r="V45" i="6" s="1"/>
  <c r="M43" i="6" a="1"/>
  <c r="O45" i="6" s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V43" i="6" l="1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B7" i="5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 s="1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 s="1"/>
  <c r="BN15" i="6" l="1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CP63" i="6" l="1"/>
  <c r="M17" i="6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AF69" i="6" l="1"/>
  <c r="AF75" i="6" s="1"/>
  <c r="W150" i="6"/>
  <c r="W156" i="6" s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A70" i="6" s="1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AF161" i="6" l="1" a="1"/>
  <c r="AF161" i="6" s="1"/>
  <c r="BP161" i="6" a="1"/>
  <c r="W153" i="6"/>
  <c r="BG75" i="6"/>
  <c r="BG79" i="6" s="1" a="1"/>
  <c r="AF72" i="6"/>
  <c r="AO154" i="6"/>
  <c r="Y153" i="6"/>
  <c r="CJ70" i="6"/>
  <c r="CR161" i="6" a="1"/>
  <c r="AO161" i="6" a="1"/>
  <c r="CH73" i="6"/>
  <c r="CA156" i="6"/>
  <c r="BH154" i="6"/>
  <c r="BH158" i="6" s="1" a="1"/>
  <c r="CP153" i="6"/>
  <c r="CZ74" i="6"/>
  <c r="CZ79" i="6" s="1" a="1"/>
  <c r="BZ155" i="6"/>
  <c r="BZ161" i="6" s="1" a="1"/>
  <c r="CZ72" i="6"/>
  <c r="CZ76" i="6" s="1" a="1"/>
  <c r="CO152" i="6"/>
  <c r="CO158" i="6" s="1" a="1"/>
  <c r="AF154" i="6"/>
  <c r="AF158" i="6" s="1" a="1"/>
  <c r="AF159" i="6" s="1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CY79" i="6" s="1" a="1"/>
  <c r="AM70" i="6"/>
  <c r="AB157" i="6"/>
  <c r="AB152" i="6"/>
  <c r="AB158" i="6" s="1" a="1"/>
  <c r="AB159" i="6" s="1"/>
  <c r="BQ153" i="6"/>
  <c r="CS154" i="6"/>
  <c r="CV7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T152" i="6"/>
  <c r="AX74" i="6"/>
  <c r="AX79" i="6" s="1" a="1"/>
  <c r="AX81" i="6" s="1"/>
  <c r="DA161" i="6" a="1"/>
  <c r="DA161" i="6" s="1"/>
  <c r="CF75" i="6"/>
  <c r="CF79" i="6" s="1" a="1"/>
  <c r="CF80" i="6" s="1"/>
  <c r="AZ72" i="6"/>
  <c r="CH74" i="6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2" i="6"/>
  <c r="CA72" i="6"/>
  <c r="CA75" i="6"/>
  <c r="H70" i="6"/>
  <c r="H73" i="6"/>
  <c r="AP74" i="6"/>
  <c r="AP71" i="6"/>
  <c r="CM156" i="6"/>
  <c r="CM153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AD71" i="6"/>
  <c r="AD74" i="6"/>
  <c r="AE157" i="6"/>
  <c r="AE154" i="6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3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1" i="6"/>
  <c r="CG162" i="6"/>
  <c r="X154" i="6"/>
  <c r="X157" i="6"/>
  <c r="BB155" i="6"/>
  <c r="BB152" i="6"/>
  <c r="O156" i="6"/>
  <c r="O153" i="6"/>
  <c r="AG157" i="6"/>
  <c r="AG154" i="6"/>
  <c r="M162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CB81" i="6" l="1"/>
  <c r="CJ76" i="6" a="1"/>
  <c r="W158" i="6" a="1"/>
  <c r="W159" i="6" s="1"/>
  <c r="AK161" i="6"/>
  <c r="AK162" i="6"/>
  <c r="CH79" i="6" a="1"/>
  <c r="CH79" i="6" s="1"/>
  <c r="CD158" i="6" a="1"/>
  <c r="W163" i="6"/>
  <c r="AM161" i="6"/>
  <c r="BQ158" i="6" a="1"/>
  <c r="BQ159" i="6" s="1"/>
  <c r="AM76" i="6" a="1"/>
  <c r="AM78" i="6" s="1"/>
  <c r="CE161" i="6"/>
  <c r="CE162" i="6"/>
  <c r="CO158" i="6"/>
  <c r="CO159" i="6"/>
  <c r="AL158" i="6" a="1"/>
  <c r="AL159" i="6" s="1"/>
  <c r="G76" i="6" a="1"/>
  <c r="G76" i="6" s="1"/>
  <c r="CV161" i="6"/>
  <c r="CA158" i="6"/>
  <c r="CS162" i="6"/>
  <c r="CD163" i="6"/>
  <c r="CS163" i="6"/>
  <c r="F162" i="6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R79" i="6"/>
  <c r="AZ158" i="6" a="1"/>
  <c r="AZ160" i="6" s="1"/>
  <c r="M158" i="6" a="1"/>
  <c r="M159" i="6" s="1"/>
  <c r="CB80" i="6"/>
  <c r="T158" i="6" a="1"/>
  <c r="T159" i="6" s="1"/>
  <c r="CR158" i="6" a="1"/>
  <c r="CR159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BF76" i="6" a="1"/>
  <c r="BF78" i="6" s="1"/>
  <c r="CK158" i="6" a="1"/>
  <c r="CK159" i="6" s="1"/>
  <c r="AM158" i="6" a="1"/>
  <c r="AM160" i="6" s="1"/>
  <c r="BM161" i="6"/>
  <c r="W162" i="6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AR80" i="6"/>
  <c r="CC80" i="6"/>
  <c r="CG158" i="6" a="1"/>
  <c r="CG160" i="6" s="1"/>
  <c r="AZ76" i="6" a="1"/>
  <c r="AZ76" i="6" s="1"/>
  <c r="AW161" i="6"/>
  <c r="AA80" i="6"/>
  <c r="CF79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AL161" i="6"/>
  <c r="AL162" i="6"/>
  <c r="AH79" i="6" a="1"/>
  <c r="AH80" i="6" s="1"/>
  <c r="CC76" i="6" a="1"/>
  <c r="CC77" i="6" s="1"/>
  <c r="F80" i="6"/>
  <c r="G79" i="6"/>
  <c r="V80" i="6"/>
  <c r="AF80" i="6"/>
  <c r="BN79" i="6" a="1"/>
  <c r="BN79" i="6" s="1"/>
  <c r="BC76" i="6" a="1"/>
  <c r="BC78" i="6" s="1"/>
  <c r="BX76" i="6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60" i="6"/>
  <c r="Y159" i="6"/>
  <c r="Y158" i="6"/>
  <c r="AU158" i="6" a="1"/>
  <c r="AU159" i="6" s="1"/>
  <c r="AN158" i="6" a="1"/>
  <c r="AN158" i="6" s="1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H79" i="6" a="1"/>
  <c r="BT79" i="6" a="1"/>
  <c r="AI80" i="6"/>
  <c r="AI81" i="6"/>
  <c r="AI79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AT161" i="6" a="1"/>
  <c r="CL76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CB85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H161" i="6" a="1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AM77" i="6" l="1"/>
  <c r="BI81" i="6"/>
  <c r="BN80" i="6"/>
  <c r="AK167" i="6" a="1"/>
  <c r="AK169" i="6" s="1"/>
  <c r="AK175" i="6" s="1"/>
  <c r="CV81" i="6"/>
  <c r="CV85" i="6" s="1" a="1"/>
  <c r="CV79" i="6"/>
  <c r="CU85" i="6" a="1"/>
  <c r="CU86" i="6" s="1"/>
  <c r="CU92" i="6" s="1"/>
  <c r="BX82" i="6" a="1"/>
  <c r="BX84" i="6" s="1"/>
  <c r="BX90" i="6" s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BZ76" i="6"/>
  <c r="DA159" i="6"/>
  <c r="DA160" i="6"/>
  <c r="Y167" i="6" a="1"/>
  <c r="Y169" i="6" s="1"/>
  <c r="Y175" i="6" s="1"/>
  <c r="AM167" i="6" a="1"/>
  <c r="AM169" i="6" s="1"/>
  <c r="AM175" i="6" s="1"/>
  <c r="AQ77" i="6"/>
  <c r="CS167" i="6" a="1"/>
  <c r="CS169" i="6" s="1"/>
  <c r="CS175" i="6" s="1"/>
  <c r="CV159" i="6"/>
  <c r="CS158" i="6"/>
  <c r="CS159" i="6"/>
  <c r="AQ160" i="6"/>
  <c r="CJ167" i="6" a="1"/>
  <c r="BQ160" i="6"/>
  <c r="BQ164" i="6" s="1" a="1"/>
  <c r="BQ166" i="6" s="1"/>
  <c r="BQ172" i="6" s="1"/>
  <c r="P164" i="6" a="1"/>
  <c r="P165" i="6" s="1"/>
  <c r="P171" i="6" s="1"/>
  <c r="AF85" i="6" a="1"/>
  <c r="AF87" i="6" s="1"/>
  <c r="AF93" i="6" s="1"/>
  <c r="AN167" i="6" a="1"/>
  <c r="AN167" i="6" s="1"/>
  <c r="AN173" i="6" s="1"/>
  <c r="F167" i="6" a="1"/>
  <c r="F169" i="6" s="1"/>
  <c r="F175" i="6" s="1"/>
  <c r="AK160" i="6"/>
  <c r="AR85" i="6" a="1"/>
  <c r="AR85" i="6" s="1"/>
  <c r="AR91" i="6" s="1"/>
  <c r="CB167" i="6" a="1"/>
  <c r="CB169" i="6" s="1"/>
  <c r="CB175" i="6" s="1"/>
  <c r="CV167" i="6" a="1"/>
  <c r="CV169" i="6" s="1"/>
  <c r="CV175" i="6" s="1"/>
  <c r="G77" i="6"/>
  <c r="CS79" i="6"/>
  <c r="AH79" i="6"/>
  <c r="BQ167" i="6" a="1"/>
  <c r="BQ168" i="6" s="1"/>
  <c r="BQ174" i="6" s="1"/>
  <c r="BP160" i="6"/>
  <c r="G78" i="6"/>
  <c r="CR160" i="6"/>
  <c r="BP159" i="6"/>
  <c r="G85" i="6" a="1"/>
  <c r="G87" i="6" s="1"/>
  <c r="G93" i="6" s="1"/>
  <c r="AL160" i="6"/>
  <c r="AB164" i="6" a="1"/>
  <c r="AB165" i="6" s="1"/>
  <c r="AB171" i="6" s="1"/>
  <c r="AL158" i="6"/>
  <c r="CV158" i="6"/>
  <c r="CV164" i="6" s="1" a="1"/>
  <c r="CV165" i="6" s="1"/>
  <c r="CV171" i="6" s="1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AK168" i="6"/>
  <c r="AK174" i="6" s="1"/>
  <c r="BW160" i="6"/>
  <c r="CK160" i="6"/>
  <c r="AX76" i="6"/>
  <c r="BZ78" i="6"/>
  <c r="AK167" i="6"/>
  <c r="AK173" i="6" s="1"/>
  <c r="AX77" i="6"/>
  <c r="CT159" i="6"/>
  <c r="CR158" i="6"/>
  <c r="BA159" i="6"/>
  <c r="AZ158" i="6"/>
  <c r="CF85" i="6" a="1"/>
  <c r="CF86" i="6" s="1"/>
  <c r="CF92" i="6" s="1"/>
  <c r="AZ78" i="6"/>
  <c r="CJ164" i="6" a="1"/>
  <c r="CJ166" i="6" s="1"/>
  <c r="CJ172" i="6" s="1"/>
  <c r="CA167" i="6" a="1"/>
  <c r="CA167" i="6" s="1"/>
  <c r="CA173" i="6" s="1"/>
  <c r="AQ76" i="6"/>
  <c r="BA158" i="6"/>
  <c r="CT160" i="6"/>
  <c r="AQ158" i="6"/>
  <c r="AZ77" i="6"/>
  <c r="CC78" i="6"/>
  <c r="T158" i="6"/>
  <c r="CK158" i="6"/>
  <c r="T160" i="6"/>
  <c r="AZ159" i="6"/>
  <c r="AM158" i="6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V85" i="6" a="1"/>
  <c r="V87" i="6" s="1"/>
  <c r="V93" i="6" s="1"/>
  <c r="CG159" i="6"/>
  <c r="AY164" i="6" a="1"/>
  <c r="AY165" i="6" s="1"/>
  <c r="AY171" i="6" s="1"/>
  <c r="AH81" i="6"/>
  <c r="M164" i="6" a="1"/>
  <c r="M164" i="6" s="1"/>
  <c r="M170" i="6" s="1"/>
  <c r="BN81" i="6"/>
  <c r="CF82" i="6" a="1"/>
  <c r="CF84" i="6" s="1"/>
  <c r="CF90" i="6" s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Z158" i="6"/>
  <c r="AL167" i="6" a="1"/>
  <c r="AL169" i="6" s="1"/>
  <c r="AL175" i="6" s="1"/>
  <c r="Z82" i="6" a="1"/>
  <c r="Z83" i="6" s="1"/>
  <c r="Z89" i="6" s="1"/>
  <c r="P166" i="6"/>
  <c r="P172" i="6" s="1"/>
  <c r="U79" i="6"/>
  <c r="J80" i="6"/>
  <c r="G164" i="6" a="1"/>
  <c r="G164" i="6" s="1"/>
  <c r="G170" i="6" s="1"/>
  <c r="BE82" i="6" a="1"/>
  <c r="BE84" i="6" s="1"/>
  <c r="BE90" i="6" s="1"/>
  <c r="F159" i="6"/>
  <c r="F158" i="6"/>
  <c r="J79" i="6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BS78" i="6"/>
  <c r="CB77" i="6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AV160" i="6"/>
  <c r="CZ163" i="6"/>
  <c r="X160" i="6"/>
  <c r="CI160" i="6"/>
  <c r="CN158" i="6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BQ167" i="6"/>
  <c r="BQ173" i="6" s="1"/>
  <c r="BF163" i="6"/>
  <c r="CH158" i="6"/>
  <c r="BX164" i="6" a="1"/>
  <c r="BF162" i="6"/>
  <c r="CH159" i="6"/>
  <c r="AK77" i="6"/>
  <c r="I80" i="6"/>
  <c r="S81" i="6"/>
  <c r="BA82" i="6" a="1"/>
  <c r="BA82" i="6" s="1"/>
  <c r="BA88" i="6" s="1"/>
  <c r="BO85" i="6" a="1"/>
  <c r="BO85" i="6" s="1"/>
  <c r="BO91" i="6" s="1"/>
  <c r="CI78" i="6"/>
  <c r="F78" i="6"/>
  <c r="AO76" i="6"/>
  <c r="CN78" i="6"/>
  <c r="W78" i="6"/>
  <c r="F76" i="6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Z82" i="6" a="1"/>
  <c r="AE161" i="6"/>
  <c r="AE162" i="6"/>
  <c r="AE163" i="6"/>
  <c r="DA82" i="6" a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BX83" i="6" l="1"/>
  <c r="BX89" i="6" s="1"/>
  <c r="CU87" i="6"/>
  <c r="CU93" i="6" s="1"/>
  <c r="V85" i="6"/>
  <c r="V91" i="6" s="1"/>
  <c r="V86" i="6"/>
  <c r="V92" i="6" s="1"/>
  <c r="V104" i="6" s="1"/>
  <c r="BN85" i="6" a="1"/>
  <c r="BN86" i="6" s="1"/>
  <c r="BN92" i="6" s="1"/>
  <c r="BZ82" i="6" a="1"/>
  <c r="DA164" i="6" a="1"/>
  <c r="CD169" i="6"/>
  <c r="CD175" i="6" s="1"/>
  <c r="AQ164" i="6" a="1"/>
  <c r="BM169" i="6"/>
  <c r="BM175" i="6" s="1"/>
  <c r="CS164" i="6" a="1"/>
  <c r="CS164" i="6" s="1"/>
  <c r="CS170" i="6" s="1"/>
  <c r="BM167" i="6"/>
  <c r="BM173" i="6" s="1"/>
  <c r="AR86" i="6"/>
  <c r="AR92" i="6" s="1"/>
  <c r="AD166" i="6"/>
  <c r="AD172" i="6" s="1"/>
  <c r="AD177" i="6" s="1"/>
  <c r="CD167" i="6"/>
  <c r="CD173" i="6" s="1"/>
  <c r="CO164" i="6"/>
  <c r="CO170" i="6" s="1"/>
  <c r="CO165" i="6"/>
  <c r="CO171" i="6" s="1"/>
  <c r="I85" i="6" a="1"/>
  <c r="CK169" i="6"/>
  <c r="CK175" i="6" s="1"/>
  <c r="CK167" i="6"/>
  <c r="CK173" i="6" s="1"/>
  <c r="AH85" i="6" a="1"/>
  <c r="AH85" i="6" s="1"/>
  <c r="AH91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O86" i="6"/>
  <c r="AO92" i="6" s="1"/>
  <c r="CS166" i="6"/>
  <c r="CS172" i="6" s="1"/>
  <c r="AN169" i="6"/>
  <c r="AN175" i="6" s="1"/>
  <c r="U167" i="6"/>
  <c r="U173" i="6" s="1"/>
  <c r="AR87" i="6"/>
  <c r="AR9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G86" i="6"/>
  <c r="G92" i="6" s="1"/>
  <c r="G85" i="6"/>
  <c r="G91" i="6" s="1"/>
  <c r="BI164" i="6" a="1"/>
  <c r="BI166" i="6" s="1"/>
  <c r="BI172" i="6" s="1"/>
  <c r="AF85" i="6"/>
  <c r="AF91" i="6" s="1"/>
  <c r="AF104" i="6" s="1"/>
  <c r="BQ169" i="6"/>
  <c r="BQ175" i="6" s="1"/>
  <c r="F167" i="6"/>
  <c r="F173" i="6" s="1"/>
  <c r="BQ165" i="6"/>
  <c r="BQ171" i="6" s="1"/>
  <c r="BQ177" i="6" s="1"/>
  <c r="BQ164" i="6"/>
  <c r="BQ170" i="6" s="1"/>
  <c r="CS168" i="6"/>
  <c r="CS174" i="6" s="1"/>
  <c r="AB164" i="6"/>
  <c r="AB170" i="6" s="1"/>
  <c r="BA169" i="6"/>
  <c r="BA175" i="6" s="1"/>
  <c r="AO85" i="6"/>
  <c r="AO91" i="6" s="1"/>
  <c r="AO104" i="6" s="1"/>
  <c r="CS167" i="6"/>
  <c r="CS173" i="6" s="1"/>
  <c r="AM167" i="6"/>
  <c r="AM173" i="6" s="1"/>
  <c r="F168" i="6"/>
  <c r="F174" i="6" s="1"/>
  <c r="AQ82" i="6" a="1"/>
  <c r="AQ82" i="6" s="1"/>
  <c r="AQ88" i="6" s="1"/>
  <c r="AM164" i="6" a="1"/>
  <c r="AM166" i="6" s="1"/>
  <c r="AM172" i="6" s="1"/>
  <c r="G82" i="6" a="1"/>
  <c r="G82" i="6" s="1"/>
  <c r="G88" i="6" s="1"/>
  <c r="BP164" i="6" a="1"/>
  <c r="BP164" i="6" s="1"/>
  <c r="BP170" i="6" s="1"/>
  <c r="P164" i="6"/>
  <c r="P170" i="6" s="1"/>
  <c r="P185" i="6" s="1"/>
  <c r="AZ82" i="6" a="1"/>
  <c r="AZ82" i="6" s="1"/>
  <c r="AZ88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BP165" i="6"/>
  <c r="BP171" i="6" s="1"/>
  <c r="CF87" i="6"/>
  <c r="CF93" i="6" s="1"/>
  <c r="BM164" i="6"/>
  <c r="BM170" i="6" s="1"/>
  <c r="CG164" i="6" a="1"/>
  <c r="CG166" i="6" s="1"/>
  <c r="CG172" i="6" s="1"/>
  <c r="T164" i="6" a="1"/>
  <c r="T165" i="6" s="1"/>
  <c r="T171" i="6" s="1"/>
  <c r="AK186" i="6"/>
  <c r="AA84" i="6"/>
  <c r="AA90" i="6" s="1"/>
  <c r="AA95" i="6" s="1"/>
  <c r="CF85" i="6"/>
  <c r="CF91" i="6" s="1"/>
  <c r="X164" i="6" a="1"/>
  <c r="X165" i="6" s="1"/>
  <c r="X171" i="6" s="1"/>
  <c r="CB164" i="6"/>
  <c r="CB170" i="6" s="1"/>
  <c r="AF166" i="6"/>
  <c r="AF172" i="6" s="1"/>
  <c r="AF176" i="6" s="1"/>
  <c r="AA82" i="6"/>
  <c r="AA88" i="6" s="1"/>
  <c r="AO82" i="6" a="1"/>
  <c r="AO83" i="6" s="1"/>
  <c r="AO89" i="6" s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F82" i="6"/>
  <c r="CF88" i="6" s="1"/>
  <c r="AL167" i="6"/>
  <c r="AL173" i="6" s="1"/>
  <c r="CU164" i="6" a="1"/>
  <c r="CC82" i="6" a="1"/>
  <c r="CC82" i="6" s="1"/>
  <c r="CC88" i="6" s="1"/>
  <c r="U85" i="6" a="1"/>
  <c r="U85" i="6" s="1"/>
  <c r="U91" i="6" s="1"/>
  <c r="CA168" i="6"/>
  <c r="CA174" i="6" s="1"/>
  <c r="Z167" i="6"/>
  <c r="Z173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BO168" i="6"/>
  <c r="BO174" i="6" s="1"/>
  <c r="CE87" i="6"/>
  <c r="CE93" i="6" s="1"/>
  <c r="CE86" i="6"/>
  <c r="CE92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BQ176" i="6"/>
  <c r="T168" i="6"/>
  <c r="T174" i="6" s="1"/>
  <c r="AW168" i="6"/>
  <c r="AW174" i="6" s="1"/>
  <c r="CN164" i="6" a="1"/>
  <c r="CN166" i="6" s="1"/>
  <c r="CN172" i="6" s="1"/>
  <c r="BE83" i="6"/>
  <c r="BE89" i="6" s="1"/>
  <c r="Z82" i="6"/>
  <c r="Z88" i="6" s="1"/>
  <c r="T169" i="6"/>
  <c r="T175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B186" i="6" s="1"/>
  <c r="AH167" i="6" a="1"/>
  <c r="AH168" i="6" s="1"/>
  <c r="AH174" i="6" s="1"/>
  <c r="AY166" i="6"/>
  <c r="AY172" i="6" s="1"/>
  <c r="CH87" i="6"/>
  <c r="CH93" i="6" s="1"/>
  <c r="BK82" i="6" a="1"/>
  <c r="BK82" i="6" s="1"/>
  <c r="BK88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G166" i="6"/>
  <c r="G172" i="6" s="1"/>
  <c r="AV164" i="6" a="1"/>
  <c r="AV165" i="6" s="1"/>
  <c r="AV171" i="6" s="1"/>
  <c r="AA86" i="6"/>
  <c r="AA92" i="6" s="1"/>
  <c r="BF85" i="6"/>
  <c r="BF91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AA87" i="6"/>
  <c r="AA93" i="6" s="1"/>
  <c r="CB82" i="6" a="1"/>
  <c r="CB82" i="6" s="1"/>
  <c r="CB88" i="6" s="1"/>
  <c r="CC87" i="6"/>
  <c r="CC93" i="6" s="1"/>
  <c r="AS164" i="6" a="1"/>
  <c r="AM186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F86" i="6"/>
  <c r="F92" i="6" s="1"/>
  <c r="F87" i="6"/>
  <c r="F93" i="6" s="1"/>
  <c r="AW164" i="6"/>
  <c r="AW170" i="6" s="1"/>
  <c r="CT167" i="6"/>
  <c r="CT173" i="6" s="1"/>
  <c r="BE82" i="6"/>
  <c r="BE88" i="6" s="1"/>
  <c r="CR165" i="6"/>
  <c r="CR171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R82" i="6"/>
  <c r="AR88" i="6" s="1"/>
  <c r="K164" i="6" a="1"/>
  <c r="K165" i="6" s="1"/>
  <c r="K171" i="6" s="1"/>
  <c r="I167" i="6" a="1"/>
  <c r="I168" i="6" s="1"/>
  <c r="I174" i="6" s="1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BQ82" i="6" a="1"/>
  <c r="BQ84" i="6" s="1"/>
  <c r="BQ90" i="6" s="1"/>
  <c r="BC85" i="6"/>
  <c r="BC91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AL82" i="6" a="1"/>
  <c r="AL82" i="6" s="1"/>
  <c r="AL88" i="6" s="1"/>
  <c r="BM82" i="6"/>
  <c r="BM88" i="6" s="1"/>
  <c r="AC83" i="6"/>
  <c r="AC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BO87" i="6"/>
  <c r="BO93" i="6" s="1"/>
  <c r="BO86" i="6"/>
  <c r="BO92" i="6" s="1"/>
  <c r="N84" i="6"/>
  <c r="N90" i="6" s="1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F82" i="6" a="1"/>
  <c r="F83" i="6" s="1"/>
  <c r="F89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CT164" i="6"/>
  <c r="CT170" i="6" s="1"/>
  <c r="AR168" i="6"/>
  <c r="AR174" i="6" s="1"/>
  <c r="CU165" i="6"/>
  <c r="CU171" i="6" s="1"/>
  <c r="AN164" i="6" a="1"/>
  <c r="AN186" i="6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S83" i="6"/>
  <c r="AS89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AT82" i="6" a="1"/>
  <c r="BT82" i="6" a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BM186" i="6"/>
  <c r="BK167" i="6" a="1"/>
  <c r="BL82" i="6" a="1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AQ84" i="6" l="1"/>
  <c r="AQ90" i="6" s="1"/>
  <c r="AQ83" i="6"/>
  <c r="AQ89" i="6" s="1"/>
  <c r="AO84" i="6"/>
  <c r="AO90" i="6" s="1"/>
  <c r="BF83" i="6"/>
  <c r="BF89" i="6" s="1"/>
  <c r="CE104" i="6"/>
  <c r="CF95" i="6"/>
  <c r="AR104" i="6"/>
  <c r="AZ84" i="6"/>
  <c r="AZ90" i="6" s="1"/>
  <c r="AA94" i="6"/>
  <c r="AH87" i="6"/>
  <c r="AH93" i="6" s="1"/>
  <c r="CM164" i="6"/>
  <c r="CM170" i="6" s="1"/>
  <c r="AD176" i="6"/>
  <c r="AM164" i="6"/>
  <c r="AM170" i="6" s="1"/>
  <c r="CS165" i="6"/>
  <c r="CS171" i="6" s="1"/>
  <c r="CS176" i="6" s="1"/>
  <c r="CS178" i="6" s="1"/>
  <c r="AA103" i="6"/>
  <c r="AH86" i="6"/>
  <c r="AH92" i="6" s="1"/>
  <c r="AD185" i="6"/>
  <c r="CO177" i="6"/>
  <c r="BO186" i="6"/>
  <c r="AB177" i="6"/>
  <c r="CS177" i="6"/>
  <c r="AB176" i="6"/>
  <c r="AB178" i="6" s="1"/>
  <c r="CO185" i="6"/>
  <c r="AK165" i="6"/>
  <c r="AK171" i="6" s="1"/>
  <c r="AK164" i="6"/>
  <c r="AK170" i="6" s="1"/>
  <c r="U87" i="6"/>
  <c r="U93" i="6" s="1"/>
  <c r="CO176" i="6"/>
  <c r="U86" i="6"/>
  <c r="U92" i="6" s="1"/>
  <c r="G104" i="6"/>
  <c r="CT186" i="6"/>
  <c r="CS186" i="6"/>
  <c r="G83" i="6"/>
  <c r="G89" i="6" s="1"/>
  <c r="G95" i="6" s="1"/>
  <c r="BQ185" i="6"/>
  <c r="BM166" i="6"/>
  <c r="BM172" i="6" s="1"/>
  <c r="BM177" i="6" s="1"/>
  <c r="CI86" i="6"/>
  <c r="CI92" i="6" s="1"/>
  <c r="AZ83" i="6"/>
  <c r="AZ89" i="6" s="1"/>
  <c r="AZ103" i="6" s="1"/>
  <c r="AM165" i="6"/>
  <c r="AM171" i="6" s="1"/>
  <c r="AM176" i="6" s="1"/>
  <c r="AU167" i="6"/>
  <c r="AU173" i="6" s="1"/>
  <c r="AH169" i="6"/>
  <c r="AH175" i="6" s="1"/>
  <c r="CT166" i="6"/>
  <c r="CT172" i="6" s="1"/>
  <c r="N167" i="6"/>
  <c r="N173" i="6" s="1"/>
  <c r="G84" i="6"/>
  <c r="G90" i="6" s="1"/>
  <c r="AF177" i="6"/>
  <c r="AF178" i="6" s="1"/>
  <c r="AB185" i="6"/>
  <c r="AB187" i="6" s="1"/>
  <c r="T186" i="6"/>
  <c r="CK166" i="6"/>
  <c r="CK172" i="6" s="1"/>
  <c r="CK177" i="6" s="1"/>
  <c r="AW186" i="6"/>
  <c r="AZ166" i="6"/>
  <c r="AZ172" i="6" s="1"/>
  <c r="AO177" i="6"/>
  <c r="CG164" i="6"/>
  <c r="CG170" i="6" s="1"/>
  <c r="CG177" i="6" s="1"/>
  <c r="BQ178" i="6"/>
  <c r="BQ179" i="6" s="1"/>
  <c r="P177" i="6"/>
  <c r="AZ164" i="6"/>
  <c r="AZ170" i="6" s="1"/>
  <c r="CR164" i="6"/>
  <c r="CR170" i="6" s="1"/>
  <c r="CR176" i="6" s="1"/>
  <c r="AE104" i="6"/>
  <c r="CB177" i="6"/>
  <c r="Q87" i="6"/>
  <c r="Q93" i="6" s="1"/>
  <c r="CI165" i="6"/>
  <c r="CI171" i="6" s="1"/>
  <c r="BA186" i="6"/>
  <c r="AX82" i="6"/>
  <c r="AX88" i="6" s="1"/>
  <c r="AX103" i="6" s="1"/>
  <c r="AB87" i="6"/>
  <c r="AB93" i="6" s="1"/>
  <c r="CI166" i="6"/>
  <c r="CI172" i="6" s="1"/>
  <c r="CI176" i="6" s="1"/>
  <c r="P176" i="6"/>
  <c r="CB176" i="6"/>
  <c r="CB178" i="6" s="1"/>
  <c r="BP185" i="6"/>
  <c r="BP187" i="6" s="1"/>
  <c r="AA104" i="6"/>
  <c r="BA165" i="6"/>
  <c r="BA171" i="6" s="1"/>
  <c r="CF104" i="6"/>
  <c r="T166" i="6"/>
  <c r="T172" i="6" s="1"/>
  <c r="T176" i="6" s="1"/>
  <c r="T164" i="6"/>
  <c r="T170" i="6" s="1"/>
  <c r="CB185" i="6"/>
  <c r="CB187" i="6" s="1"/>
  <c r="CF103" i="6"/>
  <c r="CF105" i="6" s="1"/>
  <c r="CF126" i="6" s="1"/>
  <c r="CF21" i="6" s="1"/>
  <c r="CA186" i="6"/>
  <c r="CA187" i="6" s="1"/>
  <c r="CK164" i="6"/>
  <c r="CK170" i="6" s="1"/>
  <c r="CK176" i="6" s="1"/>
  <c r="AC104" i="6"/>
  <c r="CM104" i="6"/>
  <c r="BA164" i="6"/>
  <c r="BA170" i="6" s="1"/>
  <c r="BA185" i="6" s="1"/>
  <c r="BA187" i="6" s="1"/>
  <c r="BO94" i="6"/>
  <c r="AW177" i="6"/>
  <c r="AL164" i="6"/>
  <c r="AL170" i="6" s="1"/>
  <c r="BC104" i="6"/>
  <c r="W177" i="6"/>
  <c r="AL165" i="6"/>
  <c r="AL171" i="6" s="1"/>
  <c r="AS95" i="6"/>
  <c r="AS96" i="6" s="1"/>
  <c r="AS97" i="6" s="1"/>
  <c r="BT166" i="6"/>
  <c r="BT172" i="6" s="1"/>
  <c r="AY185" i="6"/>
  <c r="CZ168" i="6"/>
  <c r="CZ174" i="6" s="1"/>
  <c r="CH166" i="6"/>
  <c r="CH172" i="6" s="1"/>
  <c r="AX84" i="6"/>
  <c r="AX90" i="6" s="1"/>
  <c r="AV164" i="6"/>
  <c r="AV170" i="6" s="1"/>
  <c r="AV166" i="6"/>
  <c r="AV172" i="6" s="1"/>
  <c r="CF94" i="6"/>
  <c r="CF96" i="6" s="1"/>
  <c r="CF97" i="6" s="1"/>
  <c r="AX165" i="6"/>
  <c r="AX171" i="6" s="1"/>
  <c r="AX177" i="6" s="1"/>
  <c r="Q185" i="6"/>
  <c r="Q187" i="6" s="1"/>
  <c r="Q188" i="6" s="1"/>
  <c r="AZ176" i="6"/>
  <c r="BS177" i="6"/>
  <c r="AF185" i="6"/>
  <c r="X164" i="6"/>
  <c r="X170" i="6" s="1"/>
  <c r="X185" i="6" s="1"/>
  <c r="BU166" i="6"/>
  <c r="BU172" i="6" s="1"/>
  <c r="BV82" i="6"/>
  <c r="BV88" i="6" s="1"/>
  <c r="N164" i="6"/>
  <c r="N170" i="6" s="1"/>
  <c r="Z164" i="6"/>
  <c r="Z170" i="6" s="1"/>
  <c r="BX86" i="6"/>
  <c r="BX92" i="6" s="1"/>
  <c r="BX87" i="6"/>
  <c r="BX93" i="6" s="1"/>
  <c r="CC104" i="6"/>
  <c r="Z94" i="6"/>
  <c r="W104" i="6"/>
  <c r="CZ169" i="6"/>
  <c r="CZ175" i="6" s="1"/>
  <c r="DA186" i="6"/>
  <c r="BU165" i="6"/>
  <c r="BU171" i="6" s="1"/>
  <c r="BF167" i="6"/>
  <c r="BF173" i="6" s="1"/>
  <c r="BV83" i="6"/>
  <c r="BV89" i="6" s="1"/>
  <c r="CO178" i="6"/>
  <c r="BK83" i="6"/>
  <c r="BK89" i="6" s="1"/>
  <c r="BO165" i="6"/>
  <c r="BO171" i="6" s="1"/>
  <c r="AY177" i="6"/>
  <c r="DA87" i="6"/>
  <c r="DA93" i="6" s="1"/>
  <c r="BS83" i="6"/>
  <c r="BS89" i="6" s="1"/>
  <c r="BK84" i="6"/>
  <c r="BK90" i="6" s="1"/>
  <c r="J87" i="6"/>
  <c r="J93" i="6" s="1"/>
  <c r="J94" i="6"/>
  <c r="N104" i="6"/>
  <c r="BZ104" i="6"/>
  <c r="BO166" i="6"/>
  <c r="BO172" i="6" s="1"/>
  <c r="Z186" i="6"/>
  <c r="I167" i="6"/>
  <c r="I173" i="6" s="1"/>
  <c r="DA85" i="6"/>
  <c r="DA91" i="6" s="1"/>
  <c r="CJ185" i="6"/>
  <c r="BS82" i="6"/>
  <c r="BS88" i="6" s="1"/>
  <c r="I169" i="6"/>
  <c r="I175" i="6" s="1"/>
  <c r="I186" i="6" s="1"/>
  <c r="CQ164" i="6"/>
  <c r="CQ170" i="6" s="1"/>
  <c r="BA94" i="6"/>
  <c r="CC83" i="6"/>
  <c r="CC89" i="6" s="1"/>
  <c r="BE103" i="6"/>
  <c r="BP176" i="6"/>
  <c r="M176" i="6"/>
  <c r="BQ83" i="6"/>
  <c r="BQ89" i="6" s="1"/>
  <c r="BF82" i="6"/>
  <c r="BF88" i="6" s="1"/>
  <c r="CJ176" i="6"/>
  <c r="CI85" i="6"/>
  <c r="CI91" i="6" s="1"/>
  <c r="BH104" i="6"/>
  <c r="CC84" i="6"/>
  <c r="CC90" i="6" s="1"/>
  <c r="CQ165" i="6"/>
  <c r="CQ171" i="6" s="1"/>
  <c r="P167" i="6"/>
  <c r="P173" i="6" s="1"/>
  <c r="AY176" i="6"/>
  <c r="BV169" i="6"/>
  <c r="BV175" i="6" s="1"/>
  <c r="CE176" i="6"/>
  <c r="N165" i="6"/>
  <c r="N171" i="6" s="1"/>
  <c r="BC83" i="6"/>
  <c r="BC89" i="6" s="1"/>
  <c r="BP177" i="6"/>
  <c r="BE166" i="6"/>
  <c r="BE172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BF168" i="6"/>
  <c r="BF174" i="6" s="1"/>
  <c r="CW169" i="6"/>
  <c r="CW175" i="6" s="1"/>
  <c r="CN164" i="6"/>
  <c r="CN170" i="6" s="1"/>
  <c r="AU166" i="6"/>
  <c r="AU172" i="6" s="1"/>
  <c r="J165" i="6"/>
  <c r="J171" i="6" s="1"/>
  <c r="AE84" i="6"/>
  <c r="AE90" i="6" s="1"/>
  <c r="DA176" i="6"/>
  <c r="G176" i="6"/>
  <c r="BF104" i="6"/>
  <c r="BV168" i="6"/>
  <c r="BV174" i="6" s="1"/>
  <c r="BV186" i="6" s="1"/>
  <c r="J166" i="6"/>
  <c r="J172" i="6" s="1"/>
  <c r="BQ187" i="6"/>
  <c r="BQ188" i="6" s="1"/>
  <c r="AH167" i="6"/>
  <c r="AH173" i="6" s="1"/>
  <c r="CH104" i="6"/>
  <c r="CV177" i="6"/>
  <c r="Z95" i="6"/>
  <c r="P169" i="6"/>
  <c r="P175" i="6" s="1"/>
  <c r="AI104" i="6"/>
  <c r="M185" i="6"/>
  <c r="M187" i="6" s="1"/>
  <c r="BC84" i="6"/>
  <c r="BC90" i="6" s="1"/>
  <c r="BE94" i="6"/>
  <c r="H169" i="6"/>
  <c r="H175" i="6" s="1"/>
  <c r="H186" i="6" s="1"/>
  <c r="AX164" i="6"/>
  <c r="AX170" i="6" s="1"/>
  <c r="BS185" i="6"/>
  <c r="BS187" i="6" s="1"/>
  <c r="G177" i="6"/>
  <c r="Q176" i="6"/>
  <c r="BQ82" i="6"/>
  <c r="BQ88" i="6" s="1"/>
  <c r="AU168" i="6"/>
  <c r="AU174" i="6" s="1"/>
  <c r="S167" i="6"/>
  <c r="S173" i="6" s="1"/>
  <c r="O169" i="6"/>
  <c r="O175" i="6" s="1"/>
  <c r="Z103" i="6"/>
  <c r="CE185" i="6"/>
  <c r="CE187" i="6" s="1"/>
  <c r="CE188" i="6" s="1"/>
  <c r="BS176" i="6"/>
  <c r="BS178" i="6" s="1"/>
  <c r="BE95" i="6"/>
  <c r="L94" i="6"/>
  <c r="AM103" i="6"/>
  <c r="AS103" i="6"/>
  <c r="DA185" i="6"/>
  <c r="G185" i="6"/>
  <c r="AR95" i="6"/>
  <c r="Z166" i="6"/>
  <c r="Z172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M104" i="6"/>
  <c r="BJ94" i="6"/>
  <c r="W176" i="6"/>
  <c r="W178" i="6" s="1"/>
  <c r="CM166" i="6"/>
  <c r="CM172" i="6" s="1"/>
  <c r="CM185" i="6" s="1"/>
  <c r="J85" i="6"/>
  <c r="J91" i="6" s="1"/>
  <c r="M177" i="6"/>
  <c r="AU164" i="6"/>
  <c r="AU170" i="6" s="1"/>
  <c r="F104" i="6"/>
  <c r="AO185" i="6"/>
  <c r="AO187" i="6" s="1"/>
  <c r="AB86" i="6"/>
  <c r="AB92" i="6" s="1"/>
  <c r="AB104" i="6" s="1"/>
  <c r="AR186" i="6"/>
  <c r="AR103" i="6"/>
  <c r="AR105" i="6" s="1"/>
  <c r="AR126" i="6" s="1"/>
  <c r="AR21" i="6" s="1"/>
  <c r="Q177" i="6"/>
  <c r="AJ168" i="6"/>
  <c r="AJ174" i="6" s="1"/>
  <c r="AO176" i="6"/>
  <c r="AO178" i="6" s="1"/>
  <c r="AO184" i="6" s="1"/>
  <c r="AO189" i="6" s="1"/>
  <c r="CE177" i="6"/>
  <c r="CT177" i="6"/>
  <c r="AY186" i="6"/>
  <c r="AY187" i="6" s="1"/>
  <c r="AY208" i="6" s="1"/>
  <c r="AY25" i="6" s="1"/>
  <c r="Y177" i="6"/>
  <c r="BC168" i="6"/>
  <c r="BC174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CB84" i="6"/>
  <c r="CB90" i="6" s="1"/>
  <c r="L85" i="6"/>
  <c r="L91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B83" i="6"/>
  <c r="CB89" i="6" s="1"/>
  <c r="BO95" i="6"/>
  <c r="BO96" i="6" s="1"/>
  <c r="BO102" i="6" s="1"/>
  <c r="BO107" i="6" s="1"/>
  <c r="DA177" i="6"/>
  <c r="AD186" i="6"/>
  <c r="AD187" i="6" s="1"/>
  <c r="AP166" i="6"/>
  <c r="AP172" i="6" s="1"/>
  <c r="BJ103" i="6"/>
  <c r="P178" i="6"/>
  <c r="P184" i="6" s="1"/>
  <c r="P189" i="6" s="1"/>
  <c r="AW176" i="6"/>
  <c r="CT176" i="6"/>
  <c r="CV185" i="6"/>
  <c r="CV187" i="6" s="1"/>
  <c r="CV188" i="6" s="1"/>
  <c r="K164" i="6"/>
  <c r="K170" i="6" s="1"/>
  <c r="AR94" i="6"/>
  <c r="CI167" i="6"/>
  <c r="CI173" i="6" s="1"/>
  <c r="CH165" i="6"/>
  <c r="CH171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M104" i="6"/>
  <c r="BO103" i="6"/>
  <c r="CT87" i="6"/>
  <c r="CT93" i="6" s="1"/>
  <c r="J95" i="6"/>
  <c r="J96" i="6" s="1"/>
  <c r="AQ104" i="6"/>
  <c r="CT86" i="6"/>
  <c r="CT92" i="6" s="1"/>
  <c r="CI84" i="6"/>
  <c r="CI90" i="6" s="1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CS94" i="6"/>
  <c r="AH95" i="6"/>
  <c r="CW87" i="6"/>
  <c r="CW93" i="6" s="1"/>
  <c r="N94" i="6"/>
  <c r="AW86" i="6"/>
  <c r="AW92" i="6" s="1"/>
  <c r="BE104" i="6"/>
  <c r="CW86" i="6"/>
  <c r="CW92" i="6" s="1"/>
  <c r="AC103" i="6"/>
  <c r="AC105" i="6" s="1"/>
  <c r="AC106" i="6" s="1"/>
  <c r="AV86" i="6"/>
  <c r="AV92" i="6" s="1"/>
  <c r="BW104" i="6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Y167" i="6"/>
  <c r="CY173" i="6" s="1"/>
  <c r="CO187" i="6"/>
  <c r="CO188" i="6" s="1"/>
  <c r="L164" i="6"/>
  <c r="L170" i="6" s="1"/>
  <c r="O167" i="6"/>
  <c r="O173" i="6" s="1"/>
  <c r="O186" i="6" s="1"/>
  <c r="BJ167" i="6"/>
  <c r="BJ173" i="6" s="1"/>
  <c r="AS169" i="6"/>
  <c r="AS175" i="6" s="1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BI186" i="6"/>
  <c r="AQ177" i="6"/>
  <c r="AQ185" i="6"/>
  <c r="AQ17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BD104" i="6"/>
  <c r="AN84" i="6"/>
  <c r="AN90" i="6" s="1"/>
  <c r="AA96" i="6"/>
  <c r="AA97" i="6" s="1"/>
  <c r="CD104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AO95" i="6"/>
  <c r="AO103" i="6"/>
  <c r="AO105" i="6" s="1"/>
  <c r="AO94" i="6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95" i="6"/>
  <c r="BZ94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AN86" i="6"/>
  <c r="AN92" i="6" s="1"/>
  <c r="AN85" i="6"/>
  <c r="AN91" i="6" s="1"/>
  <c r="AN87" i="6"/>
  <c r="AN93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Z103" i="6"/>
  <c r="CZ94" i="6"/>
  <c r="CZ95" i="6"/>
  <c r="CY104" i="6"/>
  <c r="X87" i="6"/>
  <c r="X93" i="6" s="1"/>
  <c r="X85" i="6"/>
  <c r="X91" i="6" s="1"/>
  <c r="X86" i="6"/>
  <c r="X92" i="6" s="1"/>
  <c r="AX185" i="6"/>
  <c r="AX94" i="6" l="1"/>
  <c r="AZ94" i="6"/>
  <c r="BF95" i="6"/>
  <c r="AZ95" i="6"/>
  <c r="AZ96" i="6" s="1"/>
  <c r="AA105" i="6"/>
  <c r="AA126" i="6" s="1"/>
  <c r="AA21" i="6" s="1"/>
  <c r="CM105" i="6"/>
  <c r="CM106" i="6" s="1"/>
  <c r="BE96" i="6"/>
  <c r="BE97" i="6" s="1"/>
  <c r="BE98" i="6" s="1"/>
  <c r="BE105" i="6"/>
  <c r="BE126" i="6" s="1"/>
  <c r="BE21" i="6" s="1"/>
  <c r="AH104" i="6"/>
  <c r="AB179" i="6"/>
  <c r="AB182" i="6" s="1"/>
  <c r="AB184" i="6"/>
  <c r="AB189" i="6" s="1"/>
  <c r="AB188" i="6"/>
  <c r="AB208" i="6"/>
  <c r="AB25" i="6" s="1"/>
  <c r="AX176" i="6"/>
  <c r="CS185" i="6"/>
  <c r="CS187" i="6" s="1"/>
  <c r="CS208" i="6" s="1"/>
  <c r="CS25" i="6" s="1"/>
  <c r="BT177" i="6"/>
  <c r="CK185" i="6"/>
  <c r="CK187" i="6" s="1"/>
  <c r="CK208" i="6" s="1"/>
  <c r="CK25" i="6" s="1"/>
  <c r="CT187" i="6"/>
  <c r="CT188" i="6" s="1"/>
  <c r="AX95" i="6"/>
  <c r="AX96" i="6" s="1"/>
  <c r="AX97" i="6" s="1"/>
  <c r="AX99" i="6" s="1"/>
  <c r="CI185" i="6"/>
  <c r="G94" i="6"/>
  <c r="U104" i="6"/>
  <c r="AU186" i="6"/>
  <c r="CZ186" i="6"/>
  <c r="CR177" i="6"/>
  <c r="CR178" i="6" s="1"/>
  <c r="N176" i="6"/>
  <c r="Q104" i="6"/>
  <c r="AK177" i="6"/>
  <c r="AK185" i="6"/>
  <c r="AK187" i="6" s="1"/>
  <c r="AK176" i="6"/>
  <c r="BZ105" i="6"/>
  <c r="BZ106" i="6" s="1"/>
  <c r="AI105" i="6"/>
  <c r="AI126" i="6" s="1"/>
  <c r="AI21" i="6" s="1"/>
  <c r="AW178" i="6"/>
  <c r="AW179" i="6" s="1"/>
  <c r="CG176" i="6"/>
  <c r="CG178" i="6" s="1"/>
  <c r="BM185" i="6"/>
  <c r="BM187" i="6" s="1"/>
  <c r="G103" i="6"/>
  <c r="G105" i="6" s="1"/>
  <c r="G126" i="6" s="1"/>
  <c r="G21" i="6" s="1"/>
  <c r="CG185" i="6"/>
  <c r="CG187" i="6" s="1"/>
  <c r="BM176" i="6"/>
  <c r="N185" i="6"/>
  <c r="AV177" i="6"/>
  <c r="T185" i="6"/>
  <c r="T187" i="6" s="1"/>
  <c r="T208" i="6" s="1"/>
  <c r="T25" i="6" s="1"/>
  <c r="AM177" i="6"/>
  <c r="AM178" i="6" s="1"/>
  <c r="AM184" i="6" s="1"/>
  <c r="AM189" i="6" s="1"/>
  <c r="CA208" i="6"/>
  <c r="CA25" i="6" s="1"/>
  <c r="CA188" i="6"/>
  <c r="AF179" i="6"/>
  <c r="AF184" i="6"/>
  <c r="AF189" i="6" s="1"/>
  <c r="S186" i="6"/>
  <c r="AU176" i="6"/>
  <c r="AW187" i="6"/>
  <c r="CI177" i="6"/>
  <c r="Z185" i="6"/>
  <c r="Z187" i="6" s="1"/>
  <c r="AH186" i="6"/>
  <c r="BN185" i="6"/>
  <c r="CC94" i="6"/>
  <c r="BM178" i="6"/>
  <c r="BM179" i="6" s="1"/>
  <c r="Z96" i="6"/>
  <c r="Z97" i="6" s="1"/>
  <c r="Z98" i="6" s="1"/>
  <c r="CR185" i="6"/>
  <c r="CR187" i="6" s="1"/>
  <c r="CR188" i="6" s="1"/>
  <c r="T177" i="6"/>
  <c r="T178" i="6" s="1"/>
  <c r="T184" i="6" s="1"/>
  <c r="T189" i="6" s="1"/>
  <c r="CH185" i="6"/>
  <c r="AB191" i="6"/>
  <c r="AZ178" i="6"/>
  <c r="AZ179" i="6" s="1"/>
  <c r="AY178" i="6"/>
  <c r="AY184" i="6" s="1"/>
  <c r="AY189" i="6" s="1"/>
  <c r="AY191" i="6" s="1"/>
  <c r="BK94" i="6"/>
  <c r="BK96" i="6" s="1"/>
  <c r="BK97" i="6" s="1"/>
  <c r="BV94" i="6"/>
  <c r="AL176" i="6"/>
  <c r="AV186" i="6"/>
  <c r="BQ95" i="6"/>
  <c r="AE103" i="6"/>
  <c r="AE105" i="6" s="1"/>
  <c r="AE106" i="6" s="1"/>
  <c r="BA176" i="6"/>
  <c r="CQ185" i="6"/>
  <c r="CQ187" i="6" s="1"/>
  <c r="CQ208" i="6" s="1"/>
  <c r="CQ25" i="6" s="1"/>
  <c r="BS95" i="6"/>
  <c r="CE178" i="6"/>
  <c r="CE184" i="6" s="1"/>
  <c r="CE189" i="6" s="1"/>
  <c r="CE191" i="6" s="1"/>
  <c r="BO177" i="6"/>
  <c r="BU177" i="6"/>
  <c r="Y178" i="6"/>
  <c r="Y179" i="6" s="1"/>
  <c r="Y181" i="6" s="1"/>
  <c r="BE177" i="6"/>
  <c r="AM105" i="6"/>
  <c r="AM106" i="6" s="1"/>
  <c r="CC103" i="6"/>
  <c r="CC105" i="6" s="1"/>
  <c r="N177" i="6"/>
  <c r="N178" i="6" s="1"/>
  <c r="CB208" i="6"/>
  <c r="CB25" i="6" s="1"/>
  <c r="CB188" i="6"/>
  <c r="BA208" i="6"/>
  <c r="BA25" i="6" s="1"/>
  <c r="BA188" i="6"/>
  <c r="BP178" i="6"/>
  <c r="BA177" i="6"/>
  <c r="M178" i="6"/>
  <c r="L96" i="6"/>
  <c r="L97" i="6" s="1"/>
  <c r="L99" i="6" s="1"/>
  <c r="BF186" i="6"/>
  <c r="J177" i="6"/>
  <c r="DA104" i="6"/>
  <c r="DA105" i="6" s="1"/>
  <c r="DA106" i="6" s="1"/>
  <c r="CM176" i="6"/>
  <c r="BU176" i="6"/>
  <c r="BX104" i="6"/>
  <c r="BX105" i="6" s="1"/>
  <c r="BX126" i="6" s="1"/>
  <c r="BX21" i="6" s="1"/>
  <c r="AV185" i="6"/>
  <c r="CM177" i="6"/>
  <c r="CM178" i="6" s="1"/>
  <c r="CM179" i="6" s="1"/>
  <c r="BS94" i="6"/>
  <c r="Z176" i="6"/>
  <c r="AL177" i="6"/>
  <c r="AL178" i="6" s="1"/>
  <c r="AL179" i="6" s="1"/>
  <c r="AL185" i="6"/>
  <c r="AL187" i="6" s="1"/>
  <c r="AT176" i="6"/>
  <c r="BJ105" i="6"/>
  <c r="BV103" i="6"/>
  <c r="BV105" i="6" s="1"/>
  <c r="BV106" i="6" s="1"/>
  <c r="Z177" i="6"/>
  <c r="X177" i="6"/>
  <c r="CO208" i="6"/>
  <c r="CO25" i="6" s="1"/>
  <c r="AV176" i="6"/>
  <c r="BU185" i="6"/>
  <c r="BV95" i="6"/>
  <c r="AS186" i="6"/>
  <c r="CC95" i="6"/>
  <c r="CC96" i="6" s="1"/>
  <c r="X176" i="6"/>
  <c r="BS103" i="6"/>
  <c r="BS105" i="6" s="1"/>
  <c r="BS126" i="6" s="1"/>
  <c r="BS21" i="6" s="1"/>
  <c r="CI186" i="6"/>
  <c r="CI187" i="6" s="1"/>
  <c r="CI188" i="6" s="1"/>
  <c r="G96" i="6"/>
  <c r="G102" i="6" s="1"/>
  <c r="G107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103" i="6"/>
  <c r="BF105" i="6" s="1"/>
  <c r="BF126" i="6" s="1"/>
  <c r="BF21" i="6" s="1"/>
  <c r="CK188" i="6"/>
  <c r="Q178" i="6"/>
  <c r="Q179" i="6" s="1"/>
  <c r="AU185" i="6"/>
  <c r="BQ94" i="6"/>
  <c r="BE102" i="6"/>
  <c r="BE107" i="6" s="1"/>
  <c r="BE109" i="6" s="1"/>
  <c r="BE110" i="6" s="1"/>
  <c r="BK103" i="6"/>
  <c r="BK105" i="6" s="1"/>
  <c r="BK106" i="6" s="1"/>
  <c r="BK95" i="6"/>
  <c r="L177" i="6"/>
  <c r="CQ177" i="6"/>
  <c r="CV178" i="6"/>
  <c r="CV179" i="6" s="1"/>
  <c r="DA178" i="6"/>
  <c r="DA179" i="6" s="1"/>
  <c r="DA181" i="6" s="1"/>
  <c r="J104" i="6"/>
  <c r="J105" i="6" s="1"/>
  <c r="J106" i="6" s="1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CQ176" i="6"/>
  <c r="AF208" i="6"/>
  <c r="AF25" i="6" s="1"/>
  <c r="AG186" i="6"/>
  <c r="BA96" i="6"/>
  <c r="BA102" i="6" s="1"/>
  <c r="BA107" i="6" s="1"/>
  <c r="Q103" i="6"/>
  <c r="AJ186" i="6"/>
  <c r="BE176" i="6"/>
  <c r="BE178" i="6" s="1"/>
  <c r="BE184" i="6" s="1"/>
  <c r="BE189" i="6" s="1"/>
  <c r="CS188" i="6"/>
  <c r="AE94" i="6"/>
  <c r="P179" i="6"/>
  <c r="P180" i="6" s="1"/>
  <c r="AP177" i="6"/>
  <c r="CB95" i="6"/>
  <c r="P186" i="6"/>
  <c r="P187" i="6" s="1"/>
  <c r="P188" i="6" s="1"/>
  <c r="BO176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CK180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CN176" i="6"/>
  <c r="AQ105" i="6"/>
  <c r="AQ106" i="6" s="1"/>
  <c r="K177" i="6"/>
  <c r="BC94" i="6"/>
  <c r="BC95" i="6"/>
  <c r="BQ191" i="6"/>
  <c r="BQ192" i="6" s="1"/>
  <c r="BQ209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BS188" i="6"/>
  <c r="BS208" i="6"/>
  <c r="BS25" i="6" s="1"/>
  <c r="AC186" i="6"/>
  <c r="BQ103" i="6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B181" i="6"/>
  <c r="AG177" i="6"/>
  <c r="BZ187" i="6"/>
  <c r="BZ208" i="6" s="1"/>
  <c r="BZ25" i="6" s="1"/>
  <c r="CO191" i="6"/>
  <c r="CO192" i="6" s="1"/>
  <c r="K185" i="6"/>
  <c r="G187" i="6"/>
  <c r="G208" i="6" s="1"/>
  <c r="G25" i="6" s="1"/>
  <c r="AV104" i="6"/>
  <c r="BQ104" i="6"/>
  <c r="O103" i="6"/>
  <c r="U96" i="6"/>
  <c r="U97" i="6" s="1"/>
  <c r="U100" i="6" s="1"/>
  <c r="BT176" i="6"/>
  <c r="BT178" i="6" s="1"/>
  <c r="BT179" i="6" s="1"/>
  <c r="BT182" i="6" s="1"/>
  <c r="AL95" i="6"/>
  <c r="Y180" i="6"/>
  <c r="K176" i="6"/>
  <c r="AG185" i="6"/>
  <c r="AR187" i="6"/>
  <c r="AR208" i="6" s="1"/>
  <c r="AR25" i="6" s="1"/>
  <c r="U105" i="6"/>
  <c r="W94" i="6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AR106" i="6"/>
  <c r="Q95" i="6"/>
  <c r="CB94" i="6"/>
  <c r="AB180" i="6"/>
  <c r="CA94" i="6"/>
  <c r="CB103" i="6"/>
  <c r="CB105" i="6" s="1"/>
  <c r="CB126" i="6" s="1"/>
  <c r="CB21" i="6" s="1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AL104" i="6"/>
  <c r="CH96" i="6"/>
  <c r="CH97" i="6" s="1"/>
  <c r="CH100" i="6" s="1"/>
  <c r="AW95" i="6"/>
  <c r="CN94" i="6"/>
  <c r="AL94" i="6"/>
  <c r="CT96" i="6"/>
  <c r="CT102" i="6" s="1"/>
  <c r="CT107" i="6" s="1"/>
  <c r="CI94" i="6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BH95" i="6"/>
  <c r="AH96" i="6"/>
  <c r="AH97" i="6" s="1"/>
  <c r="BO105" i="6"/>
  <c r="BO109" i="6" s="1"/>
  <c r="BO112" i="6" s="1"/>
  <c r="CP94" i="6"/>
  <c r="AW103" i="6"/>
  <c r="AW94" i="6"/>
  <c r="R103" i="6"/>
  <c r="BU94" i="6"/>
  <c r="CA95" i="6"/>
  <c r="AQ96" i="6"/>
  <c r="AQ102" i="6" s="1"/>
  <c r="AQ107" i="6" s="1"/>
  <c r="AQ109" i="6" s="1"/>
  <c r="AQ113" i="6" s="1"/>
  <c r="CM96" i="6"/>
  <c r="CM97" i="6" s="1"/>
  <c r="CM99" i="6" s="1"/>
  <c r="AJ103" i="6"/>
  <c r="CQ95" i="6"/>
  <c r="CA103" i="6"/>
  <c r="BW105" i="6"/>
  <c r="BW126" i="6" s="1"/>
  <c r="BW21" i="6" s="1"/>
  <c r="BC106" i="6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BN186" i="6"/>
  <c r="BN187" i="6" s="1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AX178" i="6"/>
  <c r="AX184" i="6" s="1"/>
  <c r="AX18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Z126" i="6"/>
  <c r="Z21" i="6" s="1"/>
  <c r="CQ94" i="6"/>
  <c r="CF106" i="6"/>
  <c r="CJ96" i="6"/>
  <c r="CJ97" i="6" s="1"/>
  <c r="AN103" i="6"/>
  <c r="I95" i="6"/>
  <c r="I94" i="6"/>
  <c r="N106" i="6"/>
  <c r="BY104" i="6"/>
  <c r="BJ126" i="6"/>
  <c r="BJ21" i="6" s="1"/>
  <c r="BJ106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BX106" i="6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CF101" i="6"/>
  <c r="CF99" i="6"/>
  <c r="CF98" i="6"/>
  <c r="CF100" i="6"/>
  <c r="BR176" i="6"/>
  <c r="BR185" i="6"/>
  <c r="BR177" i="6"/>
  <c r="AE177" i="6"/>
  <c r="AE185" i="6"/>
  <c r="AE176" i="6"/>
  <c r="BT95" i="6"/>
  <c r="BT94" i="6"/>
  <c r="BT103" i="6"/>
  <c r="BM188" i="6"/>
  <c r="BM208" i="6"/>
  <c r="BM25" i="6" s="1"/>
  <c r="M105" i="6"/>
  <c r="H177" i="6"/>
  <c r="H176" i="6"/>
  <c r="H185" i="6"/>
  <c r="H187" i="6" s="1"/>
  <c r="G188" i="6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AD188" i="6"/>
  <c r="AD208" i="6"/>
  <c r="AD25" i="6" s="1"/>
  <c r="CP188" i="6"/>
  <c r="CP208" i="6"/>
  <c r="CP25" i="6" s="1"/>
  <c r="AY95" i="6"/>
  <c r="AY103" i="6"/>
  <c r="AY94" i="6"/>
  <c r="AD104" i="6"/>
  <c r="BU104" i="6"/>
  <c r="AA98" i="6"/>
  <c r="AA100" i="6"/>
  <c r="AA101" i="6"/>
  <c r="AA99" i="6"/>
  <c r="BU178" i="6"/>
  <c r="V176" i="6"/>
  <c r="V185" i="6"/>
  <c r="V177" i="6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B194" i="6"/>
  <c r="AB195" i="6"/>
  <c r="AB192" i="6"/>
  <c r="BB177" i="6"/>
  <c r="BB185" i="6"/>
  <c r="BB176" i="6"/>
  <c r="U126" i="6"/>
  <c r="U21" i="6" s="1"/>
  <c r="U106" i="6"/>
  <c r="AI106" i="6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0" i="6"/>
  <c r="BE99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BX109" i="6" s="1"/>
  <c r="CY96" i="6"/>
  <c r="AP95" i="6"/>
  <c r="AP103" i="6"/>
  <c r="AP94" i="6"/>
  <c r="R177" i="6"/>
  <c r="R176" i="6"/>
  <c r="R185" i="6"/>
  <c r="AF192" i="6"/>
  <c r="W179" i="6"/>
  <c r="W184" i="6"/>
  <c r="W189" i="6" s="1"/>
  <c r="W191" i="6" s="1"/>
  <c r="Z100" i="6"/>
  <c r="BY185" i="6"/>
  <c r="BY177" i="6"/>
  <c r="BY176" i="6"/>
  <c r="CB194" i="6"/>
  <c r="BZ178" i="6"/>
  <c r="CQ104" i="6"/>
  <c r="X104" i="6"/>
  <c r="BG186" i="6"/>
  <c r="BC177" i="6"/>
  <c r="BC176" i="6"/>
  <c r="BC185" i="6"/>
  <c r="AZ180" i="6"/>
  <c r="AZ182" i="6"/>
  <c r="AZ181" i="6"/>
  <c r="AZ183" i="6"/>
  <c r="J97" i="6"/>
  <c r="J102" i="6"/>
  <c r="J107" i="6" s="1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O95" i="6"/>
  <c r="CO103" i="6"/>
  <c r="CO94" i="6"/>
  <c r="CD188" i="6"/>
  <c r="CD208" i="6"/>
  <c r="CD25" i="6" s="1"/>
  <c r="S177" i="6"/>
  <c r="S185" i="6"/>
  <c r="S187" i="6" s="1"/>
  <c r="S176" i="6"/>
  <c r="CY105" i="6"/>
  <c r="BK186" i="6"/>
  <c r="AZ102" i="6" l="1"/>
  <c r="AZ107" i="6" s="1"/>
  <c r="AZ97" i="6"/>
  <c r="AZ98" i="6" s="1"/>
  <c r="G106" i="6"/>
  <c r="BE106" i="6"/>
  <c r="BE108" i="6" s="1"/>
  <c r="Z99" i="6"/>
  <c r="BE101" i="6"/>
  <c r="BZ126" i="6"/>
  <c r="BZ21" i="6" s="1"/>
  <c r="BF96" i="6"/>
  <c r="BF97" i="6" s="1"/>
  <c r="Z101" i="6"/>
  <c r="G109" i="6"/>
  <c r="Q105" i="6"/>
  <c r="Q106" i="6" s="1"/>
  <c r="BA126" i="6"/>
  <c r="BA21" i="6" s="1"/>
  <c r="G97" i="6"/>
  <c r="AL96" i="6"/>
  <c r="AL102" i="6" s="1"/>
  <c r="BS96" i="6"/>
  <c r="BS97" i="6" s="1"/>
  <c r="BS99" i="6" s="1"/>
  <c r="CR179" i="6"/>
  <c r="CR184" i="6"/>
  <c r="CR189" i="6" s="1"/>
  <c r="CR191" i="6" s="1"/>
  <c r="AM181" i="6"/>
  <c r="BQ197" i="6"/>
  <c r="AZ109" i="6"/>
  <c r="AZ110" i="6" s="1"/>
  <c r="BQ190" i="6"/>
  <c r="BB187" i="6"/>
  <c r="BQ195" i="6"/>
  <c r="AK178" i="6"/>
  <c r="BC187" i="6"/>
  <c r="BQ196" i="6"/>
  <c r="BQ194" i="6"/>
  <c r="L101" i="6"/>
  <c r="CQ178" i="6"/>
  <c r="CQ179" i="6" s="1"/>
  <c r="AW184" i="6"/>
  <c r="AW189" i="6" s="1"/>
  <c r="AW191" i="6" s="1"/>
  <c r="N179" i="6"/>
  <c r="N181" i="6" s="1"/>
  <c r="N184" i="6"/>
  <c r="N189" i="6" s="1"/>
  <c r="CG184" i="6"/>
  <c r="CG189" i="6" s="1"/>
  <c r="CG191" i="6" s="1"/>
  <c r="CG179" i="6"/>
  <c r="CG182" i="6" s="1"/>
  <c r="T191" i="6"/>
  <c r="T195" i="6" s="1"/>
  <c r="L98" i="6"/>
  <c r="T188" i="6"/>
  <c r="AL107" i="6"/>
  <c r="L102" i="6"/>
  <c r="L107" i="6" s="1"/>
  <c r="L109" i="6" s="1"/>
  <c r="L110" i="6" s="1"/>
  <c r="L114" i="6" s="1"/>
  <c r="AK208" i="6"/>
  <c r="AK25" i="6" s="1"/>
  <c r="AK188" i="6"/>
  <c r="L100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BV96" i="6"/>
  <c r="BV97" i="6" s="1"/>
  <c r="BV101" i="6" s="1"/>
  <c r="BJ109" i="6"/>
  <c r="Z208" i="6"/>
  <c r="Z25" i="6" s="1"/>
  <c r="Z188" i="6"/>
  <c r="CC126" i="6"/>
  <c r="CC21" i="6" s="1"/>
  <c r="CC106" i="6"/>
  <c r="BU105" i="6"/>
  <c r="BU126" i="6" s="1"/>
  <c r="BU21" i="6" s="1"/>
  <c r="AR99" i="6"/>
  <c r="BQ96" i="6"/>
  <c r="BQ97" i="6" s="1"/>
  <c r="AM126" i="6"/>
  <c r="AM21" i="6" s="1"/>
  <c r="BT187" i="6"/>
  <c r="AR100" i="6"/>
  <c r="Z102" i="6"/>
  <c r="Z107" i="6" s="1"/>
  <c r="Z109" i="6" s="1"/>
  <c r="Z112" i="6" s="1"/>
  <c r="CE194" i="6"/>
  <c r="CE192" i="6"/>
  <c r="CE196" i="6" s="1"/>
  <c r="CE195" i="6"/>
  <c r="Y183" i="6"/>
  <c r="BO178" i="6"/>
  <c r="BT105" i="6"/>
  <c r="BT126" i="6" s="1"/>
  <c r="BT21" i="6" s="1"/>
  <c r="DA182" i="6"/>
  <c r="Y184" i="6"/>
  <c r="Y189" i="6" s="1"/>
  <c r="Y191" i="6" s="1"/>
  <c r="Y195" i="6" s="1"/>
  <c r="AM180" i="6"/>
  <c r="AZ184" i="6"/>
  <c r="AZ189" i="6" s="1"/>
  <c r="AZ191" i="6" s="1"/>
  <c r="AZ194" i="6" s="1"/>
  <c r="BA179" i="6"/>
  <c r="AR98" i="6"/>
  <c r="CI96" i="6"/>
  <c r="CI102" i="6" s="1"/>
  <c r="CI107" i="6" s="1"/>
  <c r="K178" i="6"/>
  <c r="DA188" i="6"/>
  <c r="AE96" i="6"/>
  <c r="AE97" i="6" s="1"/>
  <c r="AE100" i="6" s="1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AZ126" i="6"/>
  <c r="AZ21" i="6" s="1"/>
  <c r="U98" i="6"/>
  <c r="BQ105" i="6"/>
  <c r="BQ106" i="6" s="1"/>
  <c r="CC97" i="6"/>
  <c r="CC102" i="6"/>
  <c r="CC107" i="6" s="1"/>
  <c r="CC109" i="6" s="1"/>
  <c r="CC110" i="6" s="1"/>
  <c r="CC115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D208" i="6" s="1"/>
  <c r="BD25" i="6" s="1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BW181" i="6" s="1"/>
  <c r="DA183" i="6"/>
  <c r="BJ97" i="6"/>
  <c r="BJ98" i="6" s="1"/>
  <c r="CZ178" i="6"/>
  <c r="CZ179" i="6" s="1"/>
  <c r="CZ180" i="6" s="1"/>
  <c r="BU187" i="6"/>
  <c r="BU208" i="6" s="1"/>
  <c r="BU25" i="6" s="1"/>
  <c r="BA109" i="6"/>
  <c r="BA113" i="6" s="1"/>
  <c r="BS194" i="6"/>
  <c r="BS195" i="6"/>
  <c r="BS192" i="6"/>
  <c r="BS197" i="6" s="1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Y102" i="6" s="1"/>
  <c r="Y107" i="6" s="1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CN126" i="6" s="1"/>
  <c r="CN21" i="6" s="1"/>
  <c r="BM106" i="6"/>
  <c r="BO188" i="6"/>
  <c r="V96" i="6"/>
  <c r="V97" i="6" s="1"/>
  <c r="V98" i="6" s="1"/>
  <c r="AJ187" i="6"/>
  <c r="AJ188" i="6" s="1"/>
  <c r="CB192" i="6"/>
  <c r="CB190" i="6" s="1"/>
  <c r="CT184" i="6"/>
  <c r="CT189" i="6" s="1"/>
  <c r="CT191" i="6" s="1"/>
  <c r="CT195" i="6" s="1"/>
  <c r="BA97" i="6"/>
  <c r="BA101" i="6" s="1"/>
  <c r="CK184" i="6"/>
  <c r="CK189" i="6" s="1"/>
  <c r="CK191" i="6" s="1"/>
  <c r="CK192" i="6" s="1"/>
  <c r="CK209" i="6" s="1"/>
  <c r="CK210" i="6" s="1"/>
  <c r="CK26" i="6" s="1"/>
  <c r="AG187" i="6"/>
  <c r="AG188" i="6" s="1"/>
  <c r="CX96" i="6"/>
  <c r="CX97" i="6" s="1"/>
  <c r="AX106" i="6"/>
  <c r="L178" i="6"/>
  <c r="L179" i="6" s="1"/>
  <c r="L181" i="6" s="1"/>
  <c r="J109" i="6"/>
  <c r="J112" i="6" s="1"/>
  <c r="AP178" i="6"/>
  <c r="AP179" i="6" s="1"/>
  <c r="AF195" i="6"/>
  <c r="O105" i="6"/>
  <c r="O106" i="6" s="1"/>
  <c r="BH188" i="6"/>
  <c r="AM98" i="6"/>
  <c r="AO183" i="6"/>
  <c r="AS109" i="6"/>
  <c r="AS113" i="6" s="1"/>
  <c r="AA187" i="6"/>
  <c r="AA208" i="6" s="1"/>
  <c r="AA25" i="6" s="1"/>
  <c r="L187" i="6"/>
  <c r="AM195" i="6"/>
  <c r="AM192" i="6"/>
  <c r="AM194" i="6"/>
  <c r="AM100" i="6"/>
  <c r="CI208" i="6"/>
  <c r="CI25" i="6" s="1"/>
  <c r="AM99" i="6"/>
  <c r="W106" i="6"/>
  <c r="AJ178" i="6"/>
  <c r="AJ184" i="6" s="1"/>
  <c r="AJ189" i="6" s="1"/>
  <c r="CG183" i="6"/>
  <c r="CG180" i="6"/>
  <c r="CG181" i="6"/>
  <c r="AS126" i="6"/>
  <c r="AS21" i="6" s="1"/>
  <c r="O96" i="6"/>
  <c r="O97" i="6" s="1"/>
  <c r="O99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2" i="6"/>
  <c r="CM184" i="6"/>
  <c r="CM189" i="6" s="1"/>
  <c r="CM191" i="6" s="1"/>
  <c r="CM194" i="6" s="1"/>
  <c r="K187" i="6"/>
  <c r="K188" i="6" s="1"/>
  <c r="BT184" i="6"/>
  <c r="BT189" i="6" s="1"/>
  <c r="BT191" i="6" s="1"/>
  <c r="BT181" i="6"/>
  <c r="CI180" i="6"/>
  <c r="BZ188" i="6"/>
  <c r="CO194" i="6"/>
  <c r="AX100" i="6"/>
  <c r="J126" i="6"/>
  <c r="J21" i="6" s="1"/>
  <c r="AC187" i="6"/>
  <c r="BF178" i="6"/>
  <c r="CI183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AD97" i="6" s="1"/>
  <c r="N191" i="6"/>
  <c r="N195" i="6" s="1"/>
  <c r="Y194" i="6"/>
  <c r="AC178" i="6"/>
  <c r="AC184" i="6" s="1"/>
  <c r="AC189" i="6" s="1"/>
  <c r="CH99" i="6"/>
  <c r="AD195" i="6"/>
  <c r="BM102" i="6"/>
  <c r="BM107" i="6" s="1"/>
  <c r="BM109" i="6" s="1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T183" i="6"/>
  <c r="BI179" i="6"/>
  <c r="BI181" i="6" s="1"/>
  <c r="CH101" i="6"/>
  <c r="BY187" i="6"/>
  <c r="BY188" i="6" s="1"/>
  <c r="R105" i="6"/>
  <c r="R126" i="6" s="1"/>
  <c r="R21" i="6" s="1"/>
  <c r="BE179" i="6"/>
  <c r="BE183" i="6" s="1"/>
  <c r="Y105" i="6"/>
  <c r="Y106" i="6" s="1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AA113" i="6"/>
  <c r="AA110" i="6"/>
  <c r="AA108" i="6" s="1"/>
  <c r="BW106" i="6"/>
  <c r="AB101" i="6"/>
  <c r="BO101" i="6"/>
  <c r="BH96" i="6"/>
  <c r="BH97" i="6" s="1"/>
  <c r="BH98" i="6" s="1"/>
  <c r="K96" i="6"/>
  <c r="K97" i="6" s="1"/>
  <c r="K100" i="6" s="1"/>
  <c r="AW105" i="6"/>
  <c r="AW106" i="6" s="1"/>
  <c r="CA105" i="6"/>
  <c r="CA106" i="6" s="1"/>
  <c r="AB102" i="6"/>
  <c r="AB107" i="6" s="1"/>
  <c r="AB109" i="6" s="1"/>
  <c r="AB113" i="6" s="1"/>
  <c r="CP96" i="6"/>
  <c r="CP97" i="6" s="1"/>
  <c r="CP101" i="6" s="1"/>
  <c r="AZ101" i="6"/>
  <c r="BN106" i="6"/>
  <c r="CD96" i="6"/>
  <c r="CD97" i="6" s="1"/>
  <c r="CD101" i="6" s="1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BO99" i="6"/>
  <c r="AJ96" i="6"/>
  <c r="AJ97" i="6" s="1"/>
  <c r="AJ99" i="6" s="1"/>
  <c r="BO100" i="6"/>
  <c r="CQ96" i="6"/>
  <c r="CQ97" i="6" s="1"/>
  <c r="BW109" i="6"/>
  <c r="BW113" i="6" s="1"/>
  <c r="AN105" i="6"/>
  <c r="AN126" i="6" s="1"/>
  <c r="AN21" i="6" s="1"/>
  <c r="DA126" i="6"/>
  <c r="DA21" i="6" s="1"/>
  <c r="CJ102" i="6"/>
  <c r="CJ107" i="6" s="1"/>
  <c r="CJ109" i="6" s="1"/>
  <c r="AB106" i="6"/>
  <c r="BH126" i="6"/>
  <c r="BH21" i="6" s="1"/>
  <c r="BE113" i="6"/>
  <c r="AQ112" i="6"/>
  <c r="CE113" i="6"/>
  <c r="AP105" i="6"/>
  <c r="AP106" i="6" s="1"/>
  <c r="CE110" i="6"/>
  <c r="CE108" i="6" s="1"/>
  <c r="CO105" i="6"/>
  <c r="CO106" i="6" s="1"/>
  <c r="S96" i="6"/>
  <c r="S102" i="6" s="1"/>
  <c r="S107" i="6" s="1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CE190" i="6"/>
  <c r="CE199" i="6" s="1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A184" i="6"/>
  <c r="AA189" i="6" s="1"/>
  <c r="AA191" i="6" s="1"/>
  <c r="AA195" i="6" s="1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CX126" i="6"/>
  <c r="CX21" i="6" s="1"/>
  <c r="CX106" i="6"/>
  <c r="AQ110" i="6"/>
  <c r="AQ114" i="6" s="1"/>
  <c r="AU96" i="6"/>
  <c r="BD106" i="6"/>
  <c r="CV97" i="6"/>
  <c r="CV98" i="6" s="1"/>
  <c r="CX102" i="6"/>
  <c r="CX107" i="6" s="1"/>
  <c r="CX109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8" i="6"/>
  <c r="BK99" i="6"/>
  <c r="BK100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BK101" i="6"/>
  <c r="CF112" i="6"/>
  <c r="AG102" i="6"/>
  <c r="AG107" i="6" s="1"/>
  <c r="AG109" i="6" s="1"/>
  <c r="AV106" i="6"/>
  <c r="AV126" i="6"/>
  <c r="AV21" i="6" s="1"/>
  <c r="T105" i="6"/>
  <c r="T106" i="6" s="1"/>
  <c r="T96" i="6"/>
  <c r="T102" i="6" s="1"/>
  <c r="T107" i="6" s="1"/>
  <c r="AI102" i="6"/>
  <c r="AI107" i="6" s="1"/>
  <c r="AI109" i="6" s="1"/>
  <c r="AI110" i="6" s="1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R106" i="6"/>
  <c r="AX188" i="6"/>
  <c r="AX208" i="6"/>
  <c r="AX25" i="6" s="1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3" i="6"/>
  <c r="CF178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A110" i="6"/>
  <c r="AO112" i="6"/>
  <c r="AO110" i="6"/>
  <c r="AO113" i="6"/>
  <c r="M126" i="6"/>
  <c r="M21" i="6" s="1"/>
  <c r="M106" i="6"/>
  <c r="X181" i="6"/>
  <c r="X182" i="6"/>
  <c r="BE191" i="6"/>
  <c r="CV194" i="6"/>
  <c r="CV195" i="6"/>
  <c r="CV192" i="6"/>
  <c r="AT96" i="6"/>
  <c r="BG178" i="6"/>
  <c r="BU188" i="6"/>
  <c r="BY178" i="6"/>
  <c r="AA181" i="6"/>
  <c r="CT192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BD188" i="6"/>
  <c r="CC127" i="6"/>
  <c r="BL105" i="6"/>
  <c r="BT106" i="6"/>
  <c r="BS100" i="6"/>
  <c r="BS101" i="6"/>
  <c r="N183" i="6"/>
  <c r="AG126" i="6"/>
  <c r="AG21" i="6" s="1"/>
  <c r="AG106" i="6"/>
  <c r="W182" i="6"/>
  <c r="W183" i="6"/>
  <c r="W180" i="6"/>
  <c r="W181" i="6"/>
  <c r="BV100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D195" i="6"/>
  <c r="CD194" i="6"/>
  <c r="CD192" i="6"/>
  <c r="AL192" i="6"/>
  <c r="AL195" i="6"/>
  <c r="AL194" i="6"/>
  <c r="BY208" i="6"/>
  <c r="BY25" i="6" s="1"/>
  <c r="BX112" i="6"/>
  <c r="BX110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CA126" i="6"/>
  <c r="CA21" i="6" s="1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BE115" i="6"/>
  <c r="BE114" i="6"/>
  <c r="BE127" i="6"/>
  <c r="CY106" i="6"/>
  <c r="CY126" i="6"/>
  <c r="CY21" i="6" s="1"/>
  <c r="BR96" i="6"/>
  <c r="AD190" i="6"/>
  <c r="J101" i="6"/>
  <c r="J100" i="6"/>
  <c r="J99" i="6"/>
  <c r="J98" i="6"/>
  <c r="BX99" i="6"/>
  <c r="BX98" i="6"/>
  <c r="BX100" i="6"/>
  <c r="BX101" i="6"/>
  <c r="CJ106" i="6"/>
  <c r="CJ126" i="6"/>
  <c r="CJ21" i="6" s="1"/>
  <c r="AU182" i="6"/>
  <c r="AU183" i="6"/>
  <c r="AU181" i="6"/>
  <c r="AU180" i="6"/>
  <c r="AI178" i="6"/>
  <c r="AY105" i="6"/>
  <c r="CY178" i="6"/>
  <c r="CC188" i="6"/>
  <c r="CC208" i="6"/>
  <c r="CC25" i="6" s="1"/>
  <c r="BK187" i="6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M109" i="6"/>
  <c r="AH101" i="6"/>
  <c r="AH100" i="6"/>
  <c r="AH99" i="6"/>
  <c r="AH98" i="6"/>
  <c r="CC178" i="6"/>
  <c r="H208" i="6"/>
  <c r="H25" i="6" s="1"/>
  <c r="H188" i="6"/>
  <c r="BR187" i="6"/>
  <c r="N101" i="6"/>
  <c r="N100" i="6"/>
  <c r="N99" i="6"/>
  <c r="N98" i="6"/>
  <c r="Y97" i="6" l="1"/>
  <c r="AZ112" i="6"/>
  <c r="AD102" i="6"/>
  <c r="AD107" i="6" s="1"/>
  <c r="BV99" i="6"/>
  <c r="BS98" i="6"/>
  <c r="Q102" i="6"/>
  <c r="Q107" i="6" s="1"/>
  <c r="Q109" i="6" s="1"/>
  <c r="Q110" i="6" s="1"/>
  <c r="Q108" i="6" s="1"/>
  <c r="BJ100" i="6"/>
  <c r="BV98" i="6"/>
  <c r="Z110" i="6"/>
  <c r="Z108" i="6" s="1"/>
  <c r="BF102" i="6"/>
  <c r="BF107" i="6" s="1"/>
  <c r="BF109" i="6" s="1"/>
  <c r="CC108" i="6"/>
  <c r="O98" i="6"/>
  <c r="BA112" i="6"/>
  <c r="AM112" i="6"/>
  <c r="AZ99" i="6"/>
  <c r="AZ100" i="6"/>
  <c r="AE98" i="6"/>
  <c r="BU98" i="6"/>
  <c r="BT109" i="6"/>
  <c r="Z113" i="6"/>
  <c r="AK102" i="6"/>
  <c r="AK107" i="6" s="1"/>
  <c r="AK109" i="6" s="1"/>
  <c r="AK110" i="6" s="1"/>
  <c r="AK108" i="6" s="1"/>
  <c r="BJ101" i="6"/>
  <c r="AE101" i="6"/>
  <c r="Q126" i="6"/>
  <c r="Q21" i="6" s="1"/>
  <c r="AP126" i="6"/>
  <c r="AP21" i="6" s="1"/>
  <c r="AE99" i="6"/>
  <c r="CR195" i="6"/>
  <c r="CR194" i="6"/>
  <c r="CR192" i="6"/>
  <c r="CR197" i="6" s="1"/>
  <c r="N182" i="6"/>
  <c r="O101" i="6"/>
  <c r="CE209" i="6"/>
  <c r="CE211" i="6" s="1"/>
  <c r="CE27" i="6" s="1"/>
  <c r="BW183" i="6"/>
  <c r="BU106" i="6"/>
  <c r="BW180" i="6"/>
  <c r="CE197" i="6"/>
  <c r="CE200" i="6" s="1"/>
  <c r="AZ195" i="6"/>
  <c r="N180" i="6"/>
  <c r="O100" i="6"/>
  <c r="O102" i="6"/>
  <c r="O107" i="6" s="1"/>
  <c r="O109" i="6" s="1"/>
  <c r="Q98" i="6"/>
  <c r="Q101" i="6"/>
  <c r="AK179" i="6"/>
  <c r="AK184" i="6"/>
  <c r="AK189" i="6" s="1"/>
  <c r="AK191" i="6" s="1"/>
  <c r="CR182" i="6"/>
  <c r="CR183" i="6"/>
  <c r="CR181" i="6"/>
  <c r="CR180" i="6"/>
  <c r="CH182" i="6"/>
  <c r="CK211" i="6"/>
  <c r="CK27" i="6" s="1"/>
  <c r="CV100" i="6"/>
  <c r="S126" i="6"/>
  <c r="S21" i="6" s="1"/>
  <c r="CH181" i="6"/>
  <c r="CZ182" i="6"/>
  <c r="CH183" i="6"/>
  <c r="CZ184" i="6"/>
  <c r="CZ189" i="6" s="1"/>
  <c r="CZ191" i="6" s="1"/>
  <c r="CZ192" i="6" s="1"/>
  <c r="CN106" i="6"/>
  <c r="CG192" i="6"/>
  <c r="CG195" i="6"/>
  <c r="CG194" i="6"/>
  <c r="W102" i="6"/>
  <c r="W107" i="6" s="1"/>
  <c r="W109" i="6" s="1"/>
  <c r="W110" i="6" s="1"/>
  <c r="BA194" i="6"/>
  <c r="BA192" i="6"/>
  <c r="BA195" i="6"/>
  <c r="BW182" i="6"/>
  <c r="BS209" i="6"/>
  <c r="BS211" i="6" s="1"/>
  <c r="BS27" i="6" s="1"/>
  <c r="Q195" i="6"/>
  <c r="AA188" i="6"/>
  <c r="BV102" i="6"/>
  <c r="BV107" i="6" s="1"/>
  <c r="BV109" i="6" s="1"/>
  <c r="BV113" i="6" s="1"/>
  <c r="Z180" i="6"/>
  <c r="Z184" i="6"/>
  <c r="Z189" i="6" s="1"/>
  <c r="Z191" i="6" s="1"/>
  <c r="CH184" i="6"/>
  <c r="CH189" i="6" s="1"/>
  <c r="CH191" i="6" s="1"/>
  <c r="CH192" i="6" s="1"/>
  <c r="CH196" i="6" s="1"/>
  <c r="Q99" i="6"/>
  <c r="CZ181" i="6"/>
  <c r="S109" i="6"/>
  <c r="Z183" i="6"/>
  <c r="CK196" i="6"/>
  <c r="CK195" i="6"/>
  <c r="CK197" i="6"/>
  <c r="Y192" i="6"/>
  <c r="Y197" i="6" s="1"/>
  <c r="V102" i="6"/>
  <c r="V107" i="6" s="1"/>
  <c r="V109" i="6" s="1"/>
  <c r="V113" i="6" s="1"/>
  <c r="CT101" i="6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L108" i="6"/>
  <c r="L117" i="6" s="1"/>
  <c r="CW182" i="6"/>
  <c r="CC113" i="6"/>
  <c r="CT112" i="6"/>
  <c r="L127" i="6"/>
  <c r="L129" i="6" s="1"/>
  <c r="L23" i="6" s="1"/>
  <c r="U112" i="6"/>
  <c r="AG181" i="6"/>
  <c r="BV184" i="6"/>
  <c r="BV189" i="6" s="1"/>
  <c r="BV191" i="6" s="1"/>
  <c r="BV195" i="6" s="1"/>
  <c r="CC114" i="6"/>
  <c r="CW180" i="6"/>
  <c r="AG184" i="6"/>
  <c r="AG189" i="6" s="1"/>
  <c r="AG191" i="6" s="1"/>
  <c r="AG195" i="6" s="1"/>
  <c r="CC112" i="6"/>
  <c r="AV192" i="6"/>
  <c r="AV195" i="6"/>
  <c r="BU191" i="6"/>
  <c r="BU195" i="6" s="1"/>
  <c r="AX108" i="6"/>
  <c r="AX116" i="6" s="1"/>
  <c r="CI112" i="6"/>
  <c r="AJ208" i="6"/>
  <c r="AJ25" i="6" s="1"/>
  <c r="CT100" i="6"/>
  <c r="CT99" i="6"/>
  <c r="BJ99" i="6"/>
  <c r="AS110" i="6"/>
  <c r="AS127" i="6" s="1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G211" i="6" s="1"/>
  <c r="G27" i="6" s="1"/>
  <c r="CC98" i="6"/>
  <c r="CC99" i="6"/>
  <c r="CC101" i="6"/>
  <c r="CC100" i="6"/>
  <c r="BC113" i="6"/>
  <c r="BC112" i="6"/>
  <c r="BC110" i="6"/>
  <c r="BC108" i="6" s="1"/>
  <c r="BC116" i="6" s="1"/>
  <c r="BB106" i="6"/>
  <c r="CD183" i="6"/>
  <c r="G182" i="6"/>
  <c r="G181" i="6"/>
  <c r="G183" i="6"/>
  <c r="G180" i="6"/>
  <c r="BP196" i="6"/>
  <c r="CB196" i="6"/>
  <c r="AA182" i="6"/>
  <c r="CD98" i="6"/>
  <c r="CE99" i="6"/>
  <c r="AW109" i="6"/>
  <c r="AW113" i="6" s="1"/>
  <c r="CK194" i="6"/>
  <c r="CB209" i="6"/>
  <c r="CB210" i="6" s="1"/>
  <c r="CB26" i="6" s="1"/>
  <c r="K191" i="6"/>
  <c r="L182" i="6"/>
  <c r="J110" i="6"/>
  <c r="J114" i="6" s="1"/>
  <c r="AA180" i="6"/>
  <c r="AP184" i="6"/>
  <c r="AP189" i="6" s="1"/>
  <c r="AP191" i="6" s="1"/>
  <c r="CK190" i="6"/>
  <c r="BS196" i="6"/>
  <c r="BS200" i="6" s="1"/>
  <c r="BS190" i="6"/>
  <c r="CT194" i="6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BM198" i="6" s="1"/>
  <c r="CW106" i="6"/>
  <c r="CN194" i="6"/>
  <c r="Z194" i="6"/>
  <c r="Z195" i="6"/>
  <c r="Z192" i="6"/>
  <c r="BM113" i="6"/>
  <c r="BM112" i="6"/>
  <c r="BM110" i="6"/>
  <c r="BM108" i="6" s="1"/>
  <c r="BM196" i="6"/>
  <c r="AN195" i="6"/>
  <c r="AN194" i="6"/>
  <c r="Y190" i="6"/>
  <c r="AT106" i="6"/>
  <c r="CJ196" i="6"/>
  <c r="K180" i="6"/>
  <c r="CH108" i="6"/>
  <c r="CH116" i="6" s="1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AJ98" i="6"/>
  <c r="AA114" i="6"/>
  <c r="BU100" i="6"/>
  <c r="BH99" i="6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Q113" i="6"/>
  <c r="AR108" i="6"/>
  <c r="AR117" i="6" s="1"/>
  <c r="Q114" i="6"/>
  <c r="CV112" i="6"/>
  <c r="BK110" i="6"/>
  <c r="BK115" i="6" s="1"/>
  <c r="Q112" i="6"/>
  <c r="Q115" i="6"/>
  <c r="CV110" i="6"/>
  <c r="CV115" i="6" s="1"/>
  <c r="Q127" i="6"/>
  <c r="Q128" i="6" s="1"/>
  <c r="Q22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V99" i="6"/>
  <c r="AI112" i="6"/>
  <c r="CV99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S110" i="6"/>
  <c r="CS113" i="6"/>
  <c r="CS112" i="6"/>
  <c r="M100" i="6"/>
  <c r="CR97" i="6"/>
  <c r="AV97" i="6"/>
  <c r="AV101" i="6" s="1"/>
  <c r="AX181" i="6"/>
  <c r="AZ197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X99" i="6"/>
  <c r="X100" i="6"/>
  <c r="X101" i="6"/>
  <c r="X98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CR113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2" i="6"/>
  <c r="H97" i="6"/>
  <c r="H101" i="6" s="1"/>
  <c r="AF101" i="6"/>
  <c r="AF99" i="6"/>
  <c r="AF100" i="6"/>
  <c r="AF98" i="6"/>
  <c r="AM108" i="6"/>
  <c r="AM116" i="6" s="1"/>
  <c r="AM115" i="6"/>
  <c r="T97" i="6"/>
  <c r="T101" i="6" s="1"/>
  <c r="AF110" i="6"/>
  <c r="AF112" i="6"/>
  <c r="AF113" i="6"/>
  <c r="AW99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9" i="6"/>
  <c r="AD101" i="6"/>
  <c r="AD98" i="6"/>
  <c r="AD100" i="6"/>
  <c r="AD99" i="6"/>
  <c r="BR97" i="6"/>
  <c r="BR102" i="6"/>
  <c r="BR107" i="6" s="1"/>
  <c r="BR109" i="6" s="1"/>
  <c r="J181" i="6"/>
  <c r="J180" i="6"/>
  <c r="J183" i="6"/>
  <c r="J182" i="6"/>
  <c r="AD106" i="6"/>
  <c r="AD126" i="6"/>
  <c r="AD21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CC116" i="6"/>
  <c r="CC117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AG112" i="6"/>
  <c r="AG113" i="6"/>
  <c r="AG110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BX114" i="6"/>
  <c r="BX115" i="6"/>
  <c r="BX127" i="6"/>
  <c r="BX108" i="6"/>
  <c r="AS115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Q116" i="6"/>
  <c r="AP101" i="6"/>
  <c r="AP100" i="6"/>
  <c r="AP99" i="6"/>
  <c r="AP98" i="6"/>
  <c r="M113" i="6"/>
  <c r="M112" i="6"/>
  <c r="M110" i="6"/>
  <c r="AX195" i="6"/>
  <c r="AX194" i="6"/>
  <c r="AX192" i="6"/>
  <c r="Z117" i="6"/>
  <c r="Z116" i="6"/>
  <c r="G210" i="6"/>
  <c r="G26" i="6" s="1"/>
  <c r="AO114" i="6"/>
  <c r="AO115" i="6"/>
  <c r="AO127" i="6"/>
  <c r="AO108" i="6"/>
  <c r="AB210" i="6"/>
  <c r="AB26" i="6" s="1"/>
  <c r="AB211" i="6"/>
  <c r="AB27" i="6" s="1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AY100" i="6"/>
  <c r="AY99" i="6"/>
  <c r="AY101" i="6"/>
  <c r="AY98" i="6"/>
  <c r="BY179" i="6"/>
  <c r="BY184" i="6"/>
  <c r="BY189" i="6" s="1"/>
  <c r="BY191" i="6" s="1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BV180" i="6"/>
  <c r="BV181" i="6"/>
  <c r="BV183" i="6"/>
  <c r="BV182" i="6"/>
  <c r="BK180" i="6"/>
  <c r="AT195" i="6"/>
  <c r="S113" i="6"/>
  <c r="S112" i="6"/>
  <c r="S110" i="6"/>
  <c r="O112" i="6" l="1"/>
  <c r="O110" i="6"/>
  <c r="O114" i="6" s="1"/>
  <c r="O113" i="6"/>
  <c r="AS108" i="6"/>
  <c r="AS117" i="6" s="1"/>
  <c r="W113" i="6"/>
  <c r="AK112" i="6"/>
  <c r="AK113" i="6"/>
  <c r="AS114" i="6"/>
  <c r="V112" i="6"/>
  <c r="BV112" i="6"/>
  <c r="S98" i="6"/>
  <c r="BV110" i="6"/>
  <c r="BV114" i="6" s="1"/>
  <c r="V110" i="6"/>
  <c r="V127" i="6" s="1"/>
  <c r="V129" i="6" s="1"/>
  <c r="V23" i="6" s="1"/>
  <c r="BU194" i="6"/>
  <c r="AW110" i="6"/>
  <c r="AW114" i="6" s="1"/>
  <c r="CN209" i="6"/>
  <c r="BU192" i="6"/>
  <c r="BV194" i="6"/>
  <c r="O195" i="6"/>
  <c r="CN197" i="6"/>
  <c r="BV192" i="6"/>
  <c r="BV197" i="6" s="1"/>
  <c r="O192" i="6"/>
  <c r="L195" i="6"/>
  <c r="AK195" i="6"/>
  <c r="AK194" i="6"/>
  <c r="AK192" i="6"/>
  <c r="CR127" i="6"/>
  <c r="CR129" i="6" s="1"/>
  <c r="CR23" i="6" s="1"/>
  <c r="L192" i="6"/>
  <c r="I181" i="6"/>
  <c r="BS210" i="6"/>
  <c r="BS26" i="6" s="1"/>
  <c r="AK182" i="6"/>
  <c r="AK181" i="6"/>
  <c r="AK183" i="6"/>
  <c r="AK180" i="6"/>
  <c r="AQ190" i="6"/>
  <c r="G196" i="6"/>
  <c r="CK200" i="6"/>
  <c r="CH197" i="6"/>
  <c r="AQ209" i="6"/>
  <c r="CZ195" i="6"/>
  <c r="CH209" i="6"/>
  <c r="CH128" i="6"/>
  <c r="CH22" i="6" s="1"/>
  <c r="CH194" i="6"/>
  <c r="CZ194" i="6"/>
  <c r="G190" i="6"/>
  <c r="G198" i="6" s="1"/>
  <c r="CH190" i="6"/>
  <c r="CH195" i="6"/>
  <c r="CG196" i="6"/>
  <c r="CG190" i="6"/>
  <c r="CG209" i="6"/>
  <c r="CG197" i="6"/>
  <c r="O115" i="6"/>
  <c r="CA211" i="6"/>
  <c r="CA27" i="6" s="1"/>
  <c r="Y209" i="6"/>
  <c r="L116" i="6"/>
  <c r="V115" i="6"/>
  <c r="CR112" i="6"/>
  <c r="AZ211" i="6"/>
  <c r="AZ27" i="6" s="1"/>
  <c r="AT192" i="6"/>
  <c r="AT209" i="6" s="1"/>
  <c r="CX194" i="6"/>
  <c r="BC114" i="6"/>
  <c r="Q190" i="6"/>
  <c r="BN190" i="6"/>
  <c r="BN199" i="6" s="1"/>
  <c r="Q209" i="6"/>
  <c r="Q210" i="6" s="1"/>
  <c r="Q26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AR127" i="6"/>
  <c r="AR128" i="6" s="1"/>
  <c r="AR22" i="6" s="1"/>
  <c r="Q196" i="6"/>
  <c r="Q200" i="6" s="1"/>
  <c r="G197" i="6"/>
  <c r="CH117" i="6"/>
  <c r="CB211" i="6"/>
  <c r="CB27" i="6" s="1"/>
  <c r="BC195" i="6"/>
  <c r="BM200" i="6"/>
  <c r="BK183" i="6"/>
  <c r="AH108" i="6"/>
  <c r="BK182" i="6"/>
  <c r="CB200" i="6"/>
  <c r="AH127" i="6"/>
  <c r="AP192" i="6"/>
  <c r="AP196" i="6" s="1"/>
  <c r="AP195" i="6"/>
  <c r="CM196" i="6"/>
  <c r="CM200" i="6" s="1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AE108" i="6"/>
  <c r="AE116" i="6" s="1"/>
  <c r="AM200" i="6"/>
  <c r="V128" i="6"/>
  <c r="V22" i="6" s="1"/>
  <c r="CI197" i="6"/>
  <c r="CI200" i="6" s="1"/>
  <c r="AJ182" i="6"/>
  <c r="N197" i="6"/>
  <c r="N200" i="6" s="1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Q129" i="6"/>
  <c r="Q23" i="6" s="1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AG197" i="6"/>
  <c r="AG200" i="6" s="1"/>
  <c r="CN108" i="6"/>
  <c r="CN116" i="6" s="1"/>
  <c r="AN183" i="6"/>
  <c r="DA199" i="6"/>
  <c r="DA198" i="6"/>
  <c r="P113" i="6"/>
  <c r="AC115" i="6"/>
  <c r="AG209" i="6"/>
  <c r="AG210" i="6" s="1"/>
  <c r="AG26" i="6" s="1"/>
  <c r="BJ194" i="6"/>
  <c r="AZ200" i="6"/>
  <c r="G200" i="6"/>
  <c r="Z190" i="6"/>
  <c r="Z209" i="6"/>
  <c r="Z196" i="6"/>
  <c r="Z197" i="6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R129" i="6"/>
  <c r="AR23" i="6" s="1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H110" i="6"/>
  <c r="H108" i="6" s="1"/>
  <c r="AP112" i="6"/>
  <c r="AV129" i="6"/>
  <c r="AV23" i="6" s="1"/>
  <c r="H112" i="6"/>
  <c r="AM117" i="6"/>
  <c r="CG113" i="6"/>
  <c r="BY110" i="6"/>
  <c r="BY127" i="6" s="1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15" i="6"/>
  <c r="AF114" i="6"/>
  <c r="AF127" i="6"/>
  <c r="AF115" i="6"/>
  <c r="AF108" i="6"/>
  <c r="CW98" i="6"/>
  <c r="CJ114" i="6"/>
  <c r="CJ127" i="6"/>
  <c r="CJ115" i="6"/>
  <c r="CJ108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7" i="6"/>
  <c r="BA199" i="6"/>
  <c r="BA198" i="6"/>
  <c r="AW198" i="6"/>
  <c r="AW199" i="6"/>
  <c r="CG108" i="6"/>
  <c r="CG127" i="6"/>
  <c r="CG114" i="6"/>
  <c r="CG115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T98" i="6"/>
  <c r="AT99" i="6"/>
  <c r="AT101" i="6"/>
  <c r="AT100" i="6"/>
  <c r="AL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H117" i="6"/>
  <c r="AH116" i="6"/>
  <c r="AY113" i="6"/>
  <c r="AY112" i="6"/>
  <c r="AY110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AS116" i="6" l="1"/>
  <c r="BV127" i="6"/>
  <c r="BV128" i="6" s="1"/>
  <c r="BV22" i="6" s="1"/>
  <c r="BV115" i="6"/>
  <c r="AW108" i="6"/>
  <c r="AW116" i="6" s="1"/>
  <c r="AW127" i="6"/>
  <c r="BV209" i="6"/>
  <c r="BV190" i="6"/>
  <c r="BV196" i="6"/>
  <c r="AK190" i="6"/>
  <c r="AK197" i="6"/>
  <c r="AK196" i="6"/>
  <c r="AK209" i="6"/>
  <c r="AP190" i="6"/>
  <c r="AP199" i="6" s="1"/>
  <c r="I200" i="6"/>
  <c r="CG198" i="6"/>
  <c r="CG199" i="6"/>
  <c r="Q211" i="6"/>
  <c r="Q27" i="6" s="1"/>
  <c r="Q30" i="6" s="1"/>
  <c r="Q34" i="6" s="1"/>
  <c r="CG210" i="6"/>
  <c r="CG26" i="6" s="1"/>
  <c r="CG211" i="6"/>
  <c r="CG27" i="6" s="1"/>
  <c r="AP209" i="6"/>
  <c r="AP210" i="6" s="1"/>
  <c r="AP26" i="6" s="1"/>
  <c r="CG200" i="6"/>
  <c r="CI199" i="6"/>
  <c r="AE128" i="6"/>
  <c r="AE22" i="6" s="1"/>
  <c r="CM117" i="6"/>
  <c r="BZ128" i="6"/>
  <c r="BZ22" i="6" s="1"/>
  <c r="Q198" i="6"/>
  <c r="Q199" i="6"/>
  <c r="M200" i="6"/>
  <c r="BO196" i="6"/>
  <c r="BO190" i="6"/>
  <c r="BO209" i="6"/>
  <c r="BO197" i="6"/>
  <c r="Z200" i="6"/>
  <c r="P128" i="6"/>
  <c r="P22" i="6" s="1"/>
  <c r="M211" i="6"/>
  <c r="M27" i="6" s="1"/>
  <c r="M210" i="6"/>
  <c r="M26" i="6" s="1"/>
  <c r="M199" i="6"/>
  <c r="M198" i="6"/>
  <c r="CW114" i="6"/>
  <c r="CM211" i="6"/>
  <c r="CM27" i="6" s="1"/>
  <c r="CW127" i="6"/>
  <c r="CW128" i="6" s="1"/>
  <c r="CW22" i="6" s="1"/>
  <c r="AC190" i="6"/>
  <c r="CW108" i="6"/>
  <c r="CW116" i="6" s="1"/>
  <c r="CU200" i="6"/>
  <c r="Y108" i="6"/>
  <c r="Y116" i="6" s="1"/>
  <c r="R196" i="6"/>
  <c r="CN129" i="6"/>
  <c r="CN23" i="6" s="1"/>
  <c r="X210" i="6"/>
  <c r="X26" i="6" s="1"/>
  <c r="CR116" i="6"/>
  <c r="BT200" i="6"/>
  <c r="Y127" i="6"/>
  <c r="Y129" i="6" s="1"/>
  <c r="Y23" i="6" s="1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H198" i="6" s="1"/>
  <c r="AC209" i="6"/>
  <c r="AC211" i="6" s="1"/>
  <c r="AC27" i="6" s="1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G198" i="6"/>
  <c r="AE197" i="6"/>
  <c r="AE200" i="6" s="1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BJ210" i="6" s="1"/>
  <c r="BJ26" i="6" s="1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V30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29" i="6"/>
  <c r="AW23" i="6" s="1"/>
  <c r="AW128" i="6"/>
  <c r="AW22" i="6" s="1"/>
  <c r="BA30" i="6"/>
  <c r="BA34" i="6" s="1"/>
  <c r="I129" i="6"/>
  <c r="I23" i="6" s="1"/>
  <c r="I128" i="6"/>
  <c r="I22" i="6" s="1"/>
  <c r="BJ211" i="6"/>
  <c r="BJ27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L211" i="6"/>
  <c r="L27" i="6" s="1"/>
  <c r="L210" i="6"/>
  <c r="L26" i="6" s="1"/>
  <c r="BT117" i="6"/>
  <c r="BT116" i="6"/>
  <c r="CW129" i="6"/>
  <c r="CW23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P198" i="6"/>
  <c r="AZ30" i="6"/>
  <c r="AJ200" i="6"/>
  <c r="BB200" i="6"/>
  <c r="BL198" i="6"/>
  <c r="BL199" i="6"/>
  <c r="CJ128" i="6"/>
  <c r="CJ22" i="6" s="1"/>
  <c r="CJ129" i="6"/>
  <c r="CJ23" i="6" s="1"/>
  <c r="AW117" i="6" l="1"/>
  <c r="AK211" i="6"/>
  <c r="AK27" i="6" s="1"/>
  <c r="AK210" i="6"/>
  <c r="AK26" i="6" s="1"/>
  <c r="AK30" i="6" s="1"/>
  <c r="AK34" i="6" s="1"/>
  <c r="Y117" i="6"/>
  <c r="AK200" i="6"/>
  <c r="AK198" i="6"/>
  <c r="AK199" i="6"/>
  <c r="AH199" i="6"/>
  <c r="CW117" i="6"/>
  <c r="AP211" i="6"/>
  <c r="AP27" i="6" s="1"/>
  <c r="Y128" i="6"/>
  <c r="Y22" i="6" s="1"/>
  <c r="AD128" i="6"/>
  <c r="AD22" i="6" s="1"/>
  <c r="AD30" i="6" s="1"/>
  <c r="AC210" i="6"/>
  <c r="AC26" i="6" s="1"/>
  <c r="AC30" i="6" s="1"/>
  <c r="AC34" i="6" s="1"/>
  <c r="R200" i="6"/>
  <c r="CM30" i="6"/>
  <c r="CM34" i="6" s="1"/>
  <c r="AH200" i="6"/>
  <c r="BO200" i="6"/>
  <c r="BO210" i="6"/>
  <c r="BO26" i="6" s="1"/>
  <c r="BO211" i="6"/>
  <c r="BO27" i="6" s="1"/>
  <c r="BO199" i="6"/>
  <c r="BO198" i="6"/>
  <c r="T116" i="6"/>
  <c r="H211" i="6"/>
  <c r="H27" i="6" s="1"/>
  <c r="F117" i="6"/>
  <c r="P30" i="6"/>
  <c r="P34" i="6" s="1"/>
  <c r="AN128" i="6"/>
  <c r="AN22" i="6" s="1"/>
  <c r="AN30" i="6" s="1"/>
  <c r="H200" i="6"/>
  <c r="CL210" i="6"/>
  <c r="CL26" i="6" s="1"/>
  <c r="CL30" i="6" s="1"/>
  <c r="CL34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U30" i="6"/>
  <c r="U34" i="6" s="1"/>
  <c r="AI200" i="6"/>
  <c r="CY200" i="6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CY211" i="6"/>
  <c r="CY27" i="6" s="1"/>
  <c r="CY210" i="6"/>
  <c r="CY26" i="6" s="1"/>
  <c r="AT129" i="6"/>
  <c r="AT23" i="6" s="1"/>
  <c r="AT128" i="6"/>
  <c r="AT22" i="6" s="1"/>
  <c r="BI30" i="6"/>
  <c r="CQ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BO30" i="6" l="1"/>
  <c r="BO34" i="6" s="1"/>
  <c r="H30" i="6"/>
  <c r="CB30" i="6"/>
  <c r="CB34" i="6" s="1"/>
  <c r="CY30" i="6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M100" i="6" s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100" i="6" l="1"/>
  <c r="DN30" i="6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E13" i="6" l="1"/>
  <c r="EB13" i="6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EB21" i="6" l="1"/>
  <c r="DW20" i="6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<sst xmlns="http://schemas.openxmlformats.org/spreadsheetml/2006/main" count="643" uniqueCount="360">
  <si>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</si>
  <si>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</si>
  <si>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</si>
  <si>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</si>
  <si>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</si>
  <si>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</si>
  <si>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</si>
  <si>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</si>
  <si>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</si>
  <si>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</si>
  <si>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</si>
  <si>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</si>
  <si>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</si>
  <si>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</si>
  <si>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</si>
  <si>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</si>
  <si>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</si>
  <si>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</si>
  <si>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</si>
  <si>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</si>
  <si>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</si>
  <si>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</si>
  <si>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</si>
  <si>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</si>
  <si>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</si>
  <si>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</si>
  <si>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</si>
  <si>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</si>
  <si>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</si>
  <si>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</si>
  <si>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</si>
  <si>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</si>
  <si>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</si>
  <si>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</si>
  <si>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</si>
  <si>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</si>
  <si>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</si>
  <si>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</si>
  <si>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</si>
  <si>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</si>
  <si>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</si>
  <si>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</si>
  <si>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</si>
  <si>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</si>
  <si>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</si>
  <si>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</si>
  <si>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</si>
  <si>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</si>
  <si>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</si>
  <si>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</si>
  <si>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</si>
  <si>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</si>
  <si>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</si>
  <si>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</si>
  <si>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</si>
  <si>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</si>
  <si>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</si>
  <si>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</si>
  <si>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</si>
  <si>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</si>
  <si>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</si>
  <si>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</si>
  <si>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</si>
  <si>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</si>
  <si>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</si>
  <si>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</si>
  <si>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</si>
  <si>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</si>
  <si>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</si>
  <si>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</si>
  <si>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</si>
  <si>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</si>
  <si>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</si>
  <si>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</si>
  <si>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</si>
  <si>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</si>
  <si>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</si>
  <si>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</si>
  <si>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</si>
  <si>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</si>
  <si>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</si>
  <si>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</si>
  <si>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</si>
  <si>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</si>
  <si>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20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</si>
  <si>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</si>
  <si>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</si>
  <si>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</si>
  <si>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</si>
  <si>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</si>
  <si>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</si>
  <si>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</si>
  <si>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</si>
  <si>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</si>
  <si>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</si>
  <si>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</si>
  <si>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</si>
  <si>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</si>
  <si>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20" type="noConversion"/>
  </si>
  <si>
    <t>v'</t>
    <phoneticPr fontId="20" type="noConversion"/>
  </si>
  <si>
    <t>&lt;-----------</t>
  </si>
  <si>
    <t xml:space="preserve"> --&gt;</t>
  </si>
  <si>
    <t>4000-7000K</t>
  </si>
  <si>
    <t>For Planck variable</t>
    <phoneticPr fontId="20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</si>
  <si>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</si>
  <si>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</si>
  <si>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</si>
  <si>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</si>
  <si>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</si>
  <si>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</si>
  <si>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</si>
  <si>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</si>
  <si>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</si>
  <si>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</si>
  <si>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</si>
  <si>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</si>
  <si>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</si>
  <si>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</si>
  <si>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</si>
  <si>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</si>
  <si>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</si>
  <si>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</si>
  <si>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</si>
  <si>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</si>
  <si>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</si>
  <si>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</si>
  <si>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</si>
  <si>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</si>
  <si>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</si>
  <si>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</si>
  <si>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</si>
  <si>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</si>
  <si>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</si>
  <si>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</si>
  <si>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</si>
  <si>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</si>
  <si>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</si>
  <si>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</si>
  <si>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</si>
  <si>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</si>
  <si>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</si>
  <si>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</si>
  <si>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</si>
  <si>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</si>
  <si>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</si>
  <si>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</si>
  <si>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</si>
  <si>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</si>
  <si>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</si>
  <si>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</si>
  <si>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</si>
  <si>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</si>
  <si>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</si>
  <si>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</si>
  <si>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</si>
  <si>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</si>
  <si>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</si>
  <si>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</si>
  <si>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</si>
  <si>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</si>
  <si>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</si>
  <si>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</si>
  <si>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</si>
  <si>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</si>
  <si>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</si>
  <si>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</si>
  <si>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</si>
  <si>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</si>
  <si>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</si>
  <si>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</si>
  <si>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</si>
  <si>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</si>
  <si>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</si>
  <si>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</si>
  <si>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</si>
  <si>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</si>
  <si>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</si>
  <si>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</si>
  <si>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</si>
  <si>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</si>
  <si>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</si>
  <si>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</si>
  <si>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</si>
  <si>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</si>
  <si>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</si>
  <si>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</si>
  <si>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</si>
  <si>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</si>
  <si>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</si>
  <si>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</si>
  <si>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</si>
  <si>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</si>
  <si>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</si>
  <si>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</si>
  <si>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</si>
  <si>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</si>
  <si>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</si>
  <si>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</si>
  <si>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</si>
  <si>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</si>
  <si>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</si>
  <si>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</si>
  <si>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</si>
  <si>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</si>
  <si>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</si>
  <si>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</si>
  <si>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</si>
  <si>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</si>
  <si>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</si>
  <si>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</si>
  <si>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</si>
  <si>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</si>
  <si>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</si>
  <si>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</si>
  <si>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</si>
  <si>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</si>
  <si>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</si>
  <si>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</si>
  <si>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</si>
  <si>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</si>
  <si>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</si>
  <si>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</si>
  <si>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</si>
  <si>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</si>
  <si>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</si>
  <si>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</si>
  <si>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</si>
  <si>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</si>
  <si>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</si>
  <si>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</si>
  <si>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</si>
  <si>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</si>
  <si>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</si>
  <si>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</si>
  <si>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</si>
  <si>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</si>
  <si>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</si>
  <si>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</si>
  <si>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</si>
  <si>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</si>
  <si>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</si>
  <si>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</si>
  <si>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</si>
  <si>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</si>
  <si>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</si>
  <si>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</si>
  <si>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</si>
  <si>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</si>
  <si>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</si>
  <si>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</si>
  <si>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</si>
  <si>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</si>
  <si>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</si>
  <si>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</si>
  <si>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</si>
  <si>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</si>
  <si>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</si>
  <si>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</si>
  <si>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</si>
  <si>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</si>
  <si>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</si>
  <si>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</si>
  <si>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</si>
  <si>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</si>
  <si>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</si>
  <si>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</si>
  <si>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</si>
  <si>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</si>
  <si>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</si>
  <si>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</si>
  <si>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</si>
  <si>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</si>
  <si>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</si>
  <si>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</si>
  <si>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</si>
  <si>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</si>
  <si>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</si>
  <si>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</si>
  <si>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</si>
  <si>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</si>
  <si>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</si>
  <si>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</si>
  <si>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</si>
  <si>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</si>
  <si>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</si>
  <si>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</si>
  <si>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</si>
  <si>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</si>
  <si>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</si>
  <si>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</si>
  <si>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</si>
  <si>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</si>
  <si>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</si>
  <si>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</si>
  <si>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</si>
  <si>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</si>
  <si>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</si>
  <si>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</si>
  <si>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</si>
  <si>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</si>
  <si>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</si>
  <si>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</si>
  <si>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</si>
  <si>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</si>
  <si>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</si>
  <si>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</si>
  <si>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</si>
  <si>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</si>
  <si>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</si>
  <si>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</si>
  <si>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</si>
  <si>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</si>
  <si>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</si>
  <si>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</si>
  <si>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</si>
  <si>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</si>
  <si>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</si>
  <si>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</si>
  <si>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</si>
  <si>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</si>
  <si>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</si>
  <si>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</si>
  <si>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</si>
  <si>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</si>
  <si>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</si>
  <si>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</si>
  <si>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</si>
  <si>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</si>
  <si>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</si>
  <si>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</si>
  <si>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</si>
  <si>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</si>
  <si>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</si>
  <si>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</si>
  <si>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</si>
  <si>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</si>
  <si>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</si>
  <si>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</si>
  <si>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</si>
  <si>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</si>
  <si>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</si>
  <si>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</si>
  <si>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</si>
  <si>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</si>
  <si>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</si>
  <si>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</si>
  <si>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</si>
  <si>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</si>
  <si>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</si>
  <si>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</si>
  <si>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</si>
  <si>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</si>
  <si>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</si>
  <si>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</si>
  <si>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</si>
  <si>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</si>
  <si>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</si>
  <si>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</si>
  <si>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</si>
  <si>
    <t>This is an unlocked version which could contain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</si>
</sst>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0" fontId="10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1" fillId="0" borderId="0" xfId="2" applyFont="1"/>
    <xf numFmtId="169" fontId="12" fillId="0" borderId="0" xfId="2" applyNumberFormat="1" applyFont="1" applyBorder="1"/>
    <xf numFmtId="0" fontId="13" fillId="0" borderId="0" xfId="2" applyFont="1"/>
    <xf numFmtId="1" fontId="14" fillId="0" borderId="2" xfId="2" applyNumberFormat="1" applyFont="1" applyBorder="1"/>
    <xf numFmtId="11" fontId="15" fillId="0" borderId="0" xfId="2" applyNumberFormat="1" applyFont="1"/>
    <xf numFmtId="11" fontId="13" fillId="0" borderId="3" xfId="2" applyNumberFormat="1" applyFont="1" applyBorder="1"/>
    <xf numFmtId="11" fontId="13" fillId="0" borderId="0" xfId="2" applyNumberFormat="1" applyFont="1"/>
    <xf numFmtId="0" fontId="16" fillId="0" borderId="0" xfId="2" applyFont="1"/>
    <xf numFmtId="0" fontId="4" fillId="0" borderId="3" xfId="2" applyBorder="1"/>
    <xf numFmtId="0" fontId="15" fillId="0" borderId="0" xfId="2" applyFont="1"/>
    <xf numFmtId="0" fontId="4" fillId="0" borderId="0" xfId="2" applyBorder="1"/>
    <xf numFmtId="1" fontId="15" fillId="0" borderId="0" xfId="2" applyNumberFormat="1" applyFont="1"/>
    <xf numFmtId="0" fontId="13" fillId="0" borderId="3" xfId="2" applyFont="1" applyBorder="1"/>
    <xf numFmtId="0" fontId="16" fillId="0" borderId="0" xfId="2" applyFont="1" applyAlignment="1">
      <alignment horizontal="center"/>
    </xf>
    <xf numFmtId="169" fontId="12" fillId="0" borderId="0" xfId="2" applyNumberFormat="1" applyFont="1" applyBorder="1" applyAlignment="1">
      <alignment horizontal="center"/>
    </xf>
    <xf numFmtId="1" fontId="13" fillId="0" borderId="3" xfId="2" applyNumberFormat="1" applyFont="1" applyBorder="1"/>
    <xf numFmtId="1" fontId="13" fillId="0" borderId="0" xfId="2" applyNumberFormat="1" applyFont="1"/>
    <xf numFmtId="0" fontId="17" fillId="0" borderId="0" xfId="2" applyFont="1" applyAlignment="1">
      <alignment horizontal="right"/>
    </xf>
    <xf numFmtId="1" fontId="17" fillId="0" borderId="0" xfId="2" applyNumberFormat="1" applyFont="1"/>
    <xf numFmtId="170" fontId="11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5" fillId="0" borderId="1" xfId="2" applyFont="1" applyBorder="1"/>
    <xf numFmtId="0" fontId="15" fillId="0" borderId="0" xfId="2" applyFont="1" applyBorder="1"/>
    <xf numFmtId="0" fontId="13" fillId="0" borderId="0" xfId="2" applyFont="1" applyBorder="1"/>
    <xf numFmtId="0" fontId="4" fillId="0" borderId="0" xfId="2" applyBorder="1" applyAlignment="1">
      <alignment horizontal="center"/>
    </xf>
    <xf numFmtId="170" fontId="18" fillId="0" borderId="0" xfId="2" applyNumberFormat="1" applyFont="1"/>
    <xf numFmtId="167" fontId="15" fillId="0" borderId="0" xfId="2" applyNumberFormat="1" applyFont="1"/>
    <xf numFmtId="169" fontId="4" fillId="0" borderId="0" xfId="2" applyNumberFormat="1" applyFont="1" applyBorder="1"/>
    <xf numFmtId="167" fontId="15" fillId="0" borderId="0" xfId="2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16" fillId="0" borderId="0" xfId="2" applyNumberFormat="1" applyFont="1" applyAlignment="1">
      <alignment horizontal="right"/>
    </xf>
    <xf numFmtId="167" fontId="16" fillId="0" borderId="0" xfId="2" applyNumberFormat="1" applyFont="1"/>
    <xf numFmtId="0" fontId="17" fillId="0" borderId="0" xfId="2" applyFont="1"/>
    <xf numFmtId="2" fontId="4" fillId="0" borderId="0" xfId="2" applyNumberFormat="1"/>
    <xf numFmtId="2" fontId="15" fillId="0" borderId="0" xfId="2" applyNumberFormat="1" applyFont="1"/>
    <xf numFmtId="167" fontId="4" fillId="0" borderId="0" xfId="2" applyNumberFormat="1" applyBorder="1"/>
    <xf numFmtId="167" fontId="13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5" fillId="0" borderId="4" xfId="2" applyNumberFormat="1" applyFont="1" applyBorder="1"/>
    <xf numFmtId="167" fontId="19" fillId="0" borderId="5" xfId="2" applyNumberFormat="1" applyFont="1" applyBorder="1"/>
    <xf numFmtId="167" fontId="13" fillId="0" borderId="4" xfId="2" applyNumberFormat="1" applyFont="1" applyBorder="1"/>
    <xf numFmtId="167" fontId="16" fillId="0" borderId="5" xfId="2" applyNumberFormat="1" applyFont="1" applyBorder="1"/>
    <xf numFmtId="167" fontId="15" fillId="0" borderId="3" xfId="2" applyNumberFormat="1" applyFont="1" applyBorder="1"/>
    <xf numFmtId="2" fontId="15" fillId="0" borderId="6" xfId="2" applyNumberFormat="1" applyFont="1" applyBorder="1"/>
    <xf numFmtId="167" fontId="13" fillId="0" borderId="3" xfId="2" applyNumberFormat="1" applyFont="1" applyBorder="1"/>
    <xf numFmtId="2" fontId="13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5" fillId="0" borderId="6" xfId="2" applyNumberFormat="1" applyFont="1" applyBorder="1"/>
    <xf numFmtId="167" fontId="13" fillId="0" borderId="6" xfId="2" applyNumberFormat="1" applyFont="1" applyBorder="1"/>
    <xf numFmtId="0" fontId="15" fillId="0" borderId="3" xfId="2" applyFont="1" applyBorder="1"/>
    <xf numFmtId="1" fontId="19" fillId="0" borderId="6" xfId="2" applyNumberFormat="1" applyFont="1" applyBorder="1"/>
    <xf numFmtId="167" fontId="15" fillId="0" borderId="7" xfId="2" applyNumberFormat="1" applyFont="1" applyBorder="1"/>
    <xf numFmtId="1" fontId="16" fillId="0" borderId="6" xfId="2" applyNumberFormat="1" applyFont="1" applyBorder="1"/>
    <xf numFmtId="167" fontId="13" fillId="0" borderId="7" xfId="2" applyNumberFormat="1" applyFont="1" applyBorder="1"/>
    <xf numFmtId="167" fontId="15" fillId="0" borderId="8" xfId="2" applyNumberFormat="1" applyFont="1" applyBorder="1"/>
    <xf numFmtId="167" fontId="13" fillId="0" borderId="8" xfId="2" applyNumberFormat="1" applyFont="1" applyBorder="1"/>
    <xf numFmtId="167" fontId="13" fillId="0" borderId="0" xfId="2" applyNumberFormat="1" applyFont="1"/>
    <xf numFmtId="168" fontId="19" fillId="0" borderId="0" xfId="2" applyNumberFormat="1" applyFont="1"/>
    <xf numFmtId="167" fontId="16" fillId="0" borderId="3" xfId="2" applyNumberFormat="1" applyFont="1" applyBorder="1"/>
    <xf numFmtId="171" fontId="13" fillId="0" borderId="6" xfId="2" applyNumberFormat="1" applyFont="1" applyBorder="1"/>
    <xf numFmtId="0" fontId="20" fillId="0" borderId="0" xfId="2" applyFont="1"/>
    <xf numFmtId="0" fontId="21" fillId="0" borderId="0" xfId="0" applyFont="1"/>
    <xf numFmtId="0" fontId="15" fillId="0" borderId="0" xfId="0" applyFont="1"/>
    <xf numFmtId="171" fontId="12" fillId="0" borderId="0" xfId="0" applyNumberFormat="1" applyFont="1" applyBorder="1"/>
    <xf numFmtId="167" fontId="12" fillId="0" borderId="0" xfId="0" applyNumberFormat="1" applyFont="1" applyBorder="1"/>
    <xf numFmtId="1" fontId="15" fillId="0" borderId="0" xfId="0" applyNumberFormat="1" applyFont="1"/>
    <xf numFmtId="0" fontId="12" fillId="0" borderId="0" xfId="0" applyFont="1"/>
    <xf numFmtId="0" fontId="7" fillId="0" borderId="0" xfId="0" applyFont="1"/>
    <xf numFmtId="0" fontId="17" fillId="0" borderId="0" xfId="0" applyFont="1" applyFill="1"/>
    <xf numFmtId="167" fontId="12" fillId="0" borderId="0" xfId="0" applyNumberFormat="1" applyFont="1" applyFill="1" applyBorder="1"/>
    <xf numFmtId="0" fontId="12" fillId="0" borderId="0" xfId="0" applyFont="1" applyFill="1"/>
    <xf numFmtId="0" fontId="22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3" fillId="3" borderId="0" xfId="0" applyNumberFormat="1" applyFont="1" applyFill="1" applyBorder="1"/>
    <xf numFmtId="167" fontId="15" fillId="0" borderId="0" xfId="0" applyNumberFormat="1" applyFont="1"/>
    <xf numFmtId="0" fontId="7" fillId="3" borderId="0" xfId="0" applyFont="1" applyFill="1" applyBorder="1"/>
    <xf numFmtId="167" fontId="15" fillId="3" borderId="0" xfId="0" applyNumberFormat="1" applyFont="1" applyFill="1" applyBorder="1"/>
    <xf numFmtId="167" fontId="15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5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5" fillId="3" borderId="0" xfId="0" applyFont="1" applyFill="1"/>
    <xf numFmtId="171" fontId="20" fillId="3" borderId="0" xfId="0" applyNumberFormat="1" applyFont="1" applyFill="1" applyBorder="1" applyAlignment="1">
      <alignment horizontal="right"/>
    </xf>
    <xf numFmtId="167" fontId="20" fillId="3" borderId="0" xfId="0" applyNumberFormat="1" applyFont="1" applyFill="1" applyBorder="1"/>
    <xf numFmtId="171" fontId="20" fillId="3" borderId="0" xfId="0" applyNumberFormat="1" applyFont="1" applyFill="1" applyBorder="1"/>
    <xf numFmtId="171" fontId="12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4" fillId="3" borderId="0" xfId="0" applyNumberFormat="1" applyFont="1" applyFill="1" applyBorder="1" applyAlignment="1">
      <alignment horizontal="right"/>
    </xf>
    <xf numFmtId="167" fontId="24" fillId="3" borderId="0" xfId="0" applyNumberFormat="1" applyFont="1" applyFill="1" applyBorder="1"/>
    <xf numFmtId="171" fontId="24" fillId="3" borderId="0" xfId="0" applyNumberFormat="1" applyFont="1" applyFill="1" applyBorder="1"/>
    <xf numFmtId="0" fontId="25" fillId="3" borderId="0" xfId="0" applyFont="1" applyFill="1"/>
    <xf numFmtId="171" fontId="26" fillId="3" borderId="0" xfId="0" applyNumberFormat="1" applyFont="1" applyFill="1" applyBorder="1" applyAlignment="1">
      <alignment horizontal="right"/>
    </xf>
    <xf numFmtId="167" fontId="26" fillId="3" borderId="0" xfId="0" applyNumberFormat="1" applyFont="1" applyFill="1" applyBorder="1"/>
    <xf numFmtId="171" fontId="26" fillId="3" borderId="0" xfId="0" applyNumberFormat="1" applyFont="1" applyFill="1" applyBorder="1"/>
    <xf numFmtId="0" fontId="27" fillId="3" borderId="0" xfId="0" applyFont="1" applyFill="1"/>
    <xf numFmtId="0" fontId="17" fillId="0" borderId="0" xfId="0" applyFont="1"/>
    <xf numFmtId="0" fontId="17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2" fillId="4" borderId="0" xfId="0" applyNumberFormat="1" applyFont="1" applyFill="1" applyBorder="1" applyAlignment="1">
      <alignment horizontal="right"/>
    </xf>
    <xf numFmtId="167" fontId="12" fillId="4" borderId="0" xfId="0" applyNumberFormat="1" applyFont="1" applyFill="1" applyBorder="1"/>
    <xf numFmtId="171" fontId="12" fillId="4" borderId="0" xfId="0" applyNumberFormat="1" applyFont="1" applyFill="1" applyBorder="1"/>
    <xf numFmtId="0" fontId="3" fillId="4" borderId="0" xfId="4" applyFill="1" applyBorder="1"/>
    <xf numFmtId="171" fontId="12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2" fillId="5" borderId="0" xfId="0" applyNumberFormat="1" applyFont="1" applyFill="1" applyBorder="1"/>
    <xf numFmtId="167" fontId="5" fillId="5" borderId="0" xfId="0" applyNumberFormat="1" applyFont="1" applyFill="1" applyBorder="1"/>
    <xf numFmtId="0" fontId="13" fillId="5" borderId="0" xfId="0" applyFont="1" applyFill="1" applyBorder="1"/>
    <xf numFmtId="0" fontId="15" fillId="5" borderId="0" xfId="0" applyFont="1" applyFill="1" applyBorder="1"/>
    <xf numFmtId="167" fontId="12" fillId="6" borderId="0" xfId="0" applyNumberFormat="1" applyFont="1" applyFill="1" applyBorder="1"/>
    <xf numFmtId="167" fontId="5" fillId="6" borderId="0" xfId="0" applyNumberFormat="1" applyFont="1" applyFill="1" applyBorder="1"/>
    <xf numFmtId="167" fontId="13" fillId="6" borderId="0" xfId="0" applyNumberFormat="1" applyFont="1" applyFill="1" applyBorder="1"/>
    <xf numFmtId="167" fontId="28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/>
    <xf numFmtId="167" fontId="29" fillId="6" borderId="0" xfId="0" applyNumberFormat="1" applyFont="1" applyFill="1"/>
    <xf numFmtId="167" fontId="12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30" fillId="6" borderId="0" xfId="2" applyNumberFormat="1" applyFont="1" applyFill="1" applyBorder="1"/>
    <xf numFmtId="167" fontId="15" fillId="6" borderId="0" xfId="0" applyNumberFormat="1" applyFont="1" applyFill="1" applyBorder="1"/>
    <xf numFmtId="167" fontId="0" fillId="6" borderId="0" xfId="0" applyNumberFormat="1" applyFill="1" applyBorder="1"/>
    <xf numFmtId="167" fontId="31" fillId="6" borderId="0" xfId="0" applyNumberFormat="1" applyFont="1" applyFill="1" applyAlignment="1">
      <alignment horizontal="center"/>
    </xf>
    <xf numFmtId="167" fontId="12" fillId="6" borderId="0" xfId="0" applyNumberFormat="1" applyFont="1" applyFill="1"/>
    <xf numFmtId="167" fontId="12" fillId="6" borderId="0" xfId="0" applyNumberFormat="1" applyFont="1" applyFill="1" applyBorder="1" applyAlignment="1">
      <alignment horizontal="center"/>
    </xf>
    <xf numFmtId="2" fontId="12" fillId="6" borderId="0" xfId="0" applyNumberFormat="1" applyFont="1" applyFill="1" applyBorder="1"/>
    <xf numFmtId="0" fontId="32" fillId="7" borderId="0" xfId="0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71" fontId="35" fillId="7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71" fontId="37" fillId="7" borderId="0" xfId="0" applyNumberFormat="1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" fontId="39" fillId="7" borderId="0" xfId="0" applyNumberFormat="1" applyFont="1" applyFill="1" applyAlignment="1">
      <alignment horizontal="center"/>
    </xf>
    <xf numFmtId="0" fontId="32" fillId="7" borderId="10" xfId="0" applyFont="1" applyFill="1" applyBorder="1" applyAlignment="1">
      <alignment horizontal="center"/>
    </xf>
    <xf numFmtId="168" fontId="40" fillId="7" borderId="11" xfId="0" applyNumberFormat="1" applyFont="1" applyFill="1" applyBorder="1" applyAlignment="1">
      <alignment horizontal="center"/>
    </xf>
    <xf numFmtId="168" fontId="36" fillId="7" borderId="0" xfId="0" applyNumberFormat="1" applyFont="1" applyFill="1" applyBorder="1" applyAlignment="1">
      <alignment horizontal="center"/>
    </xf>
    <xf numFmtId="0" fontId="32" fillId="7" borderId="12" xfId="0" applyFont="1" applyFill="1" applyBorder="1" applyAlignment="1">
      <alignment horizontal="center"/>
    </xf>
    <xf numFmtId="168" fontId="40" fillId="7" borderId="13" xfId="0" applyNumberFormat="1" applyFont="1" applyFill="1" applyBorder="1" applyAlignment="1">
      <alignment horizontal="center"/>
    </xf>
    <xf numFmtId="1" fontId="41" fillId="7" borderId="14" xfId="0" applyNumberFormat="1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170" fontId="41" fillId="7" borderId="14" xfId="0" applyNumberFormat="1" applyFont="1" applyFill="1" applyBorder="1" applyAlignment="1">
      <alignment horizontal="center"/>
    </xf>
    <xf numFmtId="171" fontId="39" fillId="7" borderId="0" xfId="0" applyNumberFormat="1" applyFont="1" applyFill="1" applyAlignment="1">
      <alignment horizontal="center"/>
    </xf>
    <xf numFmtId="168" fontId="41" fillId="7" borderId="14" xfId="0" applyNumberFormat="1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/>
    </xf>
    <xf numFmtId="171" fontId="28" fillId="7" borderId="15" xfId="0" applyNumberFormat="1" applyFont="1" applyFill="1" applyBorder="1" applyAlignment="1">
      <alignment horizontal="center"/>
    </xf>
    <xf numFmtId="168" fontId="39" fillId="7" borderId="0" xfId="0" applyNumberFormat="1" applyFont="1" applyFill="1" applyAlignment="1">
      <alignment horizontal="center"/>
    </xf>
    <xf numFmtId="0" fontId="42" fillId="7" borderId="0" xfId="0" applyFont="1" applyFill="1" applyBorder="1" applyAlignment="1">
      <alignment horizontal="center"/>
    </xf>
    <xf numFmtId="171" fontId="28" fillId="7" borderId="0" xfId="0" applyNumberFormat="1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0" fillId="7" borderId="0" xfId="0" applyFill="1"/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center"/>
    </xf>
    <xf numFmtId="169" fontId="45" fillId="8" borderId="0" xfId="0" applyNumberFormat="1" applyFont="1" applyFill="1"/>
    <xf numFmtId="169" fontId="44" fillId="7" borderId="0" xfId="0" applyNumberFormat="1" applyFont="1" applyFill="1" applyAlignment="1">
      <alignment horizontal="center"/>
    </xf>
    <xf numFmtId="169" fontId="45" fillId="8" borderId="0" xfId="0" applyNumberFormat="1" applyFont="1" applyFill="1" applyAlignment="1">
      <alignment horizontal="center"/>
    </xf>
    <xf numFmtId="171" fontId="32" fillId="7" borderId="9" xfId="0" applyNumberFormat="1" applyFont="1" applyFill="1" applyBorder="1" applyAlignment="1">
      <alignment horizontal="center"/>
    </xf>
    <xf numFmtId="167" fontId="38" fillId="7" borderId="0" xfId="0" applyNumberFormat="1" applyFont="1" applyFill="1" applyAlignment="1">
      <alignment horizontal="center"/>
    </xf>
    <xf numFmtId="167" fontId="38" fillId="7" borderId="0" xfId="0" applyNumberFormat="1" applyFont="1" applyFill="1" applyAlignment="1" applyProtection="1">
      <alignment horizontal="center"/>
    </xf>
    <xf numFmtId="170" fontId="44" fillId="0" borderId="0" xfId="2" applyNumberFormat="1" applyFont="1"/>
    <xf numFmtId="171" fontId="21" fillId="7" borderId="0" xfId="0" applyNumberFormat="1" applyFont="1" applyFill="1" applyAlignment="1">
      <alignment horizontal="center"/>
    </xf>
    <xf numFmtId="0" fontId="43" fillId="7" borderId="0" xfId="0" applyFont="1" applyFill="1" applyAlignment="1">
      <alignment horizontal="center" vertical="center"/>
    </xf>
  </cellXfs>
  <cellStyles count="5">
    <cellStyle name="Normal 5" xfId="4"/>
    <cellStyle name="Normal_CAS interpolation_Zong" xfId="3"/>
    <cellStyle name="Standaard" xfId="0" builtinId="0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0.97866296321567658</c:v>
                </c:pt>
                <c:pt idx="1">
                  <c:v>0.79420805449404652</c:v>
                </c:pt>
                <c:pt idx="2">
                  <c:v>0.5579310600207803</c:v>
                </c:pt>
                <c:pt idx="3">
                  <c:v>0.12023914883379919</c:v>
                </c:pt>
                <c:pt idx="4">
                  <c:v>-0.21255063616334341</c:v>
                </c:pt>
                <c:pt idx="5">
                  <c:v>-0.59837420603083258</c:v>
                </c:pt>
                <c:pt idx="6">
                  <c:v>-0.81947612417386129</c:v>
                </c:pt>
                <c:pt idx="7">
                  <c:v>-0.96103399614621543</c:v>
                </c:pt>
                <c:pt idx="8">
                  <c:v>-0.98436844022024328</c:v>
                </c:pt>
                <c:pt idx="9">
                  <c:v>-0.83946625717339796</c:v>
                </c:pt>
                <c:pt idx="10">
                  <c:v>-0.56105747867423728</c:v>
                </c:pt>
                <c:pt idx="11">
                  <c:v>-0.27004504116915756</c:v>
                </c:pt>
                <c:pt idx="12">
                  <c:v>0.1788466314149742</c:v>
                </c:pt>
                <c:pt idx="13">
                  <c:v>0.56306292509883149</c:v>
                </c:pt>
                <c:pt idx="14">
                  <c:v>0.8150299238027352</c:v>
                </c:pt>
                <c:pt idx="15">
                  <c:v>0.96468141787898731</c:v>
                </c:pt>
                <c:pt idx="16">
                  <c:v>0.97866296321567658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0.20547215001043628</c:v>
                </c:pt>
                <c:pt idx="1">
                  <c:v>0.60764592171492571</c:v>
                </c:pt>
                <c:pt idx="2">
                  <c:v>0.8298873009415727</c:v>
                </c:pt>
                <c:pt idx="3">
                  <c:v>0.99274495571003707</c:v>
                </c:pt>
                <c:pt idx="4">
                  <c:v>0.97715005350588713</c:v>
                </c:pt>
                <c:pt idx="5">
                  <c:v>0.8012167681451573</c:v>
                </c:pt>
                <c:pt idx="6">
                  <c:v>0.57311332379293556</c:v>
                </c:pt>
                <c:pt idx="7">
                  <c:v>0.27643020502693988</c:v>
                </c:pt>
                <c:pt idx="8">
                  <c:v>-0.17612147483587934</c:v>
                </c:pt>
                <c:pt idx="9">
                  <c:v>-0.54341181719510523</c:v>
                </c:pt>
                <c:pt idx="10">
                  <c:v>-0.82777684530536844</c:v>
                </c:pt>
                <c:pt idx="11">
                  <c:v>-0.96284769083170574</c:v>
                </c:pt>
                <c:pt idx="12">
                  <c:v>-0.98387696508837752</c:v>
                </c:pt>
                <c:pt idx="13">
                  <c:v>-0.8264140260058197</c:v>
                </c:pt>
                <c:pt idx="14">
                  <c:v>-0.57941886688828803</c:v>
                </c:pt>
                <c:pt idx="15">
                  <c:v>-0.26341936526950077</c:v>
                </c:pt>
                <c:pt idx="16">
                  <c:v>0.20547215001043628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DB-4B7E-B27A-3AD2FFB842D2}"/>
            </c:ext>
          </c:extLst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0.71480090173449184</c:v>
                </c:pt>
                <c:pt idx="1">
                  <c:v>0.4872191915988901</c:v>
                </c:pt>
                <c:pt idx="2">
                  <c:v>0.21987652325786738</c:v>
                </c:pt>
                <c:pt idx="3">
                  <c:v>-0.14461170326330178</c:v>
                </c:pt>
                <c:pt idx="4">
                  <c:v>-0.36832563610980207</c:v>
                </c:pt>
                <c:pt idx="5">
                  <c:v>-0.55321162216624753</c:v>
                </c:pt>
                <c:pt idx="6">
                  <c:v>-0.65144346372584605</c:v>
                </c:pt>
                <c:pt idx="7">
                  <c:v>-0.72723351276473258</c:v>
                </c:pt>
                <c:pt idx="8">
                  <c:v>-0.74628826114986979</c:v>
                </c:pt>
                <c:pt idx="9">
                  <c:v>-0.53098725149316994</c:v>
                </c:pt>
                <c:pt idx="10">
                  <c:v>-0.21508183625104282</c:v>
                </c:pt>
                <c:pt idx="11">
                  <c:v>-7.4916894969560194E-2</c:v>
                </c:pt>
                <c:pt idx="12">
                  <c:v>0.20485907123905608</c:v>
                </c:pt>
                <c:pt idx="13">
                  <c:v>0.47691937971809312</c:v>
                </c:pt>
                <c:pt idx="14">
                  <c:v>0.67077151116372025</c:v>
                </c:pt>
                <c:pt idx="15">
                  <c:v>0.70599981418589475</c:v>
                </c:pt>
                <c:pt idx="16">
                  <c:v>0.71480090173449184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0.10831435280071244</c:v>
                </c:pt>
                <c:pt idx="1">
                  <c:v>0.65161530450504723</c:v>
                </c:pt>
                <c:pt idx="2">
                  <c:v>0.95173399386113133</c:v>
                </c:pt>
                <c:pt idx="3">
                  <c:v>1.1910269380093752</c:v>
                </c:pt>
                <c:pt idx="4">
                  <c:v>1.1482584840333625</c:v>
                </c:pt>
                <c:pt idx="5">
                  <c:v>0.95834755240922154</c:v>
                </c:pt>
                <c:pt idx="6">
                  <c:v>0.8195373386967697</c:v>
                </c:pt>
                <c:pt idx="7">
                  <c:v>0.3613984465696114</c:v>
                </c:pt>
                <c:pt idx="8">
                  <c:v>-9.4198943493832468E-2</c:v>
                </c:pt>
                <c:pt idx="9">
                  <c:v>-0.55914024732288603</c:v>
                </c:pt>
                <c:pt idx="10">
                  <c:v>-0.87021662824699919</c:v>
                </c:pt>
                <c:pt idx="11">
                  <c:v>-1.0455179155850347</c:v>
                </c:pt>
                <c:pt idx="12">
                  <c:v>-1.1119341812494099</c:v>
                </c:pt>
                <c:pt idx="13">
                  <c:v>-1.0196581530713664</c:v>
                </c:pt>
                <c:pt idx="14">
                  <c:v>-0.80281256400082834</c:v>
                </c:pt>
                <c:pt idx="15">
                  <c:v>-0.41951219451453559</c:v>
                </c:pt>
                <c:pt idx="16">
                  <c:v>0.10831435280071244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664624"/>
        <c:axId val="559662272"/>
      </c:scatterChart>
      <c:valAx>
        <c:axId val="55966462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59662272"/>
        <c:crosses val="autoZero"/>
        <c:crossBetween val="midCat"/>
        <c:majorUnit val="0.5"/>
      </c:valAx>
      <c:valAx>
        <c:axId val="559662272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5966462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0.3288910725078098</c:v>
                </c:pt>
                <c:pt idx="1">
                  <c:v>0.3698550390489353</c:v>
                </c:pt>
                <c:pt idx="2">
                  <c:v>0.4142201345046056</c:v>
                </c:pt>
                <c:pt idx="3">
                  <c:v>0.46209113393437218</c:v>
                </c:pt>
                <c:pt idx="4">
                  <c:v>0.51356239633563705</c:v>
                </c:pt>
                <c:pt idx="5">
                  <c:v>0.56871729967613449</c:v>
                </c:pt>
                <c:pt idx="6">
                  <c:v>0.62762777694334881</c:v>
                </c:pt>
                <c:pt idx="7">
                  <c:v>0.69035395274121736</c:v>
                </c:pt>
                <c:pt idx="8">
                  <c:v>0.75694387871463786</c:v>
                </c:pt>
                <c:pt idx="9">
                  <c:v>0.82743336498568754</c:v>
                </c:pt>
                <c:pt idx="10">
                  <c:v>0.90184590384311203</c:v>
                </c:pt>
                <c:pt idx="11">
                  <c:v>0.98019268113629998</c:v>
                </c:pt>
                <c:pt idx="12">
                  <c:v>1.0624726701812641</c:v>
                </c:pt>
                <c:pt idx="13">
                  <c:v>1.1486728024820738</c:v>
                </c:pt>
                <c:pt idx="14">
                  <c:v>1.2387682091969834</c:v>
                </c:pt>
                <c:pt idx="15">
                  <c:v>1.3327225270247289</c:v>
                </c:pt>
                <c:pt idx="16">
                  <c:v>1.4304882620411479</c:v>
                </c:pt>
                <c:pt idx="17">
                  <c:v>1.5320072049686697</c:v>
                </c:pt>
                <c:pt idx="18">
                  <c:v>1.6372108913994032</c:v>
                </c:pt>
                <c:pt idx="19">
                  <c:v>1.746021100605208</c:v>
                </c:pt>
                <c:pt idx="20">
                  <c:v>1.8583503867442959</c:v>
                </c:pt>
                <c:pt idx="21">
                  <c:v>1.974102636503255</c:v>
                </c:pt>
                <c:pt idx="22">
                  <c:v>2.0931736474855192</c:v>
                </c:pt>
                <c:pt idx="23">
                  <c:v>2.2154517219640533</c:v>
                </c:pt>
                <c:pt idx="24">
                  <c:v>2.3408182709481693</c:v>
                </c:pt>
                <c:pt idx="25">
                  <c:v>2.4691484238647461</c:v>
                </c:pt>
                <c:pt idx="26">
                  <c:v>2.6003116395165318</c:v>
                </c:pt>
                <c:pt idx="27">
                  <c:v>2.7341723143474184</c:v>
                </c:pt>
                <c:pt idx="28">
                  <c:v>2.8705903844130387</c:v>
                </c:pt>
                <c:pt idx="29">
                  <c:v>3.0094219178190258</c:v>
                </c:pt>
                <c:pt idx="30">
                  <c:v>3.1505196947457437</c:v>
                </c:pt>
                <c:pt idx="31">
                  <c:v>3.2937337725239444</c:v>
                </c:pt>
                <c:pt idx="32">
                  <c:v>3.4389120335582253</c:v>
                </c:pt>
                <c:pt idx="33">
                  <c:v>3.5859007142119079</c:v>
                </c:pt>
                <c:pt idx="34">
                  <c:v>3.7345449130674391</c:v>
                </c:pt>
                <c:pt idx="35">
                  <c:v>3.8846890772584102</c:v>
                </c:pt>
                <c:pt idx="36">
                  <c:v>4.036177465832905</c:v>
                </c:pt>
                <c:pt idx="37">
                  <c:v>4.18885458935274</c:v>
                </c:pt>
                <c:pt idx="38">
                  <c:v>4.3425656251580342</c:v>
                </c:pt>
                <c:pt idx="39">
                  <c:v>4.4971568079335684</c:v>
                </c:pt>
                <c:pt idx="40">
                  <c:v>4.6524757954006093</c:v>
                </c:pt>
                <c:pt idx="41">
                  <c:v>4.808372009127635</c:v>
                </c:pt>
                <c:pt idx="42">
                  <c:v>4.9646969506053011</c:v>
                </c:pt>
                <c:pt idx="43">
                  <c:v>5.1213044928660567</c:v>
                </c:pt>
                <c:pt idx="44">
                  <c:v>5.2780511480479149</c:v>
                </c:pt>
                <c:pt idx="45">
                  <c:v>5.4347963114057638</c:v>
                </c:pt>
                <c:pt idx="46">
                  <c:v>5.5914024823632982</c:v>
                </c:pt>
                <c:pt idx="47">
                  <c:v>5.7477354632750233</c:v>
                </c:pt>
                <c:pt idx="48">
                  <c:v>5.9036645366316209</c:v>
                </c:pt>
                <c:pt idx="49">
                  <c:v>6.0590626214946388</c:v>
                </c:pt>
                <c:pt idx="50">
                  <c:v>6.2138064099882477</c:v>
                </c:pt>
                <c:pt idx="51">
                  <c:v>6.3677764847084841</c:v>
                </c:pt>
                <c:pt idx="52">
                  <c:v>6.520857417933505</c:v>
                </c:pt>
                <c:pt idx="53">
                  <c:v>6.6729378535345596</c:v>
                </c:pt>
                <c:pt idx="54">
                  <c:v>6.82391057249556</c:v>
                </c:pt>
                <c:pt idx="55">
                  <c:v>6.9736725429515047</c:v>
                </c:pt>
                <c:pt idx="56">
                  <c:v>7.1221249556524171</c:v>
                </c:pt>
                <c:pt idx="57">
                  <c:v>7.2691732457511247</c:v>
                </c:pt>
                <c:pt idx="58">
                  <c:v>7.4147271018001319</c:v>
                </c:pt>
                <c:pt idx="59">
                  <c:v>7.5587004628266463</c:v>
                </c:pt>
                <c:pt idx="60">
                  <c:v>7.7010115043346135</c:v>
                </c:pt>
                <c:pt idx="61">
                  <c:v>7.8415826140602896</c:v>
                </c:pt>
                <c:pt idx="62">
                  <c:v>7.9803403582829207</c:v>
                </c:pt>
                <c:pt idx="63">
                  <c:v>8.1172154394654807</c:v>
                </c:pt>
                <c:pt idx="64">
                  <c:v>8.2521426459722047</c:v>
                </c:pt>
                <c:pt idx="65">
                  <c:v>8.3850607945803048</c:v>
                </c:pt>
                <c:pt idx="66">
                  <c:v>8.5159126664731541</c:v>
                </c:pt>
                <c:pt idx="67">
                  <c:v>8.6446449373714369</c:v>
                </c:pt>
                <c:pt idx="68">
                  <c:v>8.7712081024278774</c:v>
                </c:pt>
                <c:pt idx="69">
                  <c:v>8.8955563964798205</c:v>
                </c:pt>
                <c:pt idx="70">
                  <c:v>9.0176477102233026</c:v>
                </c:pt>
                <c:pt idx="71">
                  <c:v>9.1374435028411014</c:v>
                </c:pt>
                <c:pt idx="72">
                  <c:v>9.2549087115871647</c:v>
                </c:pt>
                <c:pt idx="73">
                  <c:v>9.3700116588001841</c:v>
                </c:pt>
                <c:pt idx="74">
                  <c:v>9.4827239567895774</c:v>
                </c:pt>
                <c:pt idx="75">
                  <c:v>9.593020411009153</c:v>
                </c:pt>
                <c:pt idx="76">
                  <c:v>9.7008789219059004</c:v>
                </c:pt>
                <c:pt idx="77">
                  <c:v>9.8062803858049481</c:v>
                </c:pt>
                <c:pt idx="78">
                  <c:v>9.9092085951654774</c:v>
                </c:pt>
                <c:pt idx="79">
                  <c:v>10.009650138518269</c:v>
                </c:pt>
                <c:pt idx="80">
                  <c:v>10.107594300371147</c:v>
                </c:pt>
                <c:pt idx="81">
                  <c:v>10.203032961346086</c:v>
                </c:pt>
                <c:pt idx="82">
                  <c:v>10.295960498789814</c:v>
                </c:pt>
                <c:pt idx="83">
                  <c:v>10.386373688079253</c:v>
                </c:pt>
                <c:pt idx="84">
                  <c:v>10.474271604822833</c:v>
                </c:pt>
                <c:pt idx="85">
                  <c:v>10.55965552814056</c:v>
                </c:pt>
                <c:pt idx="86">
                  <c:v>10.642528845187499</c:v>
                </c:pt>
                <c:pt idx="87">
                  <c:v>10.722896957068821</c:v>
                </c:pt>
                <c:pt idx="88">
                  <c:v>10.800767186278412</c:v>
                </c:pt>
                <c:pt idx="89">
                  <c:v>10.876148685778604</c:v>
                </c:pt>
                <c:pt idx="90">
                  <c:v>10.949052349823821</c:v>
                </c:pt>
                <c:pt idx="91">
                  <c:v>11.019490726618717</c:v>
                </c:pt>
                <c:pt idx="92">
                  <c:v>11.087477932888135</c:v>
                </c:pt>
                <c:pt idx="93">
                  <c:v>11.153029570425463</c:v>
                </c:pt>
                <c:pt idx="94">
                  <c:v>11.216162644674728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0.19464861624814644</c:v>
                </c:pt>
                <c:pt idx="1">
                  <c:v>0.19464861624814644</c:v>
                </c:pt>
                <c:pt idx="2">
                  <c:v>0.19464861624814644</c:v>
                </c:pt>
                <c:pt idx="3">
                  <c:v>0.19464861624814644</c:v>
                </c:pt>
                <c:pt idx="4">
                  <c:v>0.19464861624814644</c:v>
                </c:pt>
                <c:pt idx="5">
                  <c:v>0.23904216030474126</c:v>
                </c:pt>
                <c:pt idx="6">
                  <c:v>0.29709525637874989</c:v>
                </c:pt>
                <c:pt idx="7">
                  <c:v>0.33465902442663781</c:v>
                </c:pt>
                <c:pt idx="8">
                  <c:v>0.68639248887504267</c:v>
                </c:pt>
                <c:pt idx="9">
                  <c:v>4.695471005985989</c:v>
                </c:pt>
                <c:pt idx="10">
                  <c:v>0.66590316084892198</c:v>
                </c:pt>
                <c:pt idx="11">
                  <c:v>0.54296719269219806</c:v>
                </c:pt>
                <c:pt idx="12">
                  <c:v>0.60102028876620661</c:v>
                </c:pt>
                <c:pt idx="13">
                  <c:v>0.65907338484021516</c:v>
                </c:pt>
                <c:pt idx="14">
                  <c:v>0.71712648091422382</c:v>
                </c:pt>
                <c:pt idx="15">
                  <c:v>10.340280877182236</c:v>
                </c:pt>
                <c:pt idx="16">
                  <c:v>2.7421550674958177</c:v>
                </c:pt>
                <c:pt idx="17">
                  <c:v>0.87079644111012888</c:v>
                </c:pt>
                <c:pt idx="18">
                  <c:v>0.92201976117543061</c:v>
                </c:pt>
                <c:pt idx="19">
                  <c:v>0.96299841722767199</c:v>
                </c:pt>
                <c:pt idx="20">
                  <c:v>0.99373240926685302</c:v>
                </c:pt>
                <c:pt idx="21">
                  <c:v>1.0210515133016806</c:v>
                </c:pt>
                <c:pt idx="22">
                  <c:v>1.0381259533234479</c:v>
                </c:pt>
                <c:pt idx="23">
                  <c:v>1.0517855053408618</c:v>
                </c:pt>
                <c:pt idx="24">
                  <c:v>1.055200393345215</c:v>
                </c:pt>
                <c:pt idx="25">
                  <c:v>1.055200393345215</c:v>
                </c:pt>
                <c:pt idx="26">
                  <c:v>1.0722748333669823</c:v>
                </c:pt>
                <c:pt idx="27">
                  <c:v>1.0449557293321547</c:v>
                </c:pt>
                <c:pt idx="28">
                  <c:v>1.0244664013060341</c:v>
                </c:pt>
                <c:pt idx="29">
                  <c:v>1.0176366252973272</c:v>
                </c:pt>
                <c:pt idx="30">
                  <c:v>1.0278812893103875</c:v>
                </c:pt>
                <c:pt idx="31">
                  <c:v>1.0722748333669823</c:v>
                </c:pt>
                <c:pt idx="32">
                  <c:v>1.1644768094845253</c:v>
                </c:pt>
                <c:pt idx="33">
                  <c:v>1.331806321697844</c:v>
                </c:pt>
                <c:pt idx="34">
                  <c:v>1.6015824740417666</c:v>
                </c:pt>
                <c:pt idx="35">
                  <c:v>1.9840499305293529</c:v>
                </c:pt>
                <c:pt idx="36">
                  <c:v>2.4996980191867229</c:v>
                </c:pt>
                <c:pt idx="37">
                  <c:v>7.7142320018344366</c:v>
                </c:pt>
                <c:pt idx="38">
                  <c:v>5.1598957745780574</c:v>
                </c:pt>
                <c:pt idx="39">
                  <c:v>4.7398645500425847</c:v>
                </c:pt>
                <c:pt idx="40">
                  <c:v>5.576512111109178</c:v>
                </c:pt>
                <c:pt idx="41">
                  <c:v>6.3790107921322381</c:v>
                </c:pt>
                <c:pt idx="42">
                  <c:v>7.0483288409855138</c:v>
                </c:pt>
                <c:pt idx="43">
                  <c:v>8.2913480745701698</c:v>
                </c:pt>
                <c:pt idx="44">
                  <c:v>8.9674958994321514</c:v>
                </c:pt>
                <c:pt idx="45">
                  <c:v>7.9498592741348242</c:v>
                </c:pt>
                <c:pt idx="46">
                  <c:v>7.8337530819868082</c:v>
                </c:pt>
                <c:pt idx="47">
                  <c:v>7.5605620416385317</c:v>
                </c:pt>
                <c:pt idx="48">
                  <c:v>7.1405308171030581</c:v>
                </c:pt>
                <c:pt idx="49">
                  <c:v>6.6351273924587479</c:v>
                </c:pt>
                <c:pt idx="50">
                  <c:v>6.0580113197230139</c:v>
                </c:pt>
                <c:pt idx="51">
                  <c:v>5.4638208069655141</c:v>
                </c:pt>
                <c:pt idx="52">
                  <c:v>4.9242685022776707</c:v>
                </c:pt>
                <c:pt idx="53">
                  <c:v>4.289099333467929</c:v>
                </c:pt>
                <c:pt idx="54">
                  <c:v>3.7324725887583177</c:v>
                </c:pt>
                <c:pt idx="55">
                  <c:v>3.2509733801444813</c:v>
                </c:pt>
                <c:pt idx="56">
                  <c:v>2.7933783875611193</c:v>
                </c:pt>
                <c:pt idx="57">
                  <c:v>2.3938364910517662</c:v>
                </c:pt>
                <c:pt idx="58">
                  <c:v>2.0489328026120681</c:v>
                </c:pt>
                <c:pt idx="59">
                  <c:v>1.7450077702246116</c:v>
                </c:pt>
                <c:pt idx="60">
                  <c:v>1.4888911698981031</c:v>
                </c:pt>
                <c:pt idx="61">
                  <c:v>1.2600936736064219</c:v>
                </c:pt>
                <c:pt idx="62">
                  <c:v>1.0688599453626288</c:v>
                </c:pt>
                <c:pt idx="63">
                  <c:v>0.90153043314930992</c:v>
                </c:pt>
                <c:pt idx="64">
                  <c:v>0.76493491297517224</c:v>
                </c:pt>
                <c:pt idx="65">
                  <c:v>0.65224360883150845</c:v>
                </c:pt>
                <c:pt idx="66">
                  <c:v>0.58053096074008592</c:v>
                </c:pt>
                <c:pt idx="67">
                  <c:v>0.47466943260512912</c:v>
                </c:pt>
                <c:pt idx="68">
                  <c:v>0.40295678451370665</c:v>
                </c:pt>
                <c:pt idx="69">
                  <c:v>0.35173346444840509</c:v>
                </c:pt>
                <c:pt idx="70">
                  <c:v>0.30051014438310331</c:v>
                </c:pt>
                <c:pt idx="71">
                  <c:v>0.25270171232215505</c:v>
                </c:pt>
                <c:pt idx="72">
                  <c:v>0.2185528322786206</c:v>
                </c:pt>
                <c:pt idx="73">
                  <c:v>0.18440395223508613</c:v>
                </c:pt>
                <c:pt idx="74">
                  <c:v>0.1673295122133189</c:v>
                </c:pt>
                <c:pt idx="75">
                  <c:v>0.15708484820025856</c:v>
                </c:pt>
                <c:pt idx="76">
                  <c:v>0.14342529618284477</c:v>
                </c:pt>
                <c:pt idx="77">
                  <c:v>0.12635085616107752</c:v>
                </c:pt>
                <c:pt idx="78">
                  <c:v>0.12635085616107752</c:v>
                </c:pt>
                <c:pt idx="79">
                  <c:v>0.11269130414366374</c:v>
                </c:pt>
                <c:pt idx="80">
                  <c:v>0.11952108015237063</c:v>
                </c:pt>
                <c:pt idx="81">
                  <c:v>0.12293596815672407</c:v>
                </c:pt>
                <c:pt idx="82">
                  <c:v>0.10586152813495683</c:v>
                </c:pt>
                <c:pt idx="83">
                  <c:v>8.8787088113189624E-2</c:v>
                </c:pt>
                <c:pt idx="84">
                  <c:v>6.4882872082715495E-2</c:v>
                </c:pt>
                <c:pt idx="85">
                  <c:v>6.4882872082715495E-2</c:v>
                </c:pt>
                <c:pt idx="86">
                  <c:v>6.4882872082715495E-2</c:v>
                </c:pt>
                <c:pt idx="87">
                  <c:v>6.4882872082715495E-2</c:v>
                </c:pt>
                <c:pt idx="88">
                  <c:v>6.4882872082715495E-2</c:v>
                </c:pt>
                <c:pt idx="89">
                  <c:v>6.4882872082715495E-2</c:v>
                </c:pt>
                <c:pt idx="90">
                  <c:v>6.4882872082715495E-2</c:v>
                </c:pt>
                <c:pt idx="91">
                  <c:v>6.4882872082715495E-2</c:v>
                </c:pt>
                <c:pt idx="92">
                  <c:v>6.4882872082715495E-2</c:v>
                </c:pt>
                <c:pt idx="93">
                  <c:v>6.4882872082715495E-2</c:v>
                </c:pt>
                <c:pt idx="94">
                  <c:v>6.4882872082715495E-2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18288"/>
        <c:axId val="605615152"/>
      </c:scatterChart>
      <c:valAx>
        <c:axId val="605618288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605615152"/>
        <c:crosses val="autoZero"/>
        <c:crossBetween val="midCat"/>
        <c:majorUnit val="50"/>
      </c:valAx>
      <c:valAx>
        <c:axId val="60561515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605618288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nl-BE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0.0000000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16328"/>
        <c:axId val="605622208"/>
      </c:scatterChart>
      <c:valAx>
        <c:axId val="605616328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0.00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605622208"/>
        <c:crosses val="autoZero"/>
        <c:crossBetween val="midCat"/>
      </c:valAx>
      <c:valAx>
        <c:axId val="605622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605616328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'Color metric'!$E$4</c:f>
              <c:numCache>
                <c:formatCode>0.0</c:formatCode>
                <c:ptCount val="1"/>
                <c:pt idx="0">
                  <c:v>51.509632655521862</c:v>
                </c:pt>
              </c:numCache>
            </c:numRef>
          </c:xVal>
          <c:yVal>
            <c:numRef>
              <c:f>'Color metric'!$E$5</c:f>
              <c:numCache>
                <c:formatCode>0.0</c:formatCode>
                <c:ptCount val="1"/>
                <c:pt idx="0">
                  <c:v>83.493404839686065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F1-4845-B407-53902714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19072"/>
        <c:axId val="605617896"/>
      </c:scatterChart>
      <c:valAx>
        <c:axId val="605619072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nl-BE"/>
          </a:p>
        </c:txPr>
        <c:crossAx val="605617896"/>
        <c:crosses val="autoZero"/>
        <c:crossBetween val="midCat"/>
      </c:valAx>
      <c:valAx>
        <c:axId val="605617896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605619072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63.16197510658273</c:v>
                </c:pt>
                <c:pt idx="1">
                  <c:v>56.893902227342885</c:v>
                </c:pt>
                <c:pt idx="2">
                  <c:v>41.732915375567174</c:v>
                </c:pt>
                <c:pt idx="3">
                  <c:v>34.467449322943715</c:v>
                </c:pt>
                <c:pt idx="4">
                  <c:v>51.464104465178096</c:v>
                </c:pt>
                <c:pt idx="5">
                  <c:v>54.05675272784211</c:v>
                </c:pt>
                <c:pt idx="6">
                  <c:v>52.940186614718925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605617112"/>
        <c:axId val="605620248"/>
      </c:barChart>
      <c:catAx>
        <c:axId val="605617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605620248"/>
        <c:crosses val="autoZero"/>
        <c:auto val="1"/>
        <c:lblAlgn val="ctr"/>
        <c:lblOffset val="100"/>
        <c:noMultiLvlLbl val="0"/>
      </c:catAx>
      <c:valAx>
        <c:axId val="60562024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60561711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43.824909600641327</c:v>
                </c:pt>
                <c:pt idx="1">
                  <c:v>39.623759404564346</c:v>
                </c:pt>
                <c:pt idx="2">
                  <c:v>25.913205126049125</c:v>
                </c:pt>
                <c:pt idx="3">
                  <c:v>46.525517893600124</c:v>
                </c:pt>
                <c:pt idx="4">
                  <c:v>66.663603860591053</c:v>
                </c:pt>
                <c:pt idx="5">
                  <c:v>72.792969679635647</c:v>
                </c:pt>
                <c:pt idx="6">
                  <c:v>48.20063714337028</c:v>
                </c:pt>
                <c:pt idx="7">
                  <c:v>55.573081200027296</c:v>
                </c:pt>
                <c:pt idx="8">
                  <c:v>53.916575274393551</c:v>
                </c:pt>
                <c:pt idx="9">
                  <c:v>42.973704188366639</c:v>
                </c:pt>
                <c:pt idx="10">
                  <c:v>45.369926943400827</c:v>
                </c:pt>
                <c:pt idx="11">
                  <c:v>56.460159575984406</c:v>
                </c:pt>
                <c:pt idx="12">
                  <c:v>76.615818685666028</c:v>
                </c:pt>
                <c:pt idx="13">
                  <c:v>66.57531663398963</c:v>
                </c:pt>
                <c:pt idx="14">
                  <c:v>51.522166075025112</c:v>
                </c:pt>
                <c:pt idx="15">
                  <c:v>54.920430273948412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05617504"/>
        <c:axId val="605619464"/>
      </c:barChart>
      <c:catAx>
        <c:axId val="605617504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605619464"/>
        <c:crosses val="autoZero"/>
        <c:auto val="1"/>
        <c:lblAlgn val="ctr"/>
        <c:lblOffset val="100"/>
        <c:noMultiLvlLbl val="0"/>
      </c:catAx>
      <c:valAx>
        <c:axId val="605619464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nl-BE"/>
          </a:p>
        </c:txPr>
        <c:crossAx val="605617504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468384"/>
        <c:axId val="556466032"/>
      </c:scatterChart>
      <c:valAx>
        <c:axId val="556468384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466032"/>
        <c:crosses val="autoZero"/>
        <c:crossBetween val="midCat"/>
      </c:valAx>
      <c:valAx>
        <c:axId val="55646603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556468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499474" y="517525"/>
          <a:ext cx="3155950" cy="289242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nadalm\Local%20Settings\Temporary%20Internet%20Files\Content.Outlook\LNDJH9QE\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LOR\PROJECTS\Ongoing\ColourRendition\ExcelOptimizers\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A1" t="str">
            <v>CAM_UCS_xyY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topLeftCell="A37" zoomScaleNormal="100" workbookViewId="0">
      <selection activeCell="A60" sqref="A60"/>
    </sheetView>
  </sheetViews>
  <sheetFormatPr defaultColWidth="11.453125" defaultRowHeight="11.5"/>
  <cols>
    <col min="1" max="1" width="25" style="9" customWidth="1"/>
    <col min="2" max="2" width="7.36328125" style="9" customWidth="1"/>
    <col min="3" max="3" width="11.90625" style="9" customWidth="1"/>
    <col min="4" max="4" width="5.08984375" style="9" customWidth="1"/>
    <col min="5" max="5" width="6.08984375" style="9" customWidth="1"/>
    <col min="6" max="6" width="2" style="9" customWidth="1"/>
    <col min="7" max="7" width="11.36328125" style="9" customWidth="1"/>
    <col min="8" max="256" width="11.453125" style="9"/>
    <col min="257" max="257" width="25" style="9" customWidth="1"/>
    <col min="258" max="258" width="7.36328125" style="9" customWidth="1"/>
    <col min="259" max="259" width="11.90625" style="9" customWidth="1"/>
    <col min="260" max="260" width="5.08984375" style="9" customWidth="1"/>
    <col min="261" max="261" width="6.08984375" style="9" customWidth="1"/>
    <col min="262" max="262" width="2" style="9" customWidth="1"/>
    <col min="263" max="263" width="11.36328125" style="9" customWidth="1"/>
    <col min="264" max="512" width="11.453125" style="9"/>
    <col min="513" max="513" width="25" style="9" customWidth="1"/>
    <col min="514" max="514" width="7.36328125" style="9" customWidth="1"/>
    <col min="515" max="515" width="11.90625" style="9" customWidth="1"/>
    <col min="516" max="516" width="5.08984375" style="9" customWidth="1"/>
    <col min="517" max="517" width="6.08984375" style="9" customWidth="1"/>
    <col min="518" max="518" width="2" style="9" customWidth="1"/>
    <col min="519" max="519" width="11.36328125" style="9" customWidth="1"/>
    <col min="520" max="768" width="11.453125" style="9"/>
    <col min="769" max="769" width="25" style="9" customWidth="1"/>
    <col min="770" max="770" width="7.36328125" style="9" customWidth="1"/>
    <col min="771" max="771" width="11.90625" style="9" customWidth="1"/>
    <col min="772" max="772" width="5.08984375" style="9" customWidth="1"/>
    <col min="773" max="773" width="6.08984375" style="9" customWidth="1"/>
    <col min="774" max="774" width="2" style="9" customWidth="1"/>
    <col min="775" max="775" width="11.36328125" style="9" customWidth="1"/>
    <col min="776" max="1024" width="11.453125" style="9"/>
    <col min="1025" max="1025" width="25" style="9" customWidth="1"/>
    <col min="1026" max="1026" width="7.36328125" style="9" customWidth="1"/>
    <col min="1027" max="1027" width="11.90625" style="9" customWidth="1"/>
    <col min="1028" max="1028" width="5.08984375" style="9" customWidth="1"/>
    <col min="1029" max="1029" width="6.08984375" style="9" customWidth="1"/>
    <col min="1030" max="1030" width="2" style="9" customWidth="1"/>
    <col min="1031" max="1031" width="11.36328125" style="9" customWidth="1"/>
    <col min="1032" max="1280" width="11.453125" style="9"/>
    <col min="1281" max="1281" width="25" style="9" customWidth="1"/>
    <col min="1282" max="1282" width="7.36328125" style="9" customWidth="1"/>
    <col min="1283" max="1283" width="11.90625" style="9" customWidth="1"/>
    <col min="1284" max="1284" width="5.08984375" style="9" customWidth="1"/>
    <col min="1285" max="1285" width="6.08984375" style="9" customWidth="1"/>
    <col min="1286" max="1286" width="2" style="9" customWidth="1"/>
    <col min="1287" max="1287" width="11.36328125" style="9" customWidth="1"/>
    <col min="1288" max="1536" width="11.453125" style="9"/>
    <col min="1537" max="1537" width="25" style="9" customWidth="1"/>
    <col min="1538" max="1538" width="7.36328125" style="9" customWidth="1"/>
    <col min="1539" max="1539" width="11.90625" style="9" customWidth="1"/>
    <col min="1540" max="1540" width="5.08984375" style="9" customWidth="1"/>
    <col min="1541" max="1541" width="6.08984375" style="9" customWidth="1"/>
    <col min="1542" max="1542" width="2" style="9" customWidth="1"/>
    <col min="1543" max="1543" width="11.36328125" style="9" customWidth="1"/>
    <col min="1544" max="1792" width="11.453125" style="9"/>
    <col min="1793" max="1793" width="25" style="9" customWidth="1"/>
    <col min="1794" max="1794" width="7.36328125" style="9" customWidth="1"/>
    <col min="1795" max="1795" width="11.90625" style="9" customWidth="1"/>
    <col min="1796" max="1796" width="5.08984375" style="9" customWidth="1"/>
    <col min="1797" max="1797" width="6.08984375" style="9" customWidth="1"/>
    <col min="1798" max="1798" width="2" style="9" customWidth="1"/>
    <col min="1799" max="1799" width="11.36328125" style="9" customWidth="1"/>
    <col min="1800" max="2048" width="11.453125" style="9"/>
    <col min="2049" max="2049" width="25" style="9" customWidth="1"/>
    <col min="2050" max="2050" width="7.36328125" style="9" customWidth="1"/>
    <col min="2051" max="2051" width="11.90625" style="9" customWidth="1"/>
    <col min="2052" max="2052" width="5.08984375" style="9" customWidth="1"/>
    <col min="2053" max="2053" width="6.08984375" style="9" customWidth="1"/>
    <col min="2054" max="2054" width="2" style="9" customWidth="1"/>
    <col min="2055" max="2055" width="11.36328125" style="9" customWidth="1"/>
    <col min="2056" max="2304" width="11.453125" style="9"/>
    <col min="2305" max="2305" width="25" style="9" customWidth="1"/>
    <col min="2306" max="2306" width="7.36328125" style="9" customWidth="1"/>
    <col min="2307" max="2307" width="11.90625" style="9" customWidth="1"/>
    <col min="2308" max="2308" width="5.08984375" style="9" customWidth="1"/>
    <col min="2309" max="2309" width="6.08984375" style="9" customWidth="1"/>
    <col min="2310" max="2310" width="2" style="9" customWidth="1"/>
    <col min="2311" max="2311" width="11.36328125" style="9" customWidth="1"/>
    <col min="2312" max="2560" width="11.453125" style="9"/>
    <col min="2561" max="2561" width="25" style="9" customWidth="1"/>
    <col min="2562" max="2562" width="7.36328125" style="9" customWidth="1"/>
    <col min="2563" max="2563" width="11.90625" style="9" customWidth="1"/>
    <col min="2564" max="2564" width="5.08984375" style="9" customWidth="1"/>
    <col min="2565" max="2565" width="6.08984375" style="9" customWidth="1"/>
    <col min="2566" max="2566" width="2" style="9" customWidth="1"/>
    <col min="2567" max="2567" width="11.36328125" style="9" customWidth="1"/>
    <col min="2568" max="2816" width="11.453125" style="9"/>
    <col min="2817" max="2817" width="25" style="9" customWidth="1"/>
    <col min="2818" max="2818" width="7.36328125" style="9" customWidth="1"/>
    <col min="2819" max="2819" width="11.90625" style="9" customWidth="1"/>
    <col min="2820" max="2820" width="5.08984375" style="9" customWidth="1"/>
    <col min="2821" max="2821" width="6.08984375" style="9" customWidth="1"/>
    <col min="2822" max="2822" width="2" style="9" customWidth="1"/>
    <col min="2823" max="2823" width="11.36328125" style="9" customWidth="1"/>
    <col min="2824" max="3072" width="11.453125" style="9"/>
    <col min="3073" max="3073" width="25" style="9" customWidth="1"/>
    <col min="3074" max="3074" width="7.36328125" style="9" customWidth="1"/>
    <col min="3075" max="3075" width="11.90625" style="9" customWidth="1"/>
    <col min="3076" max="3076" width="5.08984375" style="9" customWidth="1"/>
    <col min="3077" max="3077" width="6.08984375" style="9" customWidth="1"/>
    <col min="3078" max="3078" width="2" style="9" customWidth="1"/>
    <col min="3079" max="3079" width="11.36328125" style="9" customWidth="1"/>
    <col min="3080" max="3328" width="11.453125" style="9"/>
    <col min="3329" max="3329" width="25" style="9" customWidth="1"/>
    <col min="3330" max="3330" width="7.36328125" style="9" customWidth="1"/>
    <col min="3331" max="3331" width="11.90625" style="9" customWidth="1"/>
    <col min="3332" max="3332" width="5.08984375" style="9" customWidth="1"/>
    <col min="3333" max="3333" width="6.08984375" style="9" customWidth="1"/>
    <col min="3334" max="3334" width="2" style="9" customWidth="1"/>
    <col min="3335" max="3335" width="11.36328125" style="9" customWidth="1"/>
    <col min="3336" max="3584" width="11.453125" style="9"/>
    <col min="3585" max="3585" width="25" style="9" customWidth="1"/>
    <col min="3586" max="3586" width="7.36328125" style="9" customWidth="1"/>
    <col min="3587" max="3587" width="11.90625" style="9" customWidth="1"/>
    <col min="3588" max="3588" width="5.08984375" style="9" customWidth="1"/>
    <col min="3589" max="3589" width="6.08984375" style="9" customWidth="1"/>
    <col min="3590" max="3590" width="2" style="9" customWidth="1"/>
    <col min="3591" max="3591" width="11.36328125" style="9" customWidth="1"/>
    <col min="3592" max="3840" width="11.453125" style="9"/>
    <col min="3841" max="3841" width="25" style="9" customWidth="1"/>
    <col min="3842" max="3842" width="7.36328125" style="9" customWidth="1"/>
    <col min="3843" max="3843" width="11.90625" style="9" customWidth="1"/>
    <col min="3844" max="3844" width="5.08984375" style="9" customWidth="1"/>
    <col min="3845" max="3845" width="6.08984375" style="9" customWidth="1"/>
    <col min="3846" max="3846" width="2" style="9" customWidth="1"/>
    <col min="3847" max="3847" width="11.36328125" style="9" customWidth="1"/>
    <col min="3848" max="4096" width="11.453125" style="9"/>
    <col min="4097" max="4097" width="25" style="9" customWidth="1"/>
    <col min="4098" max="4098" width="7.36328125" style="9" customWidth="1"/>
    <col min="4099" max="4099" width="11.90625" style="9" customWidth="1"/>
    <col min="4100" max="4100" width="5.08984375" style="9" customWidth="1"/>
    <col min="4101" max="4101" width="6.08984375" style="9" customWidth="1"/>
    <col min="4102" max="4102" width="2" style="9" customWidth="1"/>
    <col min="4103" max="4103" width="11.36328125" style="9" customWidth="1"/>
    <col min="4104" max="4352" width="11.453125" style="9"/>
    <col min="4353" max="4353" width="25" style="9" customWidth="1"/>
    <col min="4354" max="4354" width="7.36328125" style="9" customWidth="1"/>
    <col min="4355" max="4355" width="11.90625" style="9" customWidth="1"/>
    <col min="4356" max="4356" width="5.08984375" style="9" customWidth="1"/>
    <col min="4357" max="4357" width="6.08984375" style="9" customWidth="1"/>
    <col min="4358" max="4358" width="2" style="9" customWidth="1"/>
    <col min="4359" max="4359" width="11.36328125" style="9" customWidth="1"/>
    <col min="4360" max="4608" width="11.453125" style="9"/>
    <col min="4609" max="4609" width="25" style="9" customWidth="1"/>
    <col min="4610" max="4610" width="7.36328125" style="9" customWidth="1"/>
    <col min="4611" max="4611" width="11.90625" style="9" customWidth="1"/>
    <col min="4612" max="4612" width="5.08984375" style="9" customWidth="1"/>
    <col min="4613" max="4613" width="6.08984375" style="9" customWidth="1"/>
    <col min="4614" max="4614" width="2" style="9" customWidth="1"/>
    <col min="4615" max="4615" width="11.36328125" style="9" customWidth="1"/>
    <col min="4616" max="4864" width="11.453125" style="9"/>
    <col min="4865" max="4865" width="25" style="9" customWidth="1"/>
    <col min="4866" max="4866" width="7.36328125" style="9" customWidth="1"/>
    <col min="4867" max="4867" width="11.90625" style="9" customWidth="1"/>
    <col min="4868" max="4868" width="5.08984375" style="9" customWidth="1"/>
    <col min="4869" max="4869" width="6.08984375" style="9" customWidth="1"/>
    <col min="4870" max="4870" width="2" style="9" customWidth="1"/>
    <col min="4871" max="4871" width="11.36328125" style="9" customWidth="1"/>
    <col min="4872" max="5120" width="11.453125" style="9"/>
    <col min="5121" max="5121" width="25" style="9" customWidth="1"/>
    <col min="5122" max="5122" width="7.36328125" style="9" customWidth="1"/>
    <col min="5123" max="5123" width="11.90625" style="9" customWidth="1"/>
    <col min="5124" max="5124" width="5.08984375" style="9" customWidth="1"/>
    <col min="5125" max="5125" width="6.08984375" style="9" customWidth="1"/>
    <col min="5126" max="5126" width="2" style="9" customWidth="1"/>
    <col min="5127" max="5127" width="11.36328125" style="9" customWidth="1"/>
    <col min="5128" max="5376" width="11.453125" style="9"/>
    <col min="5377" max="5377" width="25" style="9" customWidth="1"/>
    <col min="5378" max="5378" width="7.36328125" style="9" customWidth="1"/>
    <col min="5379" max="5379" width="11.90625" style="9" customWidth="1"/>
    <col min="5380" max="5380" width="5.08984375" style="9" customWidth="1"/>
    <col min="5381" max="5381" width="6.08984375" style="9" customWidth="1"/>
    <col min="5382" max="5382" width="2" style="9" customWidth="1"/>
    <col min="5383" max="5383" width="11.36328125" style="9" customWidth="1"/>
    <col min="5384" max="5632" width="11.453125" style="9"/>
    <col min="5633" max="5633" width="25" style="9" customWidth="1"/>
    <col min="5634" max="5634" width="7.36328125" style="9" customWidth="1"/>
    <col min="5635" max="5635" width="11.90625" style="9" customWidth="1"/>
    <col min="5636" max="5636" width="5.08984375" style="9" customWidth="1"/>
    <col min="5637" max="5637" width="6.08984375" style="9" customWidth="1"/>
    <col min="5638" max="5638" width="2" style="9" customWidth="1"/>
    <col min="5639" max="5639" width="11.36328125" style="9" customWidth="1"/>
    <col min="5640" max="5888" width="11.453125" style="9"/>
    <col min="5889" max="5889" width="25" style="9" customWidth="1"/>
    <col min="5890" max="5890" width="7.36328125" style="9" customWidth="1"/>
    <col min="5891" max="5891" width="11.90625" style="9" customWidth="1"/>
    <col min="5892" max="5892" width="5.08984375" style="9" customWidth="1"/>
    <col min="5893" max="5893" width="6.08984375" style="9" customWidth="1"/>
    <col min="5894" max="5894" width="2" style="9" customWidth="1"/>
    <col min="5895" max="5895" width="11.36328125" style="9" customWidth="1"/>
    <col min="5896" max="6144" width="11.453125" style="9"/>
    <col min="6145" max="6145" width="25" style="9" customWidth="1"/>
    <col min="6146" max="6146" width="7.36328125" style="9" customWidth="1"/>
    <col min="6147" max="6147" width="11.90625" style="9" customWidth="1"/>
    <col min="6148" max="6148" width="5.08984375" style="9" customWidth="1"/>
    <col min="6149" max="6149" width="6.08984375" style="9" customWidth="1"/>
    <col min="6150" max="6150" width="2" style="9" customWidth="1"/>
    <col min="6151" max="6151" width="11.36328125" style="9" customWidth="1"/>
    <col min="6152" max="6400" width="11.453125" style="9"/>
    <col min="6401" max="6401" width="25" style="9" customWidth="1"/>
    <col min="6402" max="6402" width="7.36328125" style="9" customWidth="1"/>
    <col min="6403" max="6403" width="11.90625" style="9" customWidth="1"/>
    <col min="6404" max="6404" width="5.08984375" style="9" customWidth="1"/>
    <col min="6405" max="6405" width="6.08984375" style="9" customWidth="1"/>
    <col min="6406" max="6406" width="2" style="9" customWidth="1"/>
    <col min="6407" max="6407" width="11.36328125" style="9" customWidth="1"/>
    <col min="6408" max="6656" width="11.453125" style="9"/>
    <col min="6657" max="6657" width="25" style="9" customWidth="1"/>
    <col min="6658" max="6658" width="7.36328125" style="9" customWidth="1"/>
    <col min="6659" max="6659" width="11.90625" style="9" customWidth="1"/>
    <col min="6660" max="6660" width="5.08984375" style="9" customWidth="1"/>
    <col min="6661" max="6661" width="6.08984375" style="9" customWidth="1"/>
    <col min="6662" max="6662" width="2" style="9" customWidth="1"/>
    <col min="6663" max="6663" width="11.36328125" style="9" customWidth="1"/>
    <col min="6664" max="6912" width="11.453125" style="9"/>
    <col min="6913" max="6913" width="25" style="9" customWidth="1"/>
    <col min="6914" max="6914" width="7.36328125" style="9" customWidth="1"/>
    <col min="6915" max="6915" width="11.90625" style="9" customWidth="1"/>
    <col min="6916" max="6916" width="5.08984375" style="9" customWidth="1"/>
    <col min="6917" max="6917" width="6.08984375" style="9" customWidth="1"/>
    <col min="6918" max="6918" width="2" style="9" customWidth="1"/>
    <col min="6919" max="6919" width="11.36328125" style="9" customWidth="1"/>
    <col min="6920" max="7168" width="11.453125" style="9"/>
    <col min="7169" max="7169" width="25" style="9" customWidth="1"/>
    <col min="7170" max="7170" width="7.36328125" style="9" customWidth="1"/>
    <col min="7171" max="7171" width="11.90625" style="9" customWidth="1"/>
    <col min="7172" max="7172" width="5.08984375" style="9" customWidth="1"/>
    <col min="7173" max="7173" width="6.08984375" style="9" customWidth="1"/>
    <col min="7174" max="7174" width="2" style="9" customWidth="1"/>
    <col min="7175" max="7175" width="11.36328125" style="9" customWidth="1"/>
    <col min="7176" max="7424" width="11.453125" style="9"/>
    <col min="7425" max="7425" width="25" style="9" customWidth="1"/>
    <col min="7426" max="7426" width="7.36328125" style="9" customWidth="1"/>
    <col min="7427" max="7427" width="11.90625" style="9" customWidth="1"/>
    <col min="7428" max="7428" width="5.08984375" style="9" customWidth="1"/>
    <col min="7429" max="7429" width="6.08984375" style="9" customWidth="1"/>
    <col min="7430" max="7430" width="2" style="9" customWidth="1"/>
    <col min="7431" max="7431" width="11.36328125" style="9" customWidth="1"/>
    <col min="7432" max="7680" width="11.453125" style="9"/>
    <col min="7681" max="7681" width="25" style="9" customWidth="1"/>
    <col min="7682" max="7682" width="7.36328125" style="9" customWidth="1"/>
    <col min="7683" max="7683" width="11.90625" style="9" customWidth="1"/>
    <col min="7684" max="7684" width="5.08984375" style="9" customWidth="1"/>
    <col min="7685" max="7685" width="6.08984375" style="9" customWidth="1"/>
    <col min="7686" max="7686" width="2" style="9" customWidth="1"/>
    <col min="7687" max="7687" width="11.36328125" style="9" customWidth="1"/>
    <col min="7688" max="7936" width="11.453125" style="9"/>
    <col min="7937" max="7937" width="25" style="9" customWidth="1"/>
    <col min="7938" max="7938" width="7.36328125" style="9" customWidth="1"/>
    <col min="7939" max="7939" width="11.90625" style="9" customWidth="1"/>
    <col min="7940" max="7940" width="5.08984375" style="9" customWidth="1"/>
    <col min="7941" max="7941" width="6.08984375" style="9" customWidth="1"/>
    <col min="7942" max="7942" width="2" style="9" customWidth="1"/>
    <col min="7943" max="7943" width="11.36328125" style="9" customWidth="1"/>
    <col min="7944" max="8192" width="11.453125" style="9"/>
    <col min="8193" max="8193" width="25" style="9" customWidth="1"/>
    <col min="8194" max="8194" width="7.36328125" style="9" customWidth="1"/>
    <col min="8195" max="8195" width="11.90625" style="9" customWidth="1"/>
    <col min="8196" max="8196" width="5.08984375" style="9" customWidth="1"/>
    <col min="8197" max="8197" width="6.08984375" style="9" customWidth="1"/>
    <col min="8198" max="8198" width="2" style="9" customWidth="1"/>
    <col min="8199" max="8199" width="11.36328125" style="9" customWidth="1"/>
    <col min="8200" max="8448" width="11.453125" style="9"/>
    <col min="8449" max="8449" width="25" style="9" customWidth="1"/>
    <col min="8450" max="8450" width="7.36328125" style="9" customWidth="1"/>
    <col min="8451" max="8451" width="11.90625" style="9" customWidth="1"/>
    <col min="8452" max="8452" width="5.08984375" style="9" customWidth="1"/>
    <col min="8453" max="8453" width="6.08984375" style="9" customWidth="1"/>
    <col min="8454" max="8454" width="2" style="9" customWidth="1"/>
    <col min="8455" max="8455" width="11.36328125" style="9" customWidth="1"/>
    <col min="8456" max="8704" width="11.453125" style="9"/>
    <col min="8705" max="8705" width="25" style="9" customWidth="1"/>
    <col min="8706" max="8706" width="7.36328125" style="9" customWidth="1"/>
    <col min="8707" max="8707" width="11.90625" style="9" customWidth="1"/>
    <col min="8708" max="8708" width="5.08984375" style="9" customWidth="1"/>
    <col min="8709" max="8709" width="6.08984375" style="9" customWidth="1"/>
    <col min="8710" max="8710" width="2" style="9" customWidth="1"/>
    <col min="8711" max="8711" width="11.36328125" style="9" customWidth="1"/>
    <col min="8712" max="8960" width="11.453125" style="9"/>
    <col min="8961" max="8961" width="25" style="9" customWidth="1"/>
    <col min="8962" max="8962" width="7.36328125" style="9" customWidth="1"/>
    <col min="8963" max="8963" width="11.90625" style="9" customWidth="1"/>
    <col min="8964" max="8964" width="5.08984375" style="9" customWidth="1"/>
    <col min="8965" max="8965" width="6.08984375" style="9" customWidth="1"/>
    <col min="8966" max="8966" width="2" style="9" customWidth="1"/>
    <col min="8967" max="8967" width="11.36328125" style="9" customWidth="1"/>
    <col min="8968" max="9216" width="11.453125" style="9"/>
    <col min="9217" max="9217" width="25" style="9" customWidth="1"/>
    <col min="9218" max="9218" width="7.36328125" style="9" customWidth="1"/>
    <col min="9219" max="9219" width="11.90625" style="9" customWidth="1"/>
    <col min="9220" max="9220" width="5.08984375" style="9" customWidth="1"/>
    <col min="9221" max="9221" width="6.08984375" style="9" customWidth="1"/>
    <col min="9222" max="9222" width="2" style="9" customWidth="1"/>
    <col min="9223" max="9223" width="11.36328125" style="9" customWidth="1"/>
    <col min="9224" max="9472" width="11.453125" style="9"/>
    <col min="9473" max="9473" width="25" style="9" customWidth="1"/>
    <col min="9474" max="9474" width="7.36328125" style="9" customWidth="1"/>
    <col min="9475" max="9475" width="11.90625" style="9" customWidth="1"/>
    <col min="9476" max="9476" width="5.08984375" style="9" customWidth="1"/>
    <col min="9477" max="9477" width="6.08984375" style="9" customWidth="1"/>
    <col min="9478" max="9478" width="2" style="9" customWidth="1"/>
    <col min="9479" max="9479" width="11.36328125" style="9" customWidth="1"/>
    <col min="9480" max="9728" width="11.453125" style="9"/>
    <col min="9729" max="9729" width="25" style="9" customWidth="1"/>
    <col min="9730" max="9730" width="7.36328125" style="9" customWidth="1"/>
    <col min="9731" max="9731" width="11.90625" style="9" customWidth="1"/>
    <col min="9732" max="9732" width="5.08984375" style="9" customWidth="1"/>
    <col min="9733" max="9733" width="6.08984375" style="9" customWidth="1"/>
    <col min="9734" max="9734" width="2" style="9" customWidth="1"/>
    <col min="9735" max="9735" width="11.36328125" style="9" customWidth="1"/>
    <col min="9736" max="9984" width="11.453125" style="9"/>
    <col min="9985" max="9985" width="25" style="9" customWidth="1"/>
    <col min="9986" max="9986" width="7.36328125" style="9" customWidth="1"/>
    <col min="9987" max="9987" width="11.90625" style="9" customWidth="1"/>
    <col min="9988" max="9988" width="5.08984375" style="9" customWidth="1"/>
    <col min="9989" max="9989" width="6.08984375" style="9" customWidth="1"/>
    <col min="9990" max="9990" width="2" style="9" customWidth="1"/>
    <col min="9991" max="9991" width="11.36328125" style="9" customWidth="1"/>
    <col min="9992" max="10240" width="11.453125" style="9"/>
    <col min="10241" max="10241" width="25" style="9" customWidth="1"/>
    <col min="10242" max="10242" width="7.36328125" style="9" customWidth="1"/>
    <col min="10243" max="10243" width="11.90625" style="9" customWidth="1"/>
    <col min="10244" max="10244" width="5.08984375" style="9" customWidth="1"/>
    <col min="10245" max="10245" width="6.08984375" style="9" customWidth="1"/>
    <col min="10246" max="10246" width="2" style="9" customWidth="1"/>
    <col min="10247" max="10247" width="11.36328125" style="9" customWidth="1"/>
    <col min="10248" max="10496" width="11.453125" style="9"/>
    <col min="10497" max="10497" width="25" style="9" customWidth="1"/>
    <col min="10498" max="10498" width="7.36328125" style="9" customWidth="1"/>
    <col min="10499" max="10499" width="11.90625" style="9" customWidth="1"/>
    <col min="10500" max="10500" width="5.08984375" style="9" customWidth="1"/>
    <col min="10501" max="10501" width="6.08984375" style="9" customWidth="1"/>
    <col min="10502" max="10502" width="2" style="9" customWidth="1"/>
    <col min="10503" max="10503" width="11.36328125" style="9" customWidth="1"/>
    <col min="10504" max="10752" width="11.453125" style="9"/>
    <col min="10753" max="10753" width="25" style="9" customWidth="1"/>
    <col min="10754" max="10754" width="7.36328125" style="9" customWidth="1"/>
    <col min="10755" max="10755" width="11.90625" style="9" customWidth="1"/>
    <col min="10756" max="10756" width="5.08984375" style="9" customWidth="1"/>
    <col min="10757" max="10757" width="6.08984375" style="9" customWidth="1"/>
    <col min="10758" max="10758" width="2" style="9" customWidth="1"/>
    <col min="10759" max="10759" width="11.36328125" style="9" customWidth="1"/>
    <col min="10760" max="11008" width="11.453125" style="9"/>
    <col min="11009" max="11009" width="25" style="9" customWidth="1"/>
    <col min="11010" max="11010" width="7.36328125" style="9" customWidth="1"/>
    <col min="11011" max="11011" width="11.90625" style="9" customWidth="1"/>
    <col min="11012" max="11012" width="5.08984375" style="9" customWidth="1"/>
    <col min="11013" max="11013" width="6.08984375" style="9" customWidth="1"/>
    <col min="11014" max="11014" width="2" style="9" customWidth="1"/>
    <col min="11015" max="11015" width="11.36328125" style="9" customWidth="1"/>
    <col min="11016" max="11264" width="11.453125" style="9"/>
    <col min="11265" max="11265" width="25" style="9" customWidth="1"/>
    <col min="11266" max="11266" width="7.36328125" style="9" customWidth="1"/>
    <col min="11267" max="11267" width="11.90625" style="9" customWidth="1"/>
    <col min="11268" max="11268" width="5.08984375" style="9" customWidth="1"/>
    <col min="11269" max="11269" width="6.08984375" style="9" customWidth="1"/>
    <col min="11270" max="11270" width="2" style="9" customWidth="1"/>
    <col min="11271" max="11271" width="11.36328125" style="9" customWidth="1"/>
    <col min="11272" max="11520" width="11.453125" style="9"/>
    <col min="11521" max="11521" width="25" style="9" customWidth="1"/>
    <col min="11522" max="11522" width="7.36328125" style="9" customWidth="1"/>
    <col min="11523" max="11523" width="11.90625" style="9" customWidth="1"/>
    <col min="11524" max="11524" width="5.08984375" style="9" customWidth="1"/>
    <col min="11525" max="11525" width="6.08984375" style="9" customWidth="1"/>
    <col min="11526" max="11526" width="2" style="9" customWidth="1"/>
    <col min="11527" max="11527" width="11.36328125" style="9" customWidth="1"/>
    <col min="11528" max="11776" width="11.453125" style="9"/>
    <col min="11777" max="11777" width="25" style="9" customWidth="1"/>
    <col min="11778" max="11778" width="7.36328125" style="9" customWidth="1"/>
    <col min="11779" max="11779" width="11.90625" style="9" customWidth="1"/>
    <col min="11780" max="11780" width="5.08984375" style="9" customWidth="1"/>
    <col min="11781" max="11781" width="6.08984375" style="9" customWidth="1"/>
    <col min="11782" max="11782" width="2" style="9" customWidth="1"/>
    <col min="11783" max="11783" width="11.36328125" style="9" customWidth="1"/>
    <col min="11784" max="12032" width="11.453125" style="9"/>
    <col min="12033" max="12033" width="25" style="9" customWidth="1"/>
    <col min="12034" max="12034" width="7.36328125" style="9" customWidth="1"/>
    <col min="12035" max="12035" width="11.90625" style="9" customWidth="1"/>
    <col min="12036" max="12036" width="5.08984375" style="9" customWidth="1"/>
    <col min="12037" max="12037" width="6.08984375" style="9" customWidth="1"/>
    <col min="12038" max="12038" width="2" style="9" customWidth="1"/>
    <col min="12039" max="12039" width="11.36328125" style="9" customWidth="1"/>
    <col min="12040" max="12288" width="11.453125" style="9"/>
    <col min="12289" max="12289" width="25" style="9" customWidth="1"/>
    <col min="12290" max="12290" width="7.36328125" style="9" customWidth="1"/>
    <col min="12291" max="12291" width="11.90625" style="9" customWidth="1"/>
    <col min="12292" max="12292" width="5.08984375" style="9" customWidth="1"/>
    <col min="12293" max="12293" width="6.08984375" style="9" customWidth="1"/>
    <col min="12294" max="12294" width="2" style="9" customWidth="1"/>
    <col min="12295" max="12295" width="11.36328125" style="9" customWidth="1"/>
    <col min="12296" max="12544" width="11.453125" style="9"/>
    <col min="12545" max="12545" width="25" style="9" customWidth="1"/>
    <col min="12546" max="12546" width="7.36328125" style="9" customWidth="1"/>
    <col min="12547" max="12547" width="11.90625" style="9" customWidth="1"/>
    <col min="12548" max="12548" width="5.08984375" style="9" customWidth="1"/>
    <col min="12549" max="12549" width="6.08984375" style="9" customWidth="1"/>
    <col min="12550" max="12550" width="2" style="9" customWidth="1"/>
    <col min="12551" max="12551" width="11.36328125" style="9" customWidth="1"/>
    <col min="12552" max="12800" width="11.453125" style="9"/>
    <col min="12801" max="12801" width="25" style="9" customWidth="1"/>
    <col min="12802" max="12802" width="7.36328125" style="9" customWidth="1"/>
    <col min="12803" max="12803" width="11.90625" style="9" customWidth="1"/>
    <col min="12804" max="12804" width="5.08984375" style="9" customWidth="1"/>
    <col min="12805" max="12805" width="6.08984375" style="9" customWidth="1"/>
    <col min="12806" max="12806" width="2" style="9" customWidth="1"/>
    <col min="12807" max="12807" width="11.36328125" style="9" customWidth="1"/>
    <col min="12808" max="13056" width="11.453125" style="9"/>
    <col min="13057" max="13057" width="25" style="9" customWidth="1"/>
    <col min="13058" max="13058" width="7.36328125" style="9" customWidth="1"/>
    <col min="13059" max="13059" width="11.90625" style="9" customWidth="1"/>
    <col min="13060" max="13060" width="5.08984375" style="9" customWidth="1"/>
    <col min="13061" max="13061" width="6.08984375" style="9" customWidth="1"/>
    <col min="13062" max="13062" width="2" style="9" customWidth="1"/>
    <col min="13063" max="13063" width="11.36328125" style="9" customWidth="1"/>
    <col min="13064" max="13312" width="11.453125" style="9"/>
    <col min="13313" max="13313" width="25" style="9" customWidth="1"/>
    <col min="13314" max="13314" width="7.36328125" style="9" customWidth="1"/>
    <col min="13315" max="13315" width="11.90625" style="9" customWidth="1"/>
    <col min="13316" max="13316" width="5.08984375" style="9" customWidth="1"/>
    <col min="13317" max="13317" width="6.08984375" style="9" customWidth="1"/>
    <col min="13318" max="13318" width="2" style="9" customWidth="1"/>
    <col min="13319" max="13319" width="11.36328125" style="9" customWidth="1"/>
    <col min="13320" max="13568" width="11.453125" style="9"/>
    <col min="13569" max="13569" width="25" style="9" customWidth="1"/>
    <col min="13570" max="13570" width="7.36328125" style="9" customWidth="1"/>
    <col min="13571" max="13571" width="11.90625" style="9" customWidth="1"/>
    <col min="13572" max="13572" width="5.08984375" style="9" customWidth="1"/>
    <col min="13573" max="13573" width="6.08984375" style="9" customWidth="1"/>
    <col min="13574" max="13574" width="2" style="9" customWidth="1"/>
    <col min="13575" max="13575" width="11.36328125" style="9" customWidth="1"/>
    <col min="13576" max="13824" width="11.453125" style="9"/>
    <col min="13825" max="13825" width="25" style="9" customWidth="1"/>
    <col min="13826" max="13826" width="7.36328125" style="9" customWidth="1"/>
    <col min="13827" max="13827" width="11.90625" style="9" customWidth="1"/>
    <col min="13828" max="13828" width="5.08984375" style="9" customWidth="1"/>
    <col min="13829" max="13829" width="6.08984375" style="9" customWidth="1"/>
    <col min="13830" max="13830" width="2" style="9" customWidth="1"/>
    <col min="13831" max="13831" width="11.36328125" style="9" customWidth="1"/>
    <col min="13832" max="14080" width="11.453125" style="9"/>
    <col min="14081" max="14081" width="25" style="9" customWidth="1"/>
    <col min="14082" max="14082" width="7.36328125" style="9" customWidth="1"/>
    <col min="14083" max="14083" width="11.90625" style="9" customWidth="1"/>
    <col min="14084" max="14084" width="5.08984375" style="9" customWidth="1"/>
    <col min="14085" max="14085" width="6.08984375" style="9" customWidth="1"/>
    <col min="14086" max="14086" width="2" style="9" customWidth="1"/>
    <col min="14087" max="14087" width="11.36328125" style="9" customWidth="1"/>
    <col min="14088" max="14336" width="11.453125" style="9"/>
    <col min="14337" max="14337" width="25" style="9" customWidth="1"/>
    <col min="14338" max="14338" width="7.36328125" style="9" customWidth="1"/>
    <col min="14339" max="14339" width="11.90625" style="9" customWidth="1"/>
    <col min="14340" max="14340" width="5.08984375" style="9" customWidth="1"/>
    <col min="14341" max="14341" width="6.08984375" style="9" customWidth="1"/>
    <col min="14342" max="14342" width="2" style="9" customWidth="1"/>
    <col min="14343" max="14343" width="11.36328125" style="9" customWidth="1"/>
    <col min="14344" max="14592" width="11.453125" style="9"/>
    <col min="14593" max="14593" width="25" style="9" customWidth="1"/>
    <col min="14594" max="14594" width="7.36328125" style="9" customWidth="1"/>
    <col min="14595" max="14595" width="11.90625" style="9" customWidth="1"/>
    <col min="14596" max="14596" width="5.08984375" style="9" customWidth="1"/>
    <col min="14597" max="14597" width="6.08984375" style="9" customWidth="1"/>
    <col min="14598" max="14598" width="2" style="9" customWidth="1"/>
    <col min="14599" max="14599" width="11.36328125" style="9" customWidth="1"/>
    <col min="14600" max="14848" width="11.453125" style="9"/>
    <col min="14849" max="14849" width="25" style="9" customWidth="1"/>
    <col min="14850" max="14850" width="7.36328125" style="9" customWidth="1"/>
    <col min="14851" max="14851" width="11.90625" style="9" customWidth="1"/>
    <col min="14852" max="14852" width="5.08984375" style="9" customWidth="1"/>
    <col min="14853" max="14853" width="6.08984375" style="9" customWidth="1"/>
    <col min="14854" max="14854" width="2" style="9" customWidth="1"/>
    <col min="14855" max="14855" width="11.36328125" style="9" customWidth="1"/>
    <col min="14856" max="15104" width="11.453125" style="9"/>
    <col min="15105" max="15105" width="25" style="9" customWidth="1"/>
    <col min="15106" max="15106" width="7.36328125" style="9" customWidth="1"/>
    <col min="15107" max="15107" width="11.90625" style="9" customWidth="1"/>
    <col min="15108" max="15108" width="5.08984375" style="9" customWidth="1"/>
    <col min="15109" max="15109" width="6.08984375" style="9" customWidth="1"/>
    <col min="15110" max="15110" width="2" style="9" customWidth="1"/>
    <col min="15111" max="15111" width="11.36328125" style="9" customWidth="1"/>
    <col min="15112" max="15360" width="11.453125" style="9"/>
    <col min="15361" max="15361" width="25" style="9" customWidth="1"/>
    <col min="15362" max="15362" width="7.36328125" style="9" customWidth="1"/>
    <col min="15363" max="15363" width="11.90625" style="9" customWidth="1"/>
    <col min="15364" max="15364" width="5.08984375" style="9" customWidth="1"/>
    <col min="15365" max="15365" width="6.08984375" style="9" customWidth="1"/>
    <col min="15366" max="15366" width="2" style="9" customWidth="1"/>
    <col min="15367" max="15367" width="11.36328125" style="9" customWidth="1"/>
    <col min="15368" max="15616" width="11.453125" style="9"/>
    <col min="15617" max="15617" width="25" style="9" customWidth="1"/>
    <col min="15618" max="15618" width="7.36328125" style="9" customWidth="1"/>
    <col min="15619" max="15619" width="11.90625" style="9" customWidth="1"/>
    <col min="15620" max="15620" width="5.08984375" style="9" customWidth="1"/>
    <col min="15621" max="15621" width="6.08984375" style="9" customWidth="1"/>
    <col min="15622" max="15622" width="2" style="9" customWidth="1"/>
    <col min="15623" max="15623" width="11.36328125" style="9" customWidth="1"/>
    <col min="15624" max="15872" width="11.453125" style="9"/>
    <col min="15873" max="15873" width="25" style="9" customWidth="1"/>
    <col min="15874" max="15874" width="7.36328125" style="9" customWidth="1"/>
    <col min="15875" max="15875" width="11.90625" style="9" customWidth="1"/>
    <col min="15876" max="15876" width="5.08984375" style="9" customWidth="1"/>
    <col min="15877" max="15877" width="6.08984375" style="9" customWidth="1"/>
    <col min="15878" max="15878" width="2" style="9" customWidth="1"/>
    <col min="15879" max="15879" width="11.36328125" style="9" customWidth="1"/>
    <col min="15880" max="16128" width="11.453125" style="9"/>
    <col min="16129" max="16129" width="25" style="9" customWidth="1"/>
    <col min="16130" max="16130" width="7.36328125" style="9" customWidth="1"/>
    <col min="16131" max="16131" width="11.90625" style="9" customWidth="1"/>
    <col min="16132" max="16132" width="5.08984375" style="9" customWidth="1"/>
    <col min="16133" max="16133" width="6.08984375" style="9" customWidth="1"/>
    <col min="16134" max="16134" width="2" style="9" customWidth="1"/>
    <col min="16135" max="16135" width="11.36328125" style="9" customWidth="1"/>
    <col min="16136" max="16384" width="11.4531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0.25281819591720989</v>
      </c>
      <c r="E3" s="9">
        <v>0.34842548863867129</v>
      </c>
      <c r="F3" s="13" t="s">
        <v>16</v>
      </c>
    </row>
    <row r="4" spans="1:8" ht="12.5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2.5">
      <c r="A5" s="12">
        <f>4*x/(12*y-2*x+3)</f>
        <v>0.25281819591720989</v>
      </c>
      <c r="B5" s="14" t="s">
        <v>21</v>
      </c>
      <c r="C5" s="15" t="s">
        <v>22</v>
      </c>
      <c r="D5" s="16">
        <v>2933.3800698456803</v>
      </c>
      <c r="E5" s="17">
        <v>1.77963384984335E-4</v>
      </c>
      <c r="F5" s="17"/>
      <c r="G5" s="17">
        <v>3.1670966395082632E-8</v>
      </c>
      <c r="H5" s="9">
        <v>14.685233974664698</v>
      </c>
    </row>
    <row r="6" spans="1:8" ht="12.5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1.1137531245941335E-4</v>
      </c>
      <c r="F6" s="17"/>
      <c r="G6" s="17">
        <v>1.2404460225431953E-8</v>
      </c>
      <c r="H6" s="9" t="s">
        <v>25</v>
      </c>
    </row>
    <row r="7" spans="1:8" ht="12.5">
      <c r="A7" s="12">
        <f>6*y/(12*y-2*x+3)</f>
        <v>0.34842548863867129</v>
      </c>
      <c r="B7" s="14" t="s">
        <v>26</v>
      </c>
      <c r="C7" s="15" t="s">
        <v>27</v>
      </c>
      <c r="D7" s="16">
        <v>2948.065303820345</v>
      </c>
      <c r="E7" s="17">
        <v>4.0004396628438692E-4</v>
      </c>
      <c r="F7" s="17"/>
      <c r="G7" s="17">
        <v>1.6003517496054369E-7</v>
      </c>
      <c r="H7" s="9">
        <v>5.7800692440618023E-4</v>
      </c>
    </row>
    <row r="8" spans="1:8" ht="12.5">
      <c r="A8" s="12" t="b">
        <f>SET.VALUE(E3,A7)</f>
        <v>1</v>
      </c>
      <c r="B8" s="14" t="s">
        <v>28</v>
      </c>
      <c r="C8" s="15" t="s">
        <v>16</v>
      </c>
      <c r="D8" s="20">
        <v>2937.9016902232925</v>
      </c>
      <c r="G8" s="17">
        <v>6989.4576937129623</v>
      </c>
    </row>
    <row r="9" spans="1:8" ht="13">
      <c r="A9" s="9" t="b">
        <f>GOTO(G11)</f>
        <v>1</v>
      </c>
      <c r="B9" s="14" t="s">
        <v>29</v>
      </c>
      <c r="C9" s="21" t="s">
        <v>30</v>
      </c>
      <c r="D9" s="22">
        <v>3.2427345233004745E-7</v>
      </c>
      <c r="E9" s="23"/>
      <c r="G9" s="17"/>
      <c r="H9" s="9" t="s">
        <v>16</v>
      </c>
    </row>
    <row r="10" spans="1:8" ht="12.5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2.5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3.8364670298412534E-2</v>
      </c>
    </row>
    <row r="12" spans="1:8" ht="12.5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3.8136658977045726E-2</v>
      </c>
    </row>
    <row r="13" spans="1:8" ht="12.5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3.7909369854268203E-2</v>
      </c>
    </row>
    <row r="14" spans="1:8" ht="12.5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3.7682804963799527E-2</v>
      </c>
    </row>
    <row r="15" spans="1:8" ht="12.5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3.7456966301199296E-2</v>
      </c>
    </row>
    <row r="16" spans="1:8" ht="12.5">
      <c r="A16" s="9">
        <f>INDEX($G$11:$G$1227,MATCH(MIN($G$11:$G$1227),$G$11:$G$1227,0)+1,1)</f>
        <v>1.6003517496054369E-7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3.7231855823972447E-2</v>
      </c>
    </row>
    <row r="17" spans="1:7" ht="12.5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3.7007475451668964E-2</v>
      </c>
    </row>
    <row r="18" spans="1:7" ht="12.5">
      <c r="A18" s="9">
        <f>INDEX($G$11:$G$1227,MATCH(MIN($G$11:$G$1227),$G$11:$G$1227,0)-1,1)</f>
        <v>3.1670966395082632E-8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3.6783827065988393E-2</v>
      </c>
    </row>
    <row r="19" spans="1:7" ht="12.5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3.6560912510887063E-2</v>
      </c>
    </row>
    <row r="20" spans="1:7" ht="12.5">
      <c r="A20" s="9">
        <f>MIN($G$11:$G$1227)</f>
        <v>1.2404460225431953E-8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3.6338733592689521E-2</v>
      </c>
    </row>
    <row r="21" spans="1:7" ht="12.5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3.6117292080197788E-2</v>
      </c>
    </row>
    <row r="22" spans="1:7" ht="12.5">
      <c r="A22" s="9">
        <f>SQRT(G6)</f>
        <v>1.1137531245941335E-4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3.5896589704807649E-2</v>
      </c>
    </row>
    <row r="23" spans="1:7" ht="12.5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3.5676628160623482E-2</v>
      </c>
    </row>
    <row r="24" spans="1:7" ht="12.5">
      <c r="A24" s="9">
        <f>SQRT(G5)</f>
        <v>1.77963384984335E-4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3.5457409104578938E-2</v>
      </c>
    </row>
    <row r="25" spans="1:7" ht="12.5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3.5238934156556975E-2</v>
      </c>
    </row>
    <row r="26" spans="1:7" ht="12.5">
      <c r="A26" s="9">
        <f>SQRT(G7)</f>
        <v>4.0004396628438692E-4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3.5021204899513152E-2</v>
      </c>
    </row>
    <row r="27" spans="1:7" ht="12.5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3.4804222879600756E-2</v>
      </c>
    </row>
    <row r="28" spans="1:7" ht="12.5">
      <c r="A28" s="9">
        <f>E5/(D5-D6)/(D5-D7)</f>
        <v>1.6524998994665246E-6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3.4587989606300579E-2</v>
      </c>
    </row>
    <row r="29" spans="1:7" ht="12.5">
      <c r="A29" s="9">
        <f>E6/(D6-D5)/(D6-D7)</f>
        <v>-2.065798048934176E-6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3.4372506552547331E-2</v>
      </c>
    </row>
    <row r="30" spans="1:7" ht="12.5">
      <c r="A30" s="9">
        <f>E7/(D7-D5)/(D7-D6)</f>
        <v>3.7053917242040199E-6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3.4157775154865282E-2</v>
      </c>
    </row>
    <row r="31" spans="1:7" ht="12.5">
      <c r="A31" s="9">
        <f>A28+A29+A30</f>
        <v>3.2920935747363685E-6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3.3943796813498281E-2</v>
      </c>
    </row>
    <row r="32" spans="1:7" ht="12.5">
      <c r="A32" s="9">
        <f>-(A28*(D7+D6)+A29*(D5+D7)+A30*(D6+D5))</f>
        <v>-1.9347145811634308E-2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3.373057289254925E-2</v>
      </c>
    </row>
    <row r="33" spans="1:7" ht="12.5">
      <c r="A33" s="9">
        <f>A28*D6*D7+A29*D5*D7+A30*D5*D6</f>
        <v>28.425170967673118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3.3518104720115918E-2</v>
      </c>
    </row>
    <row r="34" spans="1:7" ht="12.5">
      <c r="A34" s="9">
        <f>-A32/(2*A31)</f>
        <v>2938.4258637277089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3.3306393588432383E-2</v>
      </c>
    </row>
    <row r="35" spans="1:7" ht="12.5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3.3095440754009657E-2</v>
      </c>
    </row>
    <row r="36" spans="1:7" ht="12.5">
      <c r="A36" s="9">
        <f>A31*A34^2+A32*A34+A33</f>
        <v>9.4146564382668885E-5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3.2885247437779749E-2</v>
      </c>
    </row>
    <row r="37" spans="1:7" ht="12.5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3.2675814825242691E-2</v>
      </c>
    </row>
    <row r="38" spans="1:7" ht="12.5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3.2467144066612663E-2</v>
      </c>
    </row>
    <row r="39" spans="1:7" ht="12.5">
      <c r="A39" s="9">
        <f>A36*A38</f>
        <v>9.4146564382668885E-5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3.2259236276968549E-2</v>
      </c>
    </row>
    <row r="40" spans="1:7" ht="12.5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3.2052092536403044E-2</v>
      </c>
    </row>
    <row r="41" spans="1:7" ht="12.5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3.1845713890179185E-2</v>
      </c>
    </row>
    <row r="42" spans="1:7" ht="12.5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3.16401013488814E-2</v>
      </c>
    </row>
    <row r="43" spans="1:7" ht="12.5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3.143525588857414E-2</v>
      </c>
    </row>
    <row r="44" spans="1:7" ht="12.5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3.1231178450959903E-2</v>
      </c>
    </row>
    <row r="45" spans="1:7" ht="12.5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3.1027869943537605E-2</v>
      </c>
    </row>
    <row r="46" spans="1:7" ht="12.5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3.0825331239764459E-2</v>
      </c>
    </row>
    <row r="47" spans="1:7" ht="12.5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3.0623563179220142E-2</v>
      </c>
    </row>
    <row r="48" spans="1:7" ht="12.5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3.0422566567769482E-2</v>
      </c>
    </row>
    <row r="49" spans="1:7" ht="12.5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3.0222342177729553E-2</v>
      </c>
    </row>
    <row r="50" spans="1:7" ht="12.5">
      <c r="A50" s="9">
        <f>(A18+A48^2-A16)/(2*A48)</f>
        <v>1.7796308954895886E-4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3.0022890748036685E-2</v>
      </c>
    </row>
    <row r="51" spans="1:7" ht="12.5">
      <c r="A51" s="9">
        <f>D5+A50*A42/A48</f>
        <v>2937.901520192604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2.9824212984415555E-2</v>
      </c>
    </row>
    <row r="52" spans="1:7" ht="12.5">
      <c r="A52" s="9">
        <f>SQRT(A18-A50^2)</f>
        <v>3.2427345233004745E-7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2.9626309559549386E-2</v>
      </c>
    </row>
    <row r="53" spans="1:7" ht="12.5">
      <c r="A53" s="9">
        <f>A51*(1-0)</f>
        <v>2937.901520192604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2.9429181113251716E-2</v>
      </c>
    </row>
    <row r="54" spans="1:7" ht="12.5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2.9232828252639696E-2</v>
      </c>
    </row>
    <row r="55" spans="1:7" ht="12.5">
      <c r="A55" s="9">
        <f>A53+(A34-A53)*A52*(1/0.001)</f>
        <v>2937.9016902232925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2.9037251552308515E-2</v>
      </c>
    </row>
    <row r="56" spans="1:7" ht="12.5">
      <c r="A56" s="9">
        <f>IF(A52&lt;0.001,A55,A34)</f>
        <v>2937.9016902232925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2.8842451554506834E-2</v>
      </c>
    </row>
    <row r="57" spans="1:7" ht="12.5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2.8648428769313707E-2</v>
      </c>
    </row>
    <row r="58" spans="1:7" ht="12.5">
      <c r="A58" s="9">
        <f>A52*A38</f>
        <v>3.2427345233004745E-7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2.8455183674817884E-2</v>
      </c>
    </row>
    <row r="59" spans="1:7" ht="12.5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2.8262716717296115E-2</v>
      </c>
    </row>
    <row r="60" spans="1:7" ht="12.5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2.8071028311394384E-2</v>
      </c>
    </row>
    <row r="61" spans="1:7" ht="12.5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2.7880118840309668E-2</v>
      </c>
    </row>
    <row r="62" spans="1:7" ht="12.5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2.7689988655972733E-2</v>
      </c>
    </row>
    <row r="63" spans="1:7" ht="12.5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2.7500638079232146E-2</v>
      </c>
    </row>
    <row r="64" spans="1:7" ht="12.5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2.7312067400040135E-2</v>
      </c>
    </row>
    <row r="65" spans="3:7" ht="12.5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2.712427687763758E-2</v>
      </c>
    </row>
    <row r="66" spans="3:7" ht="12.5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2.6937266740742021E-2</v>
      </c>
    </row>
    <row r="67" spans="3:7" ht="12.5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2.6751037187735107E-2</v>
      </c>
    </row>
    <row r="68" spans="3:7" ht="12.5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2.6565588386852763E-2</v>
      </c>
    </row>
    <row r="69" spans="3:7" ht="12.5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2.6380920476374057E-2</v>
      </c>
    </row>
    <row r="70" spans="3:7" ht="12.5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2.6197033564812539E-2</v>
      </c>
    </row>
    <row r="71" spans="3:7" ht="12.5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2.6013927731107882E-2</v>
      </c>
    </row>
    <row r="72" spans="3:7" ht="12.5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2.5831603024819509E-2</v>
      </c>
    </row>
    <row r="73" spans="3:7" ht="12.5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2.565005946631856E-2</v>
      </c>
    </row>
    <row r="74" spans="3:7" ht="12.5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2.5469297046982604E-2</v>
      </c>
    </row>
    <row r="75" spans="3:7" ht="12.5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2.5289315729391203E-2</v>
      </c>
    </row>
    <row r="76" spans="3:7" ht="12.5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2.5110115447519846E-2</v>
      </c>
    </row>
    <row r="77" spans="3:7" ht="12.5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2.4931696106939693E-2</v>
      </c>
    </row>
    <row r="78" spans="3:7" ht="12.5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2.4754057585010317E-2</v>
      </c>
    </row>
    <row r="79" spans="3:7" ht="12.5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2.4577199731080347E-2</v>
      </c>
    </row>
    <row r="80" spans="3:7" ht="12.5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2.4401122366685582E-2</v>
      </c>
    </row>
    <row r="81" spans="3:7" ht="12.5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2.4225825285746135E-2</v>
      </c>
    </row>
    <row r="82" spans="3:7" ht="12.5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2.4051308254768589E-2</v>
      </c>
    </row>
    <row r="83" spans="3:7" ht="12.5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2.3877571013043216E-2</v>
      </c>
    </row>
    <row r="84" spans="3:7" ht="12.5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2.3704613272845097E-2</v>
      </c>
    </row>
    <row r="85" spans="3:7" ht="12.5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2.353243471963851E-2</v>
      </c>
    </row>
    <row r="86" spans="3:7" ht="12.5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2.3361035012272449E-2</v>
      </c>
    </row>
    <row r="87" spans="3:7" ht="12.5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2.3190413783188302E-2</v>
      </c>
    </row>
    <row r="88" spans="3:7" ht="12.5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2.3020570638617815E-2</v>
      </c>
    </row>
    <row r="89" spans="3:7" ht="12.5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2.2851505158788577E-2</v>
      </c>
    </row>
    <row r="90" spans="3:7" ht="12.5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2.2683216898125479E-2</v>
      </c>
    </row>
    <row r="91" spans="3:7" ht="12.5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2.2515705385455075E-2</v>
      </c>
    </row>
    <row r="92" spans="3:7" ht="12.5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2.2348970124208827E-2</v>
      </c>
    </row>
    <row r="93" spans="3:7" ht="12.5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2.2183010592626909E-2</v>
      </c>
    </row>
    <row r="94" spans="3:7" ht="12.5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2.2017826243963031E-2</v>
      </c>
    </row>
    <row r="95" spans="3:7" ht="12.5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2.1853416506688407E-2</v>
      </c>
    </row>
    <row r="96" spans="3:7" ht="12.5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2.1689780784696855E-2</v>
      </c>
    </row>
    <row r="97" spans="3:7" ht="12.5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2.1526918457509561E-2</v>
      </c>
    </row>
    <row r="98" spans="3:7" ht="12.5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2.1364828880480094E-2</v>
      </c>
    </row>
    <row r="99" spans="3:7" ht="12.5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2.1203511384999651E-2</v>
      </c>
    </row>
    <row r="100" spans="3:7" ht="12.5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2.1042965278702787E-2</v>
      </c>
    </row>
    <row r="101" spans="3:7" ht="12.5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2.0883189845671779E-2</v>
      </c>
    </row>
    <row r="102" spans="3:7" ht="12.5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2.0724184346643904E-2</v>
      </c>
    </row>
    <row r="103" spans="3:7" ht="12.5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2.0565948019215324E-2</v>
      </c>
    </row>
    <row r="104" spans="3:7" ht="12.5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2.040848007804788E-2</v>
      </c>
    </row>
    <row r="105" spans="3:7" ht="12.5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2.0251779715074227E-2</v>
      </c>
    </row>
    <row r="106" spans="3:7" ht="12.5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2.0095846099704086E-2</v>
      </c>
    </row>
    <row r="107" spans="3:7" ht="12.5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1.9940678379028715E-2</v>
      </c>
    </row>
    <row r="108" spans="3:7" ht="12.5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1.97862756780278E-2</v>
      </c>
    </row>
    <row r="109" spans="3:7" ht="12.5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1.9632637099773927E-2</v>
      </c>
    </row>
    <row r="110" spans="3:7" ht="12.5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1.9479761725639179E-2</v>
      </c>
    </row>
    <row r="111" spans="3:7" ht="12.5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1.9327648615499293E-2</v>
      </c>
    </row>
    <row r="112" spans="3:7" ht="12.5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1.9176296807939457E-2</v>
      </c>
    </row>
    <row r="113" spans="3:7" ht="12.5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1.9025705320459534E-2</v>
      </c>
    </row>
    <row r="114" spans="3:7" ht="12.5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1.8875873149679024E-2</v>
      </c>
    </row>
    <row r="115" spans="3:7" ht="12.5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1.8726799271541139E-2</v>
      </c>
    </row>
    <row r="116" spans="3:7" ht="12.5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1.8578482641517548E-2</v>
      </c>
    </row>
    <row r="117" spans="3:7" ht="12.5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1.8430922194814046E-2</v>
      </c>
    </row>
    <row r="118" spans="3:7" ht="12.5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1.8284116846572322E-2</v>
      </c>
    </row>
    <row r="119" spans="3:7" ht="12.5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1.8138065492075642E-2</v>
      </c>
    </row>
    <row r="120" spans="3:7" ht="12.5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1.7992767006951998E-2</v>
      </c>
    </row>
    <row r="121" spans="3:7" ht="12.5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1.7848220247376732E-2</v>
      </c>
    </row>
    <row r="122" spans="3:7" ht="12.5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1.7704424050276144E-2</v>
      </c>
    </row>
    <row r="123" spans="3:7" ht="12.5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1.75613772335299E-2</v>
      </c>
    </row>
    <row r="124" spans="3:7" ht="12.5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1.7419078596174115E-2</v>
      </c>
    </row>
    <row r="125" spans="3:7" ht="12.5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1.7277526918601915E-2</v>
      </c>
    </row>
    <row r="126" spans="3:7" ht="12.5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1.713672096276609E-2</v>
      </c>
    </row>
    <row r="127" spans="3:7" ht="12.5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1.699665947237991E-2</v>
      </c>
    </row>
    <row r="128" spans="3:7" ht="12.5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1.68573411731185E-2</v>
      </c>
    </row>
    <row r="129" spans="3:7" ht="12.5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1.6718764772817942E-2</v>
      </c>
    </row>
    <row r="130" spans="3:7" ht="12.5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1.6580928961677531E-2</v>
      </c>
    </row>
    <row r="131" spans="3:7" ht="12.5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1.6443832412456647E-2</v>
      </c>
    </row>
    <row r="132" spans="3:7" ht="12.5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1.6307473780675739E-2</v>
      </c>
    </row>
    <row r="133" spans="3:7" ht="12.5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1.6171851704814576E-2</v>
      </c>
    </row>
    <row r="134" spans="3:7" ht="12.5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1.6036964806509027E-2</v>
      </c>
    </row>
    <row r="135" spans="3:7" ht="12.5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1.5902811690750782E-2</v>
      </c>
    </row>
    <row r="136" spans="3:7" ht="12.5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1.5769390946083157E-2</v>
      </c>
    </row>
    <row r="137" spans="3:7" ht="12.5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1.5636701144797878E-2</v>
      </c>
    </row>
    <row r="138" spans="3:7" ht="12.5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1.5504740843131151E-2</v>
      </c>
    </row>
    <row r="139" spans="3:7" ht="12.5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1.537350858145922E-2</v>
      </c>
    </row>
    <row r="140" spans="3:7" ht="12.5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1.5243002884493749E-2</v>
      </c>
    </row>
    <row r="141" spans="3:7" ht="12.5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1.5113222261474567E-2</v>
      </c>
    </row>
    <row r="142" spans="3:7" ht="12.5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1.4984165206365811E-2</v>
      </c>
    </row>
    <row r="143" spans="3:7" ht="12.5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1.4855830198046821E-2</v>
      </c>
    </row>
    <row r="144" spans="3:7" ht="12.5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1.4728215700506048E-2</v>
      </c>
    </row>
    <row r="145" spans="3:7" ht="12.5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1.4601320163032911E-2</v>
      </c>
    </row>
    <row r="146" spans="3:7" ht="12.5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1.4475142020408378E-2</v>
      </c>
    </row>
    <row r="147" spans="3:7" ht="12.5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1.4349679693095889E-2</v>
      </c>
    </row>
    <row r="148" spans="3:7" ht="12.5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1.4224931587431615E-2</v>
      </c>
    </row>
    <row r="149" spans="3:7" ht="12.5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1.4100896095813751E-2</v>
      </c>
    </row>
    <row r="150" spans="3:7" ht="12.5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1.3977571596890706E-2</v>
      </c>
    </row>
    <row r="151" spans="3:7" ht="12.5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1.3854956455749495E-2</v>
      </c>
    </row>
    <row r="152" spans="3:7" ht="12.5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1.3733049024102523E-2</v>
      </c>
    </row>
    <row r="153" spans="3:7" ht="12.5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1.3611847640474548E-2</v>
      </c>
    </row>
    <row r="154" spans="3:7" ht="12.5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1.349135063038898E-2</v>
      </c>
    </row>
    <row r="155" spans="3:7" ht="12.5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1.3371556306551491E-2</v>
      </c>
    </row>
    <row r="156" spans="3:7" ht="12.5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1.3252462969035188E-2</v>
      </c>
    </row>
    <row r="157" spans="3:7" ht="12.5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1.3134068905465365E-2</v>
      </c>
    </row>
    <row r="158" spans="3:7" ht="12.5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1.3016372391200329E-2</v>
      </c>
    </row>
    <row r="159" spans="3:7" ht="12.5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1.2899371689514666E-2</v>
      </c>
    </row>
    <row r="160" spans="3:7" ht="12.5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1.278306505178093E-2</v>
      </c>
    </row>
    <row r="161" spans="3:7" ht="12.5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1.2667450717648923E-2</v>
      </c>
    </row>
    <row r="162" spans="3:7" ht="12.5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1.2552526915226439E-2</v>
      </c>
    </row>
    <row r="163" spans="3:7" ht="12.5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1.2438291861258383E-2</v>
      </c>
    </row>
    <row r="164" spans="3:7" ht="12.5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1.2324743761303979E-2</v>
      </c>
    </row>
    <row r="165" spans="3:7" ht="12.5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1.2211880809915436E-2</v>
      </c>
    </row>
    <row r="166" spans="3:7" ht="12.5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1.2099701190813246E-2</v>
      </c>
    </row>
    <row r="167" spans="3:7" ht="12.5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1.1988203077062859E-2</v>
      </c>
    </row>
    <row r="168" spans="3:7" ht="12.5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1.1877384631249288E-2</v>
      </c>
    </row>
    <row r="169" spans="3:7" ht="12.5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1.1767244005650452E-2</v>
      </c>
    </row>
    <row r="170" spans="3:7" ht="12.5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1.1657779342412154E-2</v>
      </c>
    </row>
    <row r="171" spans="3:7" ht="12.5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1.1548988773718783E-2</v>
      </c>
    </row>
    <row r="172" spans="3:7" ht="12.5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1.1440870421965758E-2</v>
      </c>
    </row>
    <row r="173" spans="3:7" ht="12.5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1.1333422399929672E-2</v>
      </c>
    </row>
    <row r="174" spans="3:7" ht="12.5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1.1226642810938721E-2</v>
      </c>
    </row>
    <row r="175" spans="3:7" ht="12.5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1.1120529749041205E-2</v>
      </c>
    </row>
    <row r="176" spans="3:7" ht="12.5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1.1015081299173824E-2</v>
      </c>
    </row>
    <row r="177" spans="3:7" ht="12.5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1.0910295537328715E-2</v>
      </c>
    </row>
    <row r="178" spans="3:7" ht="12.5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1.0806170530719644E-2</v>
      </c>
    </row>
    <row r="179" spans="3:7" ht="12.5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1.0702704337948019E-2</v>
      </c>
    </row>
    <row r="180" spans="3:7" ht="12.5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1.0599895009167005E-2</v>
      </c>
    </row>
    <row r="181" spans="3:7" ht="12.5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1.0497740586244669E-2</v>
      </c>
    </row>
    <row r="182" spans="3:7" ht="12.5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1.0396239102927951E-2</v>
      </c>
    </row>
    <row r="183" spans="3:7" ht="12.5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1.0295388585003191E-2</v>
      </c>
    </row>
    <row r="184" spans="3:7" ht="12.5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1.0195187050457867E-2</v>
      </c>
    </row>
    <row r="185" spans="3:7" ht="12.5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1.0095632509640353E-2</v>
      </c>
    </row>
    <row r="186" spans="3:7" ht="12.5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9.9967229654190099E-3</v>
      </c>
    </row>
    <row r="187" spans="3:7" ht="12.5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9.8984564133403011E-3</v>
      </c>
    </row>
    <row r="188" spans="3:7" ht="12.5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9.800830841785799E-3</v>
      </c>
    </row>
    <row r="189" spans="3:7" ht="12.5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9.7038442321291905E-3</v>
      </c>
    </row>
    <row r="190" spans="3:7" ht="12.5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9.6074945588912521E-3</v>
      </c>
    </row>
    <row r="191" spans="3:7" ht="12.5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9.511779789893678E-3</v>
      </c>
    </row>
    <row r="192" spans="3:7" ht="12.5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9.4166978864135224E-3</v>
      </c>
    </row>
    <row r="193" spans="3:7" ht="12.5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9.3222468033356144E-3</v>
      </c>
    </row>
    <row r="194" spans="3:7" ht="12.5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9.2284244893035879E-3</v>
      </c>
    </row>
    <row r="195" spans="3:7" ht="12.5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9.1352288868710458E-3</v>
      </c>
    </row>
    <row r="196" spans="3:7" ht="12.5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9.0426579326513788E-3</v>
      </c>
    </row>
    <row r="197" spans="3:7" ht="12.5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8.950709557466123E-3</v>
      </c>
    </row>
    <row r="198" spans="3:7" ht="12.5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8.8593816864930511E-3</v>
      </c>
    </row>
    <row r="199" spans="3:7" ht="12.5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8.7686722394129044E-3</v>
      </c>
    </row>
    <row r="200" spans="3:7" ht="12.5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8.6785791305557299E-3</v>
      </c>
    </row>
    <row r="201" spans="3:7" ht="12.5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8.5891002690452641E-3</v>
      </c>
    </row>
    <row r="202" spans="3:7" ht="12.5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8.5002335589432106E-3</v>
      </c>
    </row>
    <row r="203" spans="3:7" ht="12.5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8.4119768993924822E-3</v>
      </c>
    </row>
    <row r="204" spans="3:7" ht="12.5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8.3243281847588703E-3</v>
      </c>
    </row>
    <row r="205" spans="3:7" ht="12.5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8.2372853047721923E-3</v>
      </c>
    </row>
    <row r="206" spans="3:7" ht="12.5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8.1508461446667037E-3</v>
      </c>
    </row>
    <row r="207" spans="3:7" ht="12.5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8.0650085853205856E-3</v>
      </c>
    </row>
    <row r="208" spans="3:7" ht="12.5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7.9797705033931958E-3</v>
      </c>
    </row>
    <row r="209" spans="3:7" ht="12.5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7.8951297714633054E-3</v>
      </c>
    </row>
    <row r="210" spans="3:7" ht="12.5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7.8110842581644779E-3</v>
      </c>
    </row>
    <row r="211" spans="3:7" ht="12.5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7.727631828321398E-3</v>
      </c>
    </row>
    <row r="212" spans="3:7" ht="12.5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7.6447703430834084E-3</v>
      </c>
    </row>
    <row r="213" spans="3:7" ht="12.5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7.5624976600579541E-3</v>
      </c>
    </row>
    <row r="214" spans="3:7" ht="12.5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7.4808116334436781E-3</v>
      </c>
    </row>
    <row r="215" spans="3:7" ht="12.5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7.3997101141610446E-3</v>
      </c>
    </row>
    <row r="216" spans="3:7" ht="12.5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7.3191909499830425E-3</v>
      </c>
    </row>
    <row r="217" spans="3:7" ht="12.5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7.2392519856649363E-3</v>
      </c>
    </row>
    <row r="218" spans="3:7" ht="12.5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7.1598910630724794E-3</v>
      </c>
    </row>
    <row r="219" spans="3:7" ht="12.5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7.0811060213097476E-3</v>
      </c>
    </row>
    <row r="220" spans="3:7" ht="12.5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7.0028946968451961E-3</v>
      </c>
    </row>
    <row r="221" spans="3:7" ht="12.5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6.9252549236380797E-3</v>
      </c>
    </row>
    <row r="222" spans="3:7" ht="12.5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6.8481845332622358E-3</v>
      </c>
    </row>
    <row r="223" spans="3:7" ht="12.5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6.7716813550302915E-3</v>
      </c>
    </row>
    <row r="224" spans="3:7" ht="12.5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6.6957432161160284E-3</v>
      </c>
    </row>
    <row r="225" spans="3:7" ht="12.5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6.6203679416765929E-3</v>
      </c>
    </row>
    <row r="226" spans="3:7" ht="12.5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6.5455533549725834E-3</v>
      </c>
    </row>
    <row r="227" spans="3:7" ht="12.5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6.4712972774883595E-3</v>
      </c>
    </row>
    <row r="228" spans="3:7" ht="12.5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6.3975975290507569E-3</v>
      </c>
    </row>
    <row r="229" spans="3:7" ht="12.5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6.3244519279464385E-3</v>
      </c>
    </row>
    <row r="230" spans="3:7" ht="12.5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6.2518582910396367E-3</v>
      </c>
    </row>
    <row r="231" spans="3:7" ht="12.5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6.1798144338876633E-3</v>
      </c>
    </row>
    <row r="232" spans="3:7" ht="12.5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6.1083181708553869E-3</v>
      </c>
    </row>
    <row r="233" spans="3:7" ht="12.5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6.0373673152300696E-3</v>
      </c>
    </row>
    <row r="234" spans="3:7" ht="12.5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5.9669596793337836E-3</v>
      </c>
    </row>
    <row r="235" spans="3:7" ht="12.5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5.8970930746357524E-3</v>
      </c>
    </row>
    <row r="236" spans="3:7" ht="12.5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5.8277653118635059E-3</v>
      </c>
    </row>
    <row r="237" spans="3:7" ht="12.5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5.7589742011127671E-3</v>
      </c>
    </row>
    <row r="238" spans="3:7" ht="12.5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5.6907175519568176E-3</v>
      </c>
    </row>
    <row r="239" spans="3:7" ht="12.5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5.6229931735547328E-3</v>
      </c>
    </row>
    <row r="240" spans="3:7" ht="12.5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5.5557988747586898E-3</v>
      </c>
    </row>
    <row r="241" spans="3:7" ht="12.5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5.4891324642201257E-3</v>
      </c>
    </row>
    <row r="242" spans="3:7" ht="12.5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5.4229917504953866E-3</v>
      </c>
    </row>
    <row r="243" spans="3:7" ht="12.5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5.3573745421500113E-3</v>
      </c>
    </row>
    <row r="244" spans="3:7" ht="12.5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5.292278647862028E-3</v>
      </c>
    </row>
    <row r="245" spans="3:7" ht="12.5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5.2277018765248973E-3</v>
      </c>
    </row>
    <row r="246" spans="3:7" ht="12.5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5.1636420373486567E-3</v>
      </c>
    </row>
    <row r="247" spans="3:7" ht="12.5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5.100096939960881E-3</v>
      </c>
    </row>
    <row r="248" spans="3:7" ht="12.5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5.0370643945065177E-3</v>
      </c>
    </row>
    <row r="249" spans="3:7" ht="12.5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4.974542211745943E-3</v>
      </c>
    </row>
    <row r="250" spans="3:7" ht="12.5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4.9125282031537076E-3</v>
      </c>
    </row>
    <row r="251" spans="3:7" ht="12.5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4.8510201810148239E-3</v>
      </c>
    </row>
    <row r="252" spans="3:7" ht="12.5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4.7900159585208104E-3</v>
      </c>
    </row>
    <row r="253" spans="3:7" ht="12.5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4.7295133498650114E-3</v>
      </c>
    </row>
    <row r="254" spans="3:7" ht="12.5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4.6695101703364619E-3</v>
      </c>
    </row>
    <row r="255" spans="3:7" ht="12.5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4.6100042364128563E-3</v>
      </c>
    </row>
    <row r="256" spans="3:7" ht="12.5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4.5509933658534002E-3</v>
      </c>
    </row>
    <row r="257" spans="3:7" ht="12.5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4.492475377789646E-3</v>
      </c>
    </row>
    <row r="258" spans="3:7" ht="12.5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4.4344480928160826E-3</v>
      </c>
    </row>
    <row r="259" spans="3:7" ht="12.5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4.3769093330792127E-3</v>
      </c>
    </row>
    <row r="260" spans="3:7" ht="12.5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4.3198569223671171E-3</v>
      </c>
    </row>
    <row r="261" spans="3:7" ht="12.5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4.2632886861960718E-3</v>
      </c>
    </row>
    <row r="262" spans="3:7" ht="12.5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4.2072024518979671E-3</v>
      </c>
    </row>
    <row r="263" spans="3:7" ht="12.5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4.1515960487057179E-3</v>
      </c>
    </row>
    <row r="264" spans="3:7" ht="12.5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4.0964673078385918E-3</v>
      </c>
    </row>
    <row r="265" spans="3:7" ht="12.5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4.0418140625856792E-3</v>
      </c>
    </row>
    <row r="266" spans="3:7" ht="12.5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3.9876341483900159E-3</v>
      </c>
    </row>
    <row r="267" spans="3:7" ht="12.5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3.93392540292973E-3</v>
      </c>
    </row>
    <row r="268" spans="3:7" ht="12.5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3.880685666200073E-3</v>
      </c>
    </row>
    <row r="269" spans="3:7" ht="12.5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3.8279127805934607E-3</v>
      </c>
    </row>
    <row r="270" spans="3:7" ht="12.5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3.7756045909795814E-3</v>
      </c>
    </row>
    <row r="271" spans="3:7" ht="12.5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3.7237589447834366E-3</v>
      </c>
    </row>
    <row r="272" spans="3:7" ht="12.5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3.6723736920635207E-3</v>
      </c>
    </row>
    <row r="273" spans="3:7" ht="12.5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3.6214466855886028E-3</v>
      </c>
    </row>
    <row r="274" spans="3:7" ht="12.5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3.5709757809139599E-3</v>
      </c>
    </row>
    <row r="275" spans="3:7" ht="12.5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3.520958836456005E-3</v>
      </c>
    </row>
    <row r="276" spans="3:7" ht="12.5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3.471393713567369E-3</v>
      </c>
    </row>
    <row r="277" spans="3:7" ht="12.5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3.4222782766093174E-3</v>
      </c>
    </row>
    <row r="278" spans="3:7" ht="12.5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3.3736103930253557E-3</v>
      </c>
    </row>
    <row r="279" spans="3:7" ht="12.5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3.3253879334122073E-3</v>
      </c>
    </row>
    <row r="280" spans="3:7" ht="12.5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3.2776087715907223E-3</v>
      </c>
    </row>
    <row r="281" spans="3:7" ht="12.5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3.2302707846760992E-3</v>
      </c>
    </row>
    <row r="282" spans="3:7" ht="12.5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3.1833718531466765E-3</v>
      </c>
    </row>
    <row r="283" spans="3:7" ht="12.5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3.1369098609124457E-3</v>
      </c>
    </row>
    <row r="284" spans="3:7" ht="12.5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3.0908826953823347E-3</v>
      </c>
    </row>
    <row r="285" spans="3:7" ht="12.5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3.0452882475307929E-3</v>
      </c>
    </row>
    <row r="286" spans="3:7" ht="12.5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3.0001244119634615E-3</v>
      </c>
    </row>
    <row r="287" spans="3:7" ht="12.5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2.9553890869821369E-3</v>
      </c>
    </row>
    <row r="288" spans="3:7" ht="12.5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2.9110801746486739E-3</v>
      </c>
    </row>
    <row r="289" spans="3:7" ht="12.5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2.8671955808484625E-3</v>
      </c>
    </row>
    <row r="290" spans="3:7" ht="12.5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2.8237332153524882E-3</v>
      </c>
    </row>
    <row r="291" spans="3:7" ht="12.5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2.7806909918790495E-3</v>
      </c>
    </row>
    <row r="292" spans="3:7" ht="12.5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2.7380668281545245E-3</v>
      </c>
    </row>
    <row r="293" spans="3:7" ht="12.5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2.6958586459731046E-3</v>
      </c>
    </row>
    <row r="294" spans="3:7" ht="12.5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2.654064371256083E-3</v>
      </c>
    </row>
    <row r="295" spans="3:7" ht="12.5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2.6126819341100974E-3</v>
      </c>
    </row>
    <row r="296" spans="3:7" ht="12.5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2.5717092688844604E-3</v>
      </c>
    </row>
    <row r="297" spans="3:7" ht="12.5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2.5311443142278529E-3</v>
      </c>
    </row>
    <row r="298" spans="3:7" ht="12.5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2.4909850131444541E-3</v>
      </c>
    </row>
    <row r="299" spans="3:7" ht="12.5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2.4512293130486058E-3</v>
      </c>
    </row>
    <row r="300" spans="3:7" ht="12.5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2.4118751658193638E-3</v>
      </c>
    </row>
    <row r="301" spans="3:7" ht="12.5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2.3729205278537569E-3</v>
      </c>
    </row>
    <row r="302" spans="3:7" ht="12.5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2.3343633601195825E-3</v>
      </c>
    </row>
    <row r="303" spans="3:7" ht="12.5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2.2962016282074586E-3</v>
      </c>
    </row>
    <row r="304" spans="3:7" ht="12.5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2.2584333023816009E-3</v>
      </c>
    </row>
    <row r="305" spans="3:7" ht="12.5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2.2210563576303497E-3</v>
      </c>
    </row>
    <row r="306" spans="3:7" ht="12.5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2.1840687737157772E-3</v>
      </c>
    </row>
    <row r="307" spans="3:7" ht="12.5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2.1474685352222364E-3</v>
      </c>
    </row>
    <row r="308" spans="3:7" ht="12.5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2.1112536316047702E-3</v>
      </c>
    </row>
    <row r="309" spans="3:7" ht="12.5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2.0754220572358996E-3</v>
      </c>
    </row>
    <row r="310" spans="3:7" ht="12.5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2.0399718114526943E-3</v>
      </c>
    </row>
    <row r="311" spans="3:7" ht="12.5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2.0049008986016514E-3</v>
      </c>
    </row>
    <row r="312" spans="3:7" ht="12.5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1.9702073280846544E-3</v>
      </c>
    </row>
    <row r="313" spans="3:7" ht="12.5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1.9358891144025201E-3</v>
      </c>
    </row>
    <row r="314" spans="3:7" ht="12.5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1.9019442771988646E-3</v>
      </c>
    </row>
    <row r="315" spans="3:7" ht="12.5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1.8683708413025179E-3</v>
      </c>
    </row>
    <row r="316" spans="3:7" ht="12.5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1.8351668367697842E-3</v>
      </c>
    </row>
    <row r="317" spans="3:7" ht="12.5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1.8023302989257129E-3</v>
      </c>
    </row>
    <row r="318" spans="3:7" ht="12.5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1.7698592684044401E-3</v>
      </c>
    </row>
    <row r="319" spans="3:7" ht="12.5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1.7377517911891425E-3</v>
      </c>
    </row>
    <row r="320" spans="3:7" ht="12.5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1.7060059186512191E-3</v>
      </c>
    </row>
    <row r="321" spans="3:7" ht="12.5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1.6746197075884017E-3</v>
      </c>
    </row>
    <row r="322" spans="3:7" ht="12.5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1.6435912202626623E-3</v>
      </c>
    </row>
    <row r="323" spans="3:7" ht="12.5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1.61291852443689E-3</v>
      </c>
    </row>
    <row r="324" spans="3:7" ht="12.5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1.582599693411557E-3</v>
      </c>
    </row>
    <row r="325" spans="3:7" ht="12.5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1.5526328060596751E-3</v>
      </c>
    </row>
    <row r="326" spans="3:7" ht="12.5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1.5230159468621238E-3</v>
      </c>
    </row>
    <row r="327" spans="3:7" ht="12.5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1.4937472059415016E-3</v>
      </c>
    </row>
    <row r="328" spans="3:7" ht="12.5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1.4648246790956172E-3</v>
      </c>
    </row>
    <row r="329" spans="3:7" ht="12.5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1.4362464678303515E-3</v>
      </c>
    </row>
    <row r="330" spans="3:7" ht="12.5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1.4080106793916028E-3</v>
      </c>
    </row>
    <row r="331" spans="3:7" ht="12.5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1.3801154267967363E-3</v>
      </c>
    </row>
    <row r="332" spans="3:7" ht="12.5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1.352558828865218E-3</v>
      </c>
    </row>
    <row r="333" spans="3:7" ht="12.5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1.325339010248794E-3</v>
      </c>
    </row>
    <row r="334" spans="3:7" ht="12.5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1.2984541014606622E-3</v>
      </c>
    </row>
    <row r="335" spans="3:7" ht="12.5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1.271902238904348E-3</v>
      </c>
    </row>
    <row r="336" spans="3:7" ht="12.5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1.2456815649018035E-3</v>
      </c>
    </row>
    <row r="337" spans="3:7" ht="12.5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1.2197902277204901E-3</v>
      </c>
    </row>
    <row r="338" spans="3:7" ht="12.5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1.1942263816004386E-3</v>
      </c>
    </row>
    <row r="339" spans="3:7" ht="12.5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1.1689881867801501E-3</v>
      </c>
    </row>
    <row r="340" spans="3:7" ht="12.5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1.1440738095220919E-3</v>
      </c>
    </row>
    <row r="341" spans="3:7" ht="12.5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1.1194814221375691E-3</v>
      </c>
    </row>
    <row r="342" spans="3:7" ht="12.5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1.0952092030106935E-3</v>
      </c>
    </row>
    <row r="343" spans="3:7" ht="12.5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1.0712553366222775E-3</v>
      </c>
    </row>
    <row r="344" spans="3:7" ht="12.5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1.0476180135723587E-3</v>
      </c>
    </row>
    <row r="345" spans="3:7" ht="12.5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1.0242954306025989E-3</v>
      </c>
    </row>
    <row r="346" spans="3:7" ht="12.5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1.0012857906181662E-3</v>
      </c>
    </row>
    <row r="347" spans="3:7" ht="12.5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9.7858730270853418E-4</v>
      </c>
    </row>
    <row r="348" spans="3:7" ht="12.5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9.5619818216797548E-4</v>
      </c>
    </row>
    <row r="349" spans="3:7" ht="12.5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9.3411665051554955E-4</v>
      </c>
    </row>
    <row r="350" spans="3:7" ht="12.5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9.1234093551406626E-4</v>
      </c>
    </row>
    <row r="351" spans="3:7" ht="12.5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8.9086927118891179E-4</v>
      </c>
    </row>
    <row r="352" spans="3:7" ht="12.5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8.6969989784611422E-4</v>
      </c>
    </row>
    <row r="353" spans="3:7" ht="12.5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8.4883106208978013E-4</v>
      </c>
    </row>
    <row r="354" spans="3:7" ht="12.5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8.2826101683864349E-4</v>
      </c>
    </row>
    <row r="355" spans="3:7" ht="12.5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8.079880213428854E-4</v>
      </c>
    </row>
    <row r="356" spans="3:7" ht="12.5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7.8801034119945314E-4</v>
      </c>
    </row>
    <row r="357" spans="3:7" ht="12.5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7.683262483672616E-4</v>
      </c>
    </row>
    <row r="358" spans="3:7" ht="12.5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7.4893402118188864E-4</v>
      </c>
    </row>
    <row r="359" spans="3:7" ht="12.5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7.2983194436950568E-4</v>
      </c>
    </row>
    <row r="360" spans="3:7" ht="12.5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7.1101830906020657E-4</v>
      </c>
    </row>
    <row r="361" spans="3:7" ht="12.5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6.9249141280113696E-4</v>
      </c>
    </row>
    <row r="362" spans="3:7" ht="12.5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6.7424955956862898E-4</v>
      </c>
    </row>
    <row r="363" spans="3:7" ht="12.5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6.5629105977998362E-4</v>
      </c>
    </row>
    <row r="364" spans="3:7" ht="12.5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6.3861423030494679E-4</v>
      </c>
    </row>
    <row r="365" spans="3:7" ht="12.5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6.2121739447621393E-4</v>
      </c>
    </row>
    <row r="366" spans="3:7" ht="12.5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6.0409888209963798E-4</v>
      </c>
    </row>
    <row r="367" spans="3:7" ht="12.5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5.8725702946385724E-4</v>
      </c>
    </row>
    <row r="368" spans="3:7" ht="12.5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5.7069017934954129E-4</v>
      </c>
    </row>
    <row r="369" spans="3:7" ht="12.5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5.5439668103788491E-4</v>
      </c>
    </row>
    <row r="370" spans="3:7" ht="12.5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5.3837489031882343E-4</v>
      </c>
    </row>
    <row r="371" spans="3:7" ht="12.5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5.2262316949831041E-4</v>
      </c>
    </row>
    <row r="372" spans="3:7" ht="12.5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5.071398874057797E-4</v>
      </c>
    </row>
    <row r="373" spans="3:7" ht="12.5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4.9192341940046218E-4</v>
      </c>
    </row>
    <row r="374" spans="3:7" ht="12.5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4.7697214737749236E-4</v>
      </c>
    </row>
    <row r="375" spans="3:7" ht="12.5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4.6228445977353753E-4</v>
      </c>
    </row>
    <row r="376" spans="3:7" ht="12.5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4.4785875157182846E-4</v>
      </c>
    </row>
    <row r="377" spans="3:7" ht="12.5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4.3369342430682456E-4</v>
      </c>
    </row>
    <row r="378" spans="3:7" ht="12.5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4.1978688606823724E-4</v>
      </c>
    </row>
    <row r="379" spans="3:7" ht="12.5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4.0613755150476345E-4</v>
      </c>
    </row>
    <row r="380" spans="3:7" ht="12.5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3.9274384182726765E-4</v>
      </c>
    </row>
    <row r="381" spans="3:7" ht="12.5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3.7960418481138578E-4</v>
      </c>
    </row>
    <row r="382" spans="3:7" ht="12.5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3.66717014799812E-4</v>
      </c>
    </row>
    <row r="383" spans="3:7" ht="12.5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3.5408077270416286E-4</v>
      </c>
    </row>
    <row r="384" spans="3:7" ht="12.5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3.4169390600620686E-4</v>
      </c>
    </row>
    <row r="385" spans="3:7" ht="12.5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3.2955486875876195E-4</v>
      </c>
    </row>
    <row r="386" spans="3:7" ht="12.5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3.1766212158623069E-4</v>
      </c>
    </row>
    <row r="387" spans="3:7" ht="12.5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3.0601413168442548E-4</v>
      </c>
    </row>
    <row r="388" spans="3:7" ht="12.5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2.9460937282029703E-4</v>
      </c>
    </row>
    <row r="389" spans="3:7" ht="12.5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2.8344632533094472E-4</v>
      </c>
    </row>
    <row r="390" spans="3:7" ht="12.5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2.7252347612233453E-4</v>
      </c>
    </row>
    <row r="391" spans="3:7" ht="12.5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2.6183931866770207E-4</v>
      </c>
    </row>
    <row r="392" spans="3:7" ht="12.5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2.5139235300521872E-4</v>
      </c>
    </row>
    <row r="393" spans="3:7" ht="12.5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2.4118108573558945E-4</v>
      </c>
    </row>
    <row r="394" spans="3:7" ht="12.5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2.3120403001902962E-4</v>
      </c>
    </row>
    <row r="395" spans="3:7" ht="12.5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2.2145970557188482E-4</v>
      </c>
    </row>
    <row r="396" spans="3:7" ht="12.5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2.119466386629153E-4</v>
      </c>
    </row>
    <row r="397" spans="3:7" ht="12.5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2.0266336210909155E-4</v>
      </c>
    </row>
    <row r="398" spans="3:7" ht="12.5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1.936084152710773E-4</v>
      </c>
    </row>
    <row r="399" spans="3:7" ht="12.5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1.8478034404821979E-4</v>
      </c>
    </row>
    <row r="400" spans="3:7" ht="12.5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1.7617770087325756E-4</v>
      </c>
    </row>
    <row r="401" spans="3:7" ht="12.5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1.6779904470673787E-4</v>
      </c>
    </row>
    <row r="402" spans="3:7" ht="12.5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1.5964294103070674E-4</v>
      </c>
    </row>
    <row r="403" spans="3:7" ht="12.5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1.5170796184247308E-4</v>
      </c>
    </row>
    <row r="404" spans="3:7" ht="12.5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1.4399268564770269E-4</v>
      </c>
    </row>
    <row r="405" spans="3:7" ht="12.5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1.3649569745323854E-4</v>
      </c>
    </row>
    <row r="406" spans="3:7" ht="12.5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1.2921558875963663E-4</v>
      </c>
    </row>
    <row r="407" spans="3:7" ht="12.5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1.2215095755323905E-4</v>
      </c>
    </row>
    <row r="408" spans="3:7" ht="12.5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1.1530040829795106E-4</v>
      </c>
    </row>
    <row r="409" spans="3:7" ht="12.5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1.0866255192672761E-4</v>
      </c>
    </row>
    <row r="410" spans="3:7" ht="12.5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1.0223600583259755E-4</v>
      </c>
    </row>
    <row r="411" spans="3:7" ht="12.5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9.6019393859436103E-5</v>
      </c>
    </row>
    <row r="412" spans="3:7" ht="12.5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9.0011346292456708E-5</v>
      </c>
    </row>
    <row r="413" spans="3:7" ht="12.5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8.4210499848250445E-5</v>
      </c>
    </row>
    <row r="414" spans="3:7" ht="12.5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7.8615497664610062E-5</v>
      </c>
    </row>
    <row r="415" spans="3:7" ht="12.5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7.3224989289974419E-5</v>
      </c>
    </row>
    <row r="416" spans="3:7" ht="12.5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6.8037630672591407E-5</v>
      </c>
    </row>
    <row r="417" spans="3:7" ht="12.5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6.3052084149375177E-5</v>
      </c>
    </row>
    <row r="418" spans="3:7" ht="12.5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5.8267018434449933E-5</v>
      </c>
    </row>
    <row r="419" spans="3:7" ht="12.5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5.3681108607374894E-5</v>
      </c>
    </row>
    <row r="420" spans="3:7" ht="12.5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4.9293036101118762E-5</v>
      </c>
    </row>
    <row r="421" spans="3:7" ht="12.5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4.5101488689713439E-5</v>
      </c>
    </row>
    <row r="422" spans="3:7" ht="12.5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4.110516047562501E-5</v>
      </c>
    </row>
    <row r="423" spans="3:7" ht="12.5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3.7302751876836686E-5</v>
      </c>
    </row>
    <row r="424" spans="3:7" ht="12.5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3.3692969613694214E-5</v>
      </c>
    </row>
    <row r="425" spans="3:7" ht="12.5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3.0274526695398573E-5</v>
      </c>
    </row>
    <row r="426" spans="3:7" ht="12.5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2.7046142406311988E-5</v>
      </c>
    </row>
    <row r="427" spans="3:7" ht="12.5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2.4006542291958145E-5</v>
      </c>
    </row>
    <row r="428" spans="3:7" ht="12.5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2.1154458144748868E-5</v>
      </c>
    </row>
    <row r="429" spans="3:7" ht="12.5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1.8488627989503972E-5</v>
      </c>
    </row>
    <row r="430" spans="3:7" ht="12.5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1.6007796068650125E-5</v>
      </c>
    </row>
    <row r="431" spans="3:7" ht="12.5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1.3710712827233696E-5</v>
      </c>
    </row>
    <row r="432" spans="3:7" ht="12.5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1.1596134897652416E-5</v>
      </c>
    </row>
    <row r="433" spans="3:7" ht="12.5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9.6628250841560031E-6</v>
      </c>
    </row>
    <row r="434" spans="3:7" ht="12.5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7.9095523471310136E-6</v>
      </c>
    </row>
    <row r="435" spans="3:7" ht="12.5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6.3350917871071688E-6</v>
      </c>
    </row>
    <row r="436" spans="3:7" ht="12.5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4.93822462858524E-6</v>
      </c>
    </row>
    <row r="437" spans="3:7" ht="12.5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3.7177382036081627E-6</v>
      </c>
    </row>
    <row r="438" spans="3:7" ht="12.5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2.672425935132463E-6</v>
      </c>
    </row>
    <row r="439" spans="3:7" ht="12.5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1.8010873201719144E-6</v>
      </c>
    </row>
    <row r="440" spans="3:7" ht="12.5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1.1025279127340462E-6</v>
      </c>
    </row>
    <row r="441" spans="3:7" ht="12.5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5.7555930654642087E-7</v>
      </c>
    </row>
    <row r="442" spans="3:7" ht="12.5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2.1899911758443165E-7</v>
      </c>
    </row>
    <row r="443" spans="3:7" ht="12.5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3.1670966395082632E-8</v>
      </c>
    </row>
    <row r="444" spans="3:7" ht="12.5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1.2404460225431953E-8</v>
      </c>
    </row>
    <row r="445" spans="3:7" ht="12.5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1.6003517496054369E-7</v>
      </c>
    </row>
    <row r="446" spans="3:7" ht="12.5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4.734046368729985E-7</v>
      </c>
    </row>
    <row r="447" spans="3:7" ht="12.5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9.5136030418739991E-7</v>
      </c>
    </row>
    <row r="448" spans="3:7" ht="12.5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1.5927555484673944E-6</v>
      </c>
    </row>
    <row r="449" spans="3:7" ht="12.5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2.3964496358216895E-6</v>
      </c>
    </row>
    <row r="450" spans="3:7" ht="12.5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3.3613077079451846E-6</v>
      </c>
    </row>
    <row r="451" spans="3:7" ht="12.5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4.4862007629841154E-6</v>
      </c>
    </row>
    <row r="452" spans="3:7" ht="12.5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5.7700056362369493E-6</v>
      </c>
    </row>
    <row r="453" spans="3:7" ht="12.5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7.211604980699099E-6</v>
      </c>
    </row>
    <row r="454" spans="3:7" ht="12.5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8.8098872474531839E-6</v>
      </c>
    </row>
    <row r="455" spans="3:7" ht="12.5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1.0563746665881359E-5</v>
      </c>
    </row>
    <row r="456" spans="3:7" ht="12.5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1.2472083223772741E-5</v>
      </c>
    </row>
    <row r="457" spans="3:7" ht="12.5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1.4533802647235304E-5</v>
      </c>
    </row>
    <row r="458" spans="3:7" ht="12.5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1.6747816380505445E-5</v>
      </c>
    </row>
    <row r="459" spans="3:7" ht="12.5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1.9113041565587308E-5</v>
      </c>
    </row>
    <row r="460" spans="3:7" ht="12.5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2.1628401021782517E-5</v>
      </c>
    </row>
    <row r="461" spans="3:7" ht="12.5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2.4292823225072113E-5</v>
      </c>
    </row>
    <row r="462" spans="3:7" ht="12.5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2.7105242287364778E-5</v>
      </c>
    </row>
    <row r="463" spans="3:7" ht="12.5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3.0064597935656929E-5</v>
      </c>
    </row>
    <row r="464" spans="3:7" ht="12.5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3.3169835491019E-5</v>
      </c>
    </row>
    <row r="465" spans="3:7" ht="12.5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3.6419905847508858E-5</v>
      </c>
    </row>
    <row r="466" spans="3:7" ht="12.5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3.981376545093003E-5</v>
      </c>
    </row>
    <row r="467" spans="3:7" ht="12.5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4.3350376277531685E-5</v>
      </c>
    </row>
    <row r="468" spans="3:7" ht="12.5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4.7028705812560495E-5</v>
      </c>
    </row>
    <row r="469" spans="3:7" ht="12.5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5.0847727028702137E-5</v>
      </c>
    </row>
    <row r="470" spans="3:7" ht="12.5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5.4806418364477871E-5</v>
      </c>
    </row>
    <row r="471" spans="3:7" ht="12.5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5.8903763702473231E-5</v>
      </c>
    </row>
    <row r="472" spans="3:7" ht="12.5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6.3138752347507282E-5</v>
      </c>
    </row>
    <row r="473" spans="3:7" ht="12.5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6.7510379004747477E-5</v>
      </c>
    </row>
    <row r="474" spans="3:7" ht="12.5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7.2017643757660662E-5</v>
      </c>
    </row>
    <row r="475" spans="3:7" ht="12.5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7.6659552045944845E-5</v>
      </c>
    </row>
    <row r="476" spans="3:7" ht="12.5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8.1435114643334345E-5</v>
      </c>
    </row>
    <row r="477" spans="3:7" ht="12.5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8.6343347635369557E-5</v>
      </c>
    </row>
    <row r="478" spans="3:7" ht="12.5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9.1383272397071752E-5</v>
      </c>
    </row>
    <row r="479" spans="3:7" ht="12.5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9.6553915570512182E-5</v>
      </c>
    </row>
    <row r="480" spans="3:7" ht="12.5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1.0185430904240617E-4</v>
      </c>
    </row>
    <row r="481" spans="3:7" ht="12.5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1.0728348992152922E-4</v>
      </c>
    </row>
    <row r="482" spans="3:7" ht="12.5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1.1284050051617353E-4</v>
      </c>
    </row>
    <row r="483" spans="3:7" ht="12.5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1.1852438831143596E-4</v>
      </c>
    </row>
    <row r="484" spans="3:7" ht="12.5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1.2433420594659377E-4</v>
      </c>
    </row>
    <row r="485" spans="3:7" ht="12.5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1.3026901119229389E-4</v>
      </c>
    </row>
    <row r="486" spans="3:7" ht="12.5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1.3632786692773424E-4</v>
      </c>
    </row>
    <row r="487" spans="3:7" ht="12.5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1.4250984111783264E-4</v>
      </c>
    </row>
    <row r="488" spans="3:7" ht="12.5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1.488140067903557E-4</v>
      </c>
    </row>
    <row r="489" spans="3:7" ht="12.5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1.5523944201292823E-4</v>
      </c>
    </row>
    <row r="490" spans="3:7" ht="12.5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1.6178522987006483E-4</v>
      </c>
    </row>
    <row r="491" spans="3:7" ht="12.5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1.6845045844019244E-4</v>
      </c>
    </row>
    <row r="492" spans="3:7" ht="12.5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1.7523422077257077E-4</v>
      </c>
    </row>
    <row r="493" spans="3:7" ht="12.5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1.8213561486422739E-4</v>
      </c>
    </row>
    <row r="494" spans="3:7" ht="12.5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1.891537436368391E-4</v>
      </c>
    </row>
    <row r="495" spans="3:7" ht="12.5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1.9628771491362674E-4</v>
      </c>
    </row>
    <row r="496" spans="3:7" ht="12.5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2.0353664139621837E-4</v>
      </c>
    </row>
    <row r="497" spans="3:7" ht="12.5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2.1089964064143369E-4</v>
      </c>
    </row>
    <row r="498" spans="3:7" ht="12.5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2.1837583503815205E-4</v>
      </c>
    </row>
    <row r="499" spans="3:7" ht="12.5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2.2596435178407655E-4</v>
      </c>
    </row>
    <row r="500" spans="3:7" ht="12.5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2.336643228625217E-4</v>
      </c>
    </row>
    <row r="501" spans="3:7" ht="12.5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2.4147488501925481E-4</v>
      </c>
    </row>
    <row r="502" spans="3:7" ht="12.5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2.4939517973919658E-4</v>
      </c>
    </row>
    <row r="503" spans="3:7" ht="12.5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2.5742435322324424E-4</v>
      </c>
    </row>
    <row r="504" spans="3:7" ht="12.5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2.6556155636499177E-4</v>
      </c>
    </row>
    <row r="505" spans="3:7" ht="12.5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2.7380594472759592E-4</v>
      </c>
    </row>
    <row r="506" spans="3:7" ht="12.5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2.8215667852041351E-4</v>
      </c>
    </row>
    <row r="507" spans="3:7" ht="12.5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2.9061292257593594E-4</v>
      </c>
    </row>
    <row r="508" spans="3:7" ht="12.5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2.9917384632644514E-4</v>
      </c>
    </row>
    <row r="509" spans="3:7" ht="12.5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3.0783862378093549E-4</v>
      </c>
    </row>
    <row r="510" spans="3:7" ht="12.5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3.1660643350179537E-4</v>
      </c>
    </row>
    <row r="511" spans="3:7" ht="12.5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3.2547645858174652E-4</v>
      </c>
    </row>
    <row r="512" spans="3:7" ht="12.5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3.344478866206554E-4</v>
      </c>
    </row>
    <row r="513" spans="3:7" ht="12.5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3.4351990970239173E-4</v>
      </c>
    </row>
    <row r="514" spans="3:7" ht="12.5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3.5269172437169547E-4</v>
      </c>
    </row>
    <row r="515" spans="3:7" ht="12.5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3.6196253161113989E-4</v>
      </c>
    </row>
    <row r="516" spans="3:7" ht="12.5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3.7133153681800788E-4</v>
      </c>
    </row>
    <row r="517" spans="3:7" ht="12.5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3.8079794978135301E-4</v>
      </c>
    </row>
    <row r="518" spans="3:7" ht="12.5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3.9036098465887632E-4</v>
      </c>
    </row>
    <row r="519" spans="3:7" ht="12.5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4.0001985995404617E-4</v>
      </c>
    </row>
    <row r="520" spans="3:7" ht="12.5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4.097737984931054E-4</v>
      </c>
    </row>
    <row r="521" spans="3:7" ht="12.5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4.1962202740222608E-4</v>
      </c>
    </row>
    <row r="522" spans="3:7" ht="12.5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4.2956377808455425E-4</v>
      </c>
    </row>
    <row r="523" spans="3:7" ht="12.5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4.395982861975209E-4</v>
      </c>
    </row>
    <row r="524" spans="3:7" ht="12.5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4.4972479162993991E-4</v>
      </c>
    </row>
    <row r="525" spans="3:7" ht="12.5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4.5994253847934301E-4</v>
      </c>
    </row>
    <row r="526" spans="3:7" ht="12.5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4.702507750292404E-4</v>
      </c>
    </row>
    <row r="527" spans="3:7" ht="12.5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4.8064875372652057E-4</v>
      </c>
    </row>
    <row r="528" spans="3:7" ht="12.5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4.9113573115881792E-4</v>
      </c>
    </row>
    <row r="529" spans="3:7" ht="12.5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5.0171096803199185E-4</v>
      </c>
    </row>
    <row r="530" spans="3:7" ht="12.5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5.1237372914764395E-4</v>
      </c>
    </row>
    <row r="531" spans="3:7" ht="12.5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5.2312328338066671E-4</v>
      </c>
    </row>
    <row r="532" spans="3:7" ht="12.5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5.3395890365683877E-4</v>
      </c>
    </row>
    <row r="533" spans="3:7" ht="12.5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5.4487986693057665E-4</v>
      </c>
    </row>
    <row r="534" spans="3:7" ht="12.5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5.5588545416256378E-4</v>
      </c>
    </row>
    <row r="535" spans="3:7" ht="12.5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5.6697495029765072E-4</v>
      </c>
    </row>
    <row r="536" spans="3:7" ht="12.5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5.7814764424264739E-4</v>
      </c>
    </row>
    <row r="537" spans="3:7" ht="12.5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5.8940282884429771E-4</v>
      </c>
    </row>
    <row r="538" spans="3:7" ht="12.5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6.0073980086721281E-4</v>
      </c>
    </row>
    <row r="539" spans="3:7" ht="12.5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6.1215786097200962E-4</v>
      </c>
    </row>
    <row r="540" spans="3:7" ht="12.5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6.2365631369329854E-4</v>
      </c>
    </row>
    <row r="541" spans="3:7" ht="12.5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6.3523446741802435E-4</v>
      </c>
    </row>
    <row r="542" spans="3:7" ht="12.5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6.4689163436366449E-4</v>
      </c>
    </row>
    <row r="543" spans="3:7" ht="12.5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6.5862713055656248E-4</v>
      </c>
    </row>
    <row r="544" spans="3:7" ht="12.5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6.7044027581034647E-4</v>
      </c>
    </row>
    <row r="545" spans="3:7" ht="12.5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6.8233039370443611E-4</v>
      </c>
    </row>
    <row r="546" spans="3:7" ht="12.5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6.9429681156257599E-4</v>
      </c>
    </row>
    <row r="547" spans="3:7" ht="12.5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7.0633886043151438E-4</v>
      </c>
    </row>
    <row r="548" spans="3:7" ht="12.5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7.1845587505967718E-4</v>
      </c>
    </row>
    <row r="549" spans="3:7" ht="12.5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7.3064719387600852E-4</v>
      </c>
    </row>
    <row r="550" spans="3:7" ht="12.5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7.4291215896883775E-4</v>
      </c>
    </row>
    <row r="551" spans="3:7" ht="12.5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7.5525011606485928E-4</v>
      </c>
    </row>
    <row r="552" spans="3:7" ht="12.5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7.6766041450811954E-4</v>
      </c>
    </row>
    <row r="553" spans="3:7" ht="12.5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7.8014240723925626E-4</v>
      </c>
    </row>
    <row r="554" spans="3:7" ht="12.5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7.9269545077463469E-4</v>
      </c>
    </row>
    <row r="555" spans="3:7" ht="12.5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8.0531890518569633E-4</v>
      </c>
    </row>
    <row r="556" spans="3:7" ht="12.5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8.1801213407826034E-4</v>
      </c>
    </row>
    <row r="557" spans="3:7" ht="12.5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8.3077450457220959E-4</v>
      </c>
    </row>
    <row r="558" spans="3:7" ht="12.5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8.4360538728083423E-4</v>
      </c>
    </row>
    <row r="559" spans="3:7" ht="12.5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8.5650415629059029E-4</v>
      </c>
    </row>
    <row r="560" spans="3:7" ht="12.5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8.6947018914096852E-4</v>
      </c>
    </row>
    <row r="561" spans="3:7" ht="12.5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8.8250286680410545E-4</v>
      </c>
    </row>
    <row r="562" spans="3:7" ht="12.5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8.9560157366494388E-4</v>
      </c>
    </row>
    <row r="563" spans="3:7" ht="12.5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9.0876569750117083E-4</v>
      </c>
    </row>
    <row r="564" spans="3:7" ht="12.5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9.2199462946330698E-4</v>
      </c>
    </row>
    <row r="565" spans="3:7" ht="12.5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9.3528776405504149E-4</v>
      </c>
    </row>
    <row r="566" spans="3:7" ht="12.5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9.4864449911349772E-4</v>
      </c>
    </row>
    <row r="567" spans="3:7" ht="12.5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9.620642357896042E-4</v>
      </c>
    </row>
    <row r="568" spans="3:7" ht="12.5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9.7554637852873417E-4</v>
      </c>
    </row>
    <row r="569" spans="3:7" ht="12.5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9.8909033505125495E-4</v>
      </c>
    </row>
    <row r="570" spans="3:7" ht="12.5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1.0026955163331894E-3</v>
      </c>
    </row>
    <row r="571" spans="3:7" ht="12.5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1.0163613365871858E-3</v>
      </c>
    </row>
    <row r="572" spans="3:7" ht="12.5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1.0300872132433271E-3</v>
      </c>
    </row>
    <row r="573" spans="3:7" ht="12.5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1.0438725669301245E-3</v>
      </c>
    </row>
    <row r="574" spans="3:7" ht="12.5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1.0577168214557882E-3</v>
      </c>
    </row>
    <row r="575" spans="3:7" ht="12.5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1.0716194037893101E-3</v>
      </c>
    </row>
    <row r="576" spans="3:7" ht="12.5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1.0855797440418647E-3</v>
      </c>
    </row>
    <row r="577" spans="3:7" ht="12.5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1.0995972754482648E-3</v>
      </c>
    </row>
    <row r="578" spans="3:7" ht="12.5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1.1136714343483827E-3</v>
      </c>
    </row>
    <row r="579" spans="3:7" ht="12.5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1.1278016601689424E-3</v>
      </c>
    </row>
    <row r="580" spans="3:7" ht="12.5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1.1419873954052516E-3</v>
      </c>
    </row>
    <row r="581" spans="3:7" ht="12.5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1.1562280856029098E-3</v>
      </c>
    </row>
    <row r="582" spans="3:7" ht="12.5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1.1705231793399662E-3</v>
      </c>
    </row>
    <row r="583" spans="3:7" ht="12.5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1.1848721282089027E-3</v>
      </c>
    </row>
    <row r="584" spans="3:7" ht="12.5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1.1992743867986922E-3</v>
      </c>
    </row>
    <row r="585" spans="3:7" ht="12.5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1.2137294126773697E-3</v>
      </c>
    </row>
    <row r="586" spans="3:7" ht="12.5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1.2282366663741136E-3</v>
      </c>
    </row>
    <row r="587" spans="3:7" ht="12.5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1.2427956113619913E-3</v>
      </c>
    </row>
    <row r="588" spans="3:7" ht="12.5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1.2574057140404206E-3</v>
      </c>
    </row>
    <row r="589" spans="3:7" ht="12.5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1.2720664437179494E-3</v>
      </c>
    </row>
    <row r="590" spans="3:7" ht="12.5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1.286777272595024E-3</v>
      </c>
    </row>
    <row r="591" spans="3:7" ht="12.5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1.3015376757470807E-3</v>
      </c>
    </row>
    <row r="592" spans="3:7" ht="12.5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1.3163471311072781E-3</v>
      </c>
    </row>
    <row r="593" spans="3:7" ht="12.5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1.3312051194501249E-3</v>
      </c>
    </row>
    <row r="594" spans="3:7" ht="12.5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1.3461111243742842E-3</v>
      </c>
    </row>
    <row r="595" spans="3:7" ht="12.5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1.3610646322861821E-3</v>
      </c>
    </row>
    <row r="596" spans="3:7" ht="12.5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1.3760651323835066E-3</v>
      </c>
    </row>
    <row r="597" spans="3:7" ht="12.5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1.3911121166387444E-3</v>
      </c>
    </row>
    <row r="598" spans="3:7" ht="12.5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1.4062050797828912E-3</v>
      </c>
    </row>
    <row r="599" spans="3:7" ht="12.5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1.4213435192892854E-3</v>
      </c>
    </row>
    <row r="600" spans="3:7" ht="12.5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1.4365269353575078E-3</v>
      </c>
    </row>
    <row r="601" spans="3:7" ht="12.5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1.451754830897483E-3</v>
      </c>
    </row>
    <row r="602" spans="3:7" ht="12.5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1.4670267115135861E-3</v>
      </c>
    </row>
    <row r="603" spans="3:7" ht="12.5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1.4823420854889217E-3</v>
      </c>
    </row>
    <row r="604" spans="3:7" ht="12.5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1.4977004637697019E-3</v>
      </c>
    </row>
    <row r="605" spans="3:7" ht="12.5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1.5131013599496968E-3</v>
      </c>
    </row>
    <row r="606" spans="3:7" ht="12.5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1.5285442902549192E-3</v>
      </c>
    </row>
    <row r="607" spans="3:7" ht="12.5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1.5440287735281688E-3</v>
      </c>
    </row>
    <row r="608" spans="3:7" ht="12.5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1.5595543312140335E-3</v>
      </c>
    </row>
    <row r="609" spans="3:7" ht="12.5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1.575120487343727E-3</v>
      </c>
    </row>
    <row r="610" spans="3:7" ht="12.5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1.5907267685201275E-3</v>
      </c>
    </row>
    <row r="611" spans="3:7" ht="12.5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1.6063727039029095E-3</v>
      </c>
    </row>
    <row r="612" spans="3:7" ht="12.5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1.6220578251939202E-3</v>
      </c>
    </row>
    <row r="613" spans="3:7" ht="12.5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1.6377816666223479E-3</v>
      </c>
    </row>
    <row r="614" spans="3:7" ht="12.5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1.6535437649304301E-3</v>
      </c>
    </row>
    <row r="615" spans="3:7" ht="12.5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1.669343659358878E-3</v>
      </c>
    </row>
    <row r="616" spans="3:7" ht="12.5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1.6851808916327044E-3</v>
      </c>
    </row>
    <row r="617" spans="3:7" ht="12.5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1.7010550059468851E-3</v>
      </c>
    </row>
    <row r="618" spans="3:7" ht="12.5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1.7169655489524618E-3</v>
      </c>
    </row>
    <row r="619" spans="3:7" ht="12.5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1.7329120697423895E-3</v>
      </c>
    </row>
    <row r="620" spans="3:7" ht="12.5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1.7488941198378668E-3</v>
      </c>
    </row>
    <row r="621" spans="3:7" ht="12.5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1.7649112531744717E-3</v>
      </c>
    </row>
    <row r="622" spans="3:7" ht="12.5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1.780963026088438E-3</v>
      </c>
    </row>
    <row r="623" spans="3:7" ht="12.5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1.7970489973034055E-3</v>
      </c>
    </row>
    <row r="624" spans="3:7" ht="12.5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1.8131687279166193E-3</v>
      </c>
    </row>
    <row r="625" spans="3:7" ht="12.5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1.829321781385995E-3</v>
      </c>
    </row>
    <row r="626" spans="3:7" ht="12.5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1.8455077235165897E-3</v>
      </c>
    </row>
    <row r="627" spans="3:7" ht="12.5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1.8617261224477136E-3</v>
      </c>
    </row>
    <row r="628" spans="3:7" ht="12.5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1.8779765486398442E-3</v>
      </c>
    </row>
    <row r="629" spans="3:7" ht="12.5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1.8942585748618159E-3</v>
      </c>
    </row>
    <row r="630" spans="3:7" ht="12.5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1.9105717761778319E-3</v>
      </c>
    </row>
    <row r="631" spans="3:7" ht="12.5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1.9269157299351058E-3</v>
      </c>
    </row>
    <row r="632" spans="3:7" ht="12.5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1.9432900157510741E-3</v>
      </c>
    </row>
    <row r="633" spans="3:7" ht="12.5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1.9596942155009609E-3</v>
      </c>
    </row>
    <row r="634" spans="3:7" ht="12.5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1.9761279133054667E-3</v>
      </c>
    </row>
    <row r="635" spans="3:7" ht="12.5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1.9925906955185362E-3</v>
      </c>
    </row>
    <row r="636" spans="3:7" ht="12.5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2.0090821507150799E-3</v>
      </c>
    </row>
    <row r="637" spans="3:7" ht="12.5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2.0256018696791643E-3</v>
      </c>
    </row>
    <row r="638" spans="3:7" ht="12.5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2.0421494453918029E-3</v>
      </c>
    </row>
    <row r="639" spans="3:7" ht="12.5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2.0587244730192814E-3</v>
      </c>
    </row>
    <row r="640" spans="3:7" ht="12.5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2.0753265499013963E-3</v>
      </c>
    </row>
    <row r="641" spans="3:7" ht="12.5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2.0919552755398175E-3</v>
      </c>
    </row>
    <row r="642" spans="3:7" ht="12.5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2.1086102515864339E-3</v>
      </c>
    </row>
    <row r="643" spans="3:7" ht="12.5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2.125291081832226E-3</v>
      </c>
    </row>
    <row r="644" spans="3:7" ht="12.5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2.1419973721955574E-3</v>
      </c>
    </row>
    <row r="645" spans="3:7" ht="12.5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2.1587287307112831E-3</v>
      </c>
    </row>
    <row r="646" spans="3:7" ht="12.5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2.1754847675193333E-3</v>
      </c>
    </row>
    <row r="647" spans="3:7" ht="12.5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2.1922650948538796E-3</v>
      </c>
    </row>
    <row r="648" spans="3:7" ht="12.5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2.2090693270322851E-3</v>
      </c>
    </row>
    <row r="649" spans="3:7" ht="12.5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2.2258970804443809E-3</v>
      </c>
    </row>
    <row r="650" spans="3:7" ht="12.5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2.2427479735416386E-3</v>
      </c>
    </row>
    <row r="651" spans="3:7" ht="12.5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2.2596216268265142E-3</v>
      </c>
    </row>
    <row r="652" spans="3:7" ht="12.5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2.276517662841984E-3</v>
      </c>
    </row>
    <row r="653" spans="3:7" ht="12.5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2.2934357061610319E-3</v>
      </c>
    </row>
    <row r="654" spans="3:7" ht="12.5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2.3103753833763328E-3</v>
      </c>
    </row>
    <row r="655" spans="3:7" ht="12.5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2.3273363230899395E-3</v>
      </c>
    </row>
    <row r="656" spans="3:7" ht="12.5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2.3443181559032822E-3</v>
      </c>
    </row>
    <row r="657" spans="3:7" ht="12.5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2.3613205144067469E-3</v>
      </c>
    </row>
    <row r="658" spans="3:7" ht="12.5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2.3783430331701405E-3</v>
      </c>
    </row>
    <row r="659" spans="3:7" ht="12.5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2.3953853487324287E-3</v>
      </c>
    </row>
    <row r="660" spans="3:7" ht="12.5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2.4124470995922562E-3</v>
      </c>
    </row>
    <row r="661" spans="3:7" ht="12.5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2.4295279261978822E-3</v>
      </c>
    </row>
    <row r="662" spans="3:7" ht="12.5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2.446627470937936E-3</v>
      </c>
    </row>
    <row r="663" spans="3:7" ht="12.5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2.4637453781316439E-3</v>
      </c>
    </row>
    <row r="664" spans="3:7" ht="12.5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2.480881294019536E-3</v>
      </c>
    </row>
    <row r="665" spans="3:7" ht="12.5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2.4980348667539773E-3</v>
      </c>
    </row>
    <row r="666" spans="3:7" ht="12.5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2.515205746390073E-3</v>
      </c>
    </row>
    <row r="667" spans="3:7" ht="12.5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2.5323935848763036E-3</v>
      </c>
    </row>
    <row r="668" spans="3:7" ht="12.5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2.5495980360455083E-3</v>
      </c>
    </row>
    <row r="669" spans="3:7" ht="12.5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2.5668187556061512E-3</v>
      </c>
    </row>
    <row r="670" spans="3:7" ht="12.5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2.5840554011329186E-3</v>
      </c>
    </row>
    <row r="671" spans="3:7" ht="12.5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2.6013076320583026E-3</v>
      </c>
    </row>
    <row r="672" spans="3:7" ht="12.5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2.6185751096635566E-3</v>
      </c>
    </row>
    <row r="673" spans="3:7" ht="12.5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2.6358574970704726E-3</v>
      </c>
    </row>
    <row r="674" spans="3:7" ht="12.5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2.6531544592321558E-3</v>
      </c>
    </row>
    <row r="675" spans="3:7" ht="12.5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2.6704656629252138E-3</v>
      </c>
    </row>
    <row r="676" spans="3:7" ht="12.5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2.6877907767407921E-3</v>
      </c>
    </row>
    <row r="677" spans="3:7" ht="12.5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2.7051294710765785E-3</v>
      </c>
    </row>
    <row r="678" spans="3:7" ht="12.5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2.7224814181284022E-3</v>
      </c>
    </row>
    <row r="679" spans="3:7" ht="12.5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2.7398462918821458E-3</v>
      </c>
    </row>
    <row r="680" spans="3:7" ht="12.5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2.7572237681055514E-3</v>
      </c>
    </row>
    <row r="681" spans="3:7" ht="12.5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2.7746135243402669E-3</v>
      </c>
    </row>
    <row r="682" spans="3:7" ht="12.5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2.7920152398939473E-3</v>
      </c>
    </row>
    <row r="683" spans="3:7" ht="12.5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2.8094285958322036E-3</v>
      </c>
    </row>
    <row r="684" spans="3:7" ht="12.5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2.8268532749710922E-3</v>
      </c>
    </row>
    <row r="685" spans="3:7" ht="12.5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2.844288961869181E-3</v>
      </c>
    </row>
    <row r="686" spans="3:7" ht="12.5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2.8617353428199641E-3</v>
      </c>
    </row>
    <row r="687" spans="3:7" ht="12.5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2.8791921058444027E-3</v>
      </c>
    </row>
    <row r="688" spans="3:7" ht="12.5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2.8966589406832451E-3</v>
      </c>
    </row>
    <row r="689" spans="3:7" ht="12.5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2.9141355387897858E-3</v>
      </c>
    </row>
    <row r="690" spans="3:7" ht="12.5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2.9316215933223666E-3</v>
      </c>
    </row>
    <row r="691" spans="3:7" ht="12.5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2.9491167991372662E-3</v>
      </c>
    </row>
    <row r="692" spans="3:7" ht="12.5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2.9666208527812871E-3</v>
      </c>
    </row>
    <row r="693" spans="3:7" ht="12.5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2.9841334524848676E-3</v>
      </c>
    </row>
    <row r="694" spans="3:7" ht="12.5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3.0016542981546376E-3</v>
      </c>
    </row>
    <row r="695" spans="3:7" ht="12.5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3.0191830913669161E-3</v>
      </c>
    </row>
    <row r="696" spans="3:7" ht="12.5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3.0367195353602841E-3</v>
      </c>
    </row>
    <row r="697" spans="3:7" ht="12.5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3.0542633350291223E-3</v>
      </c>
    </row>
    <row r="698" spans="3:7" ht="12.5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3.071814196916441E-3</v>
      </c>
    </row>
    <row r="699" spans="3:7" ht="12.5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3.089371829207428E-3</v>
      </c>
    </row>
    <row r="700" spans="3:7" ht="12.5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3.1069359417226607E-3</v>
      </c>
    </row>
    <row r="701" spans="3:7" ht="12.5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3.1245062459115259E-3</v>
      </c>
    </row>
    <row r="702" spans="3:7" ht="12.5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3.1420824548454938E-3</v>
      </c>
    </row>
    <row r="703" spans="3:7" ht="12.5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3.1596642832120297E-3</v>
      </c>
    </row>
    <row r="704" spans="3:7" ht="12.5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3.177251447307725E-3</v>
      </c>
    </row>
    <row r="705" spans="3:7" ht="12.5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3.1948436650321909E-3</v>
      </c>
    </row>
    <row r="706" spans="3:7" ht="12.5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3.2124406558816645E-3</v>
      </c>
    </row>
    <row r="707" spans="3:7" ht="12.5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3.2300421409429052E-3</v>
      </c>
    </row>
    <row r="708" spans="3:7" ht="12.5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3.2476478428867207E-3</v>
      </c>
    </row>
    <row r="709" spans="3:7" ht="12.5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3.2652574859621608E-3</v>
      </c>
    </row>
    <row r="710" spans="3:7" ht="12.5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3.2828707959901456E-3</v>
      </c>
    </row>
    <row r="711" spans="3:7" ht="12.5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3.3004875003577443E-3</v>
      </c>
    </row>
    <row r="712" spans="3:7" ht="12.5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3.3181073280119325E-3</v>
      </c>
    </row>
    <row r="713" spans="3:7" ht="12.5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3.3357300094538338E-3</v>
      </c>
    </row>
    <row r="714" spans="3:7" ht="12.5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3.3533552767330008E-3</v>
      </c>
    </row>
    <row r="715" spans="3:7" ht="12.5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3.3709828634412697E-3</v>
      </c>
    </row>
    <row r="716" spans="3:7" ht="12.5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3.3886125047072188E-3</v>
      </c>
    </row>
    <row r="717" spans="3:7" ht="12.5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3.4062439371905845E-3</v>
      </c>
    </row>
    <row r="718" spans="3:7" ht="12.5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3.4238768990764077E-3</v>
      </c>
    </row>
    <row r="719" spans="3:7" ht="12.5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3.4415111300695215E-3</v>
      </c>
    </row>
    <row r="720" spans="3:7" ht="12.5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3.4591463713890035E-3</v>
      </c>
    </row>
    <row r="721" spans="3:7" ht="12.5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3.476782365762732E-3</v>
      </c>
    </row>
    <row r="722" spans="3:7" ht="12.5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3.4944188574218453E-3</v>
      </c>
    </row>
    <row r="723" spans="3:7" ht="12.5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3.5120555920953632E-3</v>
      </c>
    </row>
    <row r="724" spans="3:7" ht="12.5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3.5296923170049397E-3</v>
      </c>
    </row>
    <row r="725" spans="3:7" ht="12.5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3.5473287808593934E-3</v>
      </c>
    </row>
    <row r="726" spans="3:7" ht="12.5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3.5649647338495908E-3</v>
      </c>
    </row>
    <row r="727" spans="3:7" ht="12.5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3.5825999276431226E-3</v>
      </c>
    </row>
    <row r="728" spans="3:7" ht="12.5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3.6002341153791948E-3</v>
      </c>
    </row>
    <row r="729" spans="3:7" ht="12.5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3.6178670516634429E-3</v>
      </c>
    </row>
    <row r="730" spans="3:7" ht="12.5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3.6354984925629306E-3</v>
      </c>
    </row>
    <row r="731" spans="3:7" ht="12.5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3.653128195601033E-3</v>
      </c>
    </row>
    <row r="732" spans="3:7" ht="12.5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3.6707559197524959E-3</v>
      </c>
    </row>
    <row r="733" spans="3:7" ht="12.5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3.6883814254383661E-3</v>
      </c>
    </row>
    <row r="734" spans="3:7" ht="12.5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3.7060044745211907E-3</v>
      </c>
    </row>
    <row r="735" spans="3:7" ht="12.5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3.723624830300038E-3</v>
      </c>
    </row>
    <row r="736" spans="3:7" ht="12.5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3.7412422575057469E-3</v>
      </c>
    </row>
    <row r="737" spans="3:7" ht="12.5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3.7588565222960329E-3</v>
      </c>
    </row>
    <row r="738" spans="3:7" ht="12.5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3.7764673922507479E-3</v>
      </c>
    </row>
    <row r="739" spans="3:7" ht="12.5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3.7940746363671974E-3</v>
      </c>
    </row>
    <row r="740" spans="3:7" ht="12.5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3.8116780250553352E-3</v>
      </c>
    </row>
    <row r="741" spans="3:7" ht="12.5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3.8292773301332062E-3</v>
      </c>
    </row>
    <row r="742" spans="3:7" ht="12.5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3.8468723248223755E-3</v>
      </c>
    </row>
    <row r="743" spans="3:7" ht="12.5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3.8644627837430383E-3</v>
      </c>
    </row>
    <row r="744" spans="3:7" ht="12.5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3.88204848290986E-3</v>
      </c>
    </row>
    <row r="745" spans="3:7" ht="12.5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3.8996291997270838E-3</v>
      </c>
    </row>
    <row r="746" spans="3:7" ht="12.5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3.9172047129844272E-3</v>
      </c>
    </row>
    <row r="747" spans="3:7" ht="12.5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3.9347748028521357E-3</v>
      </c>
    </row>
    <row r="748" spans="3:7" ht="12.5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3.9523392508770345E-3</v>
      </c>
    </row>
    <row r="749" spans="3:7" ht="12.5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3.969897839977833E-3</v>
      </c>
    </row>
    <row r="750" spans="3:7" ht="12.5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3.9874503544407858E-3</v>
      </c>
    </row>
    <row r="751" spans="3:7" ht="12.5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4.0049965799154623E-3</v>
      </c>
    </row>
    <row r="752" spans="3:7" ht="12.5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4.0225363034103335E-3</v>
      </c>
    </row>
    <row r="753" spans="3:7" ht="12.5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4.0400693132884927E-3</v>
      </c>
    </row>
    <row r="754" spans="3:7" ht="12.5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4.0575953992634866E-3</v>
      </c>
    </row>
    <row r="755" spans="3:7" ht="12.5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4.0751143523949963E-3</v>
      </c>
    </row>
    <row r="756" spans="3:7" ht="12.5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4.0926259650846519E-3</v>
      </c>
    </row>
    <row r="757" spans="3:7" ht="12.5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4.1101300310717832E-3</v>
      </c>
    </row>
    <row r="758" spans="3:7" ht="12.5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4.1276263454294556E-3</v>
      </c>
    </row>
    <row r="759" spans="3:7" ht="12.5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4.145114704560149E-3</v>
      </c>
    </row>
    <row r="760" spans="3:7" ht="12.5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4.1625949061917687E-3</v>
      </c>
    </row>
    <row r="761" spans="3:7" ht="12.5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4.1800667493734761E-3</v>
      </c>
    </row>
    <row r="762" spans="3:7" ht="12.5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4.1975300344716622E-3</v>
      </c>
    </row>
    <row r="763" spans="3:7" ht="12.5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4.214984563165991E-3</v>
      </c>
    </row>
    <row r="764" spans="3:7" ht="12.5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4.232430138445183E-3</v>
      </c>
    </row>
    <row r="765" spans="3:7" ht="12.5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4.2498665646032614E-3</v>
      </c>
    </row>
    <row r="766" spans="3:7" ht="12.5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4.2672936472354104E-3</v>
      </c>
    </row>
    <row r="767" spans="3:7" ht="12.5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4.2847111932341232E-3</v>
      </c>
    </row>
    <row r="768" spans="3:7" ht="12.5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4.3021190107850396E-3</v>
      </c>
    </row>
    <row r="769" spans="3:7" ht="12.5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4.3195169093634793E-3</v>
      </c>
    </row>
    <row r="770" spans="3:7" ht="12.5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4.3369046997300334E-3</v>
      </c>
    </row>
    <row r="771" spans="3:7" ht="12.5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4.3542821939269831E-3</v>
      </c>
    </row>
    <row r="772" spans="3:7" ht="12.5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4.3716492052744815E-3</v>
      </c>
    </row>
    <row r="773" spans="3:7" ht="12.5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4.3890055483664665E-3</v>
      </c>
    </row>
    <row r="774" spans="3:7" ht="12.5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4.4063510390670683E-3</v>
      </c>
    </row>
    <row r="775" spans="3:7" ht="12.5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4.4236854945066354E-3</v>
      </c>
    </row>
    <row r="776" spans="3:7" ht="12.5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4.4410087330779965E-3</v>
      </c>
    </row>
    <row r="777" spans="3:7" ht="12.5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4.4583205744327305E-3</v>
      </c>
    </row>
    <row r="778" spans="3:7" ht="12.5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4.4756208394772477E-3</v>
      </c>
    </row>
    <row r="779" spans="3:7" ht="12.5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4.492909350369321E-3</v>
      </c>
    </row>
    <row r="780" spans="3:7" ht="12.5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4.5101859305139887E-3</v>
      </c>
    </row>
    <row r="781" spans="3:7" ht="12.5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4.5274504045601446E-3</v>
      </c>
    </row>
    <row r="782" spans="3:7" ht="12.5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4.5447025983965193E-3</v>
      </c>
    </row>
    <row r="783" spans="3:7" ht="12.5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4.561942339148352E-3</v>
      </c>
    </row>
    <row r="784" spans="3:7" ht="12.5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4.5791694551733254E-3</v>
      </c>
    </row>
    <row r="785" spans="3:7" ht="12.5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4.5963837760581248E-3</v>
      </c>
    </row>
    <row r="786" spans="3:7" ht="12.5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4.6135851326147585E-3</v>
      </c>
    </row>
    <row r="787" spans="3:7" ht="12.5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4.6307733568767811E-3</v>
      </c>
    </row>
    <row r="788" spans="3:7" ht="12.5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4.6479482820957138E-3</v>
      </c>
    </row>
    <row r="789" spans="3:7" ht="12.5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4.6651097427374468E-3</v>
      </c>
    </row>
    <row r="790" spans="3:7" ht="12.5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4.6822575744786751E-3</v>
      </c>
    </row>
    <row r="791" spans="3:7" ht="12.5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4.69939161420298E-3</v>
      </c>
    </row>
    <row r="792" spans="3:7" ht="12.5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4.7165116999976541E-3</v>
      </c>
    </row>
    <row r="793" spans="3:7" ht="12.5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4.7336176711497121E-3</v>
      </c>
    </row>
    <row r="794" spans="3:7" ht="12.5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4.7507093681424702E-3</v>
      </c>
    </row>
    <row r="795" spans="3:7" ht="12.5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4.767786632652136E-3</v>
      </c>
    </row>
    <row r="796" spans="3:7" ht="12.5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4.7848493075438982E-3</v>
      </c>
    </row>
    <row r="797" spans="3:7" ht="12.5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4.8018972368685311E-3</v>
      </c>
    </row>
    <row r="798" spans="3:7" ht="12.5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4.8189302658589207E-3</v>
      </c>
    </row>
    <row r="799" spans="3:7" ht="12.5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4.8359482409262187E-3</v>
      </c>
    </row>
    <row r="800" spans="3:7" ht="12.5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4.852951009656682E-3</v>
      </c>
    </row>
    <row r="801" spans="3:7" ht="12.5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4.8699384208077887E-3</v>
      </c>
    </row>
    <row r="802" spans="3:7" ht="12.5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4.886910324304862E-3</v>
      </c>
    </row>
    <row r="803" spans="3:7" ht="12.5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4.9038665712375267E-3</v>
      </c>
    </row>
    <row r="804" spans="3:7" ht="12.5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4.920807013856149E-3</v>
      </c>
    </row>
    <row r="805" spans="3:7" ht="12.5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4.9377315055683484E-3</v>
      </c>
    </row>
    <row r="806" spans="3:7" ht="12.5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4.9546399009353327E-3</v>
      </c>
    </row>
    <row r="807" spans="3:7" ht="12.5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4.9715320556686484E-3</v>
      </c>
    </row>
    <row r="808" spans="3:7" ht="12.5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4.9884078266264073E-3</v>
      </c>
    </row>
    <row r="809" spans="3:7" ht="12.5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5.005267071809906E-3</v>
      </c>
    </row>
    <row r="810" spans="3:7" ht="12.5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5.0221096503601384E-3</v>
      </c>
    </row>
    <row r="811" spans="3:7" ht="12.5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5.0389354225540937E-3</v>
      </c>
    </row>
    <row r="812" spans="3:7" ht="12.5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5.0557442498015918E-3</v>
      </c>
    </row>
    <row r="813" spans="3:7" ht="12.5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5.0725359946414278E-3</v>
      </c>
    </row>
    <row r="814" spans="3:7" ht="12.5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5.0893105207381051E-3</v>
      </c>
    </row>
    <row r="815" spans="3:7" ht="12.5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5.1060676928782458E-3</v>
      </c>
    </row>
    <row r="816" spans="3:7" ht="12.5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5.1228073769671225E-3</v>
      </c>
    </row>
    <row r="817" spans="3:7" ht="12.5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5.1395294400251434E-3</v>
      </c>
    </row>
    <row r="818" spans="3:7" ht="12.5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5.1562337501843258E-3</v>
      </c>
    </row>
    <row r="819" spans="3:7" ht="12.5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5.1729201766848639E-3</v>
      </c>
    </row>
    <row r="820" spans="3:7" ht="12.5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5.1895885898716413E-3</v>
      </c>
    </row>
    <row r="821" spans="3:7" ht="12.5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5.2062388611905635E-3</v>
      </c>
    </row>
    <row r="822" spans="3:7" ht="12.5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5.2228708631853697E-3</v>
      </c>
    </row>
    <row r="823" spans="3:7" ht="12.5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5.23948446949387E-3</v>
      </c>
    </row>
    <row r="824" spans="3:7" ht="12.5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5.2560795548445803E-3</v>
      </c>
    </row>
    <row r="825" spans="3:7" ht="12.5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5.2726559950531833E-3</v>
      </c>
    </row>
    <row r="826" spans="3:7" ht="12.5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5.2892136670189549E-3</v>
      </c>
    </row>
    <row r="827" spans="3:7" ht="12.5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5.3057524487214605E-3</v>
      </c>
    </row>
    <row r="828" spans="3:7" ht="12.5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5.3222722192168836E-3</v>
      </c>
    </row>
    <row r="829" spans="3:7" ht="12.5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5.3387728586346619E-3</v>
      </c>
    </row>
    <row r="830" spans="3:7" ht="12.5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5.3552542481738186E-3</v>
      </c>
    </row>
    <row r="831" spans="3:7" ht="12.5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5.3717162700995316E-3</v>
      </c>
    </row>
    <row r="832" spans="3:7" ht="12.5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5.3881588077396856E-3</v>
      </c>
    </row>
    <row r="833" spans="3:7" ht="12.5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5.4045817454813783E-3</v>
      </c>
    </row>
    <row r="834" spans="3:7" ht="12.5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5.4209849687671761E-3</v>
      </c>
    </row>
    <row r="835" spans="3:7" ht="12.5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5.4373683640919447E-3</v>
      </c>
    </row>
    <row r="836" spans="3:7" ht="12.5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5.4537318189990776E-3</v>
      </c>
    </row>
    <row r="837" spans="3:7" ht="12.5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5.4700752220770525E-3</v>
      </c>
    </row>
    <row r="838" spans="3:7" ht="12.5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5.486398462955934E-3</v>
      </c>
    </row>
    <row r="839" spans="3:7" ht="12.5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5.5027014323038564E-3</v>
      </c>
    </row>
    <row r="840" spans="3:7" ht="12.5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5.5189840218234105E-3</v>
      </c>
    </row>
    <row r="841" spans="3:7" ht="12.5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5.5352461242482963E-3</v>
      </c>
    </row>
    <row r="842" spans="3:7" ht="12.5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5.5514876333394607E-3</v>
      </c>
    </row>
    <row r="843" spans="3:7" ht="12.5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5.5677084438819809E-3</v>
      </c>
    </row>
    <row r="844" spans="3:7" ht="12.5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5.5839084516811346E-3</v>
      </c>
    </row>
    <row r="845" spans="3:7" ht="12.5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5.6000875535592801E-3</v>
      </c>
    </row>
    <row r="846" spans="3:7" ht="12.5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5.6162456473516338E-3</v>
      </c>
    </row>
    <row r="847" spans="3:7" ht="12.5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5.6323826319035868E-3</v>
      </c>
    </row>
    <row r="848" spans="3:7" ht="12.5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5.6484984070664327E-3</v>
      </c>
    </row>
    <row r="849" spans="3:7" ht="12.5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5.6645928736941895E-3</v>
      </c>
    </row>
    <row r="850" spans="3:7" ht="12.5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5.6806659336399046E-3</v>
      </c>
    </row>
    <row r="851" spans="3:7" ht="12.5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5.6967174897520623E-3</v>
      </c>
    </row>
    <row r="852" spans="3:7" ht="12.5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5.7127474458711471E-3</v>
      </c>
    </row>
    <row r="853" spans="3:7" ht="12.5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5.7287557068258143E-3</v>
      </c>
    </row>
    <row r="854" spans="3:7" ht="12.5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5.744742178429834E-3</v>
      </c>
    </row>
    <row r="855" spans="3:7" ht="12.5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5.7607067674776292E-3</v>
      </c>
    </row>
    <row r="856" spans="3:7" ht="12.5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5.7766493817416505E-3</v>
      </c>
    </row>
    <row r="857" spans="3:7" ht="12.5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5.7925699299681051E-3</v>
      </c>
    </row>
    <row r="858" spans="3:7" ht="12.5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5.8084683218737106E-3</v>
      </c>
    </row>
    <row r="859" spans="3:7" ht="12.5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5.8243444681418659E-3</v>
      </c>
    </row>
    <row r="860" spans="3:7" ht="12.5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5.8401982804192542E-3</v>
      </c>
    </row>
    <row r="861" spans="3:7" ht="12.5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5.8560296713120776E-3</v>
      </c>
    </row>
    <row r="862" spans="3:7" ht="12.5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5.8718385543824452E-3</v>
      </c>
    </row>
    <row r="863" spans="3:7" ht="12.5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5.8876248441449824E-3</v>
      </c>
    </row>
    <row r="864" spans="3:7" ht="12.5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5.9033884560627126E-3</v>
      </c>
    </row>
    <row r="865" spans="3:7" ht="12.5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5.9191293065441958E-3</v>
      </c>
    </row>
    <row r="866" spans="3:7" ht="12.5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5.9348473129389795E-3</v>
      </c>
    </row>
    <row r="867" spans="3:7" ht="12.5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5.9505423935348016E-3</v>
      </c>
    </row>
    <row r="868" spans="3:7" ht="12.5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5.9662144675532228E-3</v>
      </c>
    </row>
    <row r="869" spans="3:7" ht="12.5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5.9818634551466517E-3</v>
      </c>
    </row>
    <row r="870" spans="3:7" ht="12.5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5.9974892773941527E-3</v>
      </c>
    </row>
    <row r="871" spans="3:7" ht="12.5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6.0130918562980654E-3</v>
      </c>
    </row>
    <row r="872" spans="3:7" ht="12.5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6.0286711147803044E-3</v>
      </c>
    </row>
    <row r="873" spans="3:7" ht="12.5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6.0442269766787359E-3</v>
      </c>
    </row>
    <row r="874" spans="3:7" ht="12.5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6.0597593667431979E-3</v>
      </c>
    </row>
    <row r="875" spans="3:7" ht="12.5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6.0752682106323883E-3</v>
      </c>
    </row>
    <row r="876" spans="3:7" ht="12.5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6.0907534349096543E-3</v>
      </c>
    </row>
    <row r="877" spans="3:7" ht="12.5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6.1062149670395791E-3</v>
      </c>
    </row>
    <row r="878" spans="3:7" ht="12.5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6.1216527353843125E-3</v>
      </c>
    </row>
    <row r="879" spans="3:7" ht="12.5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6.1370666691996662E-3</v>
      </c>
    </row>
    <row r="880" spans="3:7" ht="12.5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6.1524566986316974E-3</v>
      </c>
    </row>
    <row r="881" spans="3:7" ht="12.5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6.1678227547128147E-3</v>
      </c>
    </row>
    <row r="882" spans="3:7" ht="12.5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6.1831647693580474E-3</v>
      </c>
    </row>
    <row r="883" spans="3:7" ht="12.5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6.1984826753615262E-3</v>
      </c>
    </row>
    <row r="884" spans="3:7" ht="12.5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6.2137764063926477E-3</v>
      </c>
    </row>
    <row r="885" spans="3:7" ht="12.5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6.2290458969923189E-3</v>
      </c>
    </row>
    <row r="886" spans="3:7" ht="12.5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6.2442910825692439E-3</v>
      </c>
    </row>
    <row r="887" spans="3:7" ht="12.5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6.2595118993963809E-3</v>
      </c>
    </row>
    <row r="888" spans="3:7" ht="12.5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6.2747082846070033E-3</v>
      </c>
    </row>
    <row r="889" spans="3:7" ht="12.5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6.2898801761909328E-3</v>
      </c>
    </row>
    <row r="890" spans="3:7" ht="12.5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6.3050275129911343E-3</v>
      </c>
    </row>
    <row r="891" spans="3:7" ht="12.5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6.3201502346994978E-3</v>
      </c>
    </row>
    <row r="892" spans="3:7" ht="12.5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6.3352482818535352E-3</v>
      </c>
    </row>
    <row r="893" spans="3:7" ht="12.5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6.3503215958323478E-3</v>
      </c>
    </row>
    <row r="894" spans="3:7" ht="12.5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6.3653701188529661E-3</v>
      </c>
    </row>
    <row r="895" spans="3:7" ht="12.5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6.3803937939666709E-3</v>
      </c>
    </row>
    <row r="896" spans="3:7" ht="12.5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6.395392565055104E-3</v>
      </c>
    </row>
    <row r="897" spans="3:7" ht="12.5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6.4103663768265186E-3</v>
      </c>
    </row>
    <row r="898" spans="3:7" ht="12.5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6.4253151748121431E-3</v>
      </c>
    </row>
    <row r="899" spans="3:7" ht="12.5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6.4402389053623693E-3</v>
      </c>
    </row>
    <row r="900" spans="3:7" ht="12.5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6.4551375156428788E-3</v>
      </c>
    </row>
    <row r="901" spans="3:7" ht="12.5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6.4700109536309216E-3</v>
      </c>
    </row>
    <row r="902" spans="3:7" ht="12.5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6.4848591681116209E-3</v>
      </c>
    </row>
    <row r="903" spans="3:7" ht="12.5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6.4996821086740313E-3</v>
      </c>
    </row>
    <row r="904" spans="3:7" ht="12.5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6.5144797257076191E-3</v>
      </c>
    </row>
    <row r="905" spans="3:7" ht="12.5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6.5292519703981627E-3</v>
      </c>
    </row>
    <row r="906" spans="3:7" ht="12.5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6.543998794724182E-3</v>
      </c>
    </row>
    <row r="907" spans="3:7" ht="12.5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6.5587201514530928E-3</v>
      </c>
    </row>
    <row r="908" spans="3:7" ht="12.5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6.5734159941374711E-3</v>
      </c>
    </row>
    <row r="909" spans="3:7" ht="12.5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6.5880862771110875E-3</v>
      </c>
    </row>
    <row r="910" spans="3:7" ht="12.5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6.602730955485297E-3</v>
      </c>
    </row>
    <row r="911" spans="3:7" ht="12.5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6.617349985145177E-3</v>
      </c>
    </row>
    <row r="912" spans="3:7" ht="12.5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6.6319433227457081E-3</v>
      </c>
    </row>
    <row r="913" spans="3:7" ht="12.5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6.6465109257079751E-3</v>
      </c>
    </row>
    <row r="914" spans="3:7" ht="12.5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6.6610527522154017E-3</v>
      </c>
    </row>
    <row r="915" spans="3:7" ht="12.5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6.6755687612100011E-3</v>
      </c>
    </row>
    <row r="916" spans="3:7" ht="12.5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6.6900589123884214E-3</v>
      </c>
    </row>
    <row r="917" spans="3:7" ht="12.5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6.704523166198146E-3</v>
      </c>
    </row>
    <row r="918" spans="3:7" ht="12.5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6.7189614838339788E-3</v>
      </c>
    </row>
    <row r="919" spans="3:7" ht="12.5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6.7333738272337962E-3</v>
      </c>
    </row>
    <row r="920" spans="3:7" ht="12.5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6.7477601590751248E-3</v>
      </c>
    </row>
    <row r="921" spans="3:7" ht="12.5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6.7621204427710472E-3</v>
      </c>
    </row>
    <row r="922" spans="3:7" ht="12.5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6.7764546424666653E-3</v>
      </c>
    </row>
    <row r="923" spans="3:7" ht="12.5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6.7907627230349883E-3</v>
      </c>
    </row>
    <row r="924" spans="3:7" ht="12.5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6.8050446500733525E-3</v>
      </c>
    </row>
    <row r="925" spans="3:7" ht="12.5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6.8193003898995661E-3</v>
      </c>
    </row>
    <row r="926" spans="3:7" ht="12.5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6.833529909548019E-3</v>
      </c>
    </row>
    <row r="927" spans="3:7" ht="12.5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6.8477331767658606E-3</v>
      </c>
    </row>
    <row r="928" spans="3:7" ht="12.5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6.8619101600094646E-3</v>
      </c>
    </row>
    <row r="929" spans="3:7" ht="12.5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6.8760608284401522E-3</v>
      </c>
    </row>
    <row r="930" spans="3:7" ht="12.5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6.8901851519208232E-3</v>
      </c>
    </row>
    <row r="931" spans="3:7" ht="12.5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6.9042831010118636E-3</v>
      </c>
    </row>
    <row r="932" spans="3:7" ht="12.5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6.9183546469674595E-3</v>
      </c>
    </row>
    <row r="933" spans="3:7" ht="12.5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6.9323997617317962E-3</v>
      </c>
    </row>
    <row r="934" spans="3:7" ht="12.5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6.9464184179350817E-3</v>
      </c>
    </row>
    <row r="935" spans="3:7" ht="12.5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6.960410588890218E-3</v>
      </c>
    </row>
    <row r="936" spans="3:7" ht="12.5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6.9743762485882177E-3</v>
      </c>
    </row>
    <row r="937" spans="3:7" ht="12.5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6.988315371695147E-3</v>
      </c>
    </row>
    <row r="938" spans="3:7" ht="12.5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7.0022279335479505E-3</v>
      </c>
    </row>
    <row r="939" spans="3:7" ht="12.5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7.0161139101505982E-3</v>
      </c>
    </row>
    <row r="940" spans="3:7" ht="12.5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7.0299732781706628E-3</v>
      </c>
    </row>
    <row r="941" spans="3:7" ht="12.5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7.0438060149350737E-3</v>
      </c>
    </row>
    <row r="942" spans="3:7" ht="12.5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7.057612098426572E-3</v>
      </c>
    </row>
    <row r="943" spans="3:7" ht="12.5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7.0713915072798256E-3</v>
      </c>
    </row>
    <row r="944" spans="3:7" ht="12.5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7.0851442207777917E-3</v>
      </c>
    </row>
    <row r="945" spans="3:7" ht="12.5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7.0988702188477084E-3</v>
      </c>
    </row>
    <row r="946" spans="3:7" ht="12.5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7.112569482057499E-3</v>
      </c>
    </row>
    <row r="947" spans="3:7" ht="12.5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7.1262419916118336E-3</v>
      </c>
    </row>
    <row r="948" spans="3:7" ht="12.5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7.1398877293485895E-3</v>
      </c>
    </row>
    <row r="949" spans="3:7" ht="12.5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7.1535066777346553E-3</v>
      </c>
    </row>
    <row r="950" spans="3:7" ht="12.5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7.1670988198626433E-3</v>
      </c>
    </row>
    <row r="951" spans="3:7" ht="12.5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7.1806641394467942E-3</v>
      </c>
    </row>
    <row r="952" spans="3:7" ht="12.5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7.1942026208193701E-3</v>
      </c>
    </row>
    <row r="953" spans="3:7" ht="12.5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7.2077142489266662E-3</v>
      </c>
    </row>
    <row r="954" spans="3:7" ht="12.5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7.2211990093256438E-3</v>
      </c>
    </row>
    <row r="955" spans="3:7" ht="12.5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7.2346568881797805E-3</v>
      </c>
    </row>
    <row r="956" spans="3:7" ht="12.5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7.2480878722554903E-3</v>
      </c>
    </row>
    <row r="957" spans="3:7" ht="12.5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7.2614919489185671E-3</v>
      </c>
    </row>
    <row r="958" spans="3:7" ht="12.5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7.2748691061299657E-3</v>
      </c>
    </row>
    <row r="959" spans="3:7" ht="12.5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7.2882193324424506E-3</v>
      </c>
    </row>
    <row r="960" spans="3:7" ht="12.5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7.3015426169967795E-3</v>
      </c>
    </row>
    <row r="961" spans="3:7" ht="12.5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7.3148389495179891E-3</v>
      </c>
    </row>
    <row r="962" spans="3:7" ht="12.5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7.3281083203114473E-3</v>
      </c>
    </row>
    <row r="963" spans="3:7" ht="12.5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7.3413507202594762E-3</v>
      </c>
    </row>
    <row r="964" spans="3:7" ht="12.5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7.3545661408173394E-3</v>
      </c>
    </row>
    <row r="965" spans="3:7" ht="12.5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7.3677545740098004E-3</v>
      </c>
    </row>
    <row r="966" spans="3:7" ht="12.5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7.3809160124271422E-3</v>
      </c>
    </row>
    <row r="967" spans="3:7" ht="12.5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7.3940504492216348E-3</v>
      </c>
    </row>
    <row r="968" spans="3:7" ht="12.5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7.4071578781038051E-3</v>
      </c>
    </row>
    <row r="969" spans="3:7" ht="12.5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7.420238293338737E-3</v>
      </c>
    </row>
    <row r="970" spans="3:7" ht="12.5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7.4332916897424913E-3</v>
      </c>
    </row>
    <row r="971" spans="3:7" ht="12.5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7.4463180626781304E-3</v>
      </c>
    </row>
    <row r="972" spans="3:7" ht="12.5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7.4593174080524079E-3</v>
      </c>
    </row>
    <row r="973" spans="3:7" ht="12.5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7.4722897223119585E-3</v>
      </c>
    </row>
    <row r="974" spans="3:7" ht="12.5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7.4852350024394113E-3</v>
      </c>
    </row>
    <row r="975" spans="3:7" ht="12.5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7.4981532459501721E-3</v>
      </c>
    </row>
    <row r="976" spans="3:7" ht="12.5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7.5110444508885068E-3</v>
      </c>
    </row>
    <row r="977" spans="3:7" ht="12.5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7.5239086158237524E-3</v>
      </c>
    </row>
    <row r="978" spans="3:7" ht="12.5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7.5367457398471888E-3</v>
      </c>
    </row>
    <row r="979" spans="3:7" ht="12.5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7.549555822567779E-3</v>
      </c>
    </row>
    <row r="980" spans="3:7" ht="12.5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7.5623388641090483E-3</v>
      </c>
    </row>
    <row r="981" spans="3:7" ht="12.5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7.5750948651052558E-3</v>
      </c>
    </row>
    <row r="982" spans="3:7" ht="12.5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7.5878238266977559E-3</v>
      </c>
    </row>
    <row r="983" spans="3:7" ht="12.5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7.6005257505315921E-3</v>
      </c>
    </row>
    <row r="984" spans="3:7" ht="12.5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7.6132006387516667E-3</v>
      </c>
    </row>
    <row r="985" spans="3:7" ht="12.5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7.6258484939992731E-3</v>
      </c>
    </row>
    <row r="986" spans="3:7" ht="12.5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7.6384693194085241E-3</v>
      </c>
    </row>
    <row r="987" spans="3:7" ht="12.5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7.6510631186028546E-3</v>
      </c>
    </row>
    <row r="988" spans="3:7" ht="12.5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7.6636298956911843E-3</v>
      </c>
    </row>
    <row r="989" spans="3:7" ht="12.5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7.6761696552648234E-3</v>
      </c>
    </row>
    <row r="990" spans="3:7" ht="12.5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7.6886824023933657E-3</v>
      </c>
    </row>
    <row r="991" spans="3:7" ht="12.5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7.7011681426216632E-3</v>
      </c>
    </row>
    <row r="992" spans="3:7" ht="12.5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7.713626881966083E-3</v>
      </c>
    </row>
    <row r="993" spans="3:7" ht="12.5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7.7260586269107933E-3</v>
      </c>
    </row>
    <row r="994" spans="3:7" ht="12.5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7.7384633844046393E-3</v>
      </c>
    </row>
    <row r="995" spans="3:7" ht="12.5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7.7508411618573709E-3</v>
      </c>
    </row>
    <row r="996" spans="3:7" ht="12.5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7.7631919671362635E-3</v>
      </c>
    </row>
    <row r="997" spans="3:7" ht="12.5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7.7755158085625279E-3</v>
      </c>
    </row>
    <row r="998" spans="3:7" ht="12.5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7.7878126949078811E-3</v>
      </c>
    </row>
    <row r="999" spans="3:7" ht="12.5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7.8000826353912135E-3</v>
      </c>
    </row>
    <row r="1000" spans="3:7" ht="12.5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7.812325639675005E-3</v>
      </c>
    </row>
    <row r="1001" spans="3:7" ht="12.5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7.8245417178616807E-3</v>
      </c>
    </row>
    <row r="1002" spans="3:7" ht="12.5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7.8367308804905937E-3</v>
      </c>
    </row>
    <row r="1003" spans="3:7" ht="12.5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7.8488931385343793E-3</v>
      </c>
    </row>
    <row r="1004" spans="3:7" ht="12.5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7.8610285033953505E-3</v>
      </c>
    </row>
    <row r="1005" spans="3:7" ht="12.5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7.8731369869023682E-3</v>
      </c>
    </row>
    <row r="1006" spans="3:7" ht="12.5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7.885218601307472E-3</v>
      </c>
    </row>
    <row r="1007" spans="3:7" ht="12.5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7.8972733592820726E-3</v>
      </c>
    </row>
    <row r="1008" spans="3:7" ht="12.5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7.909301273914128E-3</v>
      </c>
    </row>
    <row r="1009" spans="3:7" ht="12.5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7.9213023587043144E-3</v>
      </c>
    </row>
    <row r="1010" spans="3:7" ht="12.5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7.9332766275629768E-3</v>
      </c>
    </row>
    <row r="1011" spans="3:7" ht="12.5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7.9452240948064915E-3</v>
      </c>
    </row>
    <row r="1012" spans="3:7" ht="12.5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7.9571447751542457E-3</v>
      </c>
    </row>
    <row r="1013" spans="3:7" ht="12.5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7.9690386837250517E-3</v>
      </c>
    </row>
    <row r="1014" spans="3:7" ht="12.5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7.9809058360338983E-3</v>
      </c>
    </row>
    <row r="1015" spans="3:7" ht="12.5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7.9927462479887357E-3</v>
      </c>
    </row>
    <row r="1016" spans="3:7" ht="12.5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8.0045599358870272E-3</v>
      </c>
    </row>
    <row r="1017" spans="3:7" ht="12.5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8.0163469164125905E-3</v>
      </c>
    </row>
    <row r="1018" spans="3:7" ht="12.5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8.028107206632145E-3</v>
      </c>
    </row>
    <row r="1019" spans="3:7" ht="12.5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8.0398408239923998E-3</v>
      </c>
    </row>
    <row r="1020" spans="3:7" ht="12.5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8.0515477863163324E-3</v>
      </c>
    </row>
    <row r="1021" spans="3:7" ht="12.5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8.0632281118001616E-3</v>
      </c>
    </row>
    <row r="1022" spans="3:7" ht="12.5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8.0748818190103412E-3</v>
      </c>
    </row>
    <row r="1023" spans="3:7" ht="12.5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8.0865089268798707E-3</v>
      </c>
    </row>
    <row r="1024" spans="3:7" ht="12.5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8.098109454705571E-3</v>
      </c>
    </row>
    <row r="1025" spans="3:7" ht="12.5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8.1096834221443467E-3</v>
      </c>
    </row>
    <row r="1026" spans="3:7" ht="12.5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8.1212308492106464E-3</v>
      </c>
    </row>
    <row r="1027" spans="3:7" ht="12.5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8.1327517562726163E-3</v>
      </c>
    </row>
    <row r="1028" spans="3:7" ht="12.5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8.1442461640493964E-3</v>
      </c>
    </row>
    <row r="1029" spans="3:7" ht="12.5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8.1557140936077809E-3</v>
      </c>
    </row>
    <row r="1030" spans="3:7" ht="12.5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8.1671555663591425E-3</v>
      </c>
    </row>
    <row r="1031" spans="3:7" ht="12.5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8.1785706040563514E-3</v>
      </c>
    </row>
    <row r="1032" spans="3:7" ht="12.5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8.1899592287903496E-3</v>
      </c>
    </row>
    <row r="1033" spans="3:7" ht="12.5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8.2013214629874515E-3</v>
      </c>
    </row>
    <row r="1034" spans="3:7" ht="12.5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8.2126573294060284E-3</v>
      </c>
    </row>
    <row r="1035" spans="3:7" ht="12.5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8.2239668511333852E-3</v>
      </c>
    </row>
    <row r="1036" spans="3:7" ht="12.5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8.2352500515829562E-3</v>
      </c>
    </row>
    <row r="1037" spans="3:7" ht="12.5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8.2465069544907475E-3</v>
      </c>
    </row>
    <row r="1038" spans="3:7" ht="12.5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8.2577375839128983E-3</v>
      </c>
    </row>
    <row r="1039" spans="3:7" ht="12.5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8.2689419642221033E-3</v>
      </c>
    </row>
    <row r="1040" spans="3:7" ht="12.5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8.2801201201051257E-3</v>
      </c>
    </row>
    <row r="1041" spans="3:7" ht="12.5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8.2912720765590548E-3</v>
      </c>
    </row>
    <row r="1042" spans="3:7" ht="12.5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8.3023978588891972E-3</v>
      </c>
    </row>
    <row r="1043" spans="3:7" ht="12.5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8.3134974927052442E-3</v>
      </c>
    </row>
    <row r="1044" spans="3:7" ht="12.5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8.324571003918927E-3</v>
      </c>
    </row>
    <row r="1045" spans="3:7" ht="12.5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8.3356184187407881E-3</v>
      </c>
    </row>
    <row r="1046" spans="3:7" ht="12.5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8.3466397636770689E-3</v>
      </c>
    </row>
    <row r="1047" spans="3:7" ht="12.5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8.357635065527301E-3</v>
      </c>
    </row>
    <row r="1048" spans="3:7" ht="12.5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8.3686043513806971E-3</v>
      </c>
    </row>
    <row r="1049" spans="3:7" ht="12.5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8.3795476486137575E-3</v>
      </c>
    </row>
    <row r="1050" spans="3:7" ht="12.5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8.3904649848873074E-3</v>
      </c>
    </row>
    <row r="1051" spans="3:7" ht="12.5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8.4013563881432454E-3</v>
      </c>
    </row>
    <row r="1052" spans="3:7" ht="12.5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8.412221886602015E-3</v>
      </c>
    </row>
    <row r="1053" spans="3:7" ht="12.5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8.4230615087598805E-3</v>
      </c>
    </row>
    <row r="1054" spans="3:7" ht="12.5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8.4338752833854821E-3</v>
      </c>
    </row>
    <row r="1055" spans="3:7" ht="12.5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8.4446632395177197E-3</v>
      </c>
    </row>
    <row r="1056" spans="3:7" ht="12.5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8.4554254064623698E-3</v>
      </c>
    </row>
    <row r="1057" spans="3:7" ht="12.5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8.4661618137895078E-3</v>
      </c>
    </row>
    <row r="1058" spans="3:7" ht="12.5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8.4768724913307954E-3</v>
      </c>
    </row>
    <row r="1059" spans="3:7" ht="12.5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8.4875574691766036E-3</v>
      </c>
    </row>
    <row r="1060" spans="3:7" ht="12.5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8.4982167776731406E-3</v>
      </c>
    </row>
    <row r="1061" spans="3:7" ht="12.5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8.5088504474198478E-3</v>
      </c>
    </row>
    <row r="1062" spans="3:7" ht="12.5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8.5194585092666329E-3</v>
      </c>
    </row>
    <row r="1063" spans="3:7" ht="12.5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8.5300409943109591E-3</v>
      </c>
    </row>
    <row r="1064" spans="3:7" ht="12.5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8.5405979338955204E-3</v>
      </c>
    </row>
    <row r="1065" spans="3:7" ht="12.5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8.5511293596051349E-3</v>
      </c>
    </row>
    <row r="1066" spans="3:7" ht="12.5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8.5616353032642589E-3</v>
      </c>
    </row>
    <row r="1067" spans="3:7" ht="12.5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8.5721157969342286E-3</v>
      </c>
    </row>
    <row r="1068" spans="3:7" ht="12.5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8.5825708729106824E-3</v>
      </c>
    </row>
    <row r="1069" spans="3:7" ht="12.5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8.5930005637207905E-3</v>
      </c>
    </row>
    <row r="1070" spans="3:7" ht="12.5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8.6034049021207377E-3</v>
      </c>
    </row>
    <row r="1071" spans="3:7" ht="12.5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8.6137839210931079E-3</v>
      </c>
    </row>
    <row r="1072" spans="3:7" ht="12.5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8.6241376538441182E-3</v>
      </c>
    </row>
    <row r="1073" spans="3:7" ht="12.5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8.6344661338010886E-3</v>
      </c>
    </row>
    <row r="1074" spans="3:7" ht="12.5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8.6447693946099594E-3</v>
      </c>
    </row>
    <row r="1075" spans="3:7" ht="12.5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8.6550474701326194E-3</v>
      </c>
    </row>
    <row r="1076" spans="3:7" ht="12.5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8.6653003944443599E-3</v>
      </c>
    </row>
    <row r="1077" spans="3:7" ht="12.5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8.675528201831411E-3</v>
      </c>
    </row>
    <row r="1078" spans="3:7" ht="12.5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8.6857309267882755E-3</v>
      </c>
    </row>
    <row r="1079" spans="3:7" ht="12.5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8.6959086040152254E-3</v>
      </c>
    </row>
    <row r="1080" spans="3:7" ht="12.5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8.7060612684159572E-3</v>
      </c>
    </row>
    <row r="1081" spans="3:7" ht="12.5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8.7161889550949629E-3</v>
      </c>
    </row>
    <row r="1082" spans="3:7" ht="12.5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8.7262916993551057E-3</v>
      </c>
    </row>
    <row r="1083" spans="3:7" ht="12.5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8.7363695366950052E-3</v>
      </c>
    </row>
    <row r="1084" spans="3:7" ht="12.5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8.7464225028069907E-3</v>
      </c>
    </row>
    <row r="1085" spans="3:7" ht="12.5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8.7564506335740568E-3</v>
      </c>
    </row>
    <row r="1086" spans="3:7" ht="12.5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8.7664539650680502E-3</v>
      </c>
    </row>
    <row r="1087" spans="3:7" ht="12.5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8.7764325335468046E-3</v>
      </c>
    </row>
    <row r="1088" spans="3:7" ht="12.5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8.7863863754521019E-3</v>
      </c>
    </row>
    <row r="1089" spans="3:7" ht="12.5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8.7963155274067839E-3</v>
      </c>
    </row>
    <row r="1090" spans="3:7" ht="12.5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8.8062200262131636E-3</v>
      </c>
    </row>
    <row r="1091" spans="3:7" ht="12.5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8.8160999088498539E-3</v>
      </c>
    </row>
    <row r="1092" spans="3:7" ht="12.5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8.8259552124699495E-3</v>
      </c>
    </row>
    <row r="1093" spans="3:7" ht="12.5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8.8357859743984652E-3</v>
      </c>
    </row>
    <row r="1094" spans="3:7" ht="12.5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8.8455922321302657E-3</v>
      </c>
    </row>
    <row r="1095" spans="3:7" ht="12.5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8.8553740233271901E-3</v>
      </c>
    </row>
    <row r="1096" spans="3:7" ht="12.5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8.8651313858166807E-3</v>
      </c>
    </row>
    <row r="1097" spans="3:7" ht="12.5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8.8748643575885418E-3</v>
      </c>
    </row>
    <row r="1098" spans="3:7" ht="12.5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8.8845729767933687E-3</v>
      </c>
    </row>
    <row r="1099" spans="3:7" ht="12.5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8.8942572817400332E-3</v>
      </c>
    </row>
    <row r="1100" spans="3:7" ht="12.5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8.903917310893409E-3</v>
      </c>
    </row>
    <row r="1101" spans="3:7" ht="12.5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8.9135531028721321E-3</v>
      </c>
    </row>
    <row r="1102" spans="3:7" ht="12.5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8.9231646964467795E-3</v>
      </c>
    </row>
    <row r="1103" spans="3:7" ht="12.5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8.9327521305369167E-3</v>
      </c>
    </row>
    <row r="1104" spans="3:7" ht="12.5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8.9423154442097794E-3</v>
      </c>
    </row>
    <row r="1105" spans="3:7" ht="12.5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8.951854676677435E-3</v>
      </c>
    </row>
    <row r="1106" spans="3:7" ht="12.5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8.9613698672949601E-3</v>
      </c>
    </row>
    <row r="1107" spans="3:7" ht="12.5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8.9708610555582907E-3</v>
      </c>
    </row>
    <row r="1108" spans="3:7" ht="12.5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8.980328281101943E-3</v>
      </c>
    </row>
    <row r="1109" spans="3:7" ht="12.5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8.9897715836970253E-3</v>
      </c>
    </row>
    <row r="1110" spans="3:7" ht="12.5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8.999191003248995E-3</v>
      </c>
    </row>
    <row r="1111" spans="3:7" ht="12.5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9.0085865797958596E-3</v>
      </c>
    </row>
    <row r="1112" spans="3:7" ht="12.5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9.0179583535056809E-3</v>
      </c>
    </row>
    <row r="1113" spans="3:7" ht="12.5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9.0273063646749904E-3</v>
      </c>
    </row>
    <row r="1114" spans="3:7" ht="12.5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9.0366306537262783E-3</v>
      </c>
    </row>
    <row r="1115" spans="3:7" ht="12.5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9.0459312612063136E-3</v>
      </c>
    </row>
    <row r="1116" spans="3:7" ht="12.5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9.0552082277838061E-3</v>
      </c>
    </row>
    <row r="1117" spans="3:7" ht="12.5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9.0644615942478933E-3</v>
      </c>
    </row>
    <row r="1118" spans="3:7" ht="12.5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9.0736914015054366E-3</v>
      </c>
    </row>
    <row r="1119" spans="3:7" ht="12.5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9.0828976905798151E-3</v>
      </c>
    </row>
    <row r="1120" spans="3:7" ht="12.5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9.0920805026081727E-3</v>
      </c>
    </row>
    <row r="1121" spans="3:7" ht="12.5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9.1012398788401453E-3</v>
      </c>
    </row>
    <row r="1122" spans="3:7" ht="12.5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9.1103758606355372E-3</v>
      </c>
    </row>
    <row r="1123" spans="3:7" ht="12.5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9.1194884894624639E-3</v>
      </c>
    </row>
    <row r="1124" spans="3:7" ht="12.5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9.1285778068954642E-3</v>
      </c>
    </row>
    <row r="1125" spans="3:7" ht="12.5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9.1376438546135405E-3</v>
      </c>
    </row>
    <row r="1126" spans="3:7" ht="12.5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9.1466866743984201E-3</v>
      </c>
    </row>
    <row r="1127" spans="3:7" ht="12.5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9.1557063081324046E-3</v>
      </c>
    </row>
    <row r="1128" spans="3:7" ht="12.5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9.1647027977968497E-3</v>
      </c>
    </row>
    <row r="1129" spans="3:7" ht="12.5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9.1736761854699332E-3</v>
      </c>
    </row>
    <row r="1130" spans="3:7" ht="12.5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9.1826265133251386E-3</v>
      </c>
    </row>
    <row r="1131" spans="3:7" ht="12.5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9.1915538236293295E-3</v>
      </c>
    </row>
    <row r="1132" spans="3:7" ht="12.5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9.2004581587406768E-3</v>
      </c>
    </row>
    <row r="1133" spans="3:7" ht="12.5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9.2093395611073728E-3</v>
      </c>
    </row>
    <row r="1134" spans="3:7" ht="12.5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9.2181980732653976E-3</v>
      </c>
    </row>
    <row r="1135" spans="3:7" ht="12.5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9.2270337378369087E-3</v>
      </c>
    </row>
    <row r="1136" spans="3:7" ht="12.5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9.2358465975283209E-3</v>
      </c>
    </row>
    <row r="1137" spans="3:7" ht="12.5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9.244636695129033E-3</v>
      </c>
    </row>
    <row r="1138" spans="3:7" ht="12.5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9.2534040735090459E-3</v>
      </c>
    </row>
    <row r="1139" spans="3:7" ht="12.5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9.2621487756177068E-3</v>
      </c>
    </row>
    <row r="1140" spans="3:7" ht="12.5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9.2708708444817264E-3</v>
      </c>
    </row>
    <row r="1141" spans="3:7" ht="12.5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9.2795703232037181E-3</v>
      </c>
    </row>
    <row r="1142" spans="3:7" ht="12.5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9.2882472549601774E-3</v>
      </c>
    </row>
    <row r="1143" spans="3:7" ht="12.5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9.296901683000269E-3</v>
      </c>
    </row>
    <row r="1144" spans="3:7" ht="12.5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9.3055336506435438E-3</v>
      </c>
    </row>
    <row r="1145" spans="3:7" ht="12.5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9.314143201278928E-3</v>
      </c>
    </row>
    <row r="1146" spans="3:7" ht="12.5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9.3227303783625891E-3</v>
      </c>
    </row>
    <row r="1147" spans="3:7" ht="12.5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9.3312952254167511E-3</v>
      </c>
    </row>
    <row r="1148" spans="3:7" ht="12.5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9.3398377860276129E-3</v>
      </c>
    </row>
    <row r="1149" spans="3:7" ht="12.5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9.3483581038440733E-3</v>
      </c>
    </row>
    <row r="1150" spans="3:7" ht="12.5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9.3568562225759353E-3</v>
      </c>
    </row>
    <row r="1151" spans="3:7" ht="12.5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9.3653321859925864E-3</v>
      </c>
    </row>
    <row r="1152" spans="3:7" ht="12.5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9.3737860379212515E-3</v>
      </c>
    </row>
    <row r="1153" spans="3:7" ht="12.5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9.3822178222452181E-3</v>
      </c>
    </row>
    <row r="1154" spans="3:7" ht="12.5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9.3906275829027976E-3</v>
      </c>
    </row>
    <row r="1155" spans="3:7" ht="12.5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9.3990153638854046E-3</v>
      </c>
    </row>
    <row r="1156" spans="3:7" ht="12.5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9.4073812092362839E-3</v>
      </c>
    </row>
    <row r="1157" spans="3:7" ht="12.5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9.4157251630487687E-3</v>
      </c>
    </row>
    <row r="1158" spans="3:7" ht="12.5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9.4240472694648893E-3</v>
      </c>
    </row>
    <row r="1159" spans="3:7" ht="12.5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9.4323475726738465E-3</v>
      </c>
    </row>
    <row r="1160" spans="3:7" ht="12.5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9.4406261169108149E-3</v>
      </c>
    </row>
    <row r="1161" spans="3:7" ht="12.5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9.4488829464550658E-3</v>
      </c>
    </row>
    <row r="1162" spans="3:7" ht="12.5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9.4571181056287736E-3</v>
      </c>
    </row>
    <row r="1163" spans="3:7" ht="12.5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9.4653316387954163E-3</v>
      </c>
    </row>
    <row r="1164" spans="3:7" ht="12.5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9.4735235903586588E-3</v>
      </c>
    </row>
    <row r="1165" spans="3:7" ht="12.5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9.4816940047604565E-3</v>
      </c>
    </row>
    <row r="1166" spans="3:7" ht="12.5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9.4898429264801097E-3</v>
      </c>
    </row>
    <row r="1167" spans="3:7" ht="12.5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9.4979704000325814E-3</v>
      </c>
    </row>
    <row r="1168" spans="3:7" ht="12.5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9.5060764699673277E-3</v>
      </c>
    </row>
    <row r="1169" spans="3:7" ht="12.5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9.5141611808667211E-3</v>
      </c>
    </row>
    <row r="1170" spans="3:7" ht="12.5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9.5222245773448309E-3</v>
      </c>
    </row>
    <row r="1171" spans="3:7" ht="12.5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9.5302667040459421E-3</v>
      </c>
    </row>
    <row r="1172" spans="3:7" ht="12.5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9.5382876056435417E-3</v>
      </c>
    </row>
    <row r="1173" spans="3:7" ht="12.5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9.5462873268385325E-3</v>
      </c>
    </row>
    <row r="1174" spans="3:7" ht="12.5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9.554265912358301E-3</v>
      </c>
    </row>
    <row r="1175" spans="3:7" ht="12.5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9.5622234069550685E-3</v>
      </c>
    </row>
    <row r="1176" spans="3:7" ht="12.5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9.5701598554050558E-3</v>
      </c>
    </row>
    <row r="1177" spans="3:7" ht="12.5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9.5780753025067524E-3</v>
      </c>
    </row>
    <row r="1178" spans="3:7" ht="12.5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9.5859697930800077E-3</v>
      </c>
    </row>
    <row r="1179" spans="3:7" ht="12.5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9.5938433719643737E-3</v>
      </c>
    </row>
    <row r="1180" spans="3:7" ht="12.5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9.6016960840183616E-3</v>
      </c>
    </row>
    <row r="1181" spans="3:7" ht="12.5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9.609527974117623E-3</v>
      </c>
    </row>
    <row r="1182" spans="3:7" ht="12.5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9.6173390871542863E-3</v>
      </c>
    </row>
    <row r="1183" spans="3:7" ht="12.5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9.6251294680353428E-3</v>
      </c>
    </row>
    <row r="1184" spans="3:7" ht="12.5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9.6328991616816718E-3</v>
      </c>
    </row>
    <row r="1185" spans="3:7" ht="12.5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9.6406482130266796E-3</v>
      </c>
    </row>
    <row r="1186" spans="3:7" ht="12.5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9.6483766670151863E-3</v>
      </c>
    </row>
    <row r="1187" spans="3:7" ht="12.5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9.656084568602407E-3</v>
      </c>
    </row>
    <row r="1188" spans="3:7" ht="12.5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9.6637719627524366E-3</v>
      </c>
    </row>
    <row r="1189" spans="3:7" ht="12.5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9.6714388944373446E-3</v>
      </c>
    </row>
    <row r="1190" spans="3:7" ht="12.5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9.6790854086360196E-3</v>
      </c>
    </row>
    <row r="1191" spans="3:7" ht="12.5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9.6867115503331859E-3</v>
      </c>
    </row>
    <row r="1192" spans="3:7" ht="12.5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9.694317364517719E-3</v>
      </c>
    </row>
    <row r="1193" spans="3:7" ht="12.5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9.7019028961821512E-3</v>
      </c>
    </row>
    <row r="1194" spans="3:7" ht="12.5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9.7094681903213305E-3</v>
      </c>
    </row>
    <row r="1195" spans="3:7" ht="12.5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9.7170132919312865E-3</v>
      </c>
    </row>
    <row r="1196" spans="3:7" ht="12.5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9.7245382460081718E-3</v>
      </c>
    </row>
    <row r="1197" spans="3:7" ht="12.5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9.7320430975472525E-3</v>
      </c>
    </row>
    <row r="1198" spans="3:7" ht="12.5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9.7395278915416664E-3</v>
      </c>
    </row>
    <row r="1199" spans="3:7" ht="12.5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9.7469926729817705E-3</v>
      </c>
    </row>
    <row r="1200" spans="3:7" ht="12.5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9.7544374868535292E-3</v>
      </c>
    </row>
    <row r="1201" spans="3:7" ht="12.5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9.7618623781379893E-3</v>
      </c>
    </row>
    <row r="1202" spans="3:7" ht="12.5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9.7692673918099819E-3</v>
      </c>
    </row>
    <row r="1203" spans="3:7" ht="12.5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9.776652572837212E-3</v>
      </c>
    </row>
    <row r="1204" spans="3:7" ht="12.5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9.784017966179127E-3</v>
      </c>
    </row>
    <row r="1205" spans="3:7" ht="12.5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9.7913636167860762E-3</v>
      </c>
    </row>
    <row r="1206" spans="3:7" ht="12.5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9.7986895695983921E-3</v>
      </c>
    </row>
    <row r="1207" spans="3:7" ht="12.5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9.8059958695450276E-3</v>
      </c>
    </row>
    <row r="1208" spans="3:7" ht="12.5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9.813282561543072E-3</v>
      </c>
    </row>
    <row r="1209" spans="3:7" ht="12.5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9.8205496904964461E-3</v>
      </c>
    </row>
    <row r="1210" spans="3:7" ht="12.5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9.8277973012951582E-3</v>
      </c>
    </row>
    <row r="1211" spans="3:7" ht="12.5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9.8350254388141663E-3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9.8422341479127429E-3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9.8494234734332504E-3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9.8565934602004718E-3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9.8637441530204806E-3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9.8708755966799358E-3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9.8779878359450679E-3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9.8850809155610151E-3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9.8921548802506261E-3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9.899209774713872E-3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9.9062456436269028E-3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9.9132625316411867E-3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9.9202604833827993E-3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9.9272395434513473E-3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9.9341997564193693E-3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9.9411411668316532E-3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9.9480638192039963E-3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workbookViewId="0">
      <selection activeCell="B3" sqref="B3:B83"/>
    </sheetView>
  </sheetViews>
  <sheetFormatPr defaultRowHeight="14.5"/>
  <cols>
    <col min="1" max="1" width="14.54296875" style="202" customWidth="1"/>
    <col min="2" max="2" width="13" style="202" customWidth="1"/>
    <col min="3" max="3" width="12" style="202" customWidth="1"/>
    <col min="4" max="4" width="12.36328125" style="202" customWidth="1"/>
    <col min="5" max="5" width="10.453125" style="202" customWidth="1"/>
    <col min="6" max="6" width="15.453125" style="202" customWidth="1"/>
    <col min="7" max="16" width="9.08984375" style="202"/>
    <col min="17" max="20" width="11.6328125" style="184" customWidth="1"/>
    <col min="21" max="284" width="9.08984375" style="202"/>
  </cols>
  <sheetData>
    <row r="1" spans="1:20" ht="18">
      <c r="A1" s="176"/>
      <c r="B1" s="177"/>
      <c r="C1" s="212" t="s">
        <v>359</v>
      </c>
      <c r="D1" s="178"/>
      <c r="E1" s="178"/>
      <c r="F1" s="178"/>
      <c r="Q1" s="213" t="s">
        <v>354</v>
      </c>
      <c r="R1" s="213"/>
      <c r="S1" s="213"/>
      <c r="T1" s="213"/>
    </row>
    <row r="2" spans="1:20">
      <c r="A2" s="179" t="s">
        <v>348</v>
      </c>
      <c r="B2" s="208" t="s">
        <v>349</v>
      </c>
      <c r="C2" s="180" t="s">
        <v>350</v>
      </c>
      <c r="D2" s="181"/>
      <c r="E2" s="181"/>
      <c r="F2" s="181"/>
      <c r="Q2" s="203"/>
      <c r="R2" s="203" t="s">
        <v>355</v>
      </c>
      <c r="S2" s="203"/>
      <c r="T2" s="203" t="s">
        <v>356</v>
      </c>
    </row>
    <row r="3" spans="1:20">
      <c r="A3" s="182">
        <v>380</v>
      </c>
      <c r="B3" s="209">
        <v>1.8824306472919418E-2</v>
      </c>
      <c r="C3" s="183">
        <f>Calculator!C9</f>
        <v>0.51356239633563705</v>
      </c>
      <c r="D3" s="184"/>
      <c r="E3" s="184"/>
      <c r="F3" s="185"/>
      <c r="Q3" s="204">
        <v>380</v>
      </c>
      <c r="R3" s="205">
        <v>1.8075402569103899E-4</v>
      </c>
      <c r="S3" s="204">
        <v>380</v>
      </c>
      <c r="T3" s="206">
        <f ca="1">TREND(OFFSET(R$3:R$453,MATCH(S3,Q$3:Q$453),0,-2),OFFSET(Q$3:Q$453,MATCH(S3,Q$3:Q$453),0,-2),S3)</f>
        <v>1.8075402569103869E-4</v>
      </c>
    </row>
    <row r="4" spans="1:20" ht="15" thickBot="1">
      <c r="A4" s="182">
        <v>385</v>
      </c>
      <c r="B4" s="210">
        <v>2.3117569352708055E-2</v>
      </c>
      <c r="C4" s="183">
        <f>Calculator!C10</f>
        <v>0.56871729967613449</v>
      </c>
      <c r="D4" s="186" t="s">
        <v>269</v>
      </c>
      <c r="E4" s="187">
        <f>Calculator!G35</f>
        <v>51.509632655521862</v>
      </c>
      <c r="F4" s="188"/>
      <c r="Q4" s="204">
        <v>381</v>
      </c>
      <c r="R4" s="205">
        <v>1.8776473350740999E-4</v>
      </c>
      <c r="S4" s="204">
        <v>385</v>
      </c>
      <c r="T4" s="206">
        <f t="shared" ref="T4:T67" ca="1" si="0">TREND(OFFSET(R$3:R$453,MATCH(S4,Q$3:Q$453),0,-2),OFFSET(Q$3:Q$453,MATCH(S4,Q$3:Q$453),0,-2),S4)</f>
        <v>2.1542939055504366E-4</v>
      </c>
    </row>
    <row r="5" spans="1:20" ht="15" thickBot="1">
      <c r="A5" s="182">
        <v>390</v>
      </c>
      <c r="B5" s="209">
        <v>2.8731836195508585E-2</v>
      </c>
      <c r="C5" s="183">
        <f>Calculator!C11</f>
        <v>0.62762777694334881</v>
      </c>
      <c r="D5" s="189" t="s">
        <v>257</v>
      </c>
      <c r="E5" s="190">
        <f>Calculator!DR26</f>
        <v>83.493404839686065</v>
      </c>
      <c r="F5" s="188"/>
      <c r="Q5" s="204">
        <v>382</v>
      </c>
      <c r="R5" s="205">
        <v>1.9560220758118801E-4</v>
      </c>
      <c r="S5" s="204">
        <v>382</v>
      </c>
      <c r="T5" s="206">
        <f t="shared" ca="1" si="0"/>
        <v>1.9560220758118804E-4</v>
      </c>
    </row>
    <row r="6" spans="1:20">
      <c r="A6" s="182">
        <v>395</v>
      </c>
      <c r="B6" s="210">
        <v>3.2364597093791282E-2</v>
      </c>
      <c r="C6" s="183">
        <f>Calculator!C12</f>
        <v>0.69035395274121736</v>
      </c>
      <c r="D6" s="189" t="s">
        <v>351</v>
      </c>
      <c r="E6" s="191">
        <f>Reference!U3</f>
        <v>2937.9445549488432</v>
      </c>
      <c r="F6" s="192"/>
      <c r="Q6" s="204">
        <v>383</v>
      </c>
      <c r="R6" s="205">
        <v>1.94323555554524E-4</v>
      </c>
      <c r="S6" s="204">
        <v>395</v>
      </c>
      <c r="T6" s="206">
        <f t="shared" ca="1" si="0"/>
        <v>4.4532108066930656E-4</v>
      </c>
    </row>
    <row r="7" spans="1:20">
      <c r="A7" s="182">
        <v>400</v>
      </c>
      <c r="B7" s="209">
        <v>6.6380449141347414E-2</v>
      </c>
      <c r="C7" s="183">
        <f>Calculator!C13</f>
        <v>0.75694387871463786</v>
      </c>
      <c r="D7" s="189" t="s">
        <v>352</v>
      </c>
      <c r="E7" s="193">
        <f>Reference!H18</f>
        <v>-8.1932133886055889E-4</v>
      </c>
      <c r="F7" s="194"/>
      <c r="Q7" s="204">
        <v>384</v>
      </c>
      <c r="R7" s="205">
        <v>2.0632990908886001E-4</v>
      </c>
      <c r="S7" s="204">
        <v>400</v>
      </c>
      <c r="T7" s="206">
        <f t="shared" ca="1" si="0"/>
        <v>9.7982051502022716E-4</v>
      </c>
    </row>
    <row r="8" spans="1:20">
      <c r="A8" s="182">
        <v>405</v>
      </c>
      <c r="B8" s="210">
        <v>0.45409511228533683</v>
      </c>
      <c r="C8" s="183">
        <f>Calculator!C14</f>
        <v>0.82743336498568754</v>
      </c>
      <c r="D8" s="189" t="s">
        <v>353</v>
      </c>
      <c r="E8" s="195">
        <f>683*SUMPRODUCT(B3:B83,xyzs!C6:C86)/SUM(B3:B83)</f>
        <v>370.26591094069863</v>
      </c>
      <c r="F8" s="194"/>
      <c r="Q8" s="204">
        <v>385</v>
      </c>
      <c r="R8" s="205">
        <v>2.1542939055504401E-4</v>
      </c>
      <c r="S8" s="204">
        <v>405</v>
      </c>
      <c r="T8" s="206">
        <f t="shared" ca="1" si="0"/>
        <v>2.3132844656651164E-3</v>
      </c>
    </row>
    <row r="9" spans="1:20">
      <c r="A9" s="182">
        <v>410</v>
      </c>
      <c r="B9" s="209">
        <v>6.4398943196829581E-2</v>
      </c>
      <c r="C9" s="183">
        <f>Calculator!C15</f>
        <v>0.90184590384311203</v>
      </c>
      <c r="D9" s="196"/>
      <c r="E9" s="197"/>
      <c r="F9" s="198"/>
      <c r="Q9" s="204">
        <v>386</v>
      </c>
      <c r="R9" s="205">
        <v>2.2626676047639001E-4</v>
      </c>
      <c r="S9" s="204">
        <v>410</v>
      </c>
      <c r="T9" s="206">
        <f t="shared" ca="1" si="0"/>
        <v>4.7665384929649057E-3</v>
      </c>
    </row>
    <row r="10" spans="1:20">
      <c r="A10" s="182">
        <v>415</v>
      </c>
      <c r="B10" s="210">
        <v>5.2509907529722587E-2</v>
      </c>
      <c r="C10" s="183">
        <f>Calculator!C16</f>
        <v>0.98019268113629998</v>
      </c>
      <c r="D10" s="199"/>
      <c r="E10" s="200"/>
      <c r="F10" s="184"/>
      <c r="Q10" s="204">
        <v>387</v>
      </c>
      <c r="R10" s="205">
        <v>2.3665856084812399E-4</v>
      </c>
      <c r="S10" s="204">
        <v>415</v>
      </c>
      <c r="T10" s="206">
        <f t="shared" ca="1" si="0"/>
        <v>7.1844692368076418E-3</v>
      </c>
    </row>
    <row r="11" spans="1:20">
      <c r="A11" s="182">
        <v>420</v>
      </c>
      <c r="B11" s="209">
        <v>5.8124174372523117E-2</v>
      </c>
      <c r="C11" s="183">
        <f>Calculator!C17</f>
        <v>1.0624726701812641</v>
      </c>
      <c r="D11" s="184"/>
      <c r="E11" s="184"/>
      <c r="F11" s="184"/>
      <c r="Q11" s="204">
        <v>388</v>
      </c>
      <c r="R11" s="205">
        <v>2.4981292640591902E-4</v>
      </c>
      <c r="S11" s="204">
        <v>420</v>
      </c>
      <c r="T11" s="206">
        <f t="shared" ca="1" si="0"/>
        <v>7.0525977730027667E-3</v>
      </c>
    </row>
    <row r="12" spans="1:20">
      <c r="A12" s="182">
        <v>425</v>
      </c>
      <c r="B12" s="210">
        <v>6.3738441215323641E-2</v>
      </c>
      <c r="C12" s="183">
        <f>Calculator!C18</f>
        <v>1.1486728024820738</v>
      </c>
      <c r="D12" s="184"/>
      <c r="E12" s="184"/>
      <c r="F12" s="184"/>
      <c r="Q12" s="204">
        <v>389</v>
      </c>
      <c r="R12" s="205">
        <v>2.6321119139199899E-4</v>
      </c>
      <c r="S12" s="204">
        <v>425</v>
      </c>
      <c r="T12" s="206">
        <f t="shared" ca="1" si="0"/>
        <v>5.0865687838841933E-3</v>
      </c>
    </row>
    <row r="13" spans="1:20">
      <c r="A13" s="182">
        <v>430</v>
      </c>
      <c r="B13" s="209">
        <v>6.9352708058124171E-2</v>
      </c>
      <c r="C13" s="183">
        <f>Calculator!C19</f>
        <v>1.2387682091969834</v>
      </c>
      <c r="D13" s="184"/>
      <c r="E13" s="184"/>
      <c r="F13" s="184"/>
      <c r="Q13" s="204">
        <v>390</v>
      </c>
      <c r="R13" s="205">
        <v>2.7664344713871801E-4</v>
      </c>
      <c r="S13" s="204">
        <v>430</v>
      </c>
      <c r="T13" s="206">
        <f t="shared" ca="1" si="0"/>
        <v>3.714732691973241E-3</v>
      </c>
    </row>
    <row r="14" spans="1:20">
      <c r="A14" s="182">
        <v>435</v>
      </c>
      <c r="B14" s="210">
        <v>1</v>
      </c>
      <c r="C14" s="183">
        <f>Calculator!C20</f>
        <v>1.3327225270247289</v>
      </c>
      <c r="D14" s="184"/>
      <c r="E14" s="184"/>
      <c r="F14" s="184"/>
      <c r="Q14" s="204">
        <v>391</v>
      </c>
      <c r="R14" s="205">
        <v>2.9439166462552098E-4</v>
      </c>
      <c r="S14" s="204">
        <v>435</v>
      </c>
      <c r="T14" s="206">
        <f t="shared" ca="1" si="0"/>
        <v>2.9624345608426847E-3</v>
      </c>
    </row>
    <row r="15" spans="1:20">
      <c r="A15" s="182">
        <v>440</v>
      </c>
      <c r="B15" s="209">
        <v>0.2651915455746367</v>
      </c>
      <c r="C15" s="183">
        <f>Calculator!C21</f>
        <v>1.4304882620411479</v>
      </c>
      <c r="D15" s="184"/>
      <c r="E15" s="184"/>
      <c r="F15" s="184"/>
      <c r="Q15" s="204">
        <v>392</v>
      </c>
      <c r="R15" s="205">
        <v>3.2310079519841899E-4</v>
      </c>
      <c r="S15" s="204">
        <v>440</v>
      </c>
      <c r="T15" s="206">
        <f t="shared" ca="1" si="0"/>
        <v>2.8057124878535893E-3</v>
      </c>
    </row>
    <row r="16" spans="1:20">
      <c r="A16" s="182">
        <v>445</v>
      </c>
      <c r="B16" s="210">
        <v>8.4214002642007915E-2</v>
      </c>
      <c r="C16" s="183">
        <f>Calculator!C22</f>
        <v>1.5320072049686697</v>
      </c>
      <c r="D16" s="184"/>
      <c r="E16" s="184"/>
      <c r="F16" s="184"/>
      <c r="Q16" s="204">
        <v>393</v>
      </c>
      <c r="R16" s="205">
        <v>3.5413260145286402E-4</v>
      </c>
      <c r="S16" s="204">
        <v>445</v>
      </c>
      <c r="T16" s="206">
        <f t="shared" ca="1" si="0"/>
        <v>3.0171411222076894E-3</v>
      </c>
    </row>
    <row r="17" spans="1:20">
      <c r="A17" s="182">
        <v>450</v>
      </c>
      <c r="B17" s="209">
        <v>8.9167767503302506E-2</v>
      </c>
      <c r="C17" s="183">
        <f>Calculator!C23</f>
        <v>1.6372108913994032</v>
      </c>
      <c r="D17" s="184"/>
      <c r="E17" s="184"/>
      <c r="F17" s="184"/>
      <c r="Q17" s="204">
        <v>394</v>
      </c>
      <c r="R17" s="205">
        <v>3.9673571663520799E-4</v>
      </c>
      <c r="S17" s="204">
        <v>450</v>
      </c>
      <c r="T17" s="206">
        <f t="shared" ca="1" si="0"/>
        <v>3.3093729498797683E-3</v>
      </c>
    </row>
    <row r="18" spans="1:20">
      <c r="A18" s="182">
        <v>455</v>
      </c>
      <c r="B18" s="210">
        <v>9.3130779392338173E-2</v>
      </c>
      <c r="C18" s="183">
        <f>Calculator!C24</f>
        <v>1.746021100605208</v>
      </c>
      <c r="D18" s="184"/>
      <c r="E18" s="184"/>
      <c r="F18" s="184"/>
      <c r="Q18" s="204">
        <v>395</v>
      </c>
      <c r="R18" s="205">
        <v>4.4532108066930499E-4</v>
      </c>
      <c r="S18" s="204">
        <v>455</v>
      </c>
      <c r="T18" s="206">
        <f t="shared" ca="1" si="0"/>
        <v>3.537052820653799E-3</v>
      </c>
    </row>
    <row r="19" spans="1:20">
      <c r="A19" s="182">
        <v>460</v>
      </c>
      <c r="B19" s="209">
        <v>9.610303830911493E-2</v>
      </c>
      <c r="C19" s="183">
        <f>Calculator!C25</f>
        <v>1.8583503867442959</v>
      </c>
      <c r="D19" s="184"/>
      <c r="E19" s="184"/>
      <c r="F19" s="184"/>
      <c r="Q19" s="204">
        <v>396</v>
      </c>
      <c r="R19" s="205">
        <v>5.1893491876098003E-4</v>
      </c>
      <c r="S19" s="204">
        <v>460</v>
      </c>
      <c r="T19" s="206">
        <f t="shared" ca="1" si="0"/>
        <v>3.6240394787112312E-3</v>
      </c>
    </row>
    <row r="20" spans="1:20">
      <c r="A20" s="182">
        <v>465</v>
      </c>
      <c r="B20" s="210">
        <v>9.8745046235138703E-2</v>
      </c>
      <c r="C20" s="183">
        <f>Calculator!C26</f>
        <v>1.974102636503255</v>
      </c>
      <c r="D20" s="184"/>
      <c r="E20" s="184"/>
      <c r="F20" s="184"/>
      <c r="Q20" s="204">
        <v>397</v>
      </c>
      <c r="R20" s="205">
        <v>6.1134456625155497E-4</v>
      </c>
      <c r="S20" s="204">
        <v>465</v>
      </c>
      <c r="T20" s="206">
        <f t="shared" ca="1" si="0"/>
        <v>3.6702861408028885E-3</v>
      </c>
    </row>
    <row r="21" spans="1:20">
      <c r="A21" s="182">
        <v>470</v>
      </c>
      <c r="B21" s="209">
        <v>0.10039630118890357</v>
      </c>
      <c r="C21" s="183">
        <f>Calculator!C27</f>
        <v>2.0931736474855192</v>
      </c>
      <c r="D21" s="184"/>
      <c r="E21" s="184"/>
      <c r="F21" s="184"/>
      <c r="Q21" s="204">
        <v>398</v>
      </c>
      <c r="R21" s="205">
        <v>7.0319105466245895E-4</v>
      </c>
      <c r="S21" s="204">
        <v>470</v>
      </c>
      <c r="T21" s="206">
        <f t="shared" ca="1" si="0"/>
        <v>3.6873999906115703E-3</v>
      </c>
    </row>
    <row r="22" spans="1:20">
      <c r="A22" s="182">
        <v>475</v>
      </c>
      <c r="B22" s="210">
        <v>0.10171730515191546</v>
      </c>
      <c r="C22" s="183">
        <f>Calculator!C28</f>
        <v>2.2154517219640533</v>
      </c>
      <c r="D22" s="184"/>
      <c r="E22" s="184"/>
      <c r="F22" s="184"/>
      <c r="Q22" s="204">
        <v>399</v>
      </c>
      <c r="R22" s="205">
        <v>8.2672161243983299E-4</v>
      </c>
      <c r="S22" s="204">
        <v>475</v>
      </c>
      <c r="T22" s="206">
        <f t="shared" ca="1" si="0"/>
        <v>3.7161931318557906E-3</v>
      </c>
    </row>
    <row r="23" spans="1:20">
      <c r="A23" s="182">
        <v>480</v>
      </c>
      <c r="B23" s="209">
        <v>0.10204755614266842</v>
      </c>
      <c r="C23" s="183">
        <f>Calculator!C29</f>
        <v>2.3408182709481693</v>
      </c>
      <c r="D23" s="184"/>
      <c r="E23" s="184"/>
      <c r="F23" s="184"/>
      <c r="Q23" s="204">
        <v>400</v>
      </c>
      <c r="R23" s="205">
        <v>9.7982051502023995E-4</v>
      </c>
      <c r="S23" s="204">
        <v>480</v>
      </c>
      <c r="T23" s="206">
        <f t="shared" ca="1" si="0"/>
        <v>3.7515886753961402E-3</v>
      </c>
    </row>
    <row r="24" spans="1:20">
      <c r="A24" s="182">
        <v>485</v>
      </c>
      <c r="B24" s="210">
        <v>0.10204755614266842</v>
      </c>
      <c r="C24" s="183">
        <f>Calculator!C30</f>
        <v>2.4691484238647461</v>
      </c>
      <c r="D24" s="184"/>
      <c r="E24" s="184"/>
      <c r="F24" s="184"/>
      <c r="Q24" s="204">
        <v>401</v>
      </c>
      <c r="R24" s="205">
        <v>1.18208899283274E-3</v>
      </c>
      <c r="S24" s="204">
        <v>485</v>
      </c>
      <c r="T24" s="206">
        <f t="shared" ca="1" si="0"/>
        <v>3.8948901104852111E-3</v>
      </c>
    </row>
    <row r="25" spans="1:20">
      <c r="A25" s="182">
        <v>490</v>
      </c>
      <c r="B25" s="209">
        <v>0.10369881109643329</v>
      </c>
      <c r="C25" s="183">
        <f>Calculator!C31</f>
        <v>2.6003116395165318</v>
      </c>
      <c r="D25" s="184"/>
      <c r="E25" s="184"/>
      <c r="F25" s="184"/>
      <c r="Q25" s="204">
        <v>402</v>
      </c>
      <c r="R25" s="205">
        <v>1.3804117896048899E-3</v>
      </c>
      <c r="S25" s="204">
        <v>490</v>
      </c>
      <c r="T25" s="206">
        <f t="shared" ca="1" si="0"/>
        <v>4.093672405356498E-3</v>
      </c>
    </row>
    <row r="26" spans="1:20">
      <c r="A26" s="182">
        <v>495</v>
      </c>
      <c r="B26" s="210">
        <v>0.10105680317040951</v>
      </c>
      <c r="C26" s="183">
        <f>Calculator!C32</f>
        <v>2.7341723143474184</v>
      </c>
      <c r="D26" s="184"/>
      <c r="E26" s="184"/>
      <c r="F26" s="184"/>
      <c r="Q26" s="204">
        <v>403</v>
      </c>
      <c r="R26" s="205">
        <v>1.6528088721308599E-3</v>
      </c>
      <c r="S26" s="204">
        <v>495</v>
      </c>
      <c r="T26" s="206">
        <f t="shared" ca="1" si="0"/>
        <v>4.3775095920316129E-3</v>
      </c>
    </row>
    <row r="27" spans="1:20">
      <c r="A27" s="182">
        <v>500</v>
      </c>
      <c r="B27" s="209">
        <v>9.9075297225891673E-2</v>
      </c>
      <c r="C27" s="183">
        <f>Calculator!C33</f>
        <v>2.8705903844130387</v>
      </c>
      <c r="D27" s="184"/>
      <c r="E27" s="184"/>
      <c r="F27" s="184"/>
      <c r="Q27" s="204">
        <v>404</v>
      </c>
      <c r="R27" s="205">
        <v>1.9647038512422498E-3</v>
      </c>
      <c r="S27" s="204">
        <v>500</v>
      </c>
      <c r="T27" s="206">
        <f t="shared" ca="1" si="0"/>
        <v>4.7562013213401921E-3</v>
      </c>
    </row>
    <row r="28" spans="1:20">
      <c r="A28" s="182">
        <v>505</v>
      </c>
      <c r="B28" s="210">
        <v>9.8414795244385733E-2</v>
      </c>
      <c r="C28" s="183">
        <f>Calculator!C34</f>
        <v>3.0094219178190258</v>
      </c>
      <c r="D28" s="184"/>
      <c r="E28" s="184"/>
      <c r="F28" s="184"/>
      <c r="Q28" s="204">
        <v>405</v>
      </c>
      <c r="R28" s="205">
        <v>2.3132844656651198E-3</v>
      </c>
      <c r="S28" s="204">
        <v>505</v>
      </c>
      <c r="T28" s="206">
        <f t="shared" ca="1" si="0"/>
        <v>5.1694197259772381E-3</v>
      </c>
    </row>
    <row r="29" spans="1:20">
      <c r="A29" s="182">
        <v>510</v>
      </c>
      <c r="B29" s="209">
        <v>9.9405548216644643E-2</v>
      </c>
      <c r="C29" s="183">
        <f>Calculator!C35</f>
        <v>3.1505196947457437</v>
      </c>
      <c r="D29" s="184"/>
      <c r="E29" s="184"/>
      <c r="F29" s="184"/>
      <c r="Q29" s="204">
        <v>406</v>
      </c>
      <c r="R29" s="205">
        <v>2.7303753175116998E-3</v>
      </c>
      <c r="S29" s="204">
        <v>510</v>
      </c>
      <c r="T29" s="206">
        <f t="shared" ca="1" si="0"/>
        <v>5.5452279929176507E-3</v>
      </c>
    </row>
    <row r="30" spans="1:20">
      <c r="A30" s="182">
        <v>515</v>
      </c>
      <c r="B30" s="210">
        <v>0.10369881109643329</v>
      </c>
      <c r="C30" s="183">
        <f>Calculator!C36</f>
        <v>3.2937337725239444</v>
      </c>
      <c r="D30" s="184"/>
      <c r="E30" s="184"/>
      <c r="F30" s="184"/>
      <c r="Q30" s="204">
        <v>407</v>
      </c>
      <c r="R30" s="205">
        <v>3.1745553869567201E-3</v>
      </c>
      <c r="S30" s="204">
        <v>515</v>
      </c>
      <c r="T30" s="206">
        <f t="shared" ca="1" si="0"/>
        <v>5.9395591744678677E-3</v>
      </c>
    </row>
    <row r="31" spans="1:20">
      <c r="A31" s="182">
        <v>520</v>
      </c>
      <c r="B31" s="209">
        <v>0.11261558784676354</v>
      </c>
      <c r="C31" s="183">
        <f>Calculator!C37</f>
        <v>3.4389120335582253</v>
      </c>
      <c r="D31" s="184"/>
      <c r="E31" s="184"/>
      <c r="F31" s="184"/>
      <c r="Q31" s="204">
        <v>408</v>
      </c>
      <c r="R31" s="205">
        <v>3.66383292631022E-3</v>
      </c>
      <c r="S31" s="204">
        <v>520</v>
      </c>
      <c r="T31" s="206">
        <f t="shared" ca="1" si="0"/>
        <v>6.314055520425129E-3</v>
      </c>
    </row>
    <row r="32" spans="1:20">
      <c r="A32" s="182">
        <v>525</v>
      </c>
      <c r="B32" s="210">
        <v>0.12879788639365916</v>
      </c>
      <c r="C32" s="183">
        <f>Calculator!C38</f>
        <v>3.5859007142119079</v>
      </c>
      <c r="D32" s="184"/>
      <c r="E32" s="184"/>
      <c r="F32" s="184"/>
      <c r="Q32" s="204">
        <v>409</v>
      </c>
      <c r="R32" s="205">
        <v>4.21810019204875E-3</v>
      </c>
      <c r="S32" s="204">
        <v>525</v>
      </c>
      <c r="T32" s="206">
        <f t="shared" ca="1" si="0"/>
        <v>6.6548290405670299E-3</v>
      </c>
    </row>
    <row r="33" spans="1:20">
      <c r="A33" s="182">
        <v>530</v>
      </c>
      <c r="B33" s="209">
        <v>0.15488771466314399</v>
      </c>
      <c r="C33" s="183">
        <f>Calculator!C39</f>
        <v>3.7345449130674391</v>
      </c>
      <c r="D33" s="184"/>
      <c r="E33" s="184"/>
      <c r="F33" s="184"/>
      <c r="Q33" s="204">
        <v>410</v>
      </c>
      <c r="R33" s="205">
        <v>4.7665384929649196E-3</v>
      </c>
      <c r="S33" s="204">
        <v>530</v>
      </c>
      <c r="T33" s="206">
        <f t="shared" ca="1" si="0"/>
        <v>6.9954190799847993E-3</v>
      </c>
    </row>
    <row r="34" spans="1:20">
      <c r="A34" s="182">
        <v>535</v>
      </c>
      <c r="B34" s="210">
        <v>0.19187582562747688</v>
      </c>
      <c r="C34" s="183">
        <f>Calculator!C40</f>
        <v>3.8846890772584102</v>
      </c>
      <c r="D34" s="184"/>
      <c r="E34" s="184"/>
      <c r="F34" s="184"/>
      <c r="Q34" s="204">
        <v>411</v>
      </c>
      <c r="R34" s="205">
        <v>5.3186481499968999E-3</v>
      </c>
      <c r="S34" s="204">
        <v>535</v>
      </c>
      <c r="T34" s="206">
        <f t="shared" ca="1" si="0"/>
        <v>7.3174312192547109E-3</v>
      </c>
    </row>
    <row r="35" spans="1:20">
      <c r="A35" s="182">
        <v>540</v>
      </c>
      <c r="B35" s="209">
        <v>0.24174372523117568</v>
      </c>
      <c r="C35" s="183">
        <f>Calculator!C41</f>
        <v>4.036177465832905</v>
      </c>
      <c r="D35" s="184"/>
      <c r="E35" s="184"/>
      <c r="F35" s="184"/>
      <c r="Q35" s="204">
        <v>412</v>
      </c>
      <c r="R35" s="205">
        <v>5.8378701754880497E-3</v>
      </c>
      <c r="S35" s="204">
        <v>540</v>
      </c>
      <c r="T35" s="206">
        <f t="shared" ca="1" si="0"/>
        <v>7.6958183605694355E-3</v>
      </c>
    </row>
    <row r="36" spans="1:20">
      <c r="A36" s="182">
        <v>545</v>
      </c>
      <c r="B36" s="210">
        <v>0.74603698811096431</v>
      </c>
      <c r="C36" s="183">
        <f>Calculator!C42</f>
        <v>4.18885458935274</v>
      </c>
      <c r="D36" s="184"/>
      <c r="E36" s="184"/>
      <c r="F36" s="184"/>
      <c r="Q36" s="204">
        <v>413</v>
      </c>
      <c r="R36" s="205">
        <v>6.3381170089030197E-3</v>
      </c>
      <c r="S36" s="204">
        <v>545</v>
      </c>
      <c r="T36" s="206">
        <f t="shared" ca="1" si="0"/>
        <v>8.0712078142960858E-3</v>
      </c>
    </row>
    <row r="37" spans="1:20">
      <c r="A37" s="182">
        <v>550</v>
      </c>
      <c r="B37" s="209">
        <v>0.49900924702774102</v>
      </c>
      <c r="C37" s="183">
        <f>Calculator!C43</f>
        <v>4.3425656251580342</v>
      </c>
      <c r="D37" s="184"/>
      <c r="E37" s="184"/>
      <c r="F37" s="184"/>
      <c r="Q37" s="204">
        <v>414</v>
      </c>
      <c r="R37" s="205">
        <v>6.8506809640233E-3</v>
      </c>
      <c r="S37" s="204">
        <v>550</v>
      </c>
      <c r="T37" s="206">
        <f t="shared" ca="1" si="0"/>
        <v>8.5650632228269075E-3</v>
      </c>
    </row>
    <row r="38" spans="1:20">
      <c r="A38" s="182">
        <v>555</v>
      </c>
      <c r="B38" s="210">
        <v>0.45838837516512548</v>
      </c>
      <c r="C38" s="183">
        <f>Calculator!C44</f>
        <v>4.4971568079335684</v>
      </c>
      <c r="D38" s="184"/>
      <c r="E38" s="184"/>
      <c r="F38" s="184"/>
      <c r="Q38" s="204">
        <v>415</v>
      </c>
      <c r="R38" s="205">
        <v>7.1844692368076401E-3</v>
      </c>
      <c r="S38" s="204">
        <v>555</v>
      </c>
      <c r="T38" s="206">
        <f t="shared" ca="1" si="0"/>
        <v>9.1388891457798993E-3</v>
      </c>
    </row>
    <row r="39" spans="1:20">
      <c r="A39" s="182">
        <v>560</v>
      </c>
      <c r="B39" s="209">
        <v>0.5392998678996036</v>
      </c>
      <c r="C39" s="183">
        <f>Calculator!C45</f>
        <v>4.6524757954006093</v>
      </c>
      <c r="D39" s="184"/>
      <c r="E39" s="184"/>
      <c r="F39" s="184"/>
      <c r="Q39" s="204">
        <v>416</v>
      </c>
      <c r="R39" s="205">
        <v>7.3594277582702296E-3</v>
      </c>
      <c r="S39" s="204">
        <v>560</v>
      </c>
      <c r="T39" s="206">
        <f t="shared" ca="1" si="0"/>
        <v>9.7525402898948343E-3</v>
      </c>
    </row>
    <row r="40" spans="1:20">
      <c r="A40" s="182">
        <v>565</v>
      </c>
      <c r="B40" s="210">
        <v>0.6169088507265521</v>
      </c>
      <c r="C40" s="183">
        <f>Calculator!C46</f>
        <v>4.808372009127635</v>
      </c>
      <c r="D40" s="184"/>
      <c r="E40" s="184"/>
      <c r="F40" s="184"/>
      <c r="Q40" s="204">
        <v>417</v>
      </c>
      <c r="R40" s="205">
        <v>7.4886335199046399E-3</v>
      </c>
      <c r="S40" s="204">
        <v>565</v>
      </c>
      <c r="T40" s="206">
        <f t="shared" ca="1" si="0"/>
        <v>1.0486494265175311E-2</v>
      </c>
    </row>
    <row r="41" spans="1:20">
      <c r="A41" s="182">
        <v>570</v>
      </c>
      <c r="B41" s="209">
        <v>0.68163804491413471</v>
      </c>
      <c r="C41" s="183">
        <f>Calculator!C47</f>
        <v>4.9646969506053011</v>
      </c>
      <c r="D41" s="184"/>
      <c r="E41" s="184"/>
      <c r="F41" s="184"/>
      <c r="Q41" s="204">
        <v>418</v>
      </c>
      <c r="R41" s="205">
        <v>7.50702775757707E-3</v>
      </c>
      <c r="S41" s="204">
        <v>570</v>
      </c>
      <c r="T41" s="206">
        <f t="shared" ca="1" si="0"/>
        <v>1.1168187099239682E-2</v>
      </c>
    </row>
    <row r="42" spans="1:20">
      <c r="A42" s="182">
        <v>575</v>
      </c>
      <c r="B42" s="210">
        <v>0.8018494055482166</v>
      </c>
      <c r="C42" s="183">
        <f>Calculator!C48</f>
        <v>5.1213044928660567</v>
      </c>
      <c r="D42" s="184"/>
      <c r="E42" s="184"/>
      <c r="F42" s="184"/>
      <c r="Q42" s="204">
        <v>419</v>
      </c>
      <c r="R42" s="205">
        <v>7.2266390619975199E-3</v>
      </c>
      <c r="S42" s="204">
        <v>575</v>
      </c>
      <c r="T42" s="206">
        <f t="shared" ca="1" si="0"/>
        <v>1.19706194443681E-2</v>
      </c>
    </row>
    <row r="43" spans="1:20">
      <c r="A43" s="182">
        <v>580</v>
      </c>
      <c r="B43" s="209">
        <v>0.86723910171730512</v>
      </c>
      <c r="C43" s="183">
        <f>Calculator!C49</f>
        <v>5.2780511480479149</v>
      </c>
      <c r="D43" s="184"/>
      <c r="E43" s="184"/>
      <c r="F43" s="184"/>
      <c r="Q43" s="204">
        <v>420</v>
      </c>
      <c r="R43" s="205">
        <v>7.0525977730027598E-3</v>
      </c>
      <c r="S43" s="204">
        <v>580</v>
      </c>
      <c r="T43" s="206">
        <f t="shared" ca="1" si="0"/>
        <v>1.2562112944384501E-2</v>
      </c>
    </row>
    <row r="44" spans="1:20">
      <c r="A44" s="182">
        <v>585</v>
      </c>
      <c r="B44" s="210">
        <v>0.76882430647291944</v>
      </c>
      <c r="C44" s="183">
        <f>Calculator!C50</f>
        <v>5.4347963114057638</v>
      </c>
      <c r="D44" s="184"/>
      <c r="E44" s="184"/>
      <c r="F44" s="184"/>
      <c r="Q44" s="204">
        <v>421</v>
      </c>
      <c r="R44" s="205">
        <v>6.7526307967557602E-3</v>
      </c>
      <c r="S44" s="204">
        <v>585</v>
      </c>
      <c r="T44" s="206">
        <f t="shared" ca="1" si="0"/>
        <v>1.3192620364484896E-2</v>
      </c>
    </row>
    <row r="45" spans="1:20">
      <c r="A45" s="182">
        <v>590</v>
      </c>
      <c r="B45" s="209">
        <v>0.75759577278731838</v>
      </c>
      <c r="C45" s="183">
        <f>Calculator!C51</f>
        <v>5.5914024823632982</v>
      </c>
      <c r="D45" s="184"/>
      <c r="E45" s="184"/>
      <c r="F45" s="184"/>
      <c r="Q45" s="204">
        <v>422</v>
      </c>
      <c r="R45" s="205">
        <v>6.3205869518548202E-3</v>
      </c>
      <c r="S45" s="204">
        <v>590</v>
      </c>
      <c r="T45" s="206">
        <f t="shared" ca="1" si="0"/>
        <v>1.3634428813994195E-2</v>
      </c>
    </row>
    <row r="46" spans="1:20">
      <c r="A46" s="182">
        <v>595</v>
      </c>
      <c r="B46" s="210">
        <v>0.73117569352708056</v>
      </c>
      <c r="C46" s="183">
        <f>Calculator!C52</f>
        <v>5.7477354632750233</v>
      </c>
      <c r="D46" s="184"/>
      <c r="E46" s="184"/>
      <c r="F46" s="184"/>
      <c r="Q46" s="204">
        <v>423</v>
      </c>
      <c r="R46" s="205">
        <v>5.8993869115067299E-3</v>
      </c>
      <c r="S46" s="204">
        <v>595</v>
      </c>
      <c r="T46" s="206">
        <f t="shared" ca="1" si="0"/>
        <v>1.3933333022758006E-2</v>
      </c>
    </row>
    <row r="47" spans="1:20">
      <c r="A47" s="182">
        <v>600</v>
      </c>
      <c r="B47" s="209">
        <v>0.69055482166446502</v>
      </c>
      <c r="C47" s="183">
        <f>Calculator!C53</f>
        <v>5.9036645366316209</v>
      </c>
      <c r="D47" s="184"/>
      <c r="E47" s="184"/>
      <c r="F47" s="184"/>
      <c r="Q47" s="204">
        <v>424</v>
      </c>
      <c r="R47" s="205">
        <v>5.5180252768318198E-3</v>
      </c>
      <c r="S47" s="204">
        <v>600</v>
      </c>
      <c r="T47" s="206">
        <f t="shared" ca="1" si="0"/>
        <v>1.4060417821594999E-2</v>
      </c>
    </row>
    <row r="48" spans="1:20">
      <c r="A48" s="182">
        <v>605</v>
      </c>
      <c r="B48" s="210">
        <v>0.64167767503302509</v>
      </c>
      <c r="C48" s="183">
        <f>Calculator!C54</f>
        <v>6.0590626214946388</v>
      </c>
      <c r="D48" s="184"/>
      <c r="E48" s="184"/>
      <c r="F48" s="184"/>
      <c r="Q48" s="204">
        <v>425</v>
      </c>
      <c r="R48" s="205">
        <v>5.0865687838841803E-3</v>
      </c>
      <c r="S48" s="204">
        <v>605</v>
      </c>
      <c r="T48" s="206">
        <f t="shared" ca="1" si="0"/>
        <v>1.3980964321965899E-2</v>
      </c>
    </row>
    <row r="49" spans="1:20">
      <c r="A49" s="182">
        <v>610</v>
      </c>
      <c r="B49" s="209">
        <v>0.58586525759577268</v>
      </c>
      <c r="C49" s="183">
        <f>Calculator!C55</f>
        <v>6.2138064099882477</v>
      </c>
      <c r="D49" s="184"/>
      <c r="E49" s="184"/>
      <c r="F49" s="184"/>
      <c r="Q49" s="204">
        <v>426</v>
      </c>
      <c r="R49" s="205">
        <v>4.7723565702042503E-3</v>
      </c>
      <c r="S49" s="204">
        <v>610</v>
      </c>
      <c r="T49" s="206">
        <f t="shared" ca="1" si="0"/>
        <v>1.37997509986168E-2</v>
      </c>
    </row>
    <row r="50" spans="1:20">
      <c r="A50" s="182">
        <v>615</v>
      </c>
      <c r="B50" s="210">
        <v>0.52840158520475555</v>
      </c>
      <c r="C50" s="183">
        <f>Calculator!C56</f>
        <v>6.3677764847084841</v>
      </c>
      <c r="D50" s="184"/>
      <c r="E50" s="184"/>
      <c r="F50" s="184"/>
      <c r="Q50" s="204">
        <v>427</v>
      </c>
      <c r="R50" s="205">
        <v>4.4513179486884002E-3</v>
      </c>
      <c r="S50" s="204">
        <v>615</v>
      </c>
      <c r="T50" s="206">
        <f t="shared" ca="1" si="0"/>
        <v>1.33752583030778E-2</v>
      </c>
    </row>
    <row r="51" spans="1:20">
      <c r="A51" s="182">
        <v>620</v>
      </c>
      <c r="B51" s="209">
        <v>0.476221928665786</v>
      </c>
      <c r="C51" s="183">
        <f>Calculator!C57</f>
        <v>6.520857417933505</v>
      </c>
      <c r="D51" s="184"/>
      <c r="E51" s="184"/>
      <c r="F51" s="184"/>
      <c r="Q51" s="204">
        <v>428</v>
      </c>
      <c r="R51" s="205">
        <v>4.1554043509233404E-3</v>
      </c>
      <c r="S51" s="204">
        <v>620</v>
      </c>
      <c r="T51" s="206">
        <f t="shared" ca="1" si="0"/>
        <v>1.2903416822997296E-2</v>
      </c>
    </row>
    <row r="52" spans="1:20">
      <c r="A52" s="182">
        <v>625</v>
      </c>
      <c r="B52" s="210">
        <v>0.41479524438573318</v>
      </c>
      <c r="C52" s="183">
        <f>Calculator!C58</f>
        <v>6.6729378535345596</v>
      </c>
      <c r="D52" s="184"/>
      <c r="E52" s="184"/>
      <c r="F52" s="184"/>
      <c r="Q52" s="204">
        <v>429</v>
      </c>
      <c r="R52" s="205">
        <v>3.9485546818062997E-3</v>
      </c>
      <c r="S52" s="204">
        <v>625</v>
      </c>
      <c r="T52" s="206">
        <f t="shared" ca="1" si="0"/>
        <v>1.2302460608362389E-2</v>
      </c>
    </row>
    <row r="53" spans="1:20">
      <c r="A53" s="182">
        <v>630</v>
      </c>
      <c r="B53" s="209">
        <v>0.36096433289299867</v>
      </c>
      <c r="C53" s="183">
        <f>Calculator!C59</f>
        <v>6.82391057249556</v>
      </c>
      <c r="D53" s="184"/>
      <c r="E53" s="184"/>
      <c r="F53" s="184"/>
      <c r="Q53" s="204">
        <v>430</v>
      </c>
      <c r="R53" s="205">
        <v>3.7147326919732401E-3</v>
      </c>
      <c r="S53" s="204">
        <v>630</v>
      </c>
      <c r="T53" s="206">
        <f t="shared" ca="1" si="0"/>
        <v>1.1605420591333099E-2</v>
      </c>
    </row>
    <row r="54" spans="1:20">
      <c r="A54" s="182">
        <v>635</v>
      </c>
      <c r="B54" s="210">
        <v>0.31439894319682954</v>
      </c>
      <c r="C54" s="183">
        <f>Calculator!C60</f>
        <v>6.9736725429515047</v>
      </c>
      <c r="D54" s="184"/>
      <c r="E54" s="184"/>
      <c r="F54" s="184"/>
      <c r="Q54" s="204">
        <v>431</v>
      </c>
      <c r="R54" s="205">
        <v>3.50547577417322E-3</v>
      </c>
      <c r="S54" s="204">
        <v>635</v>
      </c>
      <c r="T54" s="206">
        <f t="shared" ca="1" si="0"/>
        <v>1.0862579840125605E-2</v>
      </c>
    </row>
    <row r="55" spans="1:20">
      <c r="A55" s="182">
        <v>640</v>
      </c>
      <c r="B55" s="209">
        <v>0.27014531043593126</v>
      </c>
      <c r="C55" s="183">
        <f>Calculator!C61</f>
        <v>7.1221249556524171</v>
      </c>
      <c r="D55" s="184"/>
      <c r="E55" s="184"/>
      <c r="F55" s="184"/>
      <c r="Q55" s="204">
        <v>432</v>
      </c>
      <c r="R55" s="205">
        <v>3.3590868499582798E-3</v>
      </c>
      <c r="S55" s="204">
        <v>640</v>
      </c>
      <c r="T55" s="206">
        <f t="shared" ca="1" si="0"/>
        <v>1.0044356279138703E-2</v>
      </c>
    </row>
    <row r="56" spans="1:20">
      <c r="A56" s="182">
        <v>645</v>
      </c>
      <c r="B56" s="210">
        <v>0.23150594451783355</v>
      </c>
      <c r="C56" s="183">
        <f>Calculator!C62</f>
        <v>7.2691732457511247</v>
      </c>
      <c r="D56" s="184"/>
      <c r="E56" s="184"/>
      <c r="F56" s="184"/>
      <c r="Q56" s="204">
        <v>433</v>
      </c>
      <c r="R56" s="205">
        <v>3.1874155463492999E-3</v>
      </c>
      <c r="S56" s="204">
        <v>645</v>
      </c>
      <c r="T56" s="206">
        <f t="shared" ca="1" si="0"/>
        <v>9.2831564360812413E-3</v>
      </c>
    </row>
    <row r="57" spans="1:20">
      <c r="A57" s="182">
        <v>650</v>
      </c>
      <c r="B57" s="209">
        <v>0.19815059445178335</v>
      </c>
      <c r="C57" s="183">
        <f>Calculator!C63</f>
        <v>7.4147271018001319</v>
      </c>
      <c r="D57" s="184"/>
      <c r="E57" s="184"/>
      <c r="F57" s="184"/>
      <c r="Q57" s="204">
        <v>434</v>
      </c>
      <c r="R57" s="205">
        <v>3.0588971129178999E-3</v>
      </c>
      <c r="S57" s="204">
        <v>650</v>
      </c>
      <c r="T57" s="206">
        <f t="shared" ca="1" si="0"/>
        <v>8.4872033638581507E-3</v>
      </c>
    </row>
    <row r="58" spans="1:20">
      <c r="A58" s="182">
        <v>655</v>
      </c>
      <c r="B58" s="210">
        <v>0.16875825627476884</v>
      </c>
      <c r="C58" s="183">
        <f>Calculator!C64</f>
        <v>7.5587004628266463</v>
      </c>
      <c r="D58" s="184"/>
      <c r="E58" s="184"/>
      <c r="F58" s="184"/>
      <c r="Q58" s="204">
        <v>435</v>
      </c>
      <c r="R58" s="205">
        <v>2.9624345608426799E-3</v>
      </c>
      <c r="S58" s="204">
        <v>655</v>
      </c>
      <c r="T58" s="206">
        <f t="shared" ca="1" si="0"/>
        <v>7.7501760888327165E-3</v>
      </c>
    </row>
    <row r="59" spans="1:20">
      <c r="A59" s="182">
        <v>660</v>
      </c>
      <c r="B59" s="209">
        <v>0.14398943196829592</v>
      </c>
      <c r="C59" s="183">
        <f>Calculator!C65</f>
        <v>7.7010115043346135</v>
      </c>
      <c r="D59" s="184"/>
      <c r="E59" s="184"/>
      <c r="F59" s="184"/>
      <c r="Q59" s="204">
        <v>436</v>
      </c>
      <c r="R59" s="205">
        <v>2.88076003448858E-3</v>
      </c>
      <c r="S59" s="204">
        <v>660</v>
      </c>
      <c r="T59" s="206">
        <f t="shared" ca="1" si="0"/>
        <v>7.0102658246127131E-3</v>
      </c>
    </row>
    <row r="60" spans="1:20">
      <c r="A60" s="182">
        <v>665</v>
      </c>
      <c r="B60" s="210">
        <v>0.12186261558784675</v>
      </c>
      <c r="C60" s="183">
        <f>Calculator!C66</f>
        <v>7.8415826140602896</v>
      </c>
      <c r="D60" s="184"/>
      <c r="E60" s="184"/>
      <c r="F60" s="184"/>
      <c r="Q60" s="204">
        <v>437</v>
      </c>
      <c r="R60" s="205">
        <v>2.85611566287409E-3</v>
      </c>
      <c r="S60" s="204">
        <v>665</v>
      </c>
      <c r="T60" s="206">
        <f t="shared" ca="1" si="0"/>
        <v>6.344628057936591E-3</v>
      </c>
    </row>
    <row r="61" spans="1:20">
      <c r="A61" s="182">
        <v>670</v>
      </c>
      <c r="B61" s="209">
        <v>0.10336856010568031</v>
      </c>
      <c r="C61" s="183">
        <f>Calculator!C67</f>
        <v>7.9803403582829207</v>
      </c>
      <c r="D61" s="184"/>
      <c r="E61" s="184"/>
      <c r="F61" s="184"/>
      <c r="Q61" s="204">
        <v>438</v>
      </c>
      <c r="R61" s="205">
        <v>2.8005730977282602E-3</v>
      </c>
      <c r="S61" s="204">
        <v>670</v>
      </c>
      <c r="T61" s="206">
        <f t="shared" ca="1" si="0"/>
        <v>5.6854588381464732E-3</v>
      </c>
    </row>
    <row r="62" spans="1:20">
      <c r="A62" s="182">
        <v>675</v>
      </c>
      <c r="B62" s="210">
        <v>8.7186261558784672E-2</v>
      </c>
      <c r="C62" s="183">
        <f>Calculator!C68</f>
        <v>8.1172154394654807</v>
      </c>
      <c r="D62" s="184"/>
      <c r="E62" s="184"/>
      <c r="F62" s="184"/>
      <c r="Q62" s="204">
        <v>439</v>
      </c>
      <c r="R62" s="205">
        <v>2.8139053723692199E-3</v>
      </c>
      <c r="S62" s="204">
        <v>675</v>
      </c>
      <c r="T62" s="206">
        <f t="shared" ca="1" si="0"/>
        <v>5.0549520972781314E-3</v>
      </c>
    </row>
    <row r="63" spans="1:20">
      <c r="A63" s="182">
        <v>680</v>
      </c>
      <c r="B63" s="209">
        <v>7.3976221928665792E-2</v>
      </c>
      <c r="C63" s="183">
        <f>Calculator!C69</f>
        <v>8.2521426459722047</v>
      </c>
      <c r="D63" s="184"/>
      <c r="E63" s="184"/>
      <c r="F63" s="184"/>
      <c r="Q63" s="204">
        <v>440</v>
      </c>
      <c r="R63" s="205">
        <v>2.8057124878535901E-3</v>
      </c>
      <c r="S63" s="204">
        <v>680</v>
      </c>
      <c r="T63" s="206">
        <f t="shared" ca="1" si="0"/>
        <v>4.4922856826055402E-3</v>
      </c>
    </row>
    <row r="64" spans="1:20">
      <c r="A64" s="182">
        <v>685</v>
      </c>
      <c r="B64" s="210">
        <v>6.3077939233817701E-2</v>
      </c>
      <c r="C64" s="183">
        <f>Calculator!C70</f>
        <v>8.3850607945803048</v>
      </c>
      <c r="D64" s="184"/>
      <c r="E64" s="184"/>
      <c r="F64" s="184"/>
      <c r="Q64" s="204">
        <v>441</v>
      </c>
      <c r="R64" s="205">
        <v>2.8381448986591201E-3</v>
      </c>
      <c r="S64" s="204">
        <v>685</v>
      </c>
      <c r="T64" s="206">
        <f t="shared" ca="1" si="0"/>
        <v>3.9699136191954504E-3</v>
      </c>
    </row>
    <row r="65" spans="1:20">
      <c r="A65" s="182">
        <v>690</v>
      </c>
      <c r="B65" s="209">
        <v>5.6142668428005284E-2</v>
      </c>
      <c r="C65" s="183">
        <f>Calculator!C71</f>
        <v>8.5159126664731541</v>
      </c>
      <c r="D65" s="184"/>
      <c r="E65" s="201">
        <v>0</v>
      </c>
      <c r="F65" s="201">
        <v>0</v>
      </c>
      <c r="Q65" s="204">
        <v>442</v>
      </c>
      <c r="R65" s="205">
        <v>2.8691751366890302E-3</v>
      </c>
      <c r="S65" s="204">
        <v>690</v>
      </c>
      <c r="T65" s="206">
        <f t="shared" ca="1" si="0"/>
        <v>3.5221647879074419E-3</v>
      </c>
    </row>
    <row r="66" spans="1:20">
      <c r="A66" s="182">
        <v>695</v>
      </c>
      <c r="B66" s="210">
        <v>4.590488771466314E-2</v>
      </c>
      <c r="C66" s="183">
        <f>Calculator!C72</f>
        <v>8.6446449373714369</v>
      </c>
      <c r="D66" s="184"/>
      <c r="E66" s="201">
        <v>100</v>
      </c>
      <c r="F66" s="201">
        <v>100</v>
      </c>
      <c r="Q66" s="204">
        <v>443</v>
      </c>
      <c r="R66" s="205">
        <v>2.9290925550739702E-3</v>
      </c>
      <c r="S66" s="204">
        <v>695</v>
      </c>
      <c r="T66" s="206">
        <f t="shared" ca="1" si="0"/>
        <v>3.0912740691339882E-3</v>
      </c>
    </row>
    <row r="67" spans="1:20">
      <c r="A67" s="182">
        <v>700</v>
      </c>
      <c r="B67" s="209">
        <v>3.8969616908850722E-2</v>
      </c>
      <c r="C67" s="183">
        <f>Calculator!C73</f>
        <v>8.7712081024278774</v>
      </c>
      <c r="D67" s="184"/>
      <c r="E67" s="201">
        <v>0</v>
      </c>
      <c r="F67" s="201">
        <v>200</v>
      </c>
      <c r="Q67" s="204">
        <v>444</v>
      </c>
      <c r="R67" s="205">
        <v>2.9892101658884102E-3</v>
      </c>
      <c r="S67" s="204">
        <v>700</v>
      </c>
      <c r="T67" s="206">
        <f t="shared" ca="1" si="0"/>
        <v>2.7182385016267588E-3</v>
      </c>
    </row>
    <row r="68" spans="1:20">
      <c r="A68" s="182">
        <v>705</v>
      </c>
      <c r="B68" s="210">
        <v>3.4015852047556146E-2</v>
      </c>
      <c r="C68" s="183">
        <f>Calculator!C74</f>
        <v>8.8955563964798205</v>
      </c>
      <c r="D68" s="184"/>
      <c r="E68" s="184"/>
      <c r="F68" s="184"/>
      <c r="Q68" s="204">
        <v>445</v>
      </c>
      <c r="R68" s="205">
        <v>3.0171411222076898E-3</v>
      </c>
      <c r="S68" s="204">
        <v>705</v>
      </c>
      <c r="T68" s="206">
        <f t="shared" ref="T68:T83" ca="1" si="1">TREND(OFFSET(R$3:R$453,MATCH(S68,Q$3:Q$453),0,-2),OFFSET(Q$3:Q$453,MATCH(S68,Q$3:Q$453),0,-2),S68)</f>
        <v>2.3692224170342585E-3</v>
      </c>
    </row>
    <row r="69" spans="1:20">
      <c r="A69" s="182">
        <v>710</v>
      </c>
      <c r="B69" s="209">
        <v>2.9062087186261559E-2</v>
      </c>
      <c r="C69" s="183">
        <f>Calculator!C75</f>
        <v>9.0176477102233026</v>
      </c>
      <c r="D69" s="184"/>
      <c r="E69" s="184"/>
      <c r="F69" s="184"/>
      <c r="Q69" s="204">
        <v>446</v>
      </c>
      <c r="R69" s="205">
        <v>3.0737433423033401E-3</v>
      </c>
      <c r="S69" s="204">
        <v>710</v>
      </c>
      <c r="T69" s="206">
        <f t="shared" ca="1" si="1"/>
        <v>2.0848494228192099E-3</v>
      </c>
    </row>
    <row r="70" spans="1:20">
      <c r="A70" s="182">
        <v>715</v>
      </c>
      <c r="B70" s="210">
        <v>2.4438573315719945E-2</v>
      </c>
      <c r="C70" s="183">
        <f>Calculator!C76</f>
        <v>9.1374435028411014</v>
      </c>
      <c r="D70" s="184"/>
      <c r="E70" s="184"/>
      <c r="F70" s="184"/>
      <c r="Q70" s="204">
        <v>447</v>
      </c>
      <c r="R70" s="205">
        <v>3.13948257101907E-3</v>
      </c>
      <c r="S70" s="204">
        <v>715</v>
      </c>
      <c r="T70" s="206">
        <f t="shared" ca="1" si="1"/>
        <v>1.8197883261768799E-3</v>
      </c>
    </row>
    <row r="71" spans="1:20">
      <c r="A71" s="182">
        <v>720</v>
      </c>
      <c r="B71" s="209">
        <v>2.1136063408190225E-2</v>
      </c>
      <c r="C71" s="183">
        <f>Calculator!C77</f>
        <v>9.2549087115871647</v>
      </c>
      <c r="D71" s="184"/>
      <c r="E71" s="184"/>
      <c r="F71" s="184"/>
      <c r="Q71" s="204">
        <v>448</v>
      </c>
      <c r="R71" s="205">
        <v>3.2094669539334199E-3</v>
      </c>
      <c r="S71" s="204">
        <v>720</v>
      </c>
      <c r="T71" s="206">
        <f t="shared" ca="1" si="1"/>
        <v>1.5874374934729263E-3</v>
      </c>
    </row>
    <row r="72" spans="1:20">
      <c r="A72" s="182">
        <v>725</v>
      </c>
      <c r="B72" s="210">
        <v>1.7833553500660501E-2</v>
      </c>
      <c r="C72" s="183">
        <f>Calculator!C78</f>
        <v>9.3700116588001841</v>
      </c>
      <c r="D72" s="184"/>
      <c r="E72" s="184"/>
      <c r="F72" s="184"/>
      <c r="Q72" s="204">
        <v>449</v>
      </c>
      <c r="R72" s="205">
        <v>3.2476710476528402E-3</v>
      </c>
      <c r="S72" s="204">
        <v>725</v>
      </c>
      <c r="T72" s="206">
        <f t="shared" ca="1" si="1"/>
        <v>1.3822522720688332E-3</v>
      </c>
    </row>
    <row r="73" spans="1:20">
      <c r="A73" s="182">
        <v>730</v>
      </c>
      <c r="B73" s="209">
        <v>1.6182298546895641E-2</v>
      </c>
      <c r="C73" s="183">
        <f>Calculator!C79</f>
        <v>9.4827239567895774</v>
      </c>
      <c r="D73" s="184"/>
      <c r="E73" s="184"/>
      <c r="F73" s="184"/>
      <c r="Q73" s="204">
        <v>450</v>
      </c>
      <c r="R73" s="205">
        <v>3.30937294987977E-3</v>
      </c>
      <c r="S73" s="204">
        <v>730</v>
      </c>
      <c r="T73" s="206">
        <f t="shared" ca="1" si="1"/>
        <v>1.2030905284910083E-3</v>
      </c>
    </row>
    <row r="74" spans="1:20">
      <c r="A74" s="182">
        <v>735</v>
      </c>
      <c r="B74" s="210">
        <v>1.5191545574636724E-2</v>
      </c>
      <c r="C74" s="183">
        <f>Calculator!C80</f>
        <v>9.593020411009153</v>
      </c>
      <c r="D74" s="184"/>
      <c r="E74" s="184"/>
      <c r="F74" s="184"/>
      <c r="Q74" s="204">
        <v>451</v>
      </c>
      <c r="R74" s="205">
        <v>3.3449037198411799E-3</v>
      </c>
      <c r="S74" s="204">
        <v>735</v>
      </c>
      <c r="T74" s="206">
        <f t="shared" ca="1" si="1"/>
        <v>1.0327210198580704E-3</v>
      </c>
    </row>
    <row r="75" spans="1:20">
      <c r="A75" s="182">
        <v>740</v>
      </c>
      <c r="B75" s="209">
        <v>1.3870541611624834E-2</v>
      </c>
      <c r="C75" s="183">
        <f>Calculator!C81</f>
        <v>9.7008789219059004</v>
      </c>
      <c r="D75" s="184"/>
      <c r="E75" s="184"/>
      <c r="F75" s="184"/>
      <c r="Q75" s="204">
        <v>452</v>
      </c>
      <c r="R75" s="205">
        <v>3.38976027618095E-3</v>
      </c>
      <c r="S75" s="204">
        <v>740</v>
      </c>
      <c r="T75" s="206">
        <f t="shared" ca="1" si="1"/>
        <v>9.0469958092995184E-4</v>
      </c>
    </row>
    <row r="76" spans="1:20">
      <c r="A76" s="182">
        <v>745</v>
      </c>
      <c r="B76" s="210">
        <v>1.2219286657859972E-2</v>
      </c>
      <c r="C76" s="183">
        <f>Calculator!C82</f>
        <v>9.8062803858049481</v>
      </c>
      <c r="D76" s="184"/>
      <c r="E76" s="184"/>
      <c r="F76" s="184"/>
      <c r="Q76" s="204">
        <v>453</v>
      </c>
      <c r="R76" s="205">
        <v>3.4435110380554401E-3</v>
      </c>
      <c r="S76" s="204">
        <v>745</v>
      </c>
      <c r="T76" s="206">
        <f t="shared" ca="1" si="1"/>
        <v>7.8588587817870689E-4</v>
      </c>
    </row>
    <row r="77" spans="1:20">
      <c r="A77" s="182">
        <v>750</v>
      </c>
      <c r="B77" s="209">
        <v>1.2219286657859972E-2</v>
      </c>
      <c r="C77" s="183">
        <f>Calculator!C83</f>
        <v>9.9092085951654774</v>
      </c>
      <c r="D77" s="184"/>
      <c r="E77" s="184"/>
      <c r="F77" s="184"/>
      <c r="Q77" s="204">
        <v>454</v>
      </c>
      <c r="R77" s="205">
        <v>3.4684121743534099E-3</v>
      </c>
      <c r="S77" s="204">
        <v>750</v>
      </c>
      <c r="T77" s="206">
        <f t="shared" ca="1" si="1"/>
        <v>6.847243711548736E-4</v>
      </c>
    </row>
    <row r="78" spans="1:20">
      <c r="A78" s="182">
        <v>755</v>
      </c>
      <c r="B78" s="210">
        <v>1.0898282694848084E-2</v>
      </c>
      <c r="C78" s="183">
        <f>Calculator!C84</f>
        <v>10.009650138518269</v>
      </c>
      <c r="D78" s="184"/>
      <c r="E78" s="184"/>
      <c r="F78" s="184"/>
      <c r="Q78" s="204">
        <v>455</v>
      </c>
      <c r="R78" s="205">
        <v>3.5370528206537999E-3</v>
      </c>
      <c r="S78" s="204">
        <v>755</v>
      </c>
      <c r="T78" s="206">
        <f t="shared" ca="1" si="1"/>
        <v>5.9566915913701439E-4</v>
      </c>
    </row>
    <row r="79" spans="1:20">
      <c r="A79" s="182">
        <v>760</v>
      </c>
      <c r="B79" s="209">
        <v>1.1558784676354027E-2</v>
      </c>
      <c r="C79" s="183">
        <f>Calculator!C85</f>
        <v>10.107594300371147</v>
      </c>
      <c r="D79" s="184"/>
      <c r="E79" s="184"/>
      <c r="F79" s="184"/>
      <c r="Q79" s="204">
        <v>456</v>
      </c>
      <c r="R79" s="205">
        <v>3.5617806133279601E-3</v>
      </c>
      <c r="S79" s="204">
        <v>760</v>
      </c>
      <c r="T79" s="206">
        <f t="shared" ca="1" si="1"/>
        <v>5.2361454725960085E-4</v>
      </c>
    </row>
    <row r="80" spans="1:20">
      <c r="A80" s="182">
        <v>765</v>
      </c>
      <c r="B80" s="210">
        <v>1.1889035667107001E-2</v>
      </c>
      <c r="C80" s="183">
        <f>Calculator!C86</f>
        <v>10.203032961346086</v>
      </c>
      <c r="D80" s="184"/>
      <c r="E80" s="184"/>
      <c r="F80" s="184"/>
      <c r="Q80" s="204">
        <v>457</v>
      </c>
      <c r="R80" s="205">
        <v>3.5895608695290099E-3</v>
      </c>
      <c r="S80" s="204">
        <v>765</v>
      </c>
      <c r="T80" s="206">
        <f t="shared" ca="1" si="1"/>
        <v>4.611195592421468E-4</v>
      </c>
    </row>
    <row r="81" spans="1:20">
      <c r="A81" s="182">
        <v>770</v>
      </c>
      <c r="B81" s="209">
        <v>1.0237780713342139E-2</v>
      </c>
      <c r="C81" s="183">
        <f>Calculator!C87</f>
        <v>10.295960498789814</v>
      </c>
      <c r="D81" s="184"/>
      <c r="E81" s="184"/>
      <c r="F81" s="184"/>
      <c r="Q81" s="204">
        <v>458</v>
      </c>
      <c r="R81" s="205">
        <v>3.6040807761602098E-3</v>
      </c>
      <c r="S81" s="204">
        <v>770</v>
      </c>
      <c r="T81" s="206">
        <f t="shared" ca="1" si="1"/>
        <v>4.0453918093917053E-4</v>
      </c>
    </row>
    <row r="82" spans="1:20">
      <c r="A82" s="182">
        <v>775</v>
      </c>
      <c r="B82" s="210">
        <v>8.5865257595772789E-3</v>
      </c>
      <c r="C82" s="183">
        <f>Calculator!C88</f>
        <v>10.386373688079253</v>
      </c>
      <c r="D82" s="184"/>
      <c r="E82" s="184"/>
      <c r="F82" s="184"/>
      <c r="Q82" s="204">
        <v>459</v>
      </c>
      <c r="R82" s="205">
        <v>3.62863389735476E-3</v>
      </c>
      <c r="S82" s="204">
        <v>775</v>
      </c>
      <c r="T82" s="206">
        <f t="shared" ca="1" si="1"/>
        <v>3.5638203579638206E-4</v>
      </c>
    </row>
    <row r="83" spans="1:20">
      <c r="A83" s="182">
        <v>780</v>
      </c>
      <c r="B83" s="209">
        <v>6.2747688243064729E-3</v>
      </c>
      <c r="C83" s="183">
        <f>Calculator!C89</f>
        <v>10.474271604822833</v>
      </c>
      <c r="D83" s="184"/>
      <c r="E83" s="184"/>
      <c r="F83" s="184"/>
      <c r="Q83" s="204">
        <v>460</v>
      </c>
      <c r="R83" s="205">
        <v>3.6240394787112299E-3</v>
      </c>
      <c r="S83" s="204">
        <v>780</v>
      </c>
      <c r="T83" s="206">
        <f t="shared" ca="1" si="1"/>
        <v>3.1617575889028582E-4</v>
      </c>
    </row>
    <row r="84" spans="1:20">
      <c r="Q84" s="204">
        <v>461</v>
      </c>
      <c r="R84" s="205">
        <v>3.64468406061092E-3</v>
      </c>
      <c r="S84" s="204"/>
      <c r="T84" s="204"/>
    </row>
    <row r="85" spans="1:20">
      <c r="Q85" s="204">
        <v>462</v>
      </c>
      <c r="R85" s="205">
        <v>3.6789503183700199E-3</v>
      </c>
      <c r="S85" s="204"/>
      <c r="T85" s="204"/>
    </row>
    <row r="86" spans="1:20">
      <c r="Q86" s="204">
        <v>463</v>
      </c>
      <c r="R86" s="205">
        <v>3.6681618205177602E-3</v>
      </c>
      <c r="S86" s="204"/>
      <c r="T86" s="204"/>
    </row>
    <row r="87" spans="1:20">
      <c r="Q87" s="204">
        <v>464</v>
      </c>
      <c r="R87" s="205">
        <v>3.6706691235180401E-3</v>
      </c>
      <c r="S87" s="204"/>
      <c r="T87" s="204"/>
    </row>
    <row r="88" spans="1:20">
      <c r="Q88" s="204">
        <v>465</v>
      </c>
      <c r="R88" s="205">
        <v>3.6702861408028902E-3</v>
      </c>
      <c r="S88" s="204"/>
      <c r="T88" s="204"/>
    </row>
    <row r="89" spans="1:20">
      <c r="Q89" s="204">
        <v>466</v>
      </c>
      <c r="R89" s="205">
        <v>3.6976594065498301E-3</v>
      </c>
      <c r="S89" s="204"/>
      <c r="T89" s="204"/>
    </row>
    <row r="90" spans="1:20">
      <c r="Q90" s="204">
        <v>467</v>
      </c>
      <c r="R90" s="205">
        <v>3.7009011211552598E-3</v>
      </c>
      <c r="S90" s="204"/>
      <c r="T90" s="204"/>
    </row>
    <row r="91" spans="1:20">
      <c r="Q91" s="204">
        <v>468</v>
      </c>
      <c r="R91" s="205">
        <v>3.6925237920998502E-3</v>
      </c>
      <c r="S91" s="204"/>
      <c r="T91" s="204"/>
    </row>
    <row r="92" spans="1:20">
      <c r="Q92" s="204">
        <v>469</v>
      </c>
      <c r="R92" s="205">
        <v>3.6786918799725401E-3</v>
      </c>
      <c r="S92" s="204"/>
      <c r="T92" s="204"/>
    </row>
    <row r="93" spans="1:20">
      <c r="Q93" s="204">
        <v>470</v>
      </c>
      <c r="R93" s="205">
        <v>3.6873999906115698E-3</v>
      </c>
      <c r="S93" s="204"/>
      <c r="T93" s="204"/>
    </row>
    <row r="94" spans="1:20">
      <c r="Q94" s="204">
        <v>471</v>
      </c>
      <c r="R94" s="205">
        <v>3.6723573224764199E-3</v>
      </c>
      <c r="S94" s="204"/>
      <c r="T94" s="204"/>
    </row>
    <row r="95" spans="1:20">
      <c r="Q95" s="204">
        <v>472</v>
      </c>
      <c r="R95" s="205">
        <v>3.6958804808188699E-3</v>
      </c>
      <c r="S95" s="204"/>
      <c r="T95" s="204"/>
    </row>
    <row r="96" spans="1:20">
      <c r="Q96" s="204">
        <v>473</v>
      </c>
      <c r="R96" s="205">
        <v>3.6762651058136401E-3</v>
      </c>
      <c r="S96" s="204"/>
      <c r="T96" s="204"/>
    </row>
    <row r="97" spans="17:20">
      <c r="Q97" s="204">
        <v>474</v>
      </c>
      <c r="R97" s="205">
        <v>3.6824249091089098E-3</v>
      </c>
      <c r="S97" s="204"/>
      <c r="T97" s="204"/>
    </row>
    <row r="98" spans="17:20">
      <c r="Q98" s="204">
        <v>475</v>
      </c>
      <c r="R98" s="205">
        <v>3.7161931318557902E-3</v>
      </c>
      <c r="S98" s="204"/>
      <c r="T98" s="204"/>
    </row>
    <row r="99" spans="17:20">
      <c r="Q99" s="204">
        <v>476</v>
      </c>
      <c r="R99" s="205">
        <v>3.7133242500265199E-3</v>
      </c>
      <c r="S99" s="204"/>
      <c r="T99" s="204"/>
    </row>
    <row r="100" spans="17:20">
      <c r="Q100" s="204">
        <v>477</v>
      </c>
      <c r="R100" s="205">
        <v>3.70800635248817E-3</v>
      </c>
      <c r="S100" s="204"/>
      <c r="T100" s="204"/>
    </row>
    <row r="101" spans="17:20">
      <c r="Q101" s="204">
        <v>478</v>
      </c>
      <c r="R101" s="205">
        <v>3.7104100145969698E-3</v>
      </c>
      <c r="S101" s="204"/>
      <c r="T101" s="204"/>
    </row>
    <row r="102" spans="17:20">
      <c r="Q102" s="204">
        <v>479</v>
      </c>
      <c r="R102" s="205">
        <v>3.7365104938622898E-3</v>
      </c>
      <c r="S102" s="204"/>
      <c r="T102" s="204"/>
    </row>
    <row r="103" spans="17:20">
      <c r="Q103" s="204">
        <v>480</v>
      </c>
      <c r="R103" s="205">
        <v>3.7515886753961402E-3</v>
      </c>
      <c r="S103" s="204"/>
      <c r="T103" s="204"/>
    </row>
    <row r="104" spans="17:20">
      <c r="Q104" s="204">
        <v>481</v>
      </c>
      <c r="R104" s="205">
        <v>3.7849974351002501E-3</v>
      </c>
      <c r="S104" s="204"/>
      <c r="T104" s="204"/>
    </row>
    <row r="105" spans="17:20">
      <c r="Q105" s="204">
        <v>482</v>
      </c>
      <c r="R105" s="205">
        <v>3.79695817491347E-3</v>
      </c>
      <c r="S105" s="204"/>
      <c r="T105" s="204"/>
    </row>
    <row r="106" spans="17:20">
      <c r="Q106" s="204">
        <v>483</v>
      </c>
      <c r="R106" s="205">
        <v>3.8196939642384099E-3</v>
      </c>
      <c r="S106" s="204"/>
      <c r="T106" s="204"/>
    </row>
    <row r="107" spans="17:20">
      <c r="Q107" s="204">
        <v>484</v>
      </c>
      <c r="R107" s="205">
        <v>3.8476282487016401E-3</v>
      </c>
      <c r="S107" s="204"/>
      <c r="T107" s="204"/>
    </row>
    <row r="108" spans="17:20">
      <c r="Q108" s="204">
        <v>485</v>
      </c>
      <c r="R108" s="205">
        <v>3.8948901104852102E-3</v>
      </c>
      <c r="S108" s="204"/>
      <c r="T108" s="204"/>
    </row>
    <row r="109" spans="17:20">
      <c r="Q109" s="204">
        <v>486</v>
      </c>
      <c r="R109" s="205">
        <v>3.9276665701301096E-3</v>
      </c>
      <c r="S109" s="204"/>
      <c r="T109" s="204"/>
    </row>
    <row r="110" spans="17:20">
      <c r="Q110" s="204">
        <v>487</v>
      </c>
      <c r="R110" s="205">
        <v>3.9751370844515301E-3</v>
      </c>
      <c r="S110" s="204"/>
      <c r="T110" s="204"/>
    </row>
    <row r="111" spans="17:20">
      <c r="Q111" s="204">
        <v>488</v>
      </c>
      <c r="R111" s="205">
        <v>4.0033881662985401E-3</v>
      </c>
      <c r="S111" s="204"/>
      <c r="T111" s="204"/>
    </row>
    <row r="112" spans="17:20">
      <c r="Q112" s="204">
        <v>489</v>
      </c>
      <c r="R112" s="205">
        <v>4.0595510663730102E-3</v>
      </c>
      <c r="S112" s="204"/>
      <c r="T112" s="204"/>
    </row>
    <row r="113" spans="17:20">
      <c r="Q113" s="204">
        <v>490</v>
      </c>
      <c r="R113" s="205">
        <v>4.0936724053564997E-3</v>
      </c>
      <c r="S113" s="204"/>
      <c r="T113" s="204"/>
    </row>
    <row r="114" spans="17:20">
      <c r="Q114" s="204">
        <v>491</v>
      </c>
      <c r="R114" s="205">
        <v>4.1366411424991001E-3</v>
      </c>
      <c r="S114" s="204"/>
      <c r="T114" s="204"/>
    </row>
    <row r="115" spans="17:20">
      <c r="Q115" s="204">
        <v>492</v>
      </c>
      <c r="R115" s="205">
        <v>4.1983564691474001E-3</v>
      </c>
      <c r="S115" s="204"/>
      <c r="T115" s="204"/>
    </row>
    <row r="116" spans="17:20">
      <c r="Q116" s="204">
        <v>493</v>
      </c>
      <c r="R116" s="205">
        <v>4.2581842109272704E-3</v>
      </c>
      <c r="S116" s="204"/>
      <c r="T116" s="204"/>
    </row>
    <row r="117" spans="17:20">
      <c r="Q117" s="204">
        <v>494</v>
      </c>
      <c r="R117" s="205">
        <v>4.3324594467367096E-3</v>
      </c>
      <c r="S117" s="204"/>
      <c r="T117" s="204"/>
    </row>
    <row r="118" spans="17:20">
      <c r="Q118" s="204">
        <v>495</v>
      </c>
      <c r="R118" s="205">
        <v>4.3775095920316103E-3</v>
      </c>
      <c r="S118" s="204"/>
      <c r="T118" s="204"/>
    </row>
    <row r="119" spans="17:20">
      <c r="Q119" s="204">
        <v>496</v>
      </c>
      <c r="R119" s="205">
        <v>4.4586380883167897E-3</v>
      </c>
      <c r="S119" s="204"/>
      <c r="T119" s="204"/>
    </row>
    <row r="120" spans="17:20">
      <c r="Q120" s="204">
        <v>497</v>
      </c>
      <c r="R120" s="205">
        <v>4.54766604663081E-3</v>
      </c>
      <c r="S120" s="204"/>
      <c r="T120" s="204"/>
    </row>
    <row r="121" spans="17:20">
      <c r="Q121" s="204">
        <v>498</v>
      </c>
      <c r="R121" s="205">
        <v>4.5862846949922603E-3</v>
      </c>
      <c r="S121" s="204"/>
      <c r="T121" s="204"/>
    </row>
    <row r="122" spans="17:20">
      <c r="Q122" s="204">
        <v>499</v>
      </c>
      <c r="R122" s="205">
        <v>4.6722885170271296E-3</v>
      </c>
      <c r="S122" s="204"/>
      <c r="T122" s="204"/>
    </row>
    <row r="123" spans="17:20">
      <c r="Q123" s="204">
        <v>500</v>
      </c>
      <c r="R123" s="205">
        <v>4.7562013213401904E-3</v>
      </c>
      <c r="S123" s="204"/>
      <c r="T123" s="204"/>
    </row>
    <row r="124" spans="17:20">
      <c r="Q124" s="204">
        <v>501</v>
      </c>
      <c r="R124" s="205">
        <v>4.8327609760141204E-3</v>
      </c>
      <c r="S124" s="204"/>
      <c r="T124" s="204"/>
    </row>
    <row r="125" spans="17:20">
      <c r="Q125" s="204">
        <v>502</v>
      </c>
      <c r="R125" s="205">
        <v>4.9042527564673701E-3</v>
      </c>
      <c r="S125" s="204"/>
      <c r="T125" s="204"/>
    </row>
    <row r="126" spans="17:20">
      <c r="Q126" s="204">
        <v>503</v>
      </c>
      <c r="R126" s="205">
        <v>4.9820907214046702E-3</v>
      </c>
      <c r="S126" s="204"/>
      <c r="T126" s="204"/>
    </row>
    <row r="127" spans="17:20">
      <c r="Q127" s="204">
        <v>504</v>
      </c>
      <c r="R127" s="205">
        <v>5.0751143498949198E-3</v>
      </c>
      <c r="S127" s="204"/>
      <c r="T127" s="204"/>
    </row>
    <row r="128" spans="17:20">
      <c r="Q128" s="204">
        <v>505</v>
      </c>
      <c r="R128" s="205">
        <v>5.1694197259772399E-3</v>
      </c>
      <c r="S128" s="204"/>
      <c r="T128" s="204"/>
    </row>
    <row r="129" spans="17:20">
      <c r="Q129" s="204">
        <v>506</v>
      </c>
      <c r="R129" s="205">
        <v>5.2338379991064598E-3</v>
      </c>
      <c r="S129" s="204"/>
      <c r="T129" s="204"/>
    </row>
    <row r="130" spans="17:20">
      <c r="Q130" s="204">
        <v>507</v>
      </c>
      <c r="R130" s="205">
        <v>5.3224658714632802E-3</v>
      </c>
      <c r="S130" s="204"/>
      <c r="T130" s="204"/>
    </row>
    <row r="131" spans="17:20">
      <c r="Q131" s="204">
        <v>508</v>
      </c>
      <c r="R131" s="205">
        <v>5.4038915674941299E-3</v>
      </c>
      <c r="S131" s="204"/>
      <c r="T131" s="204"/>
    </row>
    <row r="132" spans="17:20">
      <c r="Q132" s="204">
        <v>509</v>
      </c>
      <c r="R132" s="205">
        <v>5.4807577940726802E-3</v>
      </c>
      <c r="S132" s="204"/>
      <c r="T132" s="204"/>
    </row>
    <row r="133" spans="17:20">
      <c r="Q133" s="204">
        <v>510</v>
      </c>
      <c r="R133" s="205">
        <v>5.5452279929176498E-3</v>
      </c>
      <c r="S133" s="204"/>
      <c r="T133" s="204"/>
    </row>
    <row r="134" spans="17:20">
      <c r="Q134" s="204">
        <v>511</v>
      </c>
      <c r="R134" s="205">
        <v>5.6391385130766499E-3</v>
      </c>
      <c r="S134" s="204"/>
      <c r="T134" s="204"/>
    </row>
    <row r="135" spans="17:20">
      <c r="Q135" s="204">
        <v>512</v>
      </c>
      <c r="R135" s="205">
        <v>5.7188382631496197E-3</v>
      </c>
      <c r="S135" s="204"/>
      <c r="T135" s="204"/>
    </row>
    <row r="136" spans="17:20">
      <c r="Q136" s="204">
        <v>513</v>
      </c>
      <c r="R136" s="205">
        <v>5.8038823041441801E-3</v>
      </c>
      <c r="S136" s="204"/>
      <c r="T136" s="204"/>
    </row>
    <row r="137" spans="17:20">
      <c r="Q137" s="204">
        <v>514</v>
      </c>
      <c r="R137" s="205">
        <v>5.8703357396626098E-3</v>
      </c>
      <c r="S137" s="204"/>
      <c r="T137" s="204"/>
    </row>
    <row r="138" spans="17:20">
      <c r="Q138" s="204">
        <v>515</v>
      </c>
      <c r="R138" s="205">
        <v>5.9395591744678599E-3</v>
      </c>
      <c r="S138" s="204"/>
      <c r="T138" s="204"/>
    </row>
    <row r="139" spans="17:20">
      <c r="Q139" s="204">
        <v>516</v>
      </c>
      <c r="R139" s="205">
        <v>6.0173463463997498E-3</v>
      </c>
      <c r="S139" s="204"/>
      <c r="T139" s="204"/>
    </row>
    <row r="140" spans="17:20">
      <c r="Q140" s="204">
        <v>517</v>
      </c>
      <c r="R140" s="205">
        <v>6.1091667579711599E-3</v>
      </c>
      <c r="S140" s="204"/>
      <c r="T140" s="204"/>
    </row>
    <row r="141" spans="17:20">
      <c r="Q141" s="204">
        <v>518</v>
      </c>
      <c r="R141" s="205">
        <v>6.1644863244931201E-3</v>
      </c>
      <c r="S141" s="204"/>
      <c r="T141" s="204"/>
    </row>
    <row r="142" spans="17:20">
      <c r="Q142" s="204">
        <v>519</v>
      </c>
      <c r="R142" s="205">
        <v>6.2343662628316599E-3</v>
      </c>
      <c r="S142" s="204"/>
      <c r="T142" s="204"/>
    </row>
    <row r="143" spans="17:20">
      <c r="Q143" s="204">
        <v>520</v>
      </c>
      <c r="R143" s="205">
        <v>6.3140555204251299E-3</v>
      </c>
      <c r="S143" s="204"/>
      <c r="T143" s="204"/>
    </row>
    <row r="144" spans="17:20">
      <c r="Q144" s="204">
        <v>521</v>
      </c>
      <c r="R144" s="205">
        <v>6.3671765721337904E-3</v>
      </c>
      <c r="S144" s="204"/>
      <c r="T144" s="204"/>
    </row>
    <row r="145" spans="17:20">
      <c r="Q145" s="204">
        <v>522</v>
      </c>
      <c r="R145" s="205">
        <v>6.4519169337535903E-3</v>
      </c>
      <c r="S145" s="204"/>
      <c r="T145" s="204"/>
    </row>
    <row r="146" spans="17:20">
      <c r="Q146" s="204">
        <v>523</v>
      </c>
      <c r="R146" s="205">
        <v>6.5112279256229503E-3</v>
      </c>
      <c r="S146" s="204"/>
      <c r="T146" s="204"/>
    </row>
    <row r="147" spans="17:20">
      <c r="Q147" s="204">
        <v>524</v>
      </c>
      <c r="R147" s="205">
        <v>6.5706300577900402E-3</v>
      </c>
      <c r="S147" s="204"/>
      <c r="T147" s="204"/>
    </row>
    <row r="148" spans="17:20">
      <c r="Q148" s="204">
        <v>525</v>
      </c>
      <c r="R148" s="205">
        <v>6.6548290405670299E-3</v>
      </c>
      <c r="S148" s="204"/>
      <c r="T148" s="204"/>
    </row>
    <row r="149" spans="17:20">
      <c r="Q149" s="204">
        <v>526</v>
      </c>
      <c r="R149" s="205">
        <v>6.7455923657221504E-3</v>
      </c>
      <c r="S149" s="204"/>
      <c r="T149" s="204"/>
    </row>
    <row r="150" spans="17:20">
      <c r="Q150" s="204">
        <v>527</v>
      </c>
      <c r="R150" s="205">
        <v>6.7988646240503998E-3</v>
      </c>
      <c r="S150" s="204"/>
      <c r="T150" s="204"/>
    </row>
    <row r="151" spans="17:20">
      <c r="Q151" s="204">
        <v>528</v>
      </c>
      <c r="R151" s="205">
        <v>6.8771357214247502E-3</v>
      </c>
      <c r="S151" s="204"/>
      <c r="T151" s="204"/>
    </row>
    <row r="152" spans="17:20">
      <c r="Q152" s="204">
        <v>529</v>
      </c>
      <c r="R152" s="205">
        <v>6.9028331275145498E-3</v>
      </c>
      <c r="S152" s="204"/>
      <c r="T152" s="204"/>
    </row>
    <row r="153" spans="17:20">
      <c r="Q153" s="204">
        <v>530</v>
      </c>
      <c r="R153" s="205">
        <v>6.9954190799848001E-3</v>
      </c>
      <c r="S153" s="204"/>
      <c r="T153" s="204"/>
    </row>
    <row r="154" spans="17:20">
      <c r="Q154" s="204">
        <v>531</v>
      </c>
      <c r="R154" s="205">
        <v>7.1073980875300397E-3</v>
      </c>
      <c r="S154" s="204"/>
      <c r="T154" s="204"/>
    </row>
    <row r="155" spans="17:20">
      <c r="Q155" s="204">
        <v>532</v>
      </c>
      <c r="R155" s="205">
        <v>7.1166082842837397E-3</v>
      </c>
      <c r="S155" s="204"/>
      <c r="T155" s="204"/>
    </row>
    <row r="156" spans="17:20">
      <c r="Q156" s="204">
        <v>533</v>
      </c>
      <c r="R156" s="205">
        <v>7.1789639923109799E-3</v>
      </c>
      <c r="S156" s="204"/>
      <c r="T156" s="204"/>
    </row>
    <row r="157" spans="17:20">
      <c r="Q157" s="204">
        <v>534</v>
      </c>
      <c r="R157" s="205">
        <v>7.2560316800258304E-3</v>
      </c>
      <c r="S157" s="204"/>
      <c r="T157" s="204"/>
    </row>
    <row r="158" spans="17:20">
      <c r="Q158" s="204">
        <v>535</v>
      </c>
      <c r="R158" s="205">
        <v>7.31743121925471E-3</v>
      </c>
      <c r="S158" s="204"/>
      <c r="T158" s="204"/>
    </row>
    <row r="159" spans="17:20">
      <c r="Q159" s="204">
        <v>536</v>
      </c>
      <c r="R159" s="205">
        <v>7.3700982929643397E-3</v>
      </c>
      <c r="S159" s="204"/>
      <c r="T159" s="204"/>
    </row>
    <row r="160" spans="17:20">
      <c r="Q160" s="204">
        <v>537</v>
      </c>
      <c r="R160" s="205">
        <v>7.4429680441171998E-3</v>
      </c>
      <c r="S160" s="204"/>
      <c r="T160" s="204"/>
    </row>
    <row r="161" spans="17:20">
      <c r="Q161" s="204">
        <v>538</v>
      </c>
      <c r="R161" s="205">
        <v>7.5022435276592197E-3</v>
      </c>
      <c r="S161" s="204"/>
      <c r="T161" s="204"/>
    </row>
    <row r="162" spans="17:20">
      <c r="Q162" s="204">
        <v>539</v>
      </c>
      <c r="R162" s="205">
        <v>7.5980712036145702E-3</v>
      </c>
      <c r="S162" s="204"/>
      <c r="T162" s="204"/>
    </row>
    <row r="163" spans="17:20">
      <c r="Q163" s="204">
        <v>540</v>
      </c>
      <c r="R163" s="205">
        <v>7.6958183605694399E-3</v>
      </c>
      <c r="S163" s="204"/>
      <c r="T163" s="204"/>
    </row>
    <row r="164" spans="17:20">
      <c r="Q164" s="204">
        <v>541</v>
      </c>
      <c r="R164" s="205">
        <v>7.7744210854047901E-3</v>
      </c>
      <c r="S164" s="204"/>
      <c r="T164" s="204"/>
    </row>
    <row r="165" spans="17:20">
      <c r="Q165" s="204">
        <v>542</v>
      </c>
      <c r="R165" s="205">
        <v>7.8180602977105801E-3</v>
      </c>
      <c r="S165" s="204"/>
      <c r="T165" s="204"/>
    </row>
    <row r="166" spans="17:20">
      <c r="Q166" s="204">
        <v>543</v>
      </c>
      <c r="R166" s="205">
        <v>7.9296943269169598E-3</v>
      </c>
      <c r="S166" s="204"/>
      <c r="T166" s="204"/>
    </row>
    <row r="167" spans="17:20">
      <c r="Q167" s="204">
        <v>544</v>
      </c>
      <c r="R167" s="205">
        <v>7.9909395481660601E-3</v>
      </c>
      <c r="S167" s="204"/>
      <c r="T167" s="204"/>
    </row>
    <row r="168" spans="17:20">
      <c r="Q168" s="204">
        <v>545</v>
      </c>
      <c r="R168" s="205">
        <v>8.0712078142960806E-3</v>
      </c>
      <c r="S168" s="204"/>
      <c r="T168" s="204"/>
    </row>
    <row r="169" spans="17:20">
      <c r="Q169" s="204">
        <v>546</v>
      </c>
      <c r="R169" s="205">
        <v>8.1744525133005692E-3</v>
      </c>
      <c r="S169" s="204"/>
      <c r="T169" s="204"/>
    </row>
    <row r="170" spans="17:20">
      <c r="Q170" s="204">
        <v>547</v>
      </c>
      <c r="R170" s="205">
        <v>8.2699914111250394E-3</v>
      </c>
      <c r="S170" s="204"/>
      <c r="T170" s="204"/>
    </row>
    <row r="171" spans="17:20">
      <c r="Q171" s="204">
        <v>548</v>
      </c>
      <c r="R171" s="205">
        <v>8.3738806072331997E-3</v>
      </c>
      <c r="S171" s="204"/>
      <c r="T171" s="204"/>
    </row>
    <row r="172" spans="17:20">
      <c r="Q172" s="204">
        <v>549</v>
      </c>
      <c r="R172" s="205">
        <v>8.4550692510003897E-3</v>
      </c>
      <c r="S172" s="204"/>
      <c r="T172" s="204"/>
    </row>
    <row r="173" spans="17:20">
      <c r="Q173" s="204">
        <v>550</v>
      </c>
      <c r="R173" s="205">
        <v>8.5650632228269092E-3</v>
      </c>
      <c r="S173" s="204"/>
      <c r="T173" s="204"/>
    </row>
    <row r="174" spans="17:20">
      <c r="Q174" s="204">
        <v>551</v>
      </c>
      <c r="R174" s="205">
        <v>8.7077525511155204E-3</v>
      </c>
      <c r="S174" s="204"/>
      <c r="T174" s="204"/>
    </row>
    <row r="175" spans="17:20">
      <c r="Q175" s="204">
        <v>552</v>
      </c>
      <c r="R175" s="205">
        <v>8.7967988627373293E-3</v>
      </c>
      <c r="S175" s="204"/>
      <c r="T175" s="204"/>
    </row>
    <row r="176" spans="17:20">
      <c r="Q176" s="204">
        <v>553</v>
      </c>
      <c r="R176" s="205">
        <v>8.9151884713238195E-3</v>
      </c>
      <c r="S176" s="204"/>
      <c r="T176" s="204"/>
    </row>
    <row r="177" spans="17:20">
      <c r="Q177" s="204">
        <v>554</v>
      </c>
      <c r="R177" s="205">
        <v>9.0509297076318395E-3</v>
      </c>
      <c r="S177" s="204"/>
      <c r="T177" s="204"/>
    </row>
    <row r="178" spans="17:20">
      <c r="Q178" s="204">
        <v>555</v>
      </c>
      <c r="R178" s="205">
        <v>9.1388891457799097E-3</v>
      </c>
      <c r="S178" s="204"/>
      <c r="T178" s="204"/>
    </row>
    <row r="179" spans="17:20">
      <c r="Q179" s="204">
        <v>556</v>
      </c>
      <c r="R179" s="205">
        <v>9.2615249841461397E-3</v>
      </c>
      <c r="S179" s="204"/>
      <c r="T179" s="204"/>
    </row>
    <row r="180" spans="17:20">
      <c r="Q180" s="204">
        <v>557</v>
      </c>
      <c r="R180" s="205">
        <v>9.4102555333420608E-3</v>
      </c>
      <c r="S180" s="204"/>
      <c r="T180" s="204"/>
    </row>
    <row r="181" spans="17:20">
      <c r="Q181" s="204">
        <v>558</v>
      </c>
      <c r="R181" s="205">
        <v>9.5070657363161802E-3</v>
      </c>
      <c r="S181" s="204"/>
      <c r="T181" s="204"/>
    </row>
    <row r="182" spans="17:20">
      <c r="Q182" s="204">
        <v>559</v>
      </c>
      <c r="R182" s="205">
        <v>9.6479661467646204E-3</v>
      </c>
      <c r="S182" s="204"/>
      <c r="T182" s="204"/>
    </row>
    <row r="183" spans="17:20">
      <c r="Q183" s="204">
        <v>560</v>
      </c>
      <c r="R183" s="205">
        <v>9.7525402898948291E-3</v>
      </c>
      <c r="S183" s="204"/>
      <c r="T183" s="204"/>
    </row>
    <row r="184" spans="17:20">
      <c r="Q184" s="204">
        <v>561</v>
      </c>
      <c r="R184" s="205">
        <v>9.9199785170573894E-3</v>
      </c>
      <c r="S184" s="204"/>
      <c r="T184" s="204"/>
    </row>
    <row r="185" spans="17:20">
      <c r="Q185" s="204">
        <v>562</v>
      </c>
      <c r="R185" s="205">
        <v>1.00498155819429E-2</v>
      </c>
      <c r="S185" s="204"/>
      <c r="T185" s="204"/>
    </row>
    <row r="186" spans="17:20">
      <c r="Q186" s="204">
        <v>563</v>
      </c>
      <c r="R186" s="205">
        <v>1.01974794550534E-2</v>
      </c>
      <c r="S186" s="204"/>
      <c r="T186" s="204"/>
    </row>
    <row r="187" spans="17:20">
      <c r="Q187" s="204">
        <v>564</v>
      </c>
      <c r="R187" s="205">
        <v>1.03432235163082E-2</v>
      </c>
      <c r="S187" s="204"/>
      <c r="T187" s="204"/>
    </row>
    <row r="188" spans="17:20">
      <c r="Q188" s="204">
        <v>565</v>
      </c>
      <c r="R188" s="205">
        <v>1.0486494265175301E-2</v>
      </c>
      <c r="S188" s="204"/>
      <c r="T188" s="204"/>
    </row>
    <row r="189" spans="17:20">
      <c r="Q189" s="204">
        <v>566</v>
      </c>
      <c r="R189" s="205">
        <v>1.06324897801782E-2</v>
      </c>
      <c r="S189" s="204"/>
      <c r="T189" s="204"/>
    </row>
    <row r="190" spans="17:20">
      <c r="Q190" s="204">
        <v>567</v>
      </c>
      <c r="R190" s="205">
        <v>1.0784926958507199E-2</v>
      </c>
      <c r="S190" s="204"/>
      <c r="T190" s="204"/>
    </row>
    <row r="191" spans="17:20">
      <c r="Q191" s="204">
        <v>568</v>
      </c>
      <c r="R191" s="205">
        <v>1.09200895503106E-2</v>
      </c>
      <c r="S191" s="204"/>
      <c r="T191" s="204"/>
    </row>
    <row r="192" spans="17:20">
      <c r="Q192" s="204">
        <v>569</v>
      </c>
      <c r="R192" s="205">
        <v>1.1066748762253E-2</v>
      </c>
      <c r="S192" s="204"/>
      <c r="T192" s="204"/>
    </row>
    <row r="193" spans="17:20">
      <c r="Q193" s="204">
        <v>570</v>
      </c>
      <c r="R193" s="205">
        <v>1.1168187099239699E-2</v>
      </c>
      <c r="S193" s="204"/>
      <c r="T193" s="204"/>
    </row>
    <row r="194" spans="17:20">
      <c r="Q194" s="204">
        <v>571</v>
      </c>
      <c r="R194" s="205">
        <v>1.1349607599252199E-2</v>
      </c>
      <c r="S194" s="204"/>
      <c r="T194" s="204"/>
    </row>
    <row r="195" spans="17:20">
      <c r="Q195" s="204">
        <v>572</v>
      </c>
      <c r="R195" s="205">
        <v>1.15106113389745E-2</v>
      </c>
      <c r="S195" s="204"/>
      <c r="T195" s="204"/>
    </row>
    <row r="196" spans="17:20">
      <c r="Q196" s="204">
        <v>573</v>
      </c>
      <c r="R196" s="205">
        <v>1.1630287710112E-2</v>
      </c>
      <c r="S196" s="204"/>
      <c r="T196" s="204"/>
    </row>
    <row r="197" spans="17:20">
      <c r="Q197" s="204">
        <v>574</v>
      </c>
      <c r="R197" s="205">
        <v>1.17925531584765E-2</v>
      </c>
      <c r="S197" s="204"/>
      <c r="T197" s="204"/>
    </row>
    <row r="198" spans="17:20">
      <c r="Q198" s="204">
        <v>575</v>
      </c>
      <c r="R198" s="205">
        <v>1.19706194443681E-2</v>
      </c>
      <c r="S198" s="204"/>
      <c r="T198" s="204"/>
    </row>
    <row r="199" spans="17:20">
      <c r="Q199" s="204">
        <v>576</v>
      </c>
      <c r="R199" s="205">
        <v>1.20934993387324E-2</v>
      </c>
      <c r="S199" s="204"/>
      <c r="T199" s="204"/>
    </row>
    <row r="200" spans="17:20">
      <c r="Q200" s="204">
        <v>577</v>
      </c>
      <c r="R200" s="205">
        <v>1.2184590867405899E-2</v>
      </c>
      <c r="S200" s="204"/>
      <c r="T200" s="204"/>
    </row>
    <row r="201" spans="17:20">
      <c r="Q201" s="204">
        <v>578</v>
      </c>
      <c r="R201" s="205">
        <v>1.23226772310557E-2</v>
      </c>
      <c r="S201" s="204"/>
      <c r="T201" s="204"/>
    </row>
    <row r="202" spans="17:20">
      <c r="Q202" s="204">
        <v>579</v>
      </c>
      <c r="R202" s="205">
        <v>1.2504578711937501E-2</v>
      </c>
      <c r="S202" s="204"/>
      <c r="T202" s="204"/>
    </row>
    <row r="203" spans="17:20">
      <c r="Q203" s="204">
        <v>580</v>
      </c>
      <c r="R203" s="205">
        <v>1.25621129443845E-2</v>
      </c>
      <c r="S203" s="204"/>
      <c r="T203" s="204"/>
    </row>
    <row r="204" spans="17:20">
      <c r="Q204" s="204">
        <v>581</v>
      </c>
      <c r="R204" s="205">
        <v>1.2721284942384999E-2</v>
      </c>
      <c r="S204" s="204"/>
      <c r="T204" s="204"/>
    </row>
    <row r="205" spans="17:20">
      <c r="Q205" s="204">
        <v>582</v>
      </c>
      <c r="R205" s="205">
        <v>1.2833979743961801E-2</v>
      </c>
      <c r="S205" s="204"/>
      <c r="T205" s="204"/>
    </row>
    <row r="206" spans="17:20">
      <c r="Q206" s="204">
        <v>583</v>
      </c>
      <c r="R206" s="205">
        <v>1.29597310165241E-2</v>
      </c>
      <c r="S206" s="204"/>
      <c r="T206" s="204"/>
    </row>
    <row r="207" spans="17:20">
      <c r="Q207" s="204">
        <v>584</v>
      </c>
      <c r="R207" s="205">
        <v>1.31006043916583E-2</v>
      </c>
      <c r="S207" s="204"/>
      <c r="T207" s="204"/>
    </row>
    <row r="208" spans="17:20">
      <c r="Q208" s="204">
        <v>585</v>
      </c>
      <c r="R208" s="205">
        <v>1.3192620364484899E-2</v>
      </c>
      <c r="S208" s="204"/>
      <c r="T208" s="204"/>
    </row>
    <row r="209" spans="17:20">
      <c r="Q209" s="204">
        <v>586</v>
      </c>
      <c r="R209" s="205">
        <v>1.3293879481950601E-2</v>
      </c>
      <c r="S209" s="204"/>
      <c r="T209" s="204"/>
    </row>
    <row r="210" spans="17:20">
      <c r="Q210" s="204">
        <v>587</v>
      </c>
      <c r="R210" s="205">
        <v>1.33406522561825E-2</v>
      </c>
      <c r="S210" s="204"/>
      <c r="T210" s="204"/>
    </row>
    <row r="211" spans="17:20">
      <c r="Q211" s="204">
        <v>588</v>
      </c>
      <c r="R211" s="205">
        <v>1.3458043073318901E-2</v>
      </c>
      <c r="S211" s="204"/>
      <c r="T211" s="204"/>
    </row>
    <row r="212" spans="17:20">
      <c r="Q212" s="204">
        <v>589</v>
      </c>
      <c r="R212" s="205">
        <v>1.35853263599736E-2</v>
      </c>
      <c r="S212" s="204"/>
      <c r="T212" s="204"/>
    </row>
    <row r="213" spans="17:20">
      <c r="Q213" s="204">
        <v>590</v>
      </c>
      <c r="R213" s="205">
        <v>1.3634428813994201E-2</v>
      </c>
      <c r="S213" s="204"/>
      <c r="T213" s="204"/>
    </row>
    <row r="214" spans="17:20">
      <c r="Q214" s="204">
        <v>591</v>
      </c>
      <c r="R214" s="205">
        <v>1.37327410336173E-2</v>
      </c>
      <c r="S214" s="204"/>
      <c r="T214" s="204"/>
    </row>
    <row r="215" spans="17:20">
      <c r="Q215" s="204">
        <v>592</v>
      </c>
      <c r="R215" s="205">
        <v>1.37598202820669E-2</v>
      </c>
      <c r="S215" s="204"/>
      <c r="T215" s="204"/>
    </row>
    <row r="216" spans="17:20">
      <c r="Q216" s="204">
        <v>593</v>
      </c>
      <c r="R216" s="205">
        <v>1.3855848505834E-2</v>
      </c>
      <c r="S216" s="204"/>
      <c r="T216" s="204"/>
    </row>
    <row r="217" spans="17:20">
      <c r="Q217" s="204">
        <v>594</v>
      </c>
      <c r="R217" s="205">
        <v>1.38853105580559E-2</v>
      </c>
      <c r="S217" s="204"/>
      <c r="T217" s="204"/>
    </row>
    <row r="218" spans="17:20">
      <c r="Q218" s="204">
        <v>595</v>
      </c>
      <c r="R218" s="205">
        <v>1.3933333022757999E-2</v>
      </c>
      <c r="S218" s="204"/>
      <c r="T218" s="204"/>
    </row>
    <row r="219" spans="17:20">
      <c r="Q219" s="204">
        <v>596</v>
      </c>
      <c r="R219" s="205">
        <v>1.3989218393103299E-2</v>
      </c>
      <c r="S219" s="204"/>
      <c r="T219" s="204"/>
    </row>
    <row r="220" spans="17:20">
      <c r="Q220" s="204">
        <v>597</v>
      </c>
      <c r="R220" s="205">
        <v>1.40115156830041E-2</v>
      </c>
      <c r="S220" s="204"/>
      <c r="T220" s="204"/>
    </row>
    <row r="221" spans="17:20">
      <c r="Q221" s="204">
        <v>598</v>
      </c>
      <c r="R221" s="205">
        <v>1.40125112065297E-2</v>
      </c>
      <c r="S221" s="204"/>
      <c r="T221" s="204"/>
    </row>
    <row r="222" spans="17:20">
      <c r="Q222" s="204">
        <v>599</v>
      </c>
      <c r="R222" s="205">
        <v>1.40366301751879E-2</v>
      </c>
      <c r="S222" s="204"/>
      <c r="T222" s="204"/>
    </row>
    <row r="223" spans="17:20">
      <c r="Q223" s="204">
        <v>600</v>
      </c>
      <c r="R223" s="205">
        <v>1.4060417821595001E-2</v>
      </c>
      <c r="S223" s="204"/>
      <c r="T223" s="204"/>
    </row>
    <row r="224" spans="17:20">
      <c r="Q224" s="204">
        <v>601</v>
      </c>
      <c r="R224" s="205">
        <v>1.40669737796488E-2</v>
      </c>
      <c r="S224" s="204"/>
      <c r="T224" s="204"/>
    </row>
    <row r="225" spans="17:20">
      <c r="Q225" s="204">
        <v>602</v>
      </c>
      <c r="R225" s="205">
        <v>1.4077334646619401E-2</v>
      </c>
      <c r="S225" s="204"/>
      <c r="T225" s="204"/>
    </row>
    <row r="226" spans="17:20">
      <c r="Q226" s="204">
        <v>603</v>
      </c>
      <c r="R226" s="205">
        <v>1.40694473185055E-2</v>
      </c>
      <c r="S226" s="204"/>
      <c r="T226" s="204"/>
    </row>
    <row r="227" spans="17:20">
      <c r="Q227" s="204">
        <v>604</v>
      </c>
      <c r="R227" s="205">
        <v>1.4056267539064899E-2</v>
      </c>
      <c r="S227" s="204"/>
      <c r="T227" s="204"/>
    </row>
    <row r="228" spans="17:20">
      <c r="Q228" s="204">
        <v>605</v>
      </c>
      <c r="R228" s="205">
        <v>1.39809643219659E-2</v>
      </c>
      <c r="S228" s="204"/>
      <c r="T228" s="204"/>
    </row>
    <row r="229" spans="17:20">
      <c r="Q229" s="204">
        <v>606</v>
      </c>
      <c r="R229" s="205">
        <v>1.3980669145312199E-2</v>
      </c>
      <c r="S229" s="204"/>
      <c r="T229" s="204"/>
    </row>
    <row r="230" spans="17:20">
      <c r="Q230" s="204">
        <v>607</v>
      </c>
      <c r="R230" s="205">
        <v>1.39838379133733E-2</v>
      </c>
      <c r="S230" s="204"/>
      <c r="T230" s="204"/>
    </row>
    <row r="231" spans="17:20">
      <c r="Q231" s="204">
        <v>608</v>
      </c>
      <c r="R231" s="205">
        <v>1.3912380151621599E-2</v>
      </c>
      <c r="S231" s="204"/>
      <c r="T231" s="204"/>
    </row>
    <row r="232" spans="17:20">
      <c r="Q232" s="204">
        <v>609</v>
      </c>
      <c r="R232" s="205">
        <v>1.38374014737321E-2</v>
      </c>
      <c r="S232" s="204"/>
      <c r="T232" s="204"/>
    </row>
    <row r="233" spans="17:20">
      <c r="Q233" s="204">
        <v>610</v>
      </c>
      <c r="R233" s="205">
        <v>1.37997509986168E-2</v>
      </c>
      <c r="S233" s="204"/>
      <c r="T233" s="204"/>
    </row>
    <row r="234" spans="17:20">
      <c r="Q234" s="204">
        <v>611</v>
      </c>
      <c r="R234" s="205">
        <v>1.36992669039579E-2</v>
      </c>
      <c r="S234" s="204"/>
      <c r="T234" s="204"/>
    </row>
    <row r="235" spans="17:20">
      <c r="Q235" s="204">
        <v>612</v>
      </c>
      <c r="R235" s="205">
        <v>1.36641850689801E-2</v>
      </c>
      <c r="S235" s="204"/>
      <c r="T235" s="204"/>
    </row>
    <row r="236" spans="17:20">
      <c r="Q236" s="204">
        <v>613</v>
      </c>
      <c r="R236" s="205">
        <v>1.35493843848096E-2</v>
      </c>
      <c r="S236" s="204"/>
      <c r="T236" s="204"/>
    </row>
    <row r="237" spans="17:20">
      <c r="Q237" s="204">
        <v>614</v>
      </c>
      <c r="R237" s="205">
        <v>1.3457470402001201E-2</v>
      </c>
      <c r="S237" s="204"/>
      <c r="T237" s="204"/>
    </row>
    <row r="238" spans="17:20">
      <c r="Q238" s="204">
        <v>615</v>
      </c>
      <c r="R238" s="205">
        <v>1.33752583030778E-2</v>
      </c>
      <c r="S238" s="204"/>
      <c r="T238" s="204"/>
    </row>
    <row r="239" spans="17:20">
      <c r="Q239" s="204">
        <v>616</v>
      </c>
      <c r="R239" s="205">
        <v>1.33175401541379E-2</v>
      </c>
      <c r="S239" s="204"/>
      <c r="T239" s="204"/>
    </row>
    <row r="240" spans="17:20">
      <c r="Q240" s="204">
        <v>617</v>
      </c>
      <c r="R240" s="205">
        <v>1.31846566666751E-2</v>
      </c>
      <c r="S240" s="204"/>
      <c r="T240" s="204"/>
    </row>
    <row r="241" spans="17:20">
      <c r="Q241" s="204">
        <v>618</v>
      </c>
      <c r="R241" s="205">
        <v>1.3102237458844399E-2</v>
      </c>
      <c r="S241" s="204"/>
      <c r="T241" s="204"/>
    </row>
    <row r="242" spans="17:20">
      <c r="Q242" s="204">
        <v>619</v>
      </c>
      <c r="R242" s="205">
        <v>1.2979648929288099E-2</v>
      </c>
      <c r="S242" s="204"/>
      <c r="T242" s="204"/>
    </row>
    <row r="243" spans="17:20">
      <c r="Q243" s="204">
        <v>620</v>
      </c>
      <c r="R243" s="205">
        <v>1.29034168229973E-2</v>
      </c>
      <c r="S243" s="204"/>
      <c r="T243" s="204"/>
    </row>
    <row r="244" spans="17:20">
      <c r="Q244" s="204">
        <v>621</v>
      </c>
      <c r="R244" s="205">
        <v>1.27860577568492E-2</v>
      </c>
      <c r="S244" s="204"/>
      <c r="T244" s="204"/>
    </row>
    <row r="245" spans="17:20">
      <c r="Q245" s="204">
        <v>622</v>
      </c>
      <c r="R245" s="205">
        <v>1.26720956449143E-2</v>
      </c>
      <c r="S245" s="204"/>
      <c r="T245" s="204"/>
    </row>
    <row r="246" spans="17:20">
      <c r="Q246" s="204">
        <v>623</v>
      </c>
      <c r="R246" s="205">
        <v>1.25478665176358E-2</v>
      </c>
      <c r="S246" s="204"/>
      <c r="T246" s="204"/>
    </row>
    <row r="247" spans="17:20">
      <c r="Q247" s="204">
        <v>624</v>
      </c>
      <c r="R247" s="205">
        <v>1.2436483908392399E-2</v>
      </c>
      <c r="S247" s="204"/>
      <c r="T247" s="204"/>
    </row>
    <row r="248" spans="17:20">
      <c r="Q248" s="204">
        <v>625</v>
      </c>
      <c r="R248" s="205">
        <v>1.23024606083624E-2</v>
      </c>
      <c r="S248" s="204"/>
      <c r="T248" s="204"/>
    </row>
    <row r="249" spans="17:20">
      <c r="Q249" s="204">
        <v>626</v>
      </c>
      <c r="R249" s="205">
        <v>1.21699053402322E-2</v>
      </c>
      <c r="S249" s="204"/>
      <c r="T249" s="204"/>
    </row>
    <row r="250" spans="17:20">
      <c r="Q250" s="204">
        <v>627</v>
      </c>
      <c r="R250" s="205">
        <v>1.20886421657776E-2</v>
      </c>
      <c r="S250" s="204"/>
      <c r="T250" s="204"/>
    </row>
    <row r="251" spans="17:20">
      <c r="Q251" s="204">
        <v>628</v>
      </c>
      <c r="R251" s="205">
        <v>1.1909413965724E-2</v>
      </c>
      <c r="S251" s="204"/>
      <c r="T251" s="204"/>
    </row>
    <row r="252" spans="17:20">
      <c r="Q252" s="204">
        <v>629</v>
      </c>
      <c r="R252" s="205">
        <v>1.1764364682935499E-2</v>
      </c>
      <c r="S252" s="204"/>
      <c r="T252" s="204"/>
    </row>
    <row r="253" spans="17:20">
      <c r="Q253" s="204">
        <v>630</v>
      </c>
      <c r="R253" s="205">
        <v>1.1605420591333101E-2</v>
      </c>
      <c r="S253" s="204"/>
      <c r="T253" s="204"/>
    </row>
    <row r="254" spans="17:20">
      <c r="Q254" s="204">
        <v>631</v>
      </c>
      <c r="R254" s="205">
        <v>1.14890503478385E-2</v>
      </c>
      <c r="S254" s="204"/>
      <c r="T254" s="204"/>
    </row>
    <row r="255" spans="17:20">
      <c r="Q255" s="204">
        <v>632</v>
      </c>
      <c r="R255" s="205">
        <v>1.1345450356016199E-2</v>
      </c>
      <c r="S255" s="204"/>
      <c r="T255" s="204"/>
    </row>
    <row r="256" spans="17:20">
      <c r="Q256" s="204">
        <v>633</v>
      </c>
      <c r="R256" s="205">
        <v>1.11832802634871E-2</v>
      </c>
      <c r="S256" s="204"/>
      <c r="T256" s="204"/>
    </row>
    <row r="257" spans="17:20">
      <c r="Q257" s="204">
        <v>634</v>
      </c>
      <c r="R257" s="205">
        <v>1.10382670884118E-2</v>
      </c>
      <c r="S257" s="204"/>
      <c r="T257" s="204"/>
    </row>
    <row r="258" spans="17:20">
      <c r="Q258" s="204">
        <v>635</v>
      </c>
      <c r="R258" s="205">
        <v>1.08625798401256E-2</v>
      </c>
      <c r="S258" s="204"/>
      <c r="T258" s="204"/>
    </row>
    <row r="259" spans="17:20">
      <c r="Q259" s="204">
        <v>636</v>
      </c>
      <c r="R259" s="205">
        <v>1.07007291055338E-2</v>
      </c>
      <c r="S259" s="204"/>
      <c r="T259" s="204"/>
    </row>
    <row r="260" spans="17:20">
      <c r="Q260" s="204">
        <v>637</v>
      </c>
      <c r="R260" s="205">
        <v>1.0575888434429999E-2</v>
      </c>
      <c r="S260" s="204"/>
      <c r="T260" s="204"/>
    </row>
    <row r="261" spans="17:20">
      <c r="Q261" s="204">
        <v>638</v>
      </c>
      <c r="R261" s="205">
        <v>1.04225225993469E-2</v>
      </c>
      <c r="S261" s="204"/>
      <c r="T261" s="204"/>
    </row>
    <row r="262" spans="17:20">
      <c r="Q262" s="204">
        <v>639</v>
      </c>
      <c r="R262" s="205">
        <v>1.02332890657172E-2</v>
      </c>
      <c r="S262" s="204"/>
      <c r="T262" s="204"/>
    </row>
    <row r="263" spans="17:20">
      <c r="Q263" s="204">
        <v>640</v>
      </c>
      <c r="R263" s="205">
        <v>1.0044356279138701E-2</v>
      </c>
      <c r="S263" s="204"/>
      <c r="T263" s="204"/>
    </row>
    <row r="264" spans="17:20">
      <c r="Q264" s="204">
        <v>641</v>
      </c>
      <c r="R264" s="205">
        <v>9.8958910904929295E-3</v>
      </c>
      <c r="S264" s="204"/>
      <c r="T264" s="204"/>
    </row>
    <row r="265" spans="17:20">
      <c r="Q265" s="204">
        <v>642</v>
      </c>
      <c r="R265" s="205">
        <v>9.7627807754295803E-3</v>
      </c>
      <c r="S265" s="204"/>
      <c r="T265" s="204"/>
    </row>
    <row r="266" spans="17:20">
      <c r="Q266" s="204">
        <v>643</v>
      </c>
      <c r="R266" s="205">
        <v>9.6225171856573095E-3</v>
      </c>
      <c r="S266" s="204"/>
      <c r="T266" s="204"/>
    </row>
    <row r="267" spans="17:20">
      <c r="Q267" s="204">
        <v>644</v>
      </c>
      <c r="R267" s="205">
        <v>9.4568288683052493E-3</v>
      </c>
      <c r="S267" s="204"/>
      <c r="T267" s="204"/>
    </row>
    <row r="268" spans="17:20">
      <c r="Q268" s="204">
        <v>645</v>
      </c>
      <c r="R268" s="205">
        <v>9.2831564360812396E-3</v>
      </c>
      <c r="S268" s="204"/>
      <c r="T268" s="204"/>
    </row>
    <row r="269" spans="17:20">
      <c r="Q269" s="204">
        <v>646</v>
      </c>
      <c r="R269" s="205">
        <v>9.1185240546465592E-3</v>
      </c>
      <c r="S269" s="204"/>
      <c r="T269" s="204"/>
    </row>
    <row r="270" spans="17:20">
      <c r="Q270" s="204">
        <v>647</v>
      </c>
      <c r="R270" s="205">
        <v>8.9670151524018499E-3</v>
      </c>
      <c r="S270" s="204"/>
      <c r="T270" s="204"/>
    </row>
    <row r="271" spans="17:20">
      <c r="Q271" s="204">
        <v>648</v>
      </c>
      <c r="R271" s="205">
        <v>8.7927317509017503E-3</v>
      </c>
      <c r="S271" s="204"/>
      <c r="T271" s="204"/>
    </row>
    <row r="272" spans="17:20">
      <c r="Q272" s="204">
        <v>649</v>
      </c>
      <c r="R272" s="205">
        <v>8.6161993444015001E-3</v>
      </c>
      <c r="S272" s="204"/>
      <c r="T272" s="204"/>
    </row>
    <row r="273" spans="17:20">
      <c r="Q273" s="204">
        <v>650</v>
      </c>
      <c r="R273" s="205">
        <v>8.4872033638581593E-3</v>
      </c>
      <c r="S273" s="204"/>
      <c r="T273" s="204"/>
    </row>
    <row r="274" spans="17:20">
      <c r="Q274" s="204">
        <v>651</v>
      </c>
      <c r="R274" s="205">
        <v>8.3385951005675394E-3</v>
      </c>
      <c r="S274" s="204"/>
      <c r="T274" s="204"/>
    </row>
    <row r="275" spans="17:20">
      <c r="Q275" s="204">
        <v>652</v>
      </c>
      <c r="R275" s="205">
        <v>8.2079247129007594E-3</v>
      </c>
      <c r="S275" s="204"/>
      <c r="T275" s="204"/>
    </row>
    <row r="276" spans="17:20">
      <c r="Q276" s="204">
        <v>653</v>
      </c>
      <c r="R276" s="205">
        <v>8.0611083988376894E-3</v>
      </c>
      <c r="S276" s="204"/>
      <c r="T276" s="204"/>
    </row>
    <row r="277" spans="17:20">
      <c r="Q277" s="204">
        <v>654</v>
      </c>
      <c r="R277" s="205">
        <v>7.9020203223405406E-3</v>
      </c>
      <c r="S277" s="204"/>
      <c r="T277" s="204"/>
    </row>
    <row r="278" spans="17:20">
      <c r="Q278" s="204">
        <v>655</v>
      </c>
      <c r="R278" s="205">
        <v>7.7501760888327199E-3</v>
      </c>
      <c r="S278" s="204"/>
      <c r="T278" s="204"/>
    </row>
    <row r="279" spans="17:20">
      <c r="Q279" s="204">
        <v>656</v>
      </c>
      <c r="R279" s="205">
        <v>7.5968898138691803E-3</v>
      </c>
      <c r="S279" s="204"/>
      <c r="T279" s="204"/>
    </row>
    <row r="280" spans="17:20">
      <c r="Q280" s="204">
        <v>657</v>
      </c>
      <c r="R280" s="205">
        <v>7.45697255915884E-3</v>
      </c>
      <c r="S280" s="204"/>
      <c r="T280" s="204"/>
    </row>
    <row r="281" spans="17:20">
      <c r="Q281" s="204">
        <v>658</v>
      </c>
      <c r="R281" s="205">
        <v>7.3219708456623003E-3</v>
      </c>
      <c r="S281" s="204"/>
      <c r="T281" s="204"/>
    </row>
    <row r="282" spans="17:20">
      <c r="Q282" s="204">
        <v>659</v>
      </c>
      <c r="R282" s="205">
        <v>7.1451078733783101E-3</v>
      </c>
      <c r="S282" s="204"/>
      <c r="T282" s="204"/>
    </row>
    <row r="283" spans="17:20">
      <c r="Q283" s="204">
        <v>660</v>
      </c>
      <c r="R283" s="205">
        <v>7.0102658246127096E-3</v>
      </c>
      <c r="S283" s="204"/>
      <c r="T283" s="204"/>
    </row>
    <row r="284" spans="17:20">
      <c r="Q284" s="204">
        <v>661</v>
      </c>
      <c r="R284" s="205">
        <v>6.88810571070531E-3</v>
      </c>
      <c r="S284" s="204"/>
      <c r="T284" s="204"/>
    </row>
    <row r="285" spans="17:20">
      <c r="Q285" s="204">
        <v>662</v>
      </c>
      <c r="R285" s="205">
        <v>6.7575647652645598E-3</v>
      </c>
      <c r="S285" s="204"/>
      <c r="T285" s="204"/>
    </row>
    <row r="286" spans="17:20">
      <c r="Q286" s="204">
        <v>663</v>
      </c>
      <c r="R286" s="205">
        <v>6.6140614933700098E-3</v>
      </c>
      <c r="S286" s="204"/>
      <c r="T286" s="204"/>
    </row>
    <row r="287" spans="17:20">
      <c r="Q287" s="204">
        <v>664</v>
      </c>
      <c r="R287" s="205">
        <v>6.4469475791569296E-3</v>
      </c>
      <c r="S287" s="204"/>
      <c r="T287" s="204"/>
    </row>
    <row r="288" spans="17:20">
      <c r="Q288" s="204">
        <v>665</v>
      </c>
      <c r="R288" s="205">
        <v>6.3446280579365901E-3</v>
      </c>
      <c r="S288" s="204"/>
      <c r="T288" s="204"/>
    </row>
    <row r="289" spans="17:20">
      <c r="Q289" s="204">
        <v>666</v>
      </c>
      <c r="R289" s="205">
        <v>6.1822381606307601E-3</v>
      </c>
      <c r="S289" s="204"/>
      <c r="T289" s="204"/>
    </row>
    <row r="290" spans="17:20">
      <c r="Q290" s="204">
        <v>667</v>
      </c>
      <c r="R290" s="205">
        <v>6.0645525615523896E-3</v>
      </c>
      <c r="S290" s="204"/>
      <c r="T290" s="204"/>
    </row>
    <row r="291" spans="17:20">
      <c r="Q291" s="204">
        <v>668</v>
      </c>
      <c r="R291" s="205">
        <v>5.9335415323419098E-3</v>
      </c>
      <c r="S291" s="204"/>
      <c r="T291" s="204"/>
    </row>
    <row r="292" spans="17:20">
      <c r="Q292" s="204">
        <v>669</v>
      </c>
      <c r="R292" s="205">
        <v>5.8072198331405502E-3</v>
      </c>
      <c r="S292" s="204"/>
      <c r="T292" s="204"/>
    </row>
    <row r="293" spans="17:20">
      <c r="Q293" s="204">
        <v>670</v>
      </c>
      <c r="R293" s="205">
        <v>5.6854588381464698E-3</v>
      </c>
      <c r="S293" s="204"/>
      <c r="T293" s="204"/>
    </row>
    <row r="294" spans="17:20">
      <c r="Q294" s="204">
        <v>671</v>
      </c>
      <c r="R294" s="205">
        <v>5.5623622287347104E-3</v>
      </c>
      <c r="S294" s="204"/>
      <c r="T294" s="204"/>
    </row>
    <row r="295" spans="17:20">
      <c r="Q295" s="204">
        <v>672</v>
      </c>
      <c r="R295" s="205">
        <v>5.42531580289486E-3</v>
      </c>
      <c r="S295" s="204"/>
      <c r="T295" s="204"/>
    </row>
    <row r="296" spans="17:20">
      <c r="Q296" s="204">
        <v>673</v>
      </c>
      <c r="R296" s="205">
        <v>5.31151248810122E-3</v>
      </c>
      <c r="S296" s="204"/>
      <c r="T296" s="204"/>
    </row>
    <row r="297" spans="17:20">
      <c r="Q297" s="204">
        <v>674</v>
      </c>
      <c r="R297" s="205">
        <v>5.1744390569943496E-3</v>
      </c>
      <c r="S297" s="204"/>
      <c r="T297" s="204"/>
    </row>
    <row r="298" spans="17:20">
      <c r="Q298" s="204">
        <v>675</v>
      </c>
      <c r="R298" s="205">
        <v>5.0549520972781297E-3</v>
      </c>
      <c r="S298" s="204"/>
      <c r="T298" s="204"/>
    </row>
    <row r="299" spans="17:20">
      <c r="Q299" s="204">
        <v>676</v>
      </c>
      <c r="R299" s="205">
        <v>4.9283044591529601E-3</v>
      </c>
      <c r="S299" s="204"/>
      <c r="T299" s="204"/>
    </row>
    <row r="300" spans="17:20">
      <c r="Q300" s="204">
        <v>677</v>
      </c>
      <c r="R300" s="205">
        <v>4.8292298735582804E-3</v>
      </c>
      <c r="S300" s="204"/>
      <c r="T300" s="204"/>
    </row>
    <row r="301" spans="17:20">
      <c r="Q301" s="204">
        <v>678</v>
      </c>
      <c r="R301" s="205">
        <v>4.7160876409466004E-3</v>
      </c>
      <c r="S301" s="204"/>
      <c r="T301" s="204"/>
    </row>
    <row r="302" spans="17:20">
      <c r="Q302" s="204">
        <v>679</v>
      </c>
      <c r="R302" s="205">
        <v>4.5967517501366902E-3</v>
      </c>
      <c r="S302" s="204"/>
      <c r="T302" s="204"/>
    </row>
    <row r="303" spans="17:20">
      <c r="Q303" s="204">
        <v>680</v>
      </c>
      <c r="R303" s="205">
        <v>4.4922856826055298E-3</v>
      </c>
      <c r="S303" s="204"/>
      <c r="T303" s="204"/>
    </row>
    <row r="304" spans="17:20">
      <c r="Q304" s="204">
        <v>681</v>
      </c>
      <c r="R304" s="205">
        <v>4.3824454876543904E-3</v>
      </c>
      <c r="S304" s="204"/>
      <c r="T304" s="204"/>
    </row>
    <row r="305" spans="17:20">
      <c r="Q305" s="204">
        <v>682</v>
      </c>
      <c r="R305" s="205">
        <v>4.2737098271238604E-3</v>
      </c>
      <c r="S305" s="204"/>
      <c r="T305" s="204"/>
    </row>
    <row r="306" spans="17:20">
      <c r="Q306" s="204">
        <v>683</v>
      </c>
      <c r="R306" s="205">
        <v>4.1747822094858403E-3</v>
      </c>
      <c r="S306" s="204"/>
      <c r="T306" s="204"/>
    </row>
    <row r="307" spans="17:20">
      <c r="Q307" s="204">
        <v>684</v>
      </c>
      <c r="R307" s="205">
        <v>4.0658157011195899E-3</v>
      </c>
      <c r="S307" s="204"/>
      <c r="T307" s="204"/>
    </row>
    <row r="308" spans="17:20">
      <c r="Q308" s="204">
        <v>685</v>
      </c>
      <c r="R308" s="205">
        <v>3.9699136191954504E-3</v>
      </c>
      <c r="S308" s="204"/>
      <c r="T308" s="204"/>
    </row>
    <row r="309" spans="17:20">
      <c r="Q309" s="204">
        <v>686</v>
      </c>
      <c r="R309" s="205">
        <v>3.8750496089927102E-3</v>
      </c>
      <c r="S309" s="204"/>
      <c r="T309" s="204"/>
    </row>
    <row r="310" spans="17:20">
      <c r="Q310" s="204">
        <v>687</v>
      </c>
      <c r="R310" s="205">
        <v>3.7932412571094502E-3</v>
      </c>
      <c r="S310" s="204"/>
      <c r="T310" s="204"/>
    </row>
    <row r="311" spans="17:20">
      <c r="Q311" s="204">
        <v>688</v>
      </c>
      <c r="R311" s="205">
        <v>3.7091811772248999E-3</v>
      </c>
      <c r="S311" s="204"/>
      <c r="T311" s="204"/>
    </row>
    <row r="312" spans="17:20">
      <c r="Q312" s="204">
        <v>689</v>
      </c>
      <c r="R312" s="205">
        <v>3.6112227672648301E-3</v>
      </c>
      <c r="S312" s="204"/>
      <c r="T312" s="204"/>
    </row>
    <row r="313" spans="17:20">
      <c r="Q313" s="204">
        <v>690</v>
      </c>
      <c r="R313" s="205">
        <v>3.5221647879074402E-3</v>
      </c>
      <c r="S313" s="204"/>
      <c r="T313" s="204"/>
    </row>
    <row r="314" spans="17:20">
      <c r="Q314" s="204">
        <v>691</v>
      </c>
      <c r="R314" s="205">
        <v>3.4297717562303399E-3</v>
      </c>
      <c r="S314" s="204"/>
      <c r="T314" s="204"/>
    </row>
    <row r="315" spans="17:20">
      <c r="Q315" s="204">
        <v>692</v>
      </c>
      <c r="R315" s="205">
        <v>3.35565831701477E-3</v>
      </c>
      <c r="S315" s="204"/>
      <c r="T315" s="204"/>
    </row>
    <row r="316" spans="17:20">
      <c r="Q316" s="204">
        <v>693</v>
      </c>
      <c r="R316" s="205">
        <v>3.2546078398136501E-3</v>
      </c>
      <c r="S316" s="204"/>
      <c r="T316" s="204"/>
    </row>
    <row r="317" spans="17:20">
      <c r="Q317" s="204">
        <v>694</v>
      </c>
      <c r="R317" s="205">
        <v>3.1748201247101299E-3</v>
      </c>
      <c r="S317" s="204"/>
      <c r="T317" s="204"/>
    </row>
    <row r="318" spans="17:20">
      <c r="Q318" s="204">
        <v>695</v>
      </c>
      <c r="R318" s="205">
        <v>3.09127406913399E-3</v>
      </c>
      <c r="S318" s="204"/>
      <c r="T318" s="204"/>
    </row>
    <row r="319" spans="17:20">
      <c r="Q319" s="204">
        <v>696</v>
      </c>
      <c r="R319" s="205">
        <v>3.0181705880402299E-3</v>
      </c>
      <c r="S319" s="204"/>
      <c r="T319" s="204"/>
    </row>
    <row r="320" spans="17:20">
      <c r="Q320" s="204">
        <v>697</v>
      </c>
      <c r="R320" s="205">
        <v>2.9405375205699899E-3</v>
      </c>
      <c r="S320" s="204"/>
      <c r="T320" s="204"/>
    </row>
    <row r="321" spans="17:20">
      <c r="Q321" s="204">
        <v>698</v>
      </c>
      <c r="R321" s="205">
        <v>2.86412074193565E-3</v>
      </c>
      <c r="S321" s="204"/>
      <c r="T321" s="204"/>
    </row>
    <row r="322" spans="17:20">
      <c r="Q322" s="204">
        <v>699</v>
      </c>
      <c r="R322" s="205">
        <v>2.79078851701501E-3</v>
      </c>
      <c r="S322" s="204"/>
      <c r="T322" s="204"/>
    </row>
    <row r="323" spans="17:20">
      <c r="Q323" s="204">
        <v>700</v>
      </c>
      <c r="R323" s="205">
        <v>2.7182385016267601E-3</v>
      </c>
      <c r="S323" s="204"/>
      <c r="T323" s="204"/>
    </row>
    <row r="324" spans="17:20">
      <c r="Q324" s="204">
        <v>701</v>
      </c>
      <c r="R324" s="205">
        <v>2.6542816668903E-3</v>
      </c>
      <c r="S324" s="204"/>
      <c r="T324" s="204"/>
    </row>
    <row r="325" spans="17:20">
      <c r="Q325" s="204">
        <v>702</v>
      </c>
      <c r="R325" s="205">
        <v>2.5855061010782799E-3</v>
      </c>
      <c r="S325" s="204"/>
      <c r="T325" s="204"/>
    </row>
    <row r="326" spans="17:20">
      <c r="Q326" s="204">
        <v>703</v>
      </c>
      <c r="R326" s="205">
        <v>2.51024627777326E-3</v>
      </c>
      <c r="S326" s="204"/>
      <c r="T326" s="204"/>
    </row>
    <row r="327" spans="17:20">
      <c r="Q327" s="204">
        <v>704</v>
      </c>
      <c r="R327" s="205">
        <v>2.4458083639308098E-3</v>
      </c>
      <c r="S327" s="204"/>
      <c r="T327" s="204"/>
    </row>
    <row r="328" spans="17:20">
      <c r="Q328" s="204">
        <v>705</v>
      </c>
      <c r="R328" s="205">
        <v>2.3692224170342598E-3</v>
      </c>
      <c r="S328" s="204"/>
      <c r="T328" s="204"/>
    </row>
    <row r="329" spans="17:20">
      <c r="Q329" s="204">
        <v>706</v>
      </c>
      <c r="R329" s="205">
        <v>2.3173595834111E-3</v>
      </c>
      <c r="S329" s="204"/>
      <c r="T329" s="204"/>
    </row>
    <row r="330" spans="17:20">
      <c r="Q330" s="204">
        <v>707</v>
      </c>
      <c r="R330" s="205">
        <v>2.2612436508927598E-3</v>
      </c>
      <c r="S330" s="204"/>
      <c r="T330" s="204"/>
    </row>
    <row r="331" spans="17:20">
      <c r="Q331" s="204">
        <v>708</v>
      </c>
      <c r="R331" s="205">
        <v>2.2011936483428002E-3</v>
      </c>
      <c r="S331" s="204"/>
      <c r="T331" s="204"/>
    </row>
    <row r="332" spans="17:20">
      <c r="Q332" s="204">
        <v>709</v>
      </c>
      <c r="R332" s="205">
        <v>2.1457461613279901E-3</v>
      </c>
      <c r="S332" s="204"/>
      <c r="T332" s="204"/>
    </row>
    <row r="333" spans="17:20">
      <c r="Q333" s="204">
        <v>710</v>
      </c>
      <c r="R333" s="205">
        <v>2.0848494228192099E-3</v>
      </c>
      <c r="S333" s="204"/>
      <c r="T333" s="204"/>
    </row>
    <row r="334" spans="17:20">
      <c r="Q334" s="204">
        <v>711</v>
      </c>
      <c r="R334" s="205">
        <v>2.0312440240678E-3</v>
      </c>
      <c r="S334" s="204"/>
      <c r="T334" s="204"/>
    </row>
    <row r="335" spans="17:20">
      <c r="Q335" s="204">
        <v>712</v>
      </c>
      <c r="R335" s="205">
        <v>1.97900601801748E-3</v>
      </c>
      <c r="S335" s="204"/>
      <c r="T335" s="204"/>
    </row>
    <row r="336" spans="17:20">
      <c r="Q336" s="204">
        <v>713</v>
      </c>
      <c r="R336" s="205">
        <v>1.91961911599111E-3</v>
      </c>
      <c r="S336" s="204"/>
      <c r="T336" s="204"/>
    </row>
    <row r="337" spans="17:20">
      <c r="Q337" s="204">
        <v>714</v>
      </c>
      <c r="R337" s="205">
        <v>1.8773098297031701E-3</v>
      </c>
      <c r="S337" s="204"/>
      <c r="T337" s="204"/>
    </row>
    <row r="338" spans="17:20">
      <c r="Q338" s="204">
        <v>715</v>
      </c>
      <c r="R338" s="205">
        <v>1.8197883261768799E-3</v>
      </c>
      <c r="S338" s="204"/>
      <c r="T338" s="204"/>
    </row>
    <row r="339" spans="17:20">
      <c r="Q339" s="204">
        <v>716</v>
      </c>
      <c r="R339" s="205">
        <v>1.7696973417685E-3</v>
      </c>
      <c r="S339" s="204"/>
      <c r="T339" s="204"/>
    </row>
    <row r="340" spans="17:20">
      <c r="Q340" s="204">
        <v>717</v>
      </c>
      <c r="R340" s="205">
        <v>1.72426551079709E-3</v>
      </c>
      <c r="S340" s="204"/>
      <c r="T340" s="204"/>
    </row>
    <row r="341" spans="17:20">
      <c r="Q341" s="204">
        <v>718</v>
      </c>
      <c r="R341" s="205">
        <v>1.67526452909727E-3</v>
      </c>
      <c r="S341" s="204"/>
      <c r="T341" s="204"/>
    </row>
    <row r="342" spans="17:20">
      <c r="Q342" s="204">
        <v>719</v>
      </c>
      <c r="R342" s="205">
        <v>1.6361329741826701E-3</v>
      </c>
      <c r="S342" s="204"/>
      <c r="T342" s="204"/>
    </row>
    <row r="343" spans="17:20">
      <c r="Q343" s="204">
        <v>720</v>
      </c>
      <c r="R343" s="205">
        <v>1.58743749347293E-3</v>
      </c>
      <c r="S343" s="204"/>
      <c r="T343" s="204"/>
    </row>
    <row r="344" spans="17:20">
      <c r="Q344" s="204">
        <v>721</v>
      </c>
      <c r="R344" s="205">
        <v>1.54249183333267E-3</v>
      </c>
      <c r="S344" s="204"/>
      <c r="T344" s="204"/>
    </row>
    <row r="345" spans="17:20">
      <c r="Q345" s="204">
        <v>722</v>
      </c>
      <c r="R345" s="205">
        <v>1.50537052441471E-3</v>
      </c>
      <c r="S345" s="204"/>
      <c r="T345" s="204"/>
    </row>
    <row r="346" spans="17:20">
      <c r="Q346" s="204">
        <v>723</v>
      </c>
      <c r="R346" s="205">
        <v>1.4568809618923299E-3</v>
      </c>
      <c r="S346" s="204"/>
      <c r="T346" s="204"/>
    </row>
    <row r="347" spans="17:20">
      <c r="Q347" s="204">
        <v>724</v>
      </c>
      <c r="R347" s="205">
        <v>1.4211938434799099E-3</v>
      </c>
      <c r="S347" s="204"/>
      <c r="T347" s="204"/>
    </row>
    <row r="348" spans="17:20">
      <c r="Q348" s="204">
        <v>725</v>
      </c>
      <c r="R348" s="205">
        <v>1.38225227206883E-3</v>
      </c>
      <c r="S348" s="204"/>
      <c r="T348" s="204"/>
    </row>
    <row r="349" spans="17:20">
      <c r="Q349" s="204">
        <v>726</v>
      </c>
      <c r="R349" s="205">
        <v>1.3407402483131001E-3</v>
      </c>
      <c r="S349" s="204"/>
      <c r="T349" s="204"/>
    </row>
    <row r="350" spans="17:20">
      <c r="Q350" s="204">
        <v>727</v>
      </c>
      <c r="R350" s="205">
        <v>1.31061689071548E-3</v>
      </c>
      <c r="S350" s="204"/>
      <c r="T350" s="204"/>
    </row>
    <row r="351" spans="17:20">
      <c r="Q351" s="204">
        <v>728</v>
      </c>
      <c r="R351" s="205">
        <v>1.26778710685154E-3</v>
      </c>
      <c r="S351" s="204"/>
      <c r="T351" s="204"/>
    </row>
    <row r="352" spans="17:20">
      <c r="Q352" s="204">
        <v>729</v>
      </c>
      <c r="R352" s="205">
        <v>1.2356883170786101E-3</v>
      </c>
      <c r="S352" s="204"/>
      <c r="T352" s="204"/>
    </row>
    <row r="353" spans="17:20">
      <c r="Q353" s="204">
        <v>730</v>
      </c>
      <c r="R353" s="205">
        <v>1.20309052849101E-3</v>
      </c>
      <c r="S353" s="204"/>
      <c r="T353" s="204"/>
    </row>
    <row r="354" spans="17:20">
      <c r="Q354" s="204">
        <v>731</v>
      </c>
      <c r="R354" s="205">
        <v>1.16291189320011E-3</v>
      </c>
      <c r="S354" s="204"/>
      <c r="T354" s="204"/>
    </row>
    <row r="355" spans="17:20">
      <c r="Q355" s="204">
        <v>732</v>
      </c>
      <c r="R355" s="205">
        <v>1.1337118095171501E-3</v>
      </c>
      <c r="S355" s="204"/>
      <c r="T355" s="204"/>
    </row>
    <row r="356" spans="17:20">
      <c r="Q356" s="204">
        <v>733</v>
      </c>
      <c r="R356" s="205">
        <v>1.0992598460670699E-3</v>
      </c>
      <c r="S356" s="204"/>
      <c r="T356" s="204"/>
    </row>
    <row r="357" spans="17:20">
      <c r="Q357" s="204">
        <v>734</v>
      </c>
      <c r="R357" s="205">
        <v>1.0708194508521601E-3</v>
      </c>
      <c r="S357" s="204"/>
      <c r="T357" s="204"/>
    </row>
    <row r="358" spans="17:20">
      <c r="Q358" s="204">
        <v>735</v>
      </c>
      <c r="R358" s="205">
        <v>1.0327210198580699E-3</v>
      </c>
      <c r="S358" s="204"/>
      <c r="T358" s="204"/>
    </row>
    <row r="359" spans="17:20">
      <c r="Q359" s="204">
        <v>736</v>
      </c>
      <c r="R359" s="205">
        <v>1.0104032923906E-3</v>
      </c>
      <c r="S359" s="204"/>
      <c r="T359" s="204"/>
    </row>
    <row r="360" spans="17:20">
      <c r="Q360" s="204">
        <v>737</v>
      </c>
      <c r="R360" s="205">
        <v>9.8803777030825705E-4</v>
      </c>
      <c r="S360" s="204"/>
      <c r="T360" s="204"/>
    </row>
    <row r="361" spans="17:20">
      <c r="Q361" s="204">
        <v>738</v>
      </c>
      <c r="R361" s="205">
        <v>9.5726680499479903E-4</v>
      </c>
      <c r="S361" s="204"/>
      <c r="T361" s="204"/>
    </row>
    <row r="362" spans="17:20">
      <c r="Q362" s="204">
        <v>739</v>
      </c>
      <c r="R362" s="205">
        <v>9.2695639185840005E-4</v>
      </c>
      <c r="S362" s="204"/>
      <c r="T362" s="204"/>
    </row>
    <row r="363" spans="17:20">
      <c r="Q363" s="204">
        <v>740</v>
      </c>
      <c r="R363" s="205">
        <v>9.0469958092995E-4</v>
      </c>
      <c r="S363" s="204"/>
      <c r="T363" s="204"/>
    </row>
    <row r="364" spans="17:20">
      <c r="Q364" s="204">
        <v>741</v>
      </c>
      <c r="R364" s="205">
        <v>8.7824613467367397E-4</v>
      </c>
      <c r="S364" s="204"/>
      <c r="T364" s="204"/>
    </row>
    <row r="365" spans="17:20">
      <c r="Q365" s="204">
        <v>742</v>
      </c>
      <c r="R365" s="205">
        <v>8.5200157822916097E-4</v>
      </c>
      <c r="S365" s="204"/>
      <c r="T365" s="204"/>
    </row>
    <row r="366" spans="17:20">
      <c r="Q366" s="204">
        <v>743</v>
      </c>
      <c r="R366" s="205">
        <v>8.2931448140223399E-4</v>
      </c>
      <c r="S366" s="204"/>
      <c r="T366" s="204"/>
    </row>
    <row r="367" spans="17:20">
      <c r="Q367" s="204">
        <v>744</v>
      </c>
      <c r="R367" s="205">
        <v>8.0382040269491898E-4</v>
      </c>
      <c r="S367" s="204"/>
      <c r="T367" s="204"/>
    </row>
    <row r="368" spans="17:20">
      <c r="Q368" s="204">
        <v>745</v>
      </c>
      <c r="R368" s="205">
        <v>7.85885878178707E-4</v>
      </c>
      <c r="S368" s="204"/>
      <c r="T368" s="204"/>
    </row>
    <row r="369" spans="17:20">
      <c r="Q369" s="204">
        <v>746</v>
      </c>
      <c r="R369" s="205">
        <v>7.66204652569303E-4</v>
      </c>
      <c r="S369" s="204"/>
      <c r="T369" s="204"/>
    </row>
    <row r="370" spans="17:20">
      <c r="Q370" s="204">
        <v>747</v>
      </c>
      <c r="R370" s="205">
        <v>7.4093703257093304E-4</v>
      </c>
      <c r="S370" s="204"/>
      <c r="T370" s="204"/>
    </row>
    <row r="371" spans="17:20">
      <c r="Q371" s="204">
        <v>748</v>
      </c>
      <c r="R371" s="205">
        <v>7.2442848152340703E-4</v>
      </c>
      <c r="S371" s="204"/>
      <c r="T371" s="204"/>
    </row>
    <row r="372" spans="17:20">
      <c r="Q372" s="204">
        <v>749</v>
      </c>
      <c r="R372" s="205">
        <v>7.0321144636905199E-4</v>
      </c>
      <c r="S372" s="204"/>
      <c r="T372" s="204"/>
    </row>
    <row r="373" spans="17:20">
      <c r="Q373" s="204">
        <v>750</v>
      </c>
      <c r="R373" s="205">
        <v>6.8472437115487295E-4</v>
      </c>
      <c r="S373" s="204"/>
      <c r="T373" s="204"/>
    </row>
    <row r="374" spans="17:20">
      <c r="Q374" s="204">
        <v>751</v>
      </c>
      <c r="R374" s="205">
        <v>6.6442293745883302E-4</v>
      </c>
      <c r="S374" s="204"/>
      <c r="T374" s="204"/>
    </row>
    <row r="375" spans="17:20">
      <c r="Q375" s="204">
        <v>752</v>
      </c>
      <c r="R375" s="205">
        <v>6.4878993284004098E-4</v>
      </c>
      <c r="S375" s="204"/>
      <c r="T375" s="204"/>
    </row>
    <row r="376" spans="17:20">
      <c r="Q376" s="204">
        <v>753</v>
      </c>
      <c r="R376" s="205">
        <v>6.3432525305117499E-4</v>
      </c>
      <c r="S376" s="204"/>
      <c r="T376" s="204"/>
    </row>
    <row r="377" spans="17:20">
      <c r="Q377" s="204">
        <v>754</v>
      </c>
      <c r="R377" s="205">
        <v>6.1726625748981701E-4</v>
      </c>
      <c r="S377" s="204"/>
      <c r="T377" s="204"/>
    </row>
    <row r="378" spans="17:20">
      <c r="Q378" s="204">
        <v>755</v>
      </c>
      <c r="R378" s="205">
        <v>5.9566915913701504E-4</v>
      </c>
      <c r="S378" s="204"/>
      <c r="T378" s="204"/>
    </row>
    <row r="379" spans="17:20">
      <c r="Q379" s="204">
        <v>756</v>
      </c>
      <c r="R379" s="205">
        <v>5.8094698403299305E-4</v>
      </c>
      <c r="S379" s="204"/>
      <c r="T379" s="204"/>
    </row>
    <row r="380" spans="17:20">
      <c r="Q380" s="204">
        <v>757</v>
      </c>
      <c r="R380" s="205">
        <v>5.6862630841026296E-4</v>
      </c>
      <c r="S380" s="204"/>
      <c r="T380" s="204"/>
    </row>
    <row r="381" spans="17:20">
      <c r="Q381" s="204">
        <v>758</v>
      </c>
      <c r="R381" s="205">
        <v>5.5324567155859796E-4</v>
      </c>
      <c r="S381" s="204"/>
      <c r="T381" s="204"/>
    </row>
    <row r="382" spans="17:20">
      <c r="Q382" s="204">
        <v>759</v>
      </c>
      <c r="R382" s="205">
        <v>5.4094171861001196E-4</v>
      </c>
      <c r="S382" s="204"/>
      <c r="T382" s="204"/>
    </row>
    <row r="383" spans="17:20">
      <c r="Q383" s="204">
        <v>760</v>
      </c>
      <c r="R383" s="205">
        <v>5.2361454725959999E-4</v>
      </c>
      <c r="S383" s="204"/>
      <c r="T383" s="204"/>
    </row>
    <row r="384" spans="17:20">
      <c r="Q384" s="204">
        <v>761</v>
      </c>
      <c r="R384" s="205">
        <v>5.1381123186764897E-4</v>
      </c>
      <c r="S384" s="204"/>
      <c r="T384" s="204"/>
    </row>
    <row r="385" spans="17:20">
      <c r="Q385" s="204">
        <v>762</v>
      </c>
      <c r="R385" s="205">
        <v>4.9763262546993899E-4</v>
      </c>
      <c r="S385" s="204"/>
      <c r="T385" s="204"/>
    </row>
    <row r="386" spans="17:20">
      <c r="Q386" s="204">
        <v>763</v>
      </c>
      <c r="R386" s="205">
        <v>4.8513555249998601E-4</v>
      </c>
      <c r="S386" s="204"/>
      <c r="T386" s="204"/>
    </row>
    <row r="387" spans="17:20">
      <c r="Q387" s="204">
        <v>764</v>
      </c>
      <c r="R387" s="205">
        <v>4.7328589988063799E-4</v>
      </c>
      <c r="S387" s="204"/>
      <c r="T387" s="204"/>
    </row>
    <row r="388" spans="17:20">
      <c r="Q388" s="204">
        <v>765</v>
      </c>
      <c r="R388" s="205">
        <v>4.6111955924214799E-4</v>
      </c>
      <c r="S388" s="204"/>
      <c r="T388" s="204"/>
    </row>
    <row r="389" spans="17:20">
      <c r="Q389" s="204">
        <v>766</v>
      </c>
      <c r="R389" s="205">
        <v>4.4851677568615901E-4</v>
      </c>
      <c r="S389" s="204"/>
      <c r="T389" s="204"/>
    </row>
    <row r="390" spans="17:20">
      <c r="Q390" s="204">
        <v>767</v>
      </c>
      <c r="R390" s="205">
        <v>4.3852264772923001E-4</v>
      </c>
      <c r="S390" s="204"/>
      <c r="T390" s="204"/>
    </row>
    <row r="391" spans="17:20">
      <c r="Q391" s="204">
        <v>768</v>
      </c>
      <c r="R391" s="205">
        <v>4.27658008638269E-4</v>
      </c>
      <c r="S391" s="204"/>
      <c r="T391" s="204"/>
    </row>
    <row r="392" spans="17:20">
      <c r="Q392" s="204">
        <v>769</v>
      </c>
      <c r="R392" s="205">
        <v>4.1694147827516702E-4</v>
      </c>
      <c r="S392" s="204"/>
      <c r="T392" s="204"/>
    </row>
    <row r="393" spans="17:20">
      <c r="Q393" s="204">
        <v>770</v>
      </c>
      <c r="R393" s="205">
        <v>4.0453918093917102E-4</v>
      </c>
      <c r="S393" s="204"/>
      <c r="T393" s="204"/>
    </row>
    <row r="394" spans="17:20">
      <c r="Q394" s="204">
        <v>771</v>
      </c>
      <c r="R394" s="205">
        <v>3.9441633153784202E-4</v>
      </c>
      <c r="S394" s="204"/>
      <c r="T394" s="204"/>
    </row>
    <row r="395" spans="17:20">
      <c r="Q395" s="204">
        <v>772</v>
      </c>
      <c r="R395" s="205">
        <v>3.8470237986706598E-4</v>
      </c>
      <c r="S395" s="204"/>
      <c r="T395" s="204"/>
    </row>
    <row r="396" spans="17:20">
      <c r="Q396" s="204">
        <v>773</v>
      </c>
      <c r="R396" s="205">
        <v>3.7545386696852701E-4</v>
      </c>
      <c r="S396" s="204"/>
      <c r="T396" s="204"/>
    </row>
    <row r="397" spans="17:20">
      <c r="Q397" s="204">
        <v>774</v>
      </c>
      <c r="R397" s="205">
        <v>3.6381240518274698E-4</v>
      </c>
      <c r="S397" s="204"/>
      <c r="T397" s="204"/>
    </row>
    <row r="398" spans="17:20">
      <c r="Q398" s="204">
        <v>775</v>
      </c>
      <c r="R398" s="205">
        <v>3.56382035796382E-4</v>
      </c>
      <c r="S398" s="204"/>
      <c r="T398" s="204"/>
    </row>
    <row r="399" spans="17:20">
      <c r="Q399" s="204">
        <v>776</v>
      </c>
      <c r="R399" s="205">
        <v>3.4875716241162299E-4</v>
      </c>
      <c r="S399" s="204"/>
      <c r="T399" s="204"/>
    </row>
    <row r="400" spans="17:20">
      <c r="Q400" s="204">
        <v>777</v>
      </c>
      <c r="R400" s="205">
        <v>3.4227177919388601E-4</v>
      </c>
      <c r="S400" s="204"/>
      <c r="T400" s="204"/>
    </row>
    <row r="401" spans="17:20">
      <c r="Q401" s="204">
        <v>778</v>
      </c>
      <c r="R401" s="205">
        <v>3.3085889716857902E-4</v>
      </c>
      <c r="S401" s="204"/>
      <c r="T401" s="204"/>
    </row>
    <row r="402" spans="17:20">
      <c r="Q402" s="204">
        <v>779</v>
      </c>
      <c r="R402" s="205">
        <v>3.2740313618373902E-4</v>
      </c>
      <c r="S402" s="204"/>
      <c r="T402" s="204"/>
    </row>
    <row r="403" spans="17:20">
      <c r="Q403" s="204">
        <v>780</v>
      </c>
      <c r="R403" s="205">
        <v>3.16175758890274E-4</v>
      </c>
      <c r="S403" s="204"/>
      <c r="T403" s="204"/>
    </row>
    <row r="404" spans="17:20">
      <c r="Q404" s="204">
        <v>781</v>
      </c>
      <c r="R404" s="207">
        <v>0</v>
      </c>
      <c r="S404" s="204"/>
      <c r="T404" s="204"/>
    </row>
    <row r="405" spans="17:20">
      <c r="Q405" s="204">
        <v>782</v>
      </c>
      <c r="R405" s="207">
        <v>0</v>
      </c>
      <c r="S405" s="204"/>
      <c r="T405" s="204"/>
    </row>
    <row r="406" spans="17:20">
      <c r="Q406" s="204">
        <v>783</v>
      </c>
      <c r="R406" s="207">
        <v>0</v>
      </c>
      <c r="S406" s="204"/>
      <c r="T406" s="204"/>
    </row>
    <row r="407" spans="17:20">
      <c r="Q407" s="204">
        <v>784</v>
      </c>
      <c r="R407" s="207">
        <v>0</v>
      </c>
      <c r="S407" s="204"/>
      <c r="T407" s="204"/>
    </row>
    <row r="408" spans="17:20">
      <c r="Q408" s="204">
        <v>785</v>
      </c>
      <c r="R408" s="207">
        <v>0</v>
      </c>
      <c r="S408" s="204"/>
      <c r="T408" s="204"/>
    </row>
    <row r="409" spans="17:20">
      <c r="Q409" s="204">
        <v>786</v>
      </c>
      <c r="R409" s="207">
        <v>0</v>
      </c>
      <c r="S409" s="204"/>
      <c r="T409" s="204"/>
    </row>
    <row r="410" spans="17:20">
      <c r="Q410" s="204">
        <v>787</v>
      </c>
      <c r="R410" s="207">
        <v>0</v>
      </c>
      <c r="S410" s="204"/>
      <c r="T410" s="204"/>
    </row>
    <row r="411" spans="17:20">
      <c r="Q411" s="204">
        <v>788</v>
      </c>
      <c r="R411" s="207">
        <v>0</v>
      </c>
      <c r="S411" s="204"/>
      <c r="T411" s="204"/>
    </row>
    <row r="412" spans="17:20">
      <c r="Q412" s="204">
        <v>789</v>
      </c>
      <c r="R412" s="207">
        <v>0</v>
      </c>
      <c r="S412" s="204"/>
      <c r="T412" s="204"/>
    </row>
    <row r="413" spans="17:20">
      <c r="Q413" s="204">
        <v>790</v>
      </c>
      <c r="R413" s="207">
        <v>0</v>
      </c>
      <c r="S413" s="204"/>
      <c r="T413" s="204"/>
    </row>
    <row r="414" spans="17:20">
      <c r="Q414" s="204">
        <v>791</v>
      </c>
      <c r="R414" s="207">
        <v>0</v>
      </c>
      <c r="S414" s="204"/>
      <c r="T414" s="204"/>
    </row>
    <row r="415" spans="17:20">
      <c r="Q415" s="204">
        <v>792</v>
      </c>
      <c r="R415" s="207">
        <v>0</v>
      </c>
      <c r="S415" s="204"/>
      <c r="T415" s="204"/>
    </row>
    <row r="416" spans="17:20">
      <c r="Q416" s="204">
        <v>793</v>
      </c>
      <c r="R416" s="207">
        <v>0</v>
      </c>
      <c r="S416" s="204"/>
      <c r="T416" s="204"/>
    </row>
    <row r="417" spans="17:20">
      <c r="Q417" s="204">
        <v>794</v>
      </c>
      <c r="R417" s="207">
        <v>0</v>
      </c>
      <c r="S417" s="204"/>
      <c r="T417" s="204"/>
    </row>
    <row r="418" spans="17:20">
      <c r="Q418" s="204">
        <v>795</v>
      </c>
      <c r="R418" s="207">
        <v>0</v>
      </c>
      <c r="S418" s="204"/>
      <c r="T418" s="204"/>
    </row>
    <row r="419" spans="17:20">
      <c r="Q419" s="204">
        <v>796</v>
      </c>
      <c r="R419" s="207">
        <v>0</v>
      </c>
      <c r="S419" s="204"/>
      <c r="T419" s="204"/>
    </row>
    <row r="420" spans="17:20">
      <c r="Q420" s="204">
        <v>797</v>
      </c>
      <c r="R420" s="207">
        <v>0</v>
      </c>
      <c r="S420" s="204"/>
      <c r="T420" s="204"/>
    </row>
    <row r="421" spans="17:20">
      <c r="Q421" s="204">
        <v>798</v>
      </c>
      <c r="R421" s="207">
        <v>0</v>
      </c>
      <c r="S421" s="204"/>
      <c r="T421" s="204"/>
    </row>
    <row r="422" spans="17:20">
      <c r="Q422" s="204">
        <v>799</v>
      </c>
      <c r="R422" s="207">
        <v>0</v>
      </c>
      <c r="S422" s="204"/>
      <c r="T422" s="204"/>
    </row>
    <row r="423" spans="17:20">
      <c r="Q423" s="204">
        <v>800</v>
      </c>
      <c r="R423" s="207">
        <v>0</v>
      </c>
      <c r="S423" s="204"/>
      <c r="T423" s="204"/>
    </row>
    <row r="424" spans="17:20">
      <c r="Q424" s="204">
        <v>801</v>
      </c>
      <c r="R424" s="207">
        <v>0</v>
      </c>
      <c r="S424" s="204"/>
      <c r="T424" s="204"/>
    </row>
    <row r="425" spans="17:20">
      <c r="Q425" s="204">
        <v>802</v>
      </c>
      <c r="R425" s="207">
        <v>0</v>
      </c>
      <c r="S425" s="204"/>
      <c r="T425" s="204"/>
    </row>
    <row r="426" spans="17:20">
      <c r="Q426" s="204">
        <v>803</v>
      </c>
      <c r="R426" s="207">
        <v>0</v>
      </c>
      <c r="S426" s="204"/>
      <c r="T426" s="204"/>
    </row>
    <row r="427" spans="17:20">
      <c r="Q427" s="204">
        <v>804</v>
      </c>
      <c r="R427" s="207">
        <v>0</v>
      </c>
      <c r="S427" s="204"/>
      <c r="T427" s="204"/>
    </row>
    <row r="428" spans="17:20">
      <c r="Q428" s="204">
        <v>805</v>
      </c>
      <c r="R428" s="207">
        <v>0</v>
      </c>
      <c r="S428" s="204"/>
      <c r="T428" s="204"/>
    </row>
    <row r="429" spans="17:20">
      <c r="Q429" s="204">
        <v>806</v>
      </c>
      <c r="R429" s="207">
        <v>0</v>
      </c>
      <c r="S429" s="204"/>
      <c r="T429" s="204"/>
    </row>
    <row r="430" spans="17:20">
      <c r="Q430" s="204">
        <v>807</v>
      </c>
      <c r="R430" s="207">
        <v>0</v>
      </c>
      <c r="S430" s="204"/>
      <c r="T430" s="204"/>
    </row>
    <row r="431" spans="17:20">
      <c r="Q431" s="204">
        <v>808</v>
      </c>
      <c r="R431" s="207">
        <v>0</v>
      </c>
      <c r="S431" s="204"/>
      <c r="T431" s="204"/>
    </row>
    <row r="432" spans="17:20">
      <c r="Q432" s="204">
        <v>809</v>
      </c>
      <c r="R432" s="207">
        <v>0</v>
      </c>
      <c r="S432" s="204"/>
      <c r="T432" s="204"/>
    </row>
    <row r="433" spans="17:20">
      <c r="Q433" s="204">
        <v>810</v>
      </c>
      <c r="R433" s="207">
        <v>0</v>
      </c>
      <c r="S433" s="204"/>
      <c r="T433" s="204"/>
    </row>
    <row r="434" spans="17:20">
      <c r="Q434" s="204">
        <v>811</v>
      </c>
      <c r="R434" s="207">
        <v>0</v>
      </c>
      <c r="S434" s="204"/>
      <c r="T434" s="204"/>
    </row>
    <row r="435" spans="17:20">
      <c r="Q435" s="204">
        <v>812</v>
      </c>
      <c r="R435" s="207">
        <v>0</v>
      </c>
      <c r="S435" s="204"/>
      <c r="T435" s="204"/>
    </row>
    <row r="436" spans="17:20">
      <c r="Q436" s="204">
        <v>813</v>
      </c>
      <c r="R436" s="207">
        <v>0</v>
      </c>
      <c r="S436" s="204"/>
      <c r="T436" s="204"/>
    </row>
    <row r="437" spans="17:20">
      <c r="Q437" s="204">
        <v>814</v>
      </c>
      <c r="R437" s="207">
        <v>0</v>
      </c>
      <c r="S437" s="204"/>
      <c r="T437" s="204"/>
    </row>
    <row r="438" spans="17:20">
      <c r="Q438" s="204">
        <v>815</v>
      </c>
      <c r="R438" s="207">
        <v>0</v>
      </c>
      <c r="S438" s="204"/>
      <c r="T438" s="204"/>
    </row>
    <row r="439" spans="17:20">
      <c r="Q439" s="204">
        <v>816</v>
      </c>
      <c r="R439" s="207">
        <v>0</v>
      </c>
      <c r="S439" s="204"/>
      <c r="T439" s="204"/>
    </row>
    <row r="440" spans="17:20">
      <c r="Q440" s="204">
        <v>817</v>
      </c>
      <c r="R440" s="207">
        <v>0</v>
      </c>
      <c r="S440" s="204"/>
      <c r="T440" s="204"/>
    </row>
    <row r="441" spans="17:20">
      <c r="Q441" s="204">
        <v>818</v>
      </c>
      <c r="R441" s="207">
        <v>0</v>
      </c>
      <c r="S441" s="204"/>
      <c r="T441" s="204"/>
    </row>
    <row r="442" spans="17:20">
      <c r="Q442" s="204">
        <v>819</v>
      </c>
      <c r="R442" s="207">
        <v>0</v>
      </c>
      <c r="S442" s="204"/>
      <c r="T442" s="204"/>
    </row>
    <row r="443" spans="17:20">
      <c r="Q443" s="204">
        <v>820</v>
      </c>
      <c r="R443" s="207">
        <v>0</v>
      </c>
      <c r="S443" s="204"/>
      <c r="T443" s="204"/>
    </row>
    <row r="444" spans="17:20">
      <c r="Q444" s="204">
        <v>821</v>
      </c>
      <c r="R444" s="207">
        <v>0</v>
      </c>
      <c r="S444" s="204"/>
      <c r="T444" s="204"/>
    </row>
    <row r="445" spans="17:20">
      <c r="Q445" s="204">
        <v>822</v>
      </c>
      <c r="R445" s="207">
        <v>0</v>
      </c>
      <c r="S445" s="204"/>
      <c r="T445" s="204"/>
    </row>
    <row r="446" spans="17:20">
      <c r="Q446" s="204">
        <v>823</v>
      </c>
      <c r="R446" s="207">
        <v>0</v>
      </c>
      <c r="S446" s="204"/>
      <c r="T446" s="204"/>
    </row>
    <row r="447" spans="17:20">
      <c r="Q447" s="204">
        <v>824</v>
      </c>
      <c r="R447" s="207">
        <v>0</v>
      </c>
      <c r="S447" s="204"/>
      <c r="T447" s="204"/>
    </row>
    <row r="448" spans="17:20">
      <c r="Q448" s="204">
        <v>825</v>
      </c>
      <c r="R448" s="207">
        <v>0</v>
      </c>
      <c r="S448" s="204"/>
      <c r="T448" s="204"/>
    </row>
    <row r="449" spans="17:20">
      <c r="Q449" s="204">
        <v>826</v>
      </c>
      <c r="R449" s="207">
        <v>0</v>
      </c>
      <c r="S449" s="204"/>
      <c r="T449" s="204"/>
    </row>
    <row r="450" spans="17:20">
      <c r="Q450" s="204">
        <v>827</v>
      </c>
      <c r="R450" s="207">
        <v>0</v>
      </c>
      <c r="S450" s="204"/>
      <c r="T450" s="204"/>
    </row>
    <row r="451" spans="17:20">
      <c r="Q451" s="204">
        <v>828</v>
      </c>
      <c r="R451" s="207">
        <v>0</v>
      </c>
      <c r="S451" s="204"/>
      <c r="T451" s="204"/>
    </row>
    <row r="452" spans="17:20">
      <c r="Q452" s="204">
        <v>829</v>
      </c>
      <c r="R452" s="207">
        <v>0</v>
      </c>
      <c r="S452" s="204"/>
      <c r="T452" s="204"/>
    </row>
    <row r="453" spans="17:20">
      <c r="Q453" s="204">
        <v>830</v>
      </c>
      <c r="R453" s="207">
        <v>0</v>
      </c>
      <c r="S453" s="204"/>
      <c r="T453" s="204"/>
    </row>
  </sheetData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opLeftCell="A31" workbookViewId="0">
      <selection activeCell="DX33" sqref="DX33"/>
    </sheetView>
  </sheetViews>
  <sheetFormatPr defaultColWidth="11.453125" defaultRowHeight="14.5"/>
  <cols>
    <col min="1" max="1" width="12.453125" customWidth="1"/>
    <col min="2" max="2" width="10.08984375" style="95" customWidth="1"/>
    <col min="3" max="3" width="8.90625" customWidth="1"/>
    <col min="4" max="4" width="5.08984375" customWidth="1"/>
    <col min="5" max="5" width="17.90625" style="96" customWidth="1"/>
    <col min="6" max="6" width="10.90625" style="97" customWidth="1"/>
    <col min="7" max="7" width="9.6328125" customWidth="1"/>
    <col min="8" max="8" width="10.453125" customWidth="1"/>
    <col min="9" max="12" width="9.6328125" customWidth="1"/>
    <col min="13" max="13" width="9.90625" customWidth="1"/>
    <col min="14" max="23" width="9.6328125" customWidth="1"/>
    <col min="111" max="111" width="11.6328125" bestFit="1" customWidth="1"/>
    <col min="112" max="113" width="12.54296875" bestFit="1" customWidth="1"/>
    <col min="257" max="257" width="12.453125" customWidth="1"/>
    <col min="258" max="258" width="10.08984375" customWidth="1"/>
    <col min="259" max="259" width="8.90625" customWidth="1"/>
    <col min="260" max="260" width="5.08984375" customWidth="1"/>
    <col min="261" max="261" width="17.90625" customWidth="1"/>
    <col min="262" max="262" width="10.90625" customWidth="1"/>
    <col min="263" max="263" width="9.6328125" customWidth="1"/>
    <col min="264" max="264" width="10.453125" customWidth="1"/>
    <col min="265" max="268" width="9.6328125" customWidth="1"/>
    <col min="269" max="269" width="9.90625" customWidth="1"/>
    <col min="270" max="279" width="9.6328125" customWidth="1"/>
    <col min="367" max="367" width="11.6328125" bestFit="1" customWidth="1"/>
    <col min="368" max="369" width="12.54296875" bestFit="1" customWidth="1"/>
    <col min="513" max="513" width="12.453125" customWidth="1"/>
    <col min="514" max="514" width="10.08984375" customWidth="1"/>
    <col min="515" max="515" width="8.90625" customWidth="1"/>
    <col min="516" max="516" width="5.08984375" customWidth="1"/>
    <col min="517" max="517" width="17.90625" customWidth="1"/>
    <col min="518" max="518" width="10.90625" customWidth="1"/>
    <col min="519" max="519" width="9.6328125" customWidth="1"/>
    <col min="520" max="520" width="10.453125" customWidth="1"/>
    <col min="521" max="524" width="9.6328125" customWidth="1"/>
    <col min="525" max="525" width="9.90625" customWidth="1"/>
    <col min="526" max="535" width="9.6328125" customWidth="1"/>
    <col min="623" max="623" width="11.6328125" bestFit="1" customWidth="1"/>
    <col min="624" max="625" width="12.54296875" bestFit="1" customWidth="1"/>
    <col min="769" max="769" width="12.453125" customWidth="1"/>
    <col min="770" max="770" width="10.08984375" customWidth="1"/>
    <col min="771" max="771" width="8.90625" customWidth="1"/>
    <col min="772" max="772" width="5.08984375" customWidth="1"/>
    <col min="773" max="773" width="17.90625" customWidth="1"/>
    <col min="774" max="774" width="10.90625" customWidth="1"/>
    <col min="775" max="775" width="9.6328125" customWidth="1"/>
    <col min="776" max="776" width="10.453125" customWidth="1"/>
    <col min="777" max="780" width="9.6328125" customWidth="1"/>
    <col min="781" max="781" width="9.90625" customWidth="1"/>
    <col min="782" max="791" width="9.6328125" customWidth="1"/>
    <col min="879" max="879" width="11.6328125" bestFit="1" customWidth="1"/>
    <col min="880" max="881" width="12.54296875" bestFit="1" customWidth="1"/>
    <col min="1025" max="1025" width="12.453125" customWidth="1"/>
    <col min="1026" max="1026" width="10.08984375" customWidth="1"/>
    <col min="1027" max="1027" width="8.90625" customWidth="1"/>
    <col min="1028" max="1028" width="5.08984375" customWidth="1"/>
    <col min="1029" max="1029" width="17.90625" customWidth="1"/>
    <col min="1030" max="1030" width="10.90625" customWidth="1"/>
    <col min="1031" max="1031" width="9.6328125" customWidth="1"/>
    <col min="1032" max="1032" width="10.453125" customWidth="1"/>
    <col min="1033" max="1036" width="9.6328125" customWidth="1"/>
    <col min="1037" max="1037" width="9.90625" customWidth="1"/>
    <col min="1038" max="1047" width="9.6328125" customWidth="1"/>
    <col min="1135" max="1135" width="11.6328125" bestFit="1" customWidth="1"/>
    <col min="1136" max="1137" width="12.54296875" bestFit="1" customWidth="1"/>
    <col min="1281" max="1281" width="12.453125" customWidth="1"/>
    <col min="1282" max="1282" width="10.08984375" customWidth="1"/>
    <col min="1283" max="1283" width="8.90625" customWidth="1"/>
    <col min="1284" max="1284" width="5.08984375" customWidth="1"/>
    <col min="1285" max="1285" width="17.90625" customWidth="1"/>
    <col min="1286" max="1286" width="10.90625" customWidth="1"/>
    <col min="1287" max="1287" width="9.6328125" customWidth="1"/>
    <col min="1288" max="1288" width="10.453125" customWidth="1"/>
    <col min="1289" max="1292" width="9.6328125" customWidth="1"/>
    <col min="1293" max="1293" width="9.90625" customWidth="1"/>
    <col min="1294" max="1303" width="9.6328125" customWidth="1"/>
    <col min="1391" max="1391" width="11.6328125" bestFit="1" customWidth="1"/>
    <col min="1392" max="1393" width="12.54296875" bestFit="1" customWidth="1"/>
    <col min="1537" max="1537" width="12.453125" customWidth="1"/>
    <col min="1538" max="1538" width="10.08984375" customWidth="1"/>
    <col min="1539" max="1539" width="8.90625" customWidth="1"/>
    <col min="1540" max="1540" width="5.08984375" customWidth="1"/>
    <col min="1541" max="1541" width="17.90625" customWidth="1"/>
    <col min="1542" max="1542" width="10.90625" customWidth="1"/>
    <col min="1543" max="1543" width="9.6328125" customWidth="1"/>
    <col min="1544" max="1544" width="10.453125" customWidth="1"/>
    <col min="1545" max="1548" width="9.6328125" customWidth="1"/>
    <col min="1549" max="1549" width="9.90625" customWidth="1"/>
    <col min="1550" max="1559" width="9.6328125" customWidth="1"/>
    <col min="1647" max="1647" width="11.6328125" bestFit="1" customWidth="1"/>
    <col min="1648" max="1649" width="12.54296875" bestFit="1" customWidth="1"/>
    <col min="1793" max="1793" width="12.453125" customWidth="1"/>
    <col min="1794" max="1794" width="10.08984375" customWidth="1"/>
    <col min="1795" max="1795" width="8.90625" customWidth="1"/>
    <col min="1796" max="1796" width="5.08984375" customWidth="1"/>
    <col min="1797" max="1797" width="17.90625" customWidth="1"/>
    <col min="1798" max="1798" width="10.90625" customWidth="1"/>
    <col min="1799" max="1799" width="9.6328125" customWidth="1"/>
    <col min="1800" max="1800" width="10.453125" customWidth="1"/>
    <col min="1801" max="1804" width="9.6328125" customWidth="1"/>
    <col min="1805" max="1805" width="9.90625" customWidth="1"/>
    <col min="1806" max="1815" width="9.6328125" customWidth="1"/>
    <col min="1903" max="1903" width="11.6328125" bestFit="1" customWidth="1"/>
    <col min="1904" max="1905" width="12.54296875" bestFit="1" customWidth="1"/>
    <col min="2049" max="2049" width="12.453125" customWidth="1"/>
    <col min="2050" max="2050" width="10.08984375" customWidth="1"/>
    <col min="2051" max="2051" width="8.90625" customWidth="1"/>
    <col min="2052" max="2052" width="5.08984375" customWidth="1"/>
    <col min="2053" max="2053" width="17.90625" customWidth="1"/>
    <col min="2054" max="2054" width="10.90625" customWidth="1"/>
    <col min="2055" max="2055" width="9.6328125" customWidth="1"/>
    <col min="2056" max="2056" width="10.453125" customWidth="1"/>
    <col min="2057" max="2060" width="9.6328125" customWidth="1"/>
    <col min="2061" max="2061" width="9.90625" customWidth="1"/>
    <col min="2062" max="2071" width="9.6328125" customWidth="1"/>
    <col min="2159" max="2159" width="11.6328125" bestFit="1" customWidth="1"/>
    <col min="2160" max="2161" width="12.54296875" bestFit="1" customWidth="1"/>
    <col min="2305" max="2305" width="12.453125" customWidth="1"/>
    <col min="2306" max="2306" width="10.08984375" customWidth="1"/>
    <col min="2307" max="2307" width="8.90625" customWidth="1"/>
    <col min="2308" max="2308" width="5.08984375" customWidth="1"/>
    <col min="2309" max="2309" width="17.90625" customWidth="1"/>
    <col min="2310" max="2310" width="10.90625" customWidth="1"/>
    <col min="2311" max="2311" width="9.6328125" customWidth="1"/>
    <col min="2312" max="2312" width="10.453125" customWidth="1"/>
    <col min="2313" max="2316" width="9.6328125" customWidth="1"/>
    <col min="2317" max="2317" width="9.90625" customWidth="1"/>
    <col min="2318" max="2327" width="9.6328125" customWidth="1"/>
    <col min="2415" max="2415" width="11.6328125" bestFit="1" customWidth="1"/>
    <col min="2416" max="2417" width="12.54296875" bestFit="1" customWidth="1"/>
    <col min="2561" max="2561" width="12.453125" customWidth="1"/>
    <col min="2562" max="2562" width="10.08984375" customWidth="1"/>
    <col min="2563" max="2563" width="8.90625" customWidth="1"/>
    <col min="2564" max="2564" width="5.08984375" customWidth="1"/>
    <col min="2565" max="2565" width="17.90625" customWidth="1"/>
    <col min="2566" max="2566" width="10.90625" customWidth="1"/>
    <col min="2567" max="2567" width="9.6328125" customWidth="1"/>
    <col min="2568" max="2568" width="10.453125" customWidth="1"/>
    <col min="2569" max="2572" width="9.6328125" customWidth="1"/>
    <col min="2573" max="2573" width="9.90625" customWidth="1"/>
    <col min="2574" max="2583" width="9.6328125" customWidth="1"/>
    <col min="2671" max="2671" width="11.6328125" bestFit="1" customWidth="1"/>
    <col min="2672" max="2673" width="12.54296875" bestFit="1" customWidth="1"/>
    <col min="2817" max="2817" width="12.453125" customWidth="1"/>
    <col min="2818" max="2818" width="10.08984375" customWidth="1"/>
    <col min="2819" max="2819" width="8.90625" customWidth="1"/>
    <col min="2820" max="2820" width="5.08984375" customWidth="1"/>
    <col min="2821" max="2821" width="17.90625" customWidth="1"/>
    <col min="2822" max="2822" width="10.90625" customWidth="1"/>
    <col min="2823" max="2823" width="9.6328125" customWidth="1"/>
    <col min="2824" max="2824" width="10.453125" customWidth="1"/>
    <col min="2825" max="2828" width="9.6328125" customWidth="1"/>
    <col min="2829" max="2829" width="9.90625" customWidth="1"/>
    <col min="2830" max="2839" width="9.6328125" customWidth="1"/>
    <col min="2927" max="2927" width="11.6328125" bestFit="1" customWidth="1"/>
    <col min="2928" max="2929" width="12.54296875" bestFit="1" customWidth="1"/>
    <col min="3073" max="3073" width="12.453125" customWidth="1"/>
    <col min="3074" max="3074" width="10.08984375" customWidth="1"/>
    <col min="3075" max="3075" width="8.90625" customWidth="1"/>
    <col min="3076" max="3076" width="5.08984375" customWidth="1"/>
    <col min="3077" max="3077" width="17.90625" customWidth="1"/>
    <col min="3078" max="3078" width="10.90625" customWidth="1"/>
    <col min="3079" max="3079" width="9.6328125" customWidth="1"/>
    <col min="3080" max="3080" width="10.453125" customWidth="1"/>
    <col min="3081" max="3084" width="9.6328125" customWidth="1"/>
    <col min="3085" max="3085" width="9.90625" customWidth="1"/>
    <col min="3086" max="3095" width="9.6328125" customWidth="1"/>
    <col min="3183" max="3183" width="11.6328125" bestFit="1" customWidth="1"/>
    <col min="3184" max="3185" width="12.54296875" bestFit="1" customWidth="1"/>
    <col min="3329" max="3329" width="12.453125" customWidth="1"/>
    <col min="3330" max="3330" width="10.08984375" customWidth="1"/>
    <col min="3331" max="3331" width="8.90625" customWidth="1"/>
    <col min="3332" max="3332" width="5.08984375" customWidth="1"/>
    <col min="3333" max="3333" width="17.90625" customWidth="1"/>
    <col min="3334" max="3334" width="10.90625" customWidth="1"/>
    <col min="3335" max="3335" width="9.6328125" customWidth="1"/>
    <col min="3336" max="3336" width="10.453125" customWidth="1"/>
    <col min="3337" max="3340" width="9.6328125" customWidth="1"/>
    <col min="3341" max="3341" width="9.90625" customWidth="1"/>
    <col min="3342" max="3351" width="9.6328125" customWidth="1"/>
    <col min="3439" max="3439" width="11.6328125" bestFit="1" customWidth="1"/>
    <col min="3440" max="3441" width="12.54296875" bestFit="1" customWidth="1"/>
    <col min="3585" max="3585" width="12.453125" customWidth="1"/>
    <col min="3586" max="3586" width="10.08984375" customWidth="1"/>
    <col min="3587" max="3587" width="8.90625" customWidth="1"/>
    <col min="3588" max="3588" width="5.08984375" customWidth="1"/>
    <col min="3589" max="3589" width="17.90625" customWidth="1"/>
    <col min="3590" max="3590" width="10.90625" customWidth="1"/>
    <col min="3591" max="3591" width="9.6328125" customWidth="1"/>
    <col min="3592" max="3592" width="10.453125" customWidth="1"/>
    <col min="3593" max="3596" width="9.6328125" customWidth="1"/>
    <col min="3597" max="3597" width="9.90625" customWidth="1"/>
    <col min="3598" max="3607" width="9.6328125" customWidth="1"/>
    <col min="3695" max="3695" width="11.6328125" bestFit="1" customWidth="1"/>
    <col min="3696" max="3697" width="12.54296875" bestFit="1" customWidth="1"/>
    <col min="3841" max="3841" width="12.453125" customWidth="1"/>
    <col min="3842" max="3842" width="10.08984375" customWidth="1"/>
    <col min="3843" max="3843" width="8.90625" customWidth="1"/>
    <col min="3844" max="3844" width="5.08984375" customWidth="1"/>
    <col min="3845" max="3845" width="17.90625" customWidth="1"/>
    <col min="3846" max="3846" width="10.90625" customWidth="1"/>
    <col min="3847" max="3847" width="9.6328125" customWidth="1"/>
    <col min="3848" max="3848" width="10.453125" customWidth="1"/>
    <col min="3849" max="3852" width="9.6328125" customWidth="1"/>
    <col min="3853" max="3853" width="9.90625" customWidth="1"/>
    <col min="3854" max="3863" width="9.6328125" customWidth="1"/>
    <col min="3951" max="3951" width="11.6328125" bestFit="1" customWidth="1"/>
    <col min="3952" max="3953" width="12.54296875" bestFit="1" customWidth="1"/>
    <col min="4097" max="4097" width="12.453125" customWidth="1"/>
    <col min="4098" max="4098" width="10.08984375" customWidth="1"/>
    <col min="4099" max="4099" width="8.90625" customWidth="1"/>
    <col min="4100" max="4100" width="5.08984375" customWidth="1"/>
    <col min="4101" max="4101" width="17.90625" customWidth="1"/>
    <col min="4102" max="4102" width="10.90625" customWidth="1"/>
    <col min="4103" max="4103" width="9.6328125" customWidth="1"/>
    <col min="4104" max="4104" width="10.453125" customWidth="1"/>
    <col min="4105" max="4108" width="9.6328125" customWidth="1"/>
    <col min="4109" max="4109" width="9.90625" customWidth="1"/>
    <col min="4110" max="4119" width="9.6328125" customWidth="1"/>
    <col min="4207" max="4207" width="11.6328125" bestFit="1" customWidth="1"/>
    <col min="4208" max="4209" width="12.54296875" bestFit="1" customWidth="1"/>
    <col min="4353" max="4353" width="12.453125" customWidth="1"/>
    <col min="4354" max="4354" width="10.08984375" customWidth="1"/>
    <col min="4355" max="4355" width="8.90625" customWidth="1"/>
    <col min="4356" max="4356" width="5.08984375" customWidth="1"/>
    <col min="4357" max="4357" width="17.90625" customWidth="1"/>
    <col min="4358" max="4358" width="10.90625" customWidth="1"/>
    <col min="4359" max="4359" width="9.6328125" customWidth="1"/>
    <col min="4360" max="4360" width="10.453125" customWidth="1"/>
    <col min="4361" max="4364" width="9.6328125" customWidth="1"/>
    <col min="4365" max="4365" width="9.90625" customWidth="1"/>
    <col min="4366" max="4375" width="9.6328125" customWidth="1"/>
    <col min="4463" max="4463" width="11.6328125" bestFit="1" customWidth="1"/>
    <col min="4464" max="4465" width="12.54296875" bestFit="1" customWidth="1"/>
    <col min="4609" max="4609" width="12.453125" customWidth="1"/>
    <col min="4610" max="4610" width="10.08984375" customWidth="1"/>
    <col min="4611" max="4611" width="8.90625" customWidth="1"/>
    <col min="4612" max="4612" width="5.08984375" customWidth="1"/>
    <col min="4613" max="4613" width="17.90625" customWidth="1"/>
    <col min="4614" max="4614" width="10.90625" customWidth="1"/>
    <col min="4615" max="4615" width="9.6328125" customWidth="1"/>
    <col min="4616" max="4616" width="10.453125" customWidth="1"/>
    <col min="4617" max="4620" width="9.6328125" customWidth="1"/>
    <col min="4621" max="4621" width="9.90625" customWidth="1"/>
    <col min="4622" max="4631" width="9.6328125" customWidth="1"/>
    <col min="4719" max="4719" width="11.6328125" bestFit="1" customWidth="1"/>
    <col min="4720" max="4721" width="12.54296875" bestFit="1" customWidth="1"/>
    <col min="4865" max="4865" width="12.453125" customWidth="1"/>
    <col min="4866" max="4866" width="10.08984375" customWidth="1"/>
    <col min="4867" max="4867" width="8.90625" customWidth="1"/>
    <col min="4868" max="4868" width="5.08984375" customWidth="1"/>
    <col min="4869" max="4869" width="17.90625" customWidth="1"/>
    <col min="4870" max="4870" width="10.90625" customWidth="1"/>
    <col min="4871" max="4871" width="9.6328125" customWidth="1"/>
    <col min="4872" max="4872" width="10.453125" customWidth="1"/>
    <col min="4873" max="4876" width="9.6328125" customWidth="1"/>
    <col min="4877" max="4877" width="9.90625" customWidth="1"/>
    <col min="4878" max="4887" width="9.6328125" customWidth="1"/>
    <col min="4975" max="4975" width="11.6328125" bestFit="1" customWidth="1"/>
    <col min="4976" max="4977" width="12.54296875" bestFit="1" customWidth="1"/>
    <col min="5121" max="5121" width="12.453125" customWidth="1"/>
    <col min="5122" max="5122" width="10.08984375" customWidth="1"/>
    <col min="5123" max="5123" width="8.90625" customWidth="1"/>
    <col min="5124" max="5124" width="5.08984375" customWidth="1"/>
    <col min="5125" max="5125" width="17.90625" customWidth="1"/>
    <col min="5126" max="5126" width="10.90625" customWidth="1"/>
    <col min="5127" max="5127" width="9.6328125" customWidth="1"/>
    <col min="5128" max="5128" width="10.453125" customWidth="1"/>
    <col min="5129" max="5132" width="9.6328125" customWidth="1"/>
    <col min="5133" max="5133" width="9.90625" customWidth="1"/>
    <col min="5134" max="5143" width="9.6328125" customWidth="1"/>
    <col min="5231" max="5231" width="11.6328125" bestFit="1" customWidth="1"/>
    <col min="5232" max="5233" width="12.54296875" bestFit="1" customWidth="1"/>
    <col min="5377" max="5377" width="12.453125" customWidth="1"/>
    <col min="5378" max="5378" width="10.08984375" customWidth="1"/>
    <col min="5379" max="5379" width="8.90625" customWidth="1"/>
    <col min="5380" max="5380" width="5.08984375" customWidth="1"/>
    <col min="5381" max="5381" width="17.90625" customWidth="1"/>
    <col min="5382" max="5382" width="10.90625" customWidth="1"/>
    <col min="5383" max="5383" width="9.6328125" customWidth="1"/>
    <col min="5384" max="5384" width="10.453125" customWidth="1"/>
    <col min="5385" max="5388" width="9.6328125" customWidth="1"/>
    <col min="5389" max="5389" width="9.90625" customWidth="1"/>
    <col min="5390" max="5399" width="9.6328125" customWidth="1"/>
    <col min="5487" max="5487" width="11.6328125" bestFit="1" customWidth="1"/>
    <col min="5488" max="5489" width="12.54296875" bestFit="1" customWidth="1"/>
    <col min="5633" max="5633" width="12.453125" customWidth="1"/>
    <col min="5634" max="5634" width="10.08984375" customWidth="1"/>
    <col min="5635" max="5635" width="8.90625" customWidth="1"/>
    <col min="5636" max="5636" width="5.08984375" customWidth="1"/>
    <col min="5637" max="5637" width="17.90625" customWidth="1"/>
    <col min="5638" max="5638" width="10.90625" customWidth="1"/>
    <col min="5639" max="5639" width="9.6328125" customWidth="1"/>
    <col min="5640" max="5640" width="10.453125" customWidth="1"/>
    <col min="5641" max="5644" width="9.6328125" customWidth="1"/>
    <col min="5645" max="5645" width="9.90625" customWidth="1"/>
    <col min="5646" max="5655" width="9.6328125" customWidth="1"/>
    <col min="5743" max="5743" width="11.6328125" bestFit="1" customWidth="1"/>
    <col min="5744" max="5745" width="12.54296875" bestFit="1" customWidth="1"/>
    <col min="5889" max="5889" width="12.453125" customWidth="1"/>
    <col min="5890" max="5890" width="10.08984375" customWidth="1"/>
    <col min="5891" max="5891" width="8.90625" customWidth="1"/>
    <col min="5892" max="5892" width="5.08984375" customWidth="1"/>
    <col min="5893" max="5893" width="17.90625" customWidth="1"/>
    <col min="5894" max="5894" width="10.90625" customWidth="1"/>
    <col min="5895" max="5895" width="9.6328125" customWidth="1"/>
    <col min="5896" max="5896" width="10.453125" customWidth="1"/>
    <col min="5897" max="5900" width="9.6328125" customWidth="1"/>
    <col min="5901" max="5901" width="9.90625" customWidth="1"/>
    <col min="5902" max="5911" width="9.6328125" customWidth="1"/>
    <col min="5999" max="5999" width="11.6328125" bestFit="1" customWidth="1"/>
    <col min="6000" max="6001" width="12.54296875" bestFit="1" customWidth="1"/>
    <col min="6145" max="6145" width="12.453125" customWidth="1"/>
    <col min="6146" max="6146" width="10.08984375" customWidth="1"/>
    <col min="6147" max="6147" width="8.90625" customWidth="1"/>
    <col min="6148" max="6148" width="5.08984375" customWidth="1"/>
    <col min="6149" max="6149" width="17.90625" customWidth="1"/>
    <col min="6150" max="6150" width="10.90625" customWidth="1"/>
    <col min="6151" max="6151" width="9.6328125" customWidth="1"/>
    <col min="6152" max="6152" width="10.453125" customWidth="1"/>
    <col min="6153" max="6156" width="9.6328125" customWidth="1"/>
    <col min="6157" max="6157" width="9.90625" customWidth="1"/>
    <col min="6158" max="6167" width="9.6328125" customWidth="1"/>
    <col min="6255" max="6255" width="11.6328125" bestFit="1" customWidth="1"/>
    <col min="6256" max="6257" width="12.54296875" bestFit="1" customWidth="1"/>
    <col min="6401" max="6401" width="12.453125" customWidth="1"/>
    <col min="6402" max="6402" width="10.08984375" customWidth="1"/>
    <col min="6403" max="6403" width="8.90625" customWidth="1"/>
    <col min="6404" max="6404" width="5.08984375" customWidth="1"/>
    <col min="6405" max="6405" width="17.90625" customWidth="1"/>
    <col min="6406" max="6406" width="10.90625" customWidth="1"/>
    <col min="6407" max="6407" width="9.6328125" customWidth="1"/>
    <col min="6408" max="6408" width="10.453125" customWidth="1"/>
    <col min="6409" max="6412" width="9.6328125" customWidth="1"/>
    <col min="6413" max="6413" width="9.90625" customWidth="1"/>
    <col min="6414" max="6423" width="9.6328125" customWidth="1"/>
    <col min="6511" max="6511" width="11.6328125" bestFit="1" customWidth="1"/>
    <col min="6512" max="6513" width="12.54296875" bestFit="1" customWidth="1"/>
    <col min="6657" max="6657" width="12.453125" customWidth="1"/>
    <col min="6658" max="6658" width="10.08984375" customWidth="1"/>
    <col min="6659" max="6659" width="8.90625" customWidth="1"/>
    <col min="6660" max="6660" width="5.08984375" customWidth="1"/>
    <col min="6661" max="6661" width="17.90625" customWidth="1"/>
    <col min="6662" max="6662" width="10.90625" customWidth="1"/>
    <col min="6663" max="6663" width="9.6328125" customWidth="1"/>
    <col min="6664" max="6664" width="10.453125" customWidth="1"/>
    <col min="6665" max="6668" width="9.6328125" customWidth="1"/>
    <col min="6669" max="6669" width="9.90625" customWidth="1"/>
    <col min="6670" max="6679" width="9.6328125" customWidth="1"/>
    <col min="6767" max="6767" width="11.6328125" bestFit="1" customWidth="1"/>
    <col min="6768" max="6769" width="12.54296875" bestFit="1" customWidth="1"/>
    <col min="6913" max="6913" width="12.453125" customWidth="1"/>
    <col min="6914" max="6914" width="10.08984375" customWidth="1"/>
    <col min="6915" max="6915" width="8.90625" customWidth="1"/>
    <col min="6916" max="6916" width="5.08984375" customWidth="1"/>
    <col min="6917" max="6917" width="17.90625" customWidth="1"/>
    <col min="6918" max="6918" width="10.90625" customWidth="1"/>
    <col min="6919" max="6919" width="9.6328125" customWidth="1"/>
    <col min="6920" max="6920" width="10.453125" customWidth="1"/>
    <col min="6921" max="6924" width="9.6328125" customWidth="1"/>
    <col min="6925" max="6925" width="9.90625" customWidth="1"/>
    <col min="6926" max="6935" width="9.6328125" customWidth="1"/>
    <col min="7023" max="7023" width="11.6328125" bestFit="1" customWidth="1"/>
    <col min="7024" max="7025" width="12.54296875" bestFit="1" customWidth="1"/>
    <col min="7169" max="7169" width="12.453125" customWidth="1"/>
    <col min="7170" max="7170" width="10.08984375" customWidth="1"/>
    <col min="7171" max="7171" width="8.90625" customWidth="1"/>
    <col min="7172" max="7172" width="5.08984375" customWidth="1"/>
    <col min="7173" max="7173" width="17.90625" customWidth="1"/>
    <col min="7174" max="7174" width="10.90625" customWidth="1"/>
    <col min="7175" max="7175" width="9.6328125" customWidth="1"/>
    <col min="7176" max="7176" width="10.453125" customWidth="1"/>
    <col min="7177" max="7180" width="9.6328125" customWidth="1"/>
    <col min="7181" max="7181" width="9.90625" customWidth="1"/>
    <col min="7182" max="7191" width="9.6328125" customWidth="1"/>
    <col min="7279" max="7279" width="11.6328125" bestFit="1" customWidth="1"/>
    <col min="7280" max="7281" width="12.54296875" bestFit="1" customWidth="1"/>
    <col min="7425" max="7425" width="12.453125" customWidth="1"/>
    <col min="7426" max="7426" width="10.08984375" customWidth="1"/>
    <col min="7427" max="7427" width="8.90625" customWidth="1"/>
    <col min="7428" max="7428" width="5.08984375" customWidth="1"/>
    <col min="7429" max="7429" width="17.90625" customWidth="1"/>
    <col min="7430" max="7430" width="10.90625" customWidth="1"/>
    <col min="7431" max="7431" width="9.6328125" customWidth="1"/>
    <col min="7432" max="7432" width="10.453125" customWidth="1"/>
    <col min="7433" max="7436" width="9.6328125" customWidth="1"/>
    <col min="7437" max="7437" width="9.90625" customWidth="1"/>
    <col min="7438" max="7447" width="9.6328125" customWidth="1"/>
    <col min="7535" max="7535" width="11.6328125" bestFit="1" customWidth="1"/>
    <col min="7536" max="7537" width="12.54296875" bestFit="1" customWidth="1"/>
    <col min="7681" max="7681" width="12.453125" customWidth="1"/>
    <col min="7682" max="7682" width="10.08984375" customWidth="1"/>
    <col min="7683" max="7683" width="8.90625" customWidth="1"/>
    <col min="7684" max="7684" width="5.08984375" customWidth="1"/>
    <col min="7685" max="7685" width="17.90625" customWidth="1"/>
    <col min="7686" max="7686" width="10.90625" customWidth="1"/>
    <col min="7687" max="7687" width="9.6328125" customWidth="1"/>
    <col min="7688" max="7688" width="10.453125" customWidth="1"/>
    <col min="7689" max="7692" width="9.6328125" customWidth="1"/>
    <col min="7693" max="7693" width="9.90625" customWidth="1"/>
    <col min="7694" max="7703" width="9.6328125" customWidth="1"/>
    <col min="7791" max="7791" width="11.6328125" bestFit="1" customWidth="1"/>
    <col min="7792" max="7793" width="12.54296875" bestFit="1" customWidth="1"/>
    <col min="7937" max="7937" width="12.453125" customWidth="1"/>
    <col min="7938" max="7938" width="10.08984375" customWidth="1"/>
    <col min="7939" max="7939" width="8.90625" customWidth="1"/>
    <col min="7940" max="7940" width="5.08984375" customWidth="1"/>
    <col min="7941" max="7941" width="17.90625" customWidth="1"/>
    <col min="7942" max="7942" width="10.90625" customWidth="1"/>
    <col min="7943" max="7943" width="9.6328125" customWidth="1"/>
    <col min="7944" max="7944" width="10.453125" customWidth="1"/>
    <col min="7945" max="7948" width="9.6328125" customWidth="1"/>
    <col min="7949" max="7949" width="9.90625" customWidth="1"/>
    <col min="7950" max="7959" width="9.6328125" customWidth="1"/>
    <col min="8047" max="8047" width="11.6328125" bestFit="1" customWidth="1"/>
    <col min="8048" max="8049" width="12.54296875" bestFit="1" customWidth="1"/>
    <col min="8193" max="8193" width="12.453125" customWidth="1"/>
    <col min="8194" max="8194" width="10.08984375" customWidth="1"/>
    <col min="8195" max="8195" width="8.90625" customWidth="1"/>
    <col min="8196" max="8196" width="5.08984375" customWidth="1"/>
    <col min="8197" max="8197" width="17.90625" customWidth="1"/>
    <col min="8198" max="8198" width="10.90625" customWidth="1"/>
    <col min="8199" max="8199" width="9.6328125" customWidth="1"/>
    <col min="8200" max="8200" width="10.453125" customWidth="1"/>
    <col min="8201" max="8204" width="9.6328125" customWidth="1"/>
    <col min="8205" max="8205" width="9.90625" customWidth="1"/>
    <col min="8206" max="8215" width="9.6328125" customWidth="1"/>
    <col min="8303" max="8303" width="11.6328125" bestFit="1" customWidth="1"/>
    <col min="8304" max="8305" width="12.54296875" bestFit="1" customWidth="1"/>
    <col min="8449" max="8449" width="12.453125" customWidth="1"/>
    <col min="8450" max="8450" width="10.08984375" customWidth="1"/>
    <col min="8451" max="8451" width="8.90625" customWidth="1"/>
    <col min="8452" max="8452" width="5.08984375" customWidth="1"/>
    <col min="8453" max="8453" width="17.90625" customWidth="1"/>
    <col min="8454" max="8454" width="10.90625" customWidth="1"/>
    <col min="8455" max="8455" width="9.6328125" customWidth="1"/>
    <col min="8456" max="8456" width="10.453125" customWidth="1"/>
    <col min="8457" max="8460" width="9.6328125" customWidth="1"/>
    <col min="8461" max="8461" width="9.90625" customWidth="1"/>
    <col min="8462" max="8471" width="9.6328125" customWidth="1"/>
    <col min="8559" max="8559" width="11.6328125" bestFit="1" customWidth="1"/>
    <col min="8560" max="8561" width="12.54296875" bestFit="1" customWidth="1"/>
    <col min="8705" max="8705" width="12.453125" customWidth="1"/>
    <col min="8706" max="8706" width="10.08984375" customWidth="1"/>
    <col min="8707" max="8707" width="8.90625" customWidth="1"/>
    <col min="8708" max="8708" width="5.08984375" customWidth="1"/>
    <col min="8709" max="8709" width="17.90625" customWidth="1"/>
    <col min="8710" max="8710" width="10.90625" customWidth="1"/>
    <col min="8711" max="8711" width="9.6328125" customWidth="1"/>
    <col min="8712" max="8712" width="10.453125" customWidth="1"/>
    <col min="8713" max="8716" width="9.6328125" customWidth="1"/>
    <col min="8717" max="8717" width="9.90625" customWidth="1"/>
    <col min="8718" max="8727" width="9.6328125" customWidth="1"/>
    <col min="8815" max="8815" width="11.6328125" bestFit="1" customWidth="1"/>
    <col min="8816" max="8817" width="12.54296875" bestFit="1" customWidth="1"/>
    <col min="8961" max="8961" width="12.453125" customWidth="1"/>
    <col min="8962" max="8962" width="10.08984375" customWidth="1"/>
    <col min="8963" max="8963" width="8.90625" customWidth="1"/>
    <col min="8964" max="8964" width="5.08984375" customWidth="1"/>
    <col min="8965" max="8965" width="17.90625" customWidth="1"/>
    <col min="8966" max="8966" width="10.90625" customWidth="1"/>
    <col min="8967" max="8967" width="9.6328125" customWidth="1"/>
    <col min="8968" max="8968" width="10.453125" customWidth="1"/>
    <col min="8969" max="8972" width="9.6328125" customWidth="1"/>
    <col min="8973" max="8973" width="9.90625" customWidth="1"/>
    <col min="8974" max="8983" width="9.6328125" customWidth="1"/>
    <col min="9071" max="9071" width="11.6328125" bestFit="1" customWidth="1"/>
    <col min="9072" max="9073" width="12.54296875" bestFit="1" customWidth="1"/>
    <col min="9217" max="9217" width="12.453125" customWidth="1"/>
    <col min="9218" max="9218" width="10.08984375" customWidth="1"/>
    <col min="9219" max="9219" width="8.90625" customWidth="1"/>
    <col min="9220" max="9220" width="5.08984375" customWidth="1"/>
    <col min="9221" max="9221" width="17.90625" customWidth="1"/>
    <col min="9222" max="9222" width="10.90625" customWidth="1"/>
    <col min="9223" max="9223" width="9.6328125" customWidth="1"/>
    <col min="9224" max="9224" width="10.453125" customWidth="1"/>
    <col min="9225" max="9228" width="9.6328125" customWidth="1"/>
    <col min="9229" max="9229" width="9.90625" customWidth="1"/>
    <col min="9230" max="9239" width="9.6328125" customWidth="1"/>
    <col min="9327" max="9327" width="11.6328125" bestFit="1" customWidth="1"/>
    <col min="9328" max="9329" width="12.54296875" bestFit="1" customWidth="1"/>
    <col min="9473" max="9473" width="12.453125" customWidth="1"/>
    <col min="9474" max="9474" width="10.08984375" customWidth="1"/>
    <col min="9475" max="9475" width="8.90625" customWidth="1"/>
    <col min="9476" max="9476" width="5.08984375" customWidth="1"/>
    <col min="9477" max="9477" width="17.90625" customWidth="1"/>
    <col min="9478" max="9478" width="10.90625" customWidth="1"/>
    <col min="9479" max="9479" width="9.6328125" customWidth="1"/>
    <col min="9480" max="9480" width="10.453125" customWidth="1"/>
    <col min="9481" max="9484" width="9.6328125" customWidth="1"/>
    <col min="9485" max="9485" width="9.90625" customWidth="1"/>
    <col min="9486" max="9495" width="9.6328125" customWidth="1"/>
    <col min="9583" max="9583" width="11.6328125" bestFit="1" customWidth="1"/>
    <col min="9584" max="9585" width="12.54296875" bestFit="1" customWidth="1"/>
    <col min="9729" max="9729" width="12.453125" customWidth="1"/>
    <col min="9730" max="9730" width="10.08984375" customWidth="1"/>
    <col min="9731" max="9731" width="8.90625" customWidth="1"/>
    <col min="9732" max="9732" width="5.08984375" customWidth="1"/>
    <col min="9733" max="9733" width="17.90625" customWidth="1"/>
    <col min="9734" max="9734" width="10.90625" customWidth="1"/>
    <col min="9735" max="9735" width="9.6328125" customWidth="1"/>
    <col min="9736" max="9736" width="10.453125" customWidth="1"/>
    <col min="9737" max="9740" width="9.6328125" customWidth="1"/>
    <col min="9741" max="9741" width="9.90625" customWidth="1"/>
    <col min="9742" max="9751" width="9.6328125" customWidth="1"/>
    <col min="9839" max="9839" width="11.6328125" bestFit="1" customWidth="1"/>
    <col min="9840" max="9841" width="12.54296875" bestFit="1" customWidth="1"/>
    <col min="9985" max="9985" width="12.453125" customWidth="1"/>
    <col min="9986" max="9986" width="10.08984375" customWidth="1"/>
    <col min="9987" max="9987" width="8.90625" customWidth="1"/>
    <col min="9988" max="9988" width="5.08984375" customWidth="1"/>
    <col min="9989" max="9989" width="17.90625" customWidth="1"/>
    <col min="9990" max="9990" width="10.90625" customWidth="1"/>
    <col min="9991" max="9991" width="9.6328125" customWidth="1"/>
    <col min="9992" max="9992" width="10.453125" customWidth="1"/>
    <col min="9993" max="9996" width="9.6328125" customWidth="1"/>
    <col min="9997" max="9997" width="9.90625" customWidth="1"/>
    <col min="9998" max="10007" width="9.6328125" customWidth="1"/>
    <col min="10095" max="10095" width="11.6328125" bestFit="1" customWidth="1"/>
    <col min="10096" max="10097" width="12.54296875" bestFit="1" customWidth="1"/>
    <col min="10241" max="10241" width="12.453125" customWidth="1"/>
    <col min="10242" max="10242" width="10.08984375" customWidth="1"/>
    <col min="10243" max="10243" width="8.90625" customWidth="1"/>
    <col min="10244" max="10244" width="5.08984375" customWidth="1"/>
    <col min="10245" max="10245" width="17.90625" customWidth="1"/>
    <col min="10246" max="10246" width="10.90625" customWidth="1"/>
    <col min="10247" max="10247" width="9.6328125" customWidth="1"/>
    <col min="10248" max="10248" width="10.453125" customWidth="1"/>
    <col min="10249" max="10252" width="9.6328125" customWidth="1"/>
    <col min="10253" max="10253" width="9.90625" customWidth="1"/>
    <col min="10254" max="10263" width="9.6328125" customWidth="1"/>
    <col min="10351" max="10351" width="11.6328125" bestFit="1" customWidth="1"/>
    <col min="10352" max="10353" width="12.54296875" bestFit="1" customWidth="1"/>
    <col min="10497" max="10497" width="12.453125" customWidth="1"/>
    <col min="10498" max="10498" width="10.08984375" customWidth="1"/>
    <col min="10499" max="10499" width="8.90625" customWidth="1"/>
    <col min="10500" max="10500" width="5.08984375" customWidth="1"/>
    <col min="10501" max="10501" width="17.90625" customWidth="1"/>
    <col min="10502" max="10502" width="10.90625" customWidth="1"/>
    <col min="10503" max="10503" width="9.6328125" customWidth="1"/>
    <col min="10504" max="10504" width="10.453125" customWidth="1"/>
    <col min="10505" max="10508" width="9.6328125" customWidth="1"/>
    <col min="10509" max="10509" width="9.90625" customWidth="1"/>
    <col min="10510" max="10519" width="9.6328125" customWidth="1"/>
    <col min="10607" max="10607" width="11.6328125" bestFit="1" customWidth="1"/>
    <col min="10608" max="10609" width="12.54296875" bestFit="1" customWidth="1"/>
    <col min="10753" max="10753" width="12.453125" customWidth="1"/>
    <col min="10754" max="10754" width="10.08984375" customWidth="1"/>
    <col min="10755" max="10755" width="8.90625" customWidth="1"/>
    <col min="10756" max="10756" width="5.08984375" customWidth="1"/>
    <col min="10757" max="10757" width="17.90625" customWidth="1"/>
    <col min="10758" max="10758" width="10.90625" customWidth="1"/>
    <col min="10759" max="10759" width="9.6328125" customWidth="1"/>
    <col min="10760" max="10760" width="10.453125" customWidth="1"/>
    <col min="10761" max="10764" width="9.6328125" customWidth="1"/>
    <col min="10765" max="10765" width="9.90625" customWidth="1"/>
    <col min="10766" max="10775" width="9.6328125" customWidth="1"/>
    <col min="10863" max="10863" width="11.6328125" bestFit="1" customWidth="1"/>
    <col min="10864" max="10865" width="12.54296875" bestFit="1" customWidth="1"/>
    <col min="11009" max="11009" width="12.453125" customWidth="1"/>
    <col min="11010" max="11010" width="10.08984375" customWidth="1"/>
    <col min="11011" max="11011" width="8.90625" customWidth="1"/>
    <col min="11012" max="11012" width="5.08984375" customWidth="1"/>
    <col min="11013" max="11013" width="17.90625" customWidth="1"/>
    <col min="11014" max="11014" width="10.90625" customWidth="1"/>
    <col min="11015" max="11015" width="9.6328125" customWidth="1"/>
    <col min="11016" max="11016" width="10.453125" customWidth="1"/>
    <col min="11017" max="11020" width="9.6328125" customWidth="1"/>
    <col min="11021" max="11021" width="9.90625" customWidth="1"/>
    <col min="11022" max="11031" width="9.6328125" customWidth="1"/>
    <col min="11119" max="11119" width="11.6328125" bestFit="1" customWidth="1"/>
    <col min="11120" max="11121" width="12.54296875" bestFit="1" customWidth="1"/>
    <col min="11265" max="11265" width="12.453125" customWidth="1"/>
    <col min="11266" max="11266" width="10.08984375" customWidth="1"/>
    <col min="11267" max="11267" width="8.90625" customWidth="1"/>
    <col min="11268" max="11268" width="5.08984375" customWidth="1"/>
    <col min="11269" max="11269" width="17.90625" customWidth="1"/>
    <col min="11270" max="11270" width="10.90625" customWidth="1"/>
    <col min="11271" max="11271" width="9.6328125" customWidth="1"/>
    <col min="11272" max="11272" width="10.453125" customWidth="1"/>
    <col min="11273" max="11276" width="9.6328125" customWidth="1"/>
    <col min="11277" max="11277" width="9.90625" customWidth="1"/>
    <col min="11278" max="11287" width="9.6328125" customWidth="1"/>
    <col min="11375" max="11375" width="11.6328125" bestFit="1" customWidth="1"/>
    <col min="11376" max="11377" width="12.54296875" bestFit="1" customWidth="1"/>
    <col min="11521" max="11521" width="12.453125" customWidth="1"/>
    <col min="11522" max="11522" width="10.08984375" customWidth="1"/>
    <col min="11523" max="11523" width="8.90625" customWidth="1"/>
    <col min="11524" max="11524" width="5.08984375" customWidth="1"/>
    <col min="11525" max="11525" width="17.90625" customWidth="1"/>
    <col min="11526" max="11526" width="10.90625" customWidth="1"/>
    <col min="11527" max="11527" width="9.6328125" customWidth="1"/>
    <col min="11528" max="11528" width="10.453125" customWidth="1"/>
    <col min="11529" max="11532" width="9.6328125" customWidth="1"/>
    <col min="11533" max="11533" width="9.90625" customWidth="1"/>
    <col min="11534" max="11543" width="9.6328125" customWidth="1"/>
    <col min="11631" max="11631" width="11.6328125" bestFit="1" customWidth="1"/>
    <col min="11632" max="11633" width="12.54296875" bestFit="1" customWidth="1"/>
    <col min="11777" max="11777" width="12.453125" customWidth="1"/>
    <col min="11778" max="11778" width="10.08984375" customWidth="1"/>
    <col min="11779" max="11779" width="8.90625" customWidth="1"/>
    <col min="11780" max="11780" width="5.08984375" customWidth="1"/>
    <col min="11781" max="11781" width="17.90625" customWidth="1"/>
    <col min="11782" max="11782" width="10.90625" customWidth="1"/>
    <col min="11783" max="11783" width="9.6328125" customWidth="1"/>
    <col min="11784" max="11784" width="10.453125" customWidth="1"/>
    <col min="11785" max="11788" width="9.6328125" customWidth="1"/>
    <col min="11789" max="11789" width="9.90625" customWidth="1"/>
    <col min="11790" max="11799" width="9.6328125" customWidth="1"/>
    <col min="11887" max="11887" width="11.6328125" bestFit="1" customWidth="1"/>
    <col min="11888" max="11889" width="12.54296875" bestFit="1" customWidth="1"/>
    <col min="12033" max="12033" width="12.453125" customWidth="1"/>
    <col min="12034" max="12034" width="10.08984375" customWidth="1"/>
    <col min="12035" max="12035" width="8.90625" customWidth="1"/>
    <col min="12036" max="12036" width="5.08984375" customWidth="1"/>
    <col min="12037" max="12037" width="17.90625" customWidth="1"/>
    <col min="12038" max="12038" width="10.90625" customWidth="1"/>
    <col min="12039" max="12039" width="9.6328125" customWidth="1"/>
    <col min="12040" max="12040" width="10.453125" customWidth="1"/>
    <col min="12041" max="12044" width="9.6328125" customWidth="1"/>
    <col min="12045" max="12045" width="9.90625" customWidth="1"/>
    <col min="12046" max="12055" width="9.6328125" customWidth="1"/>
    <col min="12143" max="12143" width="11.6328125" bestFit="1" customWidth="1"/>
    <col min="12144" max="12145" width="12.54296875" bestFit="1" customWidth="1"/>
    <col min="12289" max="12289" width="12.453125" customWidth="1"/>
    <col min="12290" max="12290" width="10.08984375" customWidth="1"/>
    <col min="12291" max="12291" width="8.90625" customWidth="1"/>
    <col min="12292" max="12292" width="5.08984375" customWidth="1"/>
    <col min="12293" max="12293" width="17.90625" customWidth="1"/>
    <col min="12294" max="12294" width="10.90625" customWidth="1"/>
    <col min="12295" max="12295" width="9.6328125" customWidth="1"/>
    <col min="12296" max="12296" width="10.453125" customWidth="1"/>
    <col min="12297" max="12300" width="9.6328125" customWidth="1"/>
    <col min="12301" max="12301" width="9.90625" customWidth="1"/>
    <col min="12302" max="12311" width="9.6328125" customWidth="1"/>
    <col min="12399" max="12399" width="11.6328125" bestFit="1" customWidth="1"/>
    <col min="12400" max="12401" width="12.54296875" bestFit="1" customWidth="1"/>
    <col min="12545" max="12545" width="12.453125" customWidth="1"/>
    <col min="12546" max="12546" width="10.08984375" customWidth="1"/>
    <col min="12547" max="12547" width="8.90625" customWidth="1"/>
    <col min="12548" max="12548" width="5.08984375" customWidth="1"/>
    <col min="12549" max="12549" width="17.90625" customWidth="1"/>
    <col min="12550" max="12550" width="10.90625" customWidth="1"/>
    <col min="12551" max="12551" width="9.6328125" customWidth="1"/>
    <col min="12552" max="12552" width="10.453125" customWidth="1"/>
    <col min="12553" max="12556" width="9.6328125" customWidth="1"/>
    <col min="12557" max="12557" width="9.90625" customWidth="1"/>
    <col min="12558" max="12567" width="9.6328125" customWidth="1"/>
    <col min="12655" max="12655" width="11.6328125" bestFit="1" customWidth="1"/>
    <col min="12656" max="12657" width="12.54296875" bestFit="1" customWidth="1"/>
    <col min="12801" max="12801" width="12.453125" customWidth="1"/>
    <col min="12802" max="12802" width="10.08984375" customWidth="1"/>
    <col min="12803" max="12803" width="8.90625" customWidth="1"/>
    <col min="12804" max="12804" width="5.08984375" customWidth="1"/>
    <col min="12805" max="12805" width="17.90625" customWidth="1"/>
    <col min="12806" max="12806" width="10.90625" customWidth="1"/>
    <col min="12807" max="12807" width="9.6328125" customWidth="1"/>
    <col min="12808" max="12808" width="10.453125" customWidth="1"/>
    <col min="12809" max="12812" width="9.6328125" customWidth="1"/>
    <col min="12813" max="12813" width="9.90625" customWidth="1"/>
    <col min="12814" max="12823" width="9.6328125" customWidth="1"/>
    <col min="12911" max="12911" width="11.6328125" bestFit="1" customWidth="1"/>
    <col min="12912" max="12913" width="12.54296875" bestFit="1" customWidth="1"/>
    <col min="13057" max="13057" width="12.453125" customWidth="1"/>
    <col min="13058" max="13058" width="10.08984375" customWidth="1"/>
    <col min="13059" max="13059" width="8.90625" customWidth="1"/>
    <col min="13060" max="13060" width="5.08984375" customWidth="1"/>
    <col min="13061" max="13061" width="17.90625" customWidth="1"/>
    <col min="13062" max="13062" width="10.90625" customWidth="1"/>
    <col min="13063" max="13063" width="9.6328125" customWidth="1"/>
    <col min="13064" max="13064" width="10.453125" customWidth="1"/>
    <col min="13065" max="13068" width="9.6328125" customWidth="1"/>
    <col min="13069" max="13069" width="9.90625" customWidth="1"/>
    <col min="13070" max="13079" width="9.6328125" customWidth="1"/>
    <col min="13167" max="13167" width="11.6328125" bestFit="1" customWidth="1"/>
    <col min="13168" max="13169" width="12.54296875" bestFit="1" customWidth="1"/>
    <col min="13313" max="13313" width="12.453125" customWidth="1"/>
    <col min="13314" max="13314" width="10.08984375" customWidth="1"/>
    <col min="13315" max="13315" width="8.90625" customWidth="1"/>
    <col min="13316" max="13316" width="5.08984375" customWidth="1"/>
    <col min="13317" max="13317" width="17.90625" customWidth="1"/>
    <col min="13318" max="13318" width="10.90625" customWidth="1"/>
    <col min="13319" max="13319" width="9.6328125" customWidth="1"/>
    <col min="13320" max="13320" width="10.453125" customWidth="1"/>
    <col min="13321" max="13324" width="9.6328125" customWidth="1"/>
    <col min="13325" max="13325" width="9.90625" customWidth="1"/>
    <col min="13326" max="13335" width="9.6328125" customWidth="1"/>
    <col min="13423" max="13423" width="11.6328125" bestFit="1" customWidth="1"/>
    <col min="13424" max="13425" width="12.54296875" bestFit="1" customWidth="1"/>
    <col min="13569" max="13569" width="12.453125" customWidth="1"/>
    <col min="13570" max="13570" width="10.08984375" customWidth="1"/>
    <col min="13571" max="13571" width="8.90625" customWidth="1"/>
    <col min="13572" max="13572" width="5.08984375" customWidth="1"/>
    <col min="13573" max="13573" width="17.90625" customWidth="1"/>
    <col min="13574" max="13574" width="10.90625" customWidth="1"/>
    <col min="13575" max="13575" width="9.6328125" customWidth="1"/>
    <col min="13576" max="13576" width="10.453125" customWidth="1"/>
    <col min="13577" max="13580" width="9.6328125" customWidth="1"/>
    <col min="13581" max="13581" width="9.90625" customWidth="1"/>
    <col min="13582" max="13591" width="9.6328125" customWidth="1"/>
    <col min="13679" max="13679" width="11.6328125" bestFit="1" customWidth="1"/>
    <col min="13680" max="13681" width="12.54296875" bestFit="1" customWidth="1"/>
    <col min="13825" max="13825" width="12.453125" customWidth="1"/>
    <col min="13826" max="13826" width="10.08984375" customWidth="1"/>
    <col min="13827" max="13827" width="8.90625" customWidth="1"/>
    <col min="13828" max="13828" width="5.08984375" customWidth="1"/>
    <col min="13829" max="13829" width="17.90625" customWidth="1"/>
    <col min="13830" max="13830" width="10.90625" customWidth="1"/>
    <col min="13831" max="13831" width="9.6328125" customWidth="1"/>
    <col min="13832" max="13832" width="10.453125" customWidth="1"/>
    <col min="13833" max="13836" width="9.6328125" customWidth="1"/>
    <col min="13837" max="13837" width="9.90625" customWidth="1"/>
    <col min="13838" max="13847" width="9.6328125" customWidth="1"/>
    <col min="13935" max="13935" width="11.6328125" bestFit="1" customWidth="1"/>
    <col min="13936" max="13937" width="12.54296875" bestFit="1" customWidth="1"/>
    <col min="14081" max="14081" width="12.453125" customWidth="1"/>
    <col min="14082" max="14082" width="10.08984375" customWidth="1"/>
    <col min="14083" max="14083" width="8.90625" customWidth="1"/>
    <col min="14084" max="14084" width="5.08984375" customWidth="1"/>
    <col min="14085" max="14085" width="17.90625" customWidth="1"/>
    <col min="14086" max="14086" width="10.90625" customWidth="1"/>
    <col min="14087" max="14087" width="9.6328125" customWidth="1"/>
    <col min="14088" max="14088" width="10.453125" customWidth="1"/>
    <col min="14089" max="14092" width="9.6328125" customWidth="1"/>
    <col min="14093" max="14093" width="9.90625" customWidth="1"/>
    <col min="14094" max="14103" width="9.6328125" customWidth="1"/>
    <col min="14191" max="14191" width="11.6328125" bestFit="1" customWidth="1"/>
    <col min="14192" max="14193" width="12.54296875" bestFit="1" customWidth="1"/>
    <col min="14337" max="14337" width="12.453125" customWidth="1"/>
    <col min="14338" max="14338" width="10.08984375" customWidth="1"/>
    <col min="14339" max="14339" width="8.90625" customWidth="1"/>
    <col min="14340" max="14340" width="5.08984375" customWidth="1"/>
    <col min="14341" max="14341" width="17.90625" customWidth="1"/>
    <col min="14342" max="14342" width="10.90625" customWidth="1"/>
    <col min="14343" max="14343" width="9.6328125" customWidth="1"/>
    <col min="14344" max="14344" width="10.453125" customWidth="1"/>
    <col min="14345" max="14348" width="9.6328125" customWidth="1"/>
    <col min="14349" max="14349" width="9.90625" customWidth="1"/>
    <col min="14350" max="14359" width="9.6328125" customWidth="1"/>
    <col min="14447" max="14447" width="11.6328125" bestFit="1" customWidth="1"/>
    <col min="14448" max="14449" width="12.54296875" bestFit="1" customWidth="1"/>
    <col min="14593" max="14593" width="12.453125" customWidth="1"/>
    <col min="14594" max="14594" width="10.08984375" customWidth="1"/>
    <col min="14595" max="14595" width="8.90625" customWidth="1"/>
    <col min="14596" max="14596" width="5.08984375" customWidth="1"/>
    <col min="14597" max="14597" width="17.90625" customWidth="1"/>
    <col min="14598" max="14598" width="10.90625" customWidth="1"/>
    <col min="14599" max="14599" width="9.6328125" customWidth="1"/>
    <col min="14600" max="14600" width="10.453125" customWidth="1"/>
    <col min="14601" max="14604" width="9.6328125" customWidth="1"/>
    <col min="14605" max="14605" width="9.90625" customWidth="1"/>
    <col min="14606" max="14615" width="9.6328125" customWidth="1"/>
    <col min="14703" max="14703" width="11.6328125" bestFit="1" customWidth="1"/>
    <col min="14704" max="14705" width="12.54296875" bestFit="1" customWidth="1"/>
    <col min="14849" max="14849" width="12.453125" customWidth="1"/>
    <col min="14850" max="14850" width="10.08984375" customWidth="1"/>
    <col min="14851" max="14851" width="8.90625" customWidth="1"/>
    <col min="14852" max="14852" width="5.08984375" customWidth="1"/>
    <col min="14853" max="14853" width="17.90625" customWidth="1"/>
    <col min="14854" max="14854" width="10.90625" customWidth="1"/>
    <col min="14855" max="14855" width="9.6328125" customWidth="1"/>
    <col min="14856" max="14856" width="10.453125" customWidth="1"/>
    <col min="14857" max="14860" width="9.6328125" customWidth="1"/>
    <col min="14861" max="14861" width="9.90625" customWidth="1"/>
    <col min="14862" max="14871" width="9.6328125" customWidth="1"/>
    <col min="14959" max="14959" width="11.6328125" bestFit="1" customWidth="1"/>
    <col min="14960" max="14961" width="12.54296875" bestFit="1" customWidth="1"/>
    <col min="15105" max="15105" width="12.453125" customWidth="1"/>
    <col min="15106" max="15106" width="10.08984375" customWidth="1"/>
    <col min="15107" max="15107" width="8.90625" customWidth="1"/>
    <col min="15108" max="15108" width="5.08984375" customWidth="1"/>
    <col min="15109" max="15109" width="17.90625" customWidth="1"/>
    <col min="15110" max="15110" width="10.90625" customWidth="1"/>
    <col min="15111" max="15111" width="9.6328125" customWidth="1"/>
    <col min="15112" max="15112" width="10.453125" customWidth="1"/>
    <col min="15113" max="15116" width="9.6328125" customWidth="1"/>
    <col min="15117" max="15117" width="9.90625" customWidth="1"/>
    <col min="15118" max="15127" width="9.6328125" customWidth="1"/>
    <col min="15215" max="15215" width="11.6328125" bestFit="1" customWidth="1"/>
    <col min="15216" max="15217" width="12.54296875" bestFit="1" customWidth="1"/>
    <col min="15361" max="15361" width="12.453125" customWidth="1"/>
    <col min="15362" max="15362" width="10.08984375" customWidth="1"/>
    <col min="15363" max="15363" width="8.90625" customWidth="1"/>
    <col min="15364" max="15364" width="5.08984375" customWidth="1"/>
    <col min="15365" max="15365" width="17.90625" customWidth="1"/>
    <col min="15366" max="15366" width="10.90625" customWidth="1"/>
    <col min="15367" max="15367" width="9.6328125" customWidth="1"/>
    <col min="15368" max="15368" width="10.453125" customWidth="1"/>
    <col min="15369" max="15372" width="9.6328125" customWidth="1"/>
    <col min="15373" max="15373" width="9.90625" customWidth="1"/>
    <col min="15374" max="15383" width="9.6328125" customWidth="1"/>
    <col min="15471" max="15471" width="11.6328125" bestFit="1" customWidth="1"/>
    <col min="15472" max="15473" width="12.54296875" bestFit="1" customWidth="1"/>
    <col min="15617" max="15617" width="12.453125" customWidth="1"/>
    <col min="15618" max="15618" width="10.08984375" customWidth="1"/>
    <col min="15619" max="15619" width="8.90625" customWidth="1"/>
    <col min="15620" max="15620" width="5.08984375" customWidth="1"/>
    <col min="15621" max="15621" width="17.90625" customWidth="1"/>
    <col min="15622" max="15622" width="10.90625" customWidth="1"/>
    <col min="15623" max="15623" width="9.6328125" customWidth="1"/>
    <col min="15624" max="15624" width="10.453125" customWidth="1"/>
    <col min="15625" max="15628" width="9.6328125" customWidth="1"/>
    <col min="15629" max="15629" width="9.90625" customWidth="1"/>
    <col min="15630" max="15639" width="9.6328125" customWidth="1"/>
    <col min="15727" max="15727" width="11.6328125" bestFit="1" customWidth="1"/>
    <col min="15728" max="15729" width="12.54296875" bestFit="1" customWidth="1"/>
    <col min="15873" max="15873" width="12.453125" customWidth="1"/>
    <col min="15874" max="15874" width="10.08984375" customWidth="1"/>
    <col min="15875" max="15875" width="8.90625" customWidth="1"/>
    <col min="15876" max="15876" width="5.08984375" customWidth="1"/>
    <col min="15877" max="15877" width="17.90625" customWidth="1"/>
    <col min="15878" max="15878" width="10.90625" customWidth="1"/>
    <col min="15879" max="15879" width="9.6328125" customWidth="1"/>
    <col min="15880" max="15880" width="10.453125" customWidth="1"/>
    <col min="15881" max="15884" width="9.6328125" customWidth="1"/>
    <col min="15885" max="15885" width="9.90625" customWidth="1"/>
    <col min="15886" max="15895" width="9.6328125" customWidth="1"/>
    <col min="15983" max="15983" width="11.6328125" bestFit="1" customWidth="1"/>
    <col min="15984" max="15985" width="12.54296875" bestFit="1" customWidth="1"/>
    <col min="16129" max="16129" width="12.453125" customWidth="1"/>
    <col min="16130" max="16130" width="10.08984375" customWidth="1"/>
    <col min="16131" max="16131" width="8.90625" customWidth="1"/>
    <col min="16132" max="16132" width="5.08984375" customWidth="1"/>
    <col min="16133" max="16133" width="17.90625" customWidth="1"/>
    <col min="16134" max="16134" width="10.90625" customWidth="1"/>
    <col min="16135" max="16135" width="9.6328125" customWidth="1"/>
    <col min="16136" max="16136" width="10.453125" customWidth="1"/>
    <col min="16137" max="16140" width="9.6328125" customWidth="1"/>
    <col min="16141" max="16141" width="9.90625" customWidth="1"/>
    <col min="16142" max="16151" width="9.6328125" customWidth="1"/>
    <col min="16239" max="16239" width="11.6328125" bestFit="1" customWidth="1"/>
    <col min="16240" max="16241" width="12.54296875" bestFit="1" customWidth="1"/>
  </cols>
  <sheetData>
    <row r="1" spans="1:138" ht="18">
      <c r="A1" s="94" t="s">
        <v>122</v>
      </c>
    </row>
    <row r="2" spans="1:138">
      <c r="A2" t="s">
        <v>123</v>
      </c>
      <c r="B2" s="98"/>
    </row>
    <row r="3" spans="1:138" s="99" customFormat="1" ht="13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3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0.3288910725078098</v>
      </c>
      <c r="D5" s="112"/>
      <c r="E5" s="113" t="s">
        <v>107</v>
      </c>
      <c r="F5" s="106">
        <f>100*SUMPRODUCT($C5:$C99,xyzs!$F2:$F96,'99set'!B$10:B$104)/SUMPRODUCT($C5:$C99,xyzs!$G2:$G96)</f>
        <v>110.10945708331916</v>
      </c>
      <c r="G5" s="106">
        <f>100*SUMPRODUCT($C5:$C99,xyzs!$F2:$F96,'99set'!C$10:C$104)/SUMPRODUCT($C5:$C99,xyzs!$G2:$G96)</f>
        <v>79.383799593574025</v>
      </c>
      <c r="H5" s="106">
        <f>100*SUMPRODUCT($C5:$C99,xyzs!$F2:$F96,'99set'!D$10:D$104)/SUMPRODUCT($C5:$C99,xyzs!$G2:$G96)</f>
        <v>43.290464112055545</v>
      </c>
      <c r="I5" s="106">
        <f>100*SUMPRODUCT($C5:$C99,xyzs!$F2:$F96,'99set'!E$10:E$104)/SUMPRODUCT($C5:$C99,xyzs!$G2:$G96)</f>
        <v>8.3283778080517266</v>
      </c>
      <c r="J5" s="106">
        <f>100*SUMPRODUCT($C5:$C99,xyzs!$F2:$F96,'99set'!F$10:F$104)/SUMPRODUCT($C5:$C99,xyzs!$G2:$G96)</f>
        <v>48.729924149537446</v>
      </c>
      <c r="K5" s="106">
        <f>100*SUMPRODUCT($C5:$C99,xyzs!$F2:$F96,'99set'!G$10:G$104)/SUMPRODUCT($C5:$C99,xyzs!$G2:$G96)</f>
        <v>29.174383882421182</v>
      </c>
      <c r="L5" s="106">
        <f>100*SUMPRODUCT($C5:$C99,xyzs!$F2:$F96,'99set'!H$10:H$104)/SUMPRODUCT($C5:$C99,xyzs!$G2:$G96)</f>
        <v>23.473713260918423</v>
      </c>
      <c r="M5" s="106">
        <f>100*SUMPRODUCT($C5:$C99,xyzs!$F2:$F96,'99set'!I$10:I$104)/SUMPRODUCT($C5:$C99,xyzs!$G2:$G96)</f>
        <v>20.626670983855959</v>
      </c>
      <c r="N5" s="106">
        <f>100*SUMPRODUCT($C5:$C99,xyzs!$F2:$F96,'99set'!J$10:J$104)/SUMPRODUCT($C5:$C99,xyzs!$G2:$G96)</f>
        <v>19.144226279354726</v>
      </c>
      <c r="O5" s="106">
        <f>100*SUMPRODUCT($C5:$C99,xyzs!$F2:$F96,'99set'!K$10:K$104)/SUMPRODUCT($C5:$C99,xyzs!$G2:$G96)</f>
        <v>5.7593415630666112</v>
      </c>
      <c r="P5" s="106">
        <f>100*SUMPRODUCT($C5:$C99,xyzs!$F2:$F96,'99set'!L$10:L$104)/SUMPRODUCT($C5:$C99,xyzs!$G2:$G96)</f>
        <v>68.472982374634924</v>
      </c>
      <c r="Q5" s="106">
        <f>100*SUMPRODUCT($C5:$C99,xyzs!$F2:$F96,'99set'!M$10:M$104)/SUMPRODUCT($C5:$C99,xyzs!$G2:$G96)</f>
        <v>37.390047372983446</v>
      </c>
      <c r="R5" s="106">
        <f>100*SUMPRODUCT($C5:$C99,xyzs!$F2:$F96,'99set'!N$10:N$104)/SUMPRODUCT($C5:$C99,xyzs!$G2:$G96)</f>
        <v>48.320746010932488</v>
      </c>
      <c r="S5" s="106">
        <f>100*SUMPRODUCT($C5:$C99,xyzs!$F2:$F96,'99set'!O$10:O$104)/SUMPRODUCT($C5:$C99,xyzs!$G2:$G96)</f>
        <v>17.582800077024963</v>
      </c>
      <c r="T5" s="106">
        <f>100*SUMPRODUCT($C5:$C99,xyzs!$F2:$F96,'99set'!P$10:P$104)/SUMPRODUCT($C5:$C99,xyzs!$G2:$G96)</f>
        <v>49.691395135362939</v>
      </c>
      <c r="U5" s="106">
        <f>100*SUMPRODUCT($C5:$C99,xyzs!$F2:$F96,'99set'!Q$10:Q$104)/SUMPRODUCT($C5:$C99,xyzs!$G2:$G96)</f>
        <v>49.123667699785386</v>
      </c>
      <c r="V5" s="106">
        <f>100*SUMPRODUCT($C5:$C99,xyzs!$F2:$F96,'99set'!R$10:R$104)/SUMPRODUCT($C5:$C99,xyzs!$G2:$G96)</f>
        <v>21.42216865764221</v>
      </c>
      <c r="W5" s="106">
        <f>100*SUMPRODUCT($C5:$C99,xyzs!$F2:$F96,'99set'!S$10:S$104)/SUMPRODUCT($C5:$C99,xyzs!$G2:$G96)</f>
        <v>22.347589883681639</v>
      </c>
      <c r="X5" s="106">
        <f>100*SUMPRODUCT($C5:$C99,xyzs!$F2:$F96,'99set'!T$10:T$104)/SUMPRODUCT($C5:$C99,xyzs!$G2:$G96)</f>
        <v>28.018784467785512</v>
      </c>
      <c r="Y5" s="106">
        <f>100*SUMPRODUCT($C5:$C99,xyzs!$F2:$F96,'99set'!U$10:U$104)/SUMPRODUCT($C5:$C99,xyzs!$G2:$G96)</f>
        <v>51.58174799112205</v>
      </c>
      <c r="Z5" s="106">
        <f>100*SUMPRODUCT($C5:$C99,xyzs!$F2:$F96,'99set'!V$10:V$104)/SUMPRODUCT($C5:$C99,xyzs!$G2:$G96)</f>
        <v>48.768492931763603</v>
      </c>
      <c r="AA5" s="106">
        <f>100*SUMPRODUCT($C5:$C99,xyzs!$F2:$F96,'99set'!W$10:W$104)/SUMPRODUCT($C5:$C99,xyzs!$G2:$G96)</f>
        <v>85.081215799984989</v>
      </c>
      <c r="AB5" s="106">
        <f>100*SUMPRODUCT($C5:$C99,xyzs!$F2:$F96,'99set'!X$10:X$104)/SUMPRODUCT($C5:$C99,xyzs!$G2:$G96)</f>
        <v>68.084290151742096</v>
      </c>
      <c r="AC5" s="106">
        <f>100*SUMPRODUCT($C5:$C99,xyzs!$F2:$F96,'99set'!Y$10:Y$104)/SUMPRODUCT($C5:$C99,xyzs!$G2:$G96)</f>
        <v>87.869093657172556</v>
      </c>
      <c r="AD5" s="106">
        <f>100*SUMPRODUCT($C5:$C99,xyzs!$F2:$F96,'99set'!Z$10:Z$104)/SUMPRODUCT($C5:$C99,xyzs!$G2:$G96)</f>
        <v>89.501047731648484</v>
      </c>
      <c r="AE5" s="106">
        <f>100*SUMPRODUCT($C5:$C99,xyzs!$F2:$F96,'99set'!AA$10:AA$104)/SUMPRODUCT($C5:$C99,xyzs!$G2:$G96)</f>
        <v>50.693360957895628</v>
      </c>
      <c r="AF5" s="106">
        <f>100*SUMPRODUCT($C5:$C99,xyzs!$F2:$F96,'99set'!AB$10:AB$104)/SUMPRODUCT($C5:$C99,xyzs!$G2:$G96)</f>
        <v>88.874530777337796</v>
      </c>
      <c r="AG5" s="106">
        <f>100*SUMPRODUCT($C5:$C99,xyzs!$F2:$F96,'99set'!AC$10:AC$104)/SUMPRODUCT($C5:$C99,xyzs!$G2:$G96)</f>
        <v>47.372173754898817</v>
      </c>
      <c r="AH5" s="106">
        <f>100*SUMPRODUCT($C5:$C99,xyzs!$F2:$F96,'99set'!AD$10:AD$104)/SUMPRODUCT($C5:$C99,xyzs!$G2:$G96)</f>
        <v>12.657996057797778</v>
      </c>
      <c r="AI5" s="106">
        <f>100*SUMPRODUCT($C5:$C99,xyzs!$F2:$F96,'99set'!AE$10:AE$104)/SUMPRODUCT($C5:$C99,xyzs!$G2:$G96)</f>
        <v>77.807326392294115</v>
      </c>
      <c r="AJ5" s="106">
        <f>100*SUMPRODUCT($C5:$C99,xyzs!$F2:$F96,'99set'!AF$10:AF$104)/SUMPRODUCT($C5:$C99,xyzs!$G2:$G96)</f>
        <v>34.656022153397871</v>
      </c>
      <c r="AK5" s="106">
        <f>100*SUMPRODUCT($C5:$C99,xyzs!$F2:$F96,'99set'!AG$10:AG$104)/SUMPRODUCT($C5:$C99,xyzs!$G2:$G96)</f>
        <v>81.017840977730913</v>
      </c>
      <c r="AL5" s="106">
        <f>100*SUMPRODUCT($C5:$C99,xyzs!$F2:$F96,'99set'!AH$10:AH$104)/SUMPRODUCT($C5:$C99,xyzs!$G2:$G96)</f>
        <v>52.452366451282522</v>
      </c>
      <c r="AM5" s="106">
        <f>100*SUMPRODUCT($C5:$C99,xyzs!$F2:$F96,'99set'!AI$10:AI$104)/SUMPRODUCT($C5:$C99,xyzs!$G2:$G96)</f>
        <v>81.943399509315327</v>
      </c>
      <c r="AN5" s="106">
        <f>100*SUMPRODUCT($C5:$C99,xyzs!$F2:$F96,'99set'!AJ$10:AJ$104)/SUMPRODUCT($C5:$C99,xyzs!$G2:$G96)</f>
        <v>31.167401921100321</v>
      </c>
      <c r="AO5" s="106">
        <f>100*SUMPRODUCT($C5:$C99,xyzs!$F2:$F96,'99set'!AK$10:AK$104)/SUMPRODUCT($C5:$C99,xyzs!$G2:$G96)</f>
        <v>12.488477944413326</v>
      </c>
      <c r="AP5" s="106">
        <f>100*SUMPRODUCT($C5:$C99,xyzs!$F2:$F96,'99set'!AL$10:AL$104)/SUMPRODUCT($C5:$C99,xyzs!$G2:$G96)</f>
        <v>59.404292915780914</v>
      </c>
      <c r="AQ5" s="106">
        <f>100*SUMPRODUCT($C5:$C99,xyzs!$F2:$F96,'99set'!AM$10:AM$104)/SUMPRODUCT($C5:$C99,xyzs!$G2:$G96)</f>
        <v>16.140751765840729</v>
      </c>
      <c r="AR5" s="106">
        <f>100*SUMPRODUCT($C5:$C99,xyzs!$F2:$F96,'99set'!AN$10:AN$104)/SUMPRODUCT($C5:$C99,xyzs!$G2:$G96)</f>
        <v>71.462718474644547</v>
      </c>
      <c r="AS5" s="106">
        <f>100*SUMPRODUCT($C5:$C99,xyzs!$F2:$F96,'99set'!AO$10:AO$104)/SUMPRODUCT($C5:$C99,xyzs!$G2:$G96)</f>
        <v>8.3307946278120379</v>
      </c>
      <c r="AT5" s="106">
        <f>100*SUMPRODUCT($C5:$C99,xyzs!$F2:$F96,'99set'!AP$10:AP$104)/SUMPRODUCT($C5:$C99,xyzs!$G2:$G96)</f>
        <v>17.897452526300995</v>
      </c>
      <c r="AU5" s="106">
        <f>100*SUMPRODUCT($C5:$C99,xyzs!$F2:$F96,'99set'!AQ$10:AQ$104)/SUMPRODUCT($C5:$C99,xyzs!$G2:$G96)</f>
        <v>74.992259567859676</v>
      </c>
      <c r="AV5" s="106">
        <f>100*SUMPRODUCT($C5:$C99,xyzs!$F2:$F96,'99set'!AR$10:AR$104)/SUMPRODUCT($C5:$C99,xyzs!$G2:$G96)</f>
        <v>34.168454688539093</v>
      </c>
      <c r="AW5" s="106">
        <f>100*SUMPRODUCT($C5:$C99,xyzs!$F2:$F96,'99set'!AS$10:AS$104)/SUMPRODUCT($C5:$C99,xyzs!$G2:$G96)</f>
        <v>39.106916787337525</v>
      </c>
      <c r="AX5" s="106">
        <f>100*SUMPRODUCT($C5:$C99,xyzs!$F2:$F96,'99set'!AT$10:AT$104)/SUMPRODUCT($C5:$C99,xyzs!$G2:$G96)</f>
        <v>5.4219369368874064</v>
      </c>
      <c r="AY5" s="106">
        <f>100*SUMPRODUCT($C5:$C99,xyzs!$F2:$F96,'99set'!AU$10:AU$104)/SUMPRODUCT($C5:$C99,xyzs!$G2:$G96)</f>
        <v>21.845617394309247</v>
      </c>
      <c r="AZ5" s="106">
        <f>100*SUMPRODUCT($C5:$C99,xyzs!$F2:$F96,'99set'!AV$10:AV$104)/SUMPRODUCT($C5:$C99,xyzs!$G2:$G96)</f>
        <v>31.900874316628041</v>
      </c>
      <c r="BA5" s="106">
        <f>100*SUMPRODUCT($C5:$C99,xyzs!$F2:$F96,'99set'!AW$10:AW$104)/SUMPRODUCT($C5:$C99,xyzs!$G2:$G96)</f>
        <v>38.496394890784345</v>
      </c>
      <c r="BB5" s="106">
        <f>100*SUMPRODUCT($C5:$C99,xyzs!$F2:$F96,'99set'!AX$10:AX$104)/SUMPRODUCT($C5:$C99,xyzs!$G2:$G96)</f>
        <v>45.162302043637823</v>
      </c>
      <c r="BC5" s="106">
        <f>100*SUMPRODUCT($C5:$C99,xyzs!$F2:$F96,'99set'!AY$10:AY$104)/SUMPRODUCT($C5:$C99,xyzs!$G2:$G96)</f>
        <v>12.504418210491973</v>
      </c>
      <c r="BD5" s="106">
        <f>100*SUMPRODUCT($C5:$C99,xyzs!$F2:$F96,'99set'!AZ$10:AZ$104)/SUMPRODUCT($C5:$C99,xyzs!$G2:$G96)</f>
        <v>18.592335055444817</v>
      </c>
      <c r="BE5" s="106">
        <f>100*SUMPRODUCT($C5:$C99,xyzs!$F2:$F96,'99set'!BA$10:BA$104)/SUMPRODUCT($C5:$C99,xyzs!$G2:$G96)</f>
        <v>22.757476046222166</v>
      </c>
      <c r="BF5" s="106">
        <f>100*SUMPRODUCT($C5:$C99,xyzs!$F2:$F96,'99set'!BB$10:BB$104)/SUMPRODUCT($C5:$C99,xyzs!$G2:$G96)</f>
        <v>8.8916137958447905</v>
      </c>
      <c r="BG5" s="106">
        <f>100*SUMPRODUCT($C5:$C99,xyzs!$F2:$F96,'99set'!BC$10:BC$104)/SUMPRODUCT($C5:$C99,xyzs!$G2:$G96)</f>
        <v>11.151914334245769</v>
      </c>
      <c r="BH5" s="106">
        <f>100*SUMPRODUCT($C5:$C99,xyzs!$F2:$F96,'99set'!BD$10:BD$104)/SUMPRODUCT($C5:$C99,xyzs!$G2:$G96)</f>
        <v>65.83589432919409</v>
      </c>
      <c r="BI5" s="106">
        <f>100*SUMPRODUCT($C5:$C99,xyzs!$F2:$F96,'99set'!BE$10:BE$104)/SUMPRODUCT($C5:$C99,xyzs!$G2:$G96)</f>
        <v>57.563666083253864</v>
      </c>
      <c r="BJ5" s="106">
        <f>100*SUMPRODUCT($C5:$C99,xyzs!$F2:$F96,'99set'!BF$10:BF$104)/SUMPRODUCT($C5:$C99,xyzs!$G2:$G96)</f>
        <v>30.168946686559753</v>
      </c>
      <c r="BK5" s="106">
        <f>100*SUMPRODUCT($C5:$C99,xyzs!$F2:$F96,'99set'!BG$10:BG$104)/SUMPRODUCT($C5:$C99,xyzs!$G2:$G96)</f>
        <v>15.917397159471056</v>
      </c>
      <c r="BL5" s="106">
        <f>100*SUMPRODUCT($C5:$C99,xyzs!$F2:$F96,'99set'!BH$10:BH$104)/SUMPRODUCT($C5:$C99,xyzs!$G2:$G96)</f>
        <v>13.276744100679004</v>
      </c>
      <c r="BM5" s="106">
        <f>100*SUMPRODUCT($C5:$C99,xyzs!$F2:$F96,'99set'!BI$10:BI$104)/SUMPRODUCT($C5:$C99,xyzs!$G2:$G96)</f>
        <v>65.533726679431467</v>
      </c>
      <c r="BN5" s="106">
        <f>100*SUMPRODUCT($C5:$C99,xyzs!$F2:$F96,'99set'!BJ$10:BJ$104)/SUMPRODUCT($C5:$C99,xyzs!$G2:$G96)</f>
        <v>73.654615986640493</v>
      </c>
      <c r="BO5" s="106">
        <f>100*SUMPRODUCT($C5:$C99,xyzs!$F2:$F96,'99set'!BK$10:BK$104)/SUMPRODUCT($C5:$C99,xyzs!$G2:$G96)</f>
        <v>46.827446102011073</v>
      </c>
      <c r="BP5" s="106">
        <f>100*SUMPRODUCT($C5:$C99,xyzs!$F2:$F96,'99set'!BL$10:BL$104)/SUMPRODUCT($C5:$C99,xyzs!$G2:$G96)</f>
        <v>35.1612580302262</v>
      </c>
      <c r="BQ5" s="106">
        <f>100*SUMPRODUCT($C5:$C99,xyzs!$F2:$F96,'99set'!BM$10:BM$104)/SUMPRODUCT($C5:$C99,xyzs!$G2:$G96)</f>
        <v>7.9204226313184902</v>
      </c>
      <c r="BR5" s="106">
        <f>100*SUMPRODUCT($C5:$C99,xyzs!$F2:$F96,'99set'!BN$10:BN$104)/SUMPRODUCT($C5:$C99,xyzs!$G2:$G96)</f>
        <v>17.27310486259249</v>
      </c>
      <c r="BS5" s="106">
        <f>100*SUMPRODUCT($C5:$C99,xyzs!$F2:$F96,'99set'!BO$10:BO$104)/SUMPRODUCT($C5:$C99,xyzs!$G2:$G96)</f>
        <v>8.5552407778033448</v>
      </c>
      <c r="BT5" s="106">
        <f>100*SUMPRODUCT($C5:$C99,xyzs!$F2:$F96,'99set'!BP$10:BP$104)/SUMPRODUCT($C5:$C99,xyzs!$G2:$G96)</f>
        <v>9.0638863638576144</v>
      </c>
      <c r="BU5" s="106">
        <f>100*SUMPRODUCT($C5:$C99,xyzs!$F2:$F96,'99set'!BQ$10:BQ$104)/SUMPRODUCT($C5:$C99,xyzs!$G2:$G96)</f>
        <v>10.680828236422657</v>
      </c>
      <c r="BV5" s="106">
        <f>100*SUMPRODUCT($C5:$C99,xyzs!$F2:$F96,'99set'!BR$10:BR$104)/SUMPRODUCT($C5:$C99,xyzs!$G2:$G96)</f>
        <v>27.247553790062639</v>
      </c>
      <c r="BW5" s="106">
        <f>100*SUMPRODUCT($C5:$C99,xyzs!$F2:$F96,'99set'!BS$10:BS$104)/SUMPRODUCT($C5:$C99,xyzs!$G2:$G96)</f>
        <v>19.697111016801259</v>
      </c>
      <c r="BX5" s="106">
        <f>100*SUMPRODUCT($C5:$C99,xyzs!$F2:$F96,'99set'!BT$10:BT$104)/SUMPRODUCT($C5:$C99,xyzs!$G2:$G96)</f>
        <v>37.183209959401843</v>
      </c>
      <c r="BY5" s="106">
        <f>100*SUMPRODUCT($C5:$C99,xyzs!$F2:$F96,'99set'!BU$10:BU$104)/SUMPRODUCT($C5:$C99,xyzs!$G2:$G96)</f>
        <v>6.5384303532613464</v>
      </c>
      <c r="BZ5" s="106">
        <f>100*SUMPRODUCT($C5:$C99,xyzs!$F2:$F96,'99set'!BV$10:BV$104)/SUMPRODUCT($C5:$C99,xyzs!$G2:$G96)</f>
        <v>49.60873869672745</v>
      </c>
      <c r="CA5" s="106">
        <f>100*SUMPRODUCT($C5:$C99,xyzs!$F2:$F96,'99set'!BW$10:BW$104)/SUMPRODUCT($C5:$C99,xyzs!$G2:$G96)</f>
        <v>18.92553714127051</v>
      </c>
      <c r="CB5" s="106">
        <f>100*SUMPRODUCT($C5:$C99,xyzs!$F2:$F96,'99set'!BX$10:BX$104)/SUMPRODUCT($C5:$C99,xyzs!$G2:$G96)</f>
        <v>5.2516606671481227</v>
      </c>
      <c r="CC5" s="106">
        <f>100*SUMPRODUCT($C5:$C99,xyzs!$F2:$F96,'99set'!BY$10:BY$104)/SUMPRODUCT($C5:$C99,xyzs!$G2:$G96)</f>
        <v>6.0600273492821533</v>
      </c>
      <c r="CD5" s="106">
        <f>100*SUMPRODUCT($C5:$C99,xyzs!$F2:$F96,'99set'!BZ$10:BZ$104)/SUMPRODUCT($C5:$C99,xyzs!$G2:$G96)</f>
        <v>13.534711234759685</v>
      </c>
      <c r="CE5" s="106">
        <f>100*SUMPRODUCT($C5:$C99,xyzs!$F2:$F96,'99set'!CA$10:CA$104)/SUMPRODUCT($C5:$C99,xyzs!$G2:$G96)</f>
        <v>12.631089729997727</v>
      </c>
      <c r="CF5" s="106">
        <f>100*SUMPRODUCT($C5:$C99,xyzs!$F2:$F96,'99set'!CB$10:CB$104)/SUMPRODUCT($C5:$C99,xyzs!$G2:$G96)</f>
        <v>11.534700059987061</v>
      </c>
      <c r="CG5" s="106">
        <f>100*SUMPRODUCT($C5:$C99,xyzs!$F2:$F96,'99set'!CC$10:CC$104)/SUMPRODUCT($C5:$C99,xyzs!$G2:$G96)</f>
        <v>45.197107536539427</v>
      </c>
      <c r="CH5" s="106">
        <f>100*SUMPRODUCT($C5:$C99,xyzs!$F2:$F96,'99set'!CD$10:CD$104)/SUMPRODUCT($C5:$C99,xyzs!$G2:$G96)</f>
        <v>34.942017245739642</v>
      </c>
      <c r="CI5" s="106">
        <f>100*SUMPRODUCT($C5:$C99,xyzs!$F2:$F96,'99set'!CE$10:CE$104)/SUMPRODUCT($C5:$C99,xyzs!$G2:$G96)</f>
        <v>14.668087884672486</v>
      </c>
      <c r="CJ5" s="106">
        <f>100*SUMPRODUCT($C5:$C99,xyzs!$F2:$F96,'99set'!CF$10:CF$104)/SUMPRODUCT($C5:$C99,xyzs!$G2:$G96)</f>
        <v>73.827465212933106</v>
      </c>
      <c r="CK5" s="106">
        <f>100*SUMPRODUCT($C5:$C99,xyzs!$F2:$F96,'99set'!CG$10:CG$104)/SUMPRODUCT($C5:$C99,xyzs!$G2:$G96)</f>
        <v>46.009437917955545</v>
      </c>
      <c r="CL5" s="106">
        <f>100*SUMPRODUCT($C5:$C99,xyzs!$F2:$F96,'99set'!CH$10:CH$104)/SUMPRODUCT($C5:$C99,xyzs!$G2:$G96)</f>
        <v>5.4972453350246848</v>
      </c>
      <c r="CM5" s="106">
        <f>100*SUMPRODUCT($C5:$C99,xyzs!$F2:$F96,'99set'!CI$10:CI$104)/SUMPRODUCT($C5:$C99,xyzs!$G2:$G96)</f>
        <v>12.641212081124385</v>
      </c>
      <c r="CN5" s="106">
        <f>100*SUMPRODUCT($C5:$C99,xyzs!$F2:$F96,'99set'!CJ$10:CJ$104)/SUMPRODUCT($C5:$C99,xyzs!$G2:$G96)</f>
        <v>37.912648332336005</v>
      </c>
      <c r="CO5" s="106">
        <f>100*SUMPRODUCT($C5:$C99,xyzs!$F2:$F96,'99set'!CK$10:CK$104)/SUMPRODUCT($C5:$C99,xyzs!$G2:$G96)</f>
        <v>12.886025084900773</v>
      </c>
      <c r="CP5" s="106">
        <f>100*SUMPRODUCT($C5:$C99,xyzs!$F2:$F96,'99set'!CL$10:CL$104)/SUMPRODUCT($C5:$C99,xyzs!$G2:$G96)</f>
        <v>35.885273018184364</v>
      </c>
      <c r="CQ5" s="106">
        <f>100*SUMPRODUCT($C5:$C99,xyzs!$F2:$F96,'99set'!CM$10:CM$104)/SUMPRODUCT($C5:$C99,xyzs!$G2:$G96)</f>
        <v>12.545359567715462</v>
      </c>
      <c r="CR5" s="106">
        <f>100*SUMPRODUCT($C5:$C99,xyzs!$F2:$F96,'99set'!CN$10:CN$104)/SUMPRODUCT($C5:$C99,xyzs!$G2:$G96)</f>
        <v>17.133167276553273</v>
      </c>
      <c r="CS5" s="106">
        <f>100*SUMPRODUCT($C5:$C99,xyzs!$F2:$F96,'99set'!CO$10:CO$104)/SUMPRODUCT($C5:$C99,xyzs!$G2:$G96)</f>
        <v>60.249282256313954</v>
      </c>
      <c r="CT5" s="106">
        <f>100*SUMPRODUCT($C5:$C99,xyzs!$F2:$F96,'99set'!CP$10:CP$104)/SUMPRODUCT($C5:$C99,xyzs!$G2:$G96)</f>
        <v>28.326516932885831</v>
      </c>
      <c r="CU5" s="106">
        <f>100*SUMPRODUCT($C5:$C99,xyzs!$F2:$F96,'99set'!CQ$10:CQ$104)/SUMPRODUCT($C5:$C99,xyzs!$G2:$G96)</f>
        <v>41.623471044424072</v>
      </c>
      <c r="CV5" s="106">
        <f>100*SUMPRODUCT($C5:$C99,xyzs!$F2:$F96,'99set'!CR$10:CR$104)/SUMPRODUCT($C5:$C99,xyzs!$G2:$G96)</f>
        <v>14.892279277427546</v>
      </c>
      <c r="CW5" s="106">
        <f>100*SUMPRODUCT($C5:$C99,xyzs!$F2:$F96,'99set'!CS$10:CS$104)/SUMPRODUCT($C5:$C99,xyzs!$G2:$G96)</f>
        <v>48.548888491160533</v>
      </c>
      <c r="CX5" s="106">
        <f>100*SUMPRODUCT($C5:$C99,xyzs!$F2:$F96,'99set'!CT$10:CT$104)/SUMPRODUCT($C5:$C99,xyzs!$G2:$G96)</f>
        <v>62.981561257618033</v>
      </c>
      <c r="CY5" s="106">
        <f>100*SUMPRODUCT($C5:$C99,xyzs!$F2:$F96,'99set'!CU$10:CU$104)/SUMPRODUCT($C5:$C99,xyzs!$G2:$G96)</f>
        <v>25.955583206766509</v>
      </c>
      <c r="CZ5" s="106">
        <f>100*SUMPRODUCT($C5:$C99,xyzs!$F2:$F96,'99set'!CV$10:CV$104)/SUMPRODUCT($C5:$C99,xyzs!$G2:$G96)</f>
        <v>46.060315821888423</v>
      </c>
      <c r="DA5" s="106">
        <f>100*SUMPRODUCT($C5:$C99,xyzs!$F2:$F96,'99set'!CW$10:CW$104)/SUMPRODUCT($C5:$C99,xyzs!$G2:$G96)</f>
        <v>31.127501259930877</v>
      </c>
      <c r="DC5">
        <v>1</v>
      </c>
      <c r="DD5" s="114">
        <f t="array" ref="DD5:DF103">TRANSPOSE(G21:DA23)</f>
        <v>86.196505882897426</v>
      </c>
      <c r="DE5" s="114">
        <v>16.858692749221458</v>
      </c>
      <c r="DF5" s="114">
        <v>1.7688006336689717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4.1898931994877566</v>
      </c>
      <c r="DK5" s="114">
        <f>DJ5^2</f>
        <v>17.55520502311375</v>
      </c>
      <c r="DL5" s="114">
        <f>ATAN(DF5/DE5)+PI()*IF(AND((DE5&lt;0),(DF5&gt;0)),1,0)+PI()*IF(AND((DE5&lt;0),(DF5&lt;0)),1,0)+2*PI()*IF(AND((DE5&gt;0),(DF5&lt;0)),1,0)</f>
        <v>0.10453674260749389</v>
      </c>
      <c r="DM5" s="114">
        <f>DL5*180/PI()</f>
        <v>5.9895141554548088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0.3698550390489353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63.357105355319376</v>
      </c>
      <c r="H6" s="106">
        <f>100*SUMPRODUCT($C5:$C99,xyzs!$G2:$G96,'99set'!D$10:D$104)/SUMPRODUCT($C5:$C99,xyzs!$G2:$G96)</f>
        <v>27.654216001640705</v>
      </c>
      <c r="I6" s="106">
        <f>100*SUMPRODUCT($C5:$C99,xyzs!$G2:$G96,'99set'!E$10:E$104)/SUMPRODUCT($C5:$C99,xyzs!$G2:$G96)</f>
        <v>6.0469085082296434</v>
      </c>
      <c r="J6" s="106">
        <f>100*SUMPRODUCT($C5:$C99,xyzs!$G2:$G96,'99set'!F$10:F$104)/SUMPRODUCT($C5:$C99,xyzs!$G2:$G96)</f>
        <v>36.20724210569243</v>
      </c>
      <c r="K6" s="106">
        <f>100*SUMPRODUCT($C5:$C99,xyzs!$G2:$G96,'99set'!G$10:G$104)/SUMPRODUCT($C5:$C99,xyzs!$G2:$G96)</f>
        <v>16.958297113178606</v>
      </c>
      <c r="L6" s="106">
        <f>100*SUMPRODUCT($C5:$C99,xyzs!$G2:$G96,'99set'!H$10:H$104)/SUMPRODUCT($C5:$C99,xyzs!$G2:$G96)</f>
        <v>17.187273257466941</v>
      </c>
      <c r="M6" s="106">
        <f>100*SUMPRODUCT($C5:$C99,xyzs!$G2:$G96,'99set'!I$10:I$104)/SUMPRODUCT($C5:$C99,xyzs!$G2:$G96)</f>
        <v>11.858120769090705</v>
      </c>
      <c r="N6" s="106">
        <f>100*SUMPRODUCT($C5:$C99,xyzs!$G2:$G96,'99set'!J$10:J$104)/SUMPRODUCT($C5:$C99,xyzs!$G2:$G96)</f>
        <v>11.335728508204026</v>
      </c>
      <c r="O6" s="106">
        <f>100*SUMPRODUCT($C5:$C99,xyzs!$G2:$G96,'99set'!K$10:K$104)/SUMPRODUCT($C5:$C99,xyzs!$G2:$G96)</f>
        <v>5.00990408113437</v>
      </c>
      <c r="P6" s="106">
        <f>100*SUMPRODUCT($C5:$C99,xyzs!$G2:$G96,'99set'!L$10:L$104)/SUMPRODUCT($C5:$C99,xyzs!$G2:$G96)</f>
        <v>44.869124194699225</v>
      </c>
      <c r="Q6" s="106">
        <f>100*SUMPRODUCT($C5:$C99,xyzs!$G2:$G96,'99set'!M$10:M$104)/SUMPRODUCT($C5:$C99,xyzs!$G2:$G96)</f>
        <v>23.545397145286216</v>
      </c>
      <c r="R6" s="106">
        <f>100*SUMPRODUCT($C5:$C99,xyzs!$G2:$G96,'99set'!N$10:N$104)/SUMPRODUCT($C5:$C99,xyzs!$G2:$G96)</f>
        <v>30.147548562599418</v>
      </c>
      <c r="S6" s="106">
        <f>100*SUMPRODUCT($C5:$C99,xyzs!$G2:$G96,'99set'!O$10:O$104)/SUMPRODUCT($C5:$C99,xyzs!$G2:$G96)</f>
        <v>12.128801224556732</v>
      </c>
      <c r="T6" s="106">
        <f>100*SUMPRODUCT($C5:$C99,xyzs!$G2:$G96,'99set'!P$10:P$104)/SUMPRODUCT($C5:$C99,xyzs!$G2:$G96)</f>
        <v>42.629828843200869</v>
      </c>
      <c r="U6" s="106">
        <f>100*SUMPRODUCT($C5:$C99,xyzs!$G2:$G96,'99set'!Q$10:Q$104)/SUMPRODUCT($C5:$C99,xyzs!$G2:$G96)</f>
        <v>39.095491900047648</v>
      </c>
      <c r="V6" s="106">
        <f>100*SUMPRODUCT($C5:$C99,xyzs!$G2:$G96,'99set'!R$10:R$104)/SUMPRODUCT($C5:$C99,xyzs!$G2:$G96)</f>
        <v>15.118254863947904</v>
      </c>
      <c r="W6" s="106">
        <f>100*SUMPRODUCT($C5:$C99,xyzs!$G2:$G96,'99set'!S$10:S$104)/SUMPRODUCT($C5:$C99,xyzs!$G2:$G96)</f>
        <v>16.416197706122713</v>
      </c>
      <c r="X6" s="106">
        <f>100*SUMPRODUCT($C5:$C99,xyzs!$G2:$G96,'99set'!T$10:T$104)/SUMPRODUCT($C5:$C99,xyzs!$G2:$G96)</f>
        <v>21.885020609698273</v>
      </c>
      <c r="Y6" s="106">
        <f>100*SUMPRODUCT($C5:$C99,xyzs!$G2:$G96,'99set'!U$10:U$104)/SUMPRODUCT($C5:$C99,xyzs!$G2:$G96)</f>
        <v>39.30438593585216</v>
      </c>
      <c r="Z6" s="106">
        <f>100*SUMPRODUCT($C5:$C99,xyzs!$G2:$G96,'99set'!V$10:V$104)/SUMPRODUCT($C5:$C99,xyzs!$G2:$G96)</f>
        <v>33.680552922811358</v>
      </c>
      <c r="AA6" s="106">
        <f>100*SUMPRODUCT($C5:$C99,xyzs!$G2:$G96,'99set'!W$10:W$104)/SUMPRODUCT($C5:$C99,xyzs!$G2:$G96)</f>
        <v>65.198461152748422</v>
      </c>
      <c r="AB6" s="106">
        <f>100*SUMPRODUCT($C5:$C99,xyzs!$G2:$G96,'99set'!X$10:X$104)/SUMPRODUCT($C5:$C99,xyzs!$G2:$G96)</f>
        <v>50.66094396300425</v>
      </c>
      <c r="AC6" s="106">
        <f>100*SUMPRODUCT($C5:$C99,xyzs!$G2:$G96,'99set'!Y$10:Y$104)/SUMPRODUCT($C5:$C99,xyzs!$G2:$G96)</f>
        <v>76.975835018173754</v>
      </c>
      <c r="AD6" s="106">
        <f>100*SUMPRODUCT($C5:$C99,xyzs!$G2:$G96,'99set'!Z$10:Z$104)/SUMPRODUCT($C5:$C99,xyzs!$G2:$G96)</f>
        <v>74.937644701714291</v>
      </c>
      <c r="AE6" s="106">
        <f>100*SUMPRODUCT($C5:$C99,xyzs!$G2:$G96,'99set'!AA$10:AA$104)/SUMPRODUCT($C5:$C99,xyzs!$G2:$G96)</f>
        <v>39.704134862355374</v>
      </c>
      <c r="AF6" s="106">
        <f>100*SUMPRODUCT($C5:$C99,xyzs!$G2:$G96,'99set'!AB$10:AB$104)/SUMPRODUCT($C5:$C99,xyzs!$G2:$G96)</f>
        <v>73.197535369133234</v>
      </c>
      <c r="AG6" s="106">
        <f>100*SUMPRODUCT($C5:$C99,xyzs!$G2:$G96,'99set'!AC$10:AC$104)/SUMPRODUCT($C5:$C99,xyzs!$G2:$G96)</f>
        <v>41.945599458786219</v>
      </c>
      <c r="AH6" s="106">
        <f>100*SUMPRODUCT($C5:$C99,xyzs!$G2:$G96,'99set'!AD$10:AD$104)/SUMPRODUCT($C5:$C99,xyzs!$G2:$G96)</f>
        <v>11.203488090139686</v>
      </c>
      <c r="AI6" s="106">
        <f>100*SUMPRODUCT($C5:$C99,xyzs!$G2:$G96,'99set'!AE$10:AE$104)/SUMPRODUCT($C5:$C99,xyzs!$G2:$G96)</f>
        <v>66.876054339144048</v>
      </c>
      <c r="AJ6" s="106">
        <f>100*SUMPRODUCT($C5:$C99,xyzs!$G2:$G96,'99set'!AF$10:AF$104)/SUMPRODUCT($C5:$C99,xyzs!$G2:$G96)</f>
        <v>30.288000757123278</v>
      </c>
      <c r="AK6" s="106">
        <f>100*SUMPRODUCT($C5:$C99,xyzs!$G2:$G96,'99set'!AG$10:AG$104)/SUMPRODUCT($C5:$C99,xyzs!$G2:$G96)</f>
        <v>70.75391203516476</v>
      </c>
      <c r="AL6" s="106">
        <f>100*SUMPRODUCT($C5:$C99,xyzs!$G2:$G96,'99set'!AH$10:AH$104)/SUMPRODUCT($C5:$C99,xyzs!$G2:$G96)</f>
        <v>45.565464820865166</v>
      </c>
      <c r="AM6" s="106">
        <f>100*SUMPRODUCT($C5:$C99,xyzs!$G2:$G96,'99set'!AI$10:AI$104)/SUMPRODUCT($C5:$C99,xyzs!$G2:$G96)</f>
        <v>73.142581064972731</v>
      </c>
      <c r="AN6" s="106">
        <f>100*SUMPRODUCT($C5:$C99,xyzs!$G2:$G96,'99set'!AJ$10:AJ$104)/SUMPRODUCT($C5:$C99,xyzs!$G2:$G96)</f>
        <v>28.013967238740211</v>
      </c>
      <c r="AO6" s="106">
        <f>100*SUMPRODUCT($C5:$C99,xyzs!$G2:$G96,'99set'!AK$10:AK$104)/SUMPRODUCT($C5:$C99,xyzs!$G2:$G96)</f>
        <v>11.511659291274601</v>
      </c>
      <c r="AP6" s="106">
        <f>100*SUMPRODUCT($C5:$C99,xyzs!$G2:$G96,'99set'!AL$10:AL$104)/SUMPRODUCT($C5:$C99,xyzs!$G2:$G96)</f>
        <v>53.75646704464836</v>
      </c>
      <c r="AQ6" s="106">
        <f>100*SUMPRODUCT($C5:$C99,xyzs!$G2:$G96,'99set'!AM$10:AM$104)/SUMPRODUCT($C5:$C99,xyzs!$G2:$G96)</f>
        <v>15.24026463070261</v>
      </c>
      <c r="AR6" s="106">
        <f>100*SUMPRODUCT($C5:$C99,xyzs!$G2:$G96,'99set'!AN$10:AN$104)/SUMPRODUCT($C5:$C99,xyzs!$G2:$G96)</f>
        <v>65.551800724092544</v>
      </c>
      <c r="AS6" s="106">
        <f>100*SUMPRODUCT($C5:$C99,xyzs!$G2:$G96,'99set'!AO$10:AO$104)/SUMPRODUCT($C5:$C99,xyzs!$G2:$G96)</f>
        <v>7.6997356277765023</v>
      </c>
      <c r="AT6" s="106">
        <f>100*SUMPRODUCT($C5:$C99,xyzs!$G2:$G96,'99set'!AP$10:AP$104)/SUMPRODUCT($C5:$C99,xyzs!$G2:$G96)</f>
        <v>16.780052627176673</v>
      </c>
      <c r="AU6" s="106">
        <f>100*SUMPRODUCT($C5:$C99,xyzs!$G2:$G96,'99set'!AQ$10:AQ$104)/SUMPRODUCT($C5:$C99,xyzs!$G2:$G96)</f>
        <v>69.286281813339954</v>
      </c>
      <c r="AV6" s="106">
        <f>100*SUMPRODUCT($C5:$C99,xyzs!$G2:$G96,'99set'!AR$10:AR$104)/SUMPRODUCT($C5:$C99,xyzs!$G2:$G96)</f>
        <v>36.226049117128923</v>
      </c>
      <c r="AW6" s="106">
        <f>100*SUMPRODUCT($C5:$C99,xyzs!$G2:$G96,'99set'!AS$10:AS$104)/SUMPRODUCT($C5:$C99,xyzs!$G2:$G96)</f>
        <v>41.566022135595503</v>
      </c>
      <c r="AX6" s="106">
        <f>100*SUMPRODUCT($C5:$C99,xyzs!$G2:$G96,'99set'!AT$10:AT$104)/SUMPRODUCT($C5:$C99,xyzs!$G2:$G96)</f>
        <v>4.9611791052537573</v>
      </c>
      <c r="AY6" s="106">
        <f>100*SUMPRODUCT($C5:$C99,xyzs!$G2:$G96,'99set'!AU$10:AU$104)/SUMPRODUCT($C5:$C99,xyzs!$G2:$G96)</f>
        <v>24.236180523382806</v>
      </c>
      <c r="AZ6" s="106">
        <f>100*SUMPRODUCT($C5:$C99,xyzs!$G2:$G96,'99set'!AV$10:AV$104)/SUMPRODUCT($C5:$C99,xyzs!$G2:$G96)</f>
        <v>33.130950446048182</v>
      </c>
      <c r="BA6" s="106">
        <f>100*SUMPRODUCT($C5:$C99,xyzs!$G2:$G96,'99set'!AW$10:AW$104)/SUMPRODUCT($C5:$C99,xyzs!$G2:$G96)</f>
        <v>37.506124956815313</v>
      </c>
      <c r="BB6" s="106">
        <f>100*SUMPRODUCT($C5:$C99,xyzs!$G2:$G96,'99set'!AX$10:AX$104)/SUMPRODUCT($C5:$C99,xyzs!$G2:$G96)</f>
        <v>49.087948676335294</v>
      </c>
      <c r="BC6" s="106">
        <f>100*SUMPRODUCT($C5:$C99,xyzs!$G2:$G96,'99set'!AY$10:AY$104)/SUMPRODUCT($C5:$C99,xyzs!$G2:$G96)</f>
        <v>14.119626886377878</v>
      </c>
      <c r="BD6" s="106">
        <f>100*SUMPRODUCT($C5:$C99,xyzs!$G2:$G96,'99set'!AZ$10:AZ$104)/SUMPRODUCT($C5:$C99,xyzs!$G2:$G96)</f>
        <v>20.481395871469275</v>
      </c>
      <c r="BE6" s="106">
        <f>100*SUMPRODUCT($C5:$C99,xyzs!$G2:$G96,'99set'!BA$10:BA$104)/SUMPRODUCT($C5:$C99,xyzs!$G2:$G96)</f>
        <v>24.024895767174744</v>
      </c>
      <c r="BF6" s="106">
        <f>100*SUMPRODUCT($C5:$C99,xyzs!$G2:$G96,'99set'!BB$10:BB$104)/SUMPRODUCT($C5:$C99,xyzs!$G2:$G96)</f>
        <v>10.918180188801617</v>
      </c>
      <c r="BG6" s="106">
        <f>100*SUMPRODUCT($C5:$C99,xyzs!$G2:$G96,'99set'!BC$10:BC$104)/SUMPRODUCT($C5:$C99,xyzs!$G2:$G96)</f>
        <v>16.537856794116589</v>
      </c>
      <c r="BH6" s="106">
        <f>100*SUMPRODUCT($C5:$C99,xyzs!$G2:$G96,'99set'!BD$10:BD$104)/SUMPRODUCT($C5:$C99,xyzs!$G2:$G96)</f>
        <v>66.488368994310093</v>
      </c>
      <c r="BI6" s="106">
        <f>100*SUMPRODUCT($C5:$C99,xyzs!$G2:$G96,'99set'!BE$10:BE$104)/SUMPRODUCT($C5:$C99,xyzs!$G2:$G96)</f>
        <v>59.34766843367931</v>
      </c>
      <c r="BJ6" s="106">
        <f>100*SUMPRODUCT($C5:$C99,xyzs!$G2:$G96,'99set'!BF$10:BF$104)/SUMPRODUCT($C5:$C99,xyzs!$G2:$G96)</f>
        <v>38.678714265678764</v>
      </c>
      <c r="BK6" s="106">
        <f>100*SUMPRODUCT($C5:$C99,xyzs!$G2:$G96,'99set'!BG$10:BG$104)/SUMPRODUCT($C5:$C99,xyzs!$G2:$G96)</f>
        <v>23.070074872562671</v>
      </c>
      <c r="BL6" s="106">
        <f>100*SUMPRODUCT($C5:$C99,xyzs!$G2:$G96,'99set'!BH$10:BH$104)/SUMPRODUCT($C5:$C99,xyzs!$G2:$G96)</f>
        <v>19.664999083587045</v>
      </c>
      <c r="BM6" s="106">
        <f>100*SUMPRODUCT($C5:$C99,xyzs!$G2:$G96,'99set'!BI$10:BI$104)/SUMPRODUCT($C5:$C99,xyzs!$G2:$G96)</f>
        <v>65.97448512024603</v>
      </c>
      <c r="BN6" s="106">
        <f>100*SUMPRODUCT($C5:$C99,xyzs!$G2:$G96,'99set'!BJ$10:BJ$104)/SUMPRODUCT($C5:$C99,xyzs!$G2:$G96)</f>
        <v>69.075051903141201</v>
      </c>
      <c r="BO6" s="106">
        <f>100*SUMPRODUCT($C5:$C99,xyzs!$G2:$G96,'99set'!BK$10:BK$104)/SUMPRODUCT($C5:$C99,xyzs!$G2:$G96)</f>
        <v>47.005381370258782</v>
      </c>
      <c r="BP6" s="106">
        <f>100*SUMPRODUCT($C5:$C99,xyzs!$G2:$G96,'99set'!BL$10:BL$104)/SUMPRODUCT($C5:$C99,xyzs!$G2:$G96)</f>
        <v>33.090428929136728</v>
      </c>
      <c r="BQ6" s="106">
        <f>100*SUMPRODUCT($C5:$C99,xyzs!$G2:$G96,'99set'!BM$10:BM$104)/SUMPRODUCT($C5:$C99,xyzs!$G2:$G96)</f>
        <v>7.3050706267972396</v>
      </c>
      <c r="BR6" s="106">
        <f>100*SUMPRODUCT($C5:$C99,xyzs!$G2:$G96,'99set'!BN$10:BN$104)/SUMPRODUCT($C5:$C99,xyzs!$G2:$G96)</f>
        <v>23.490867868883903</v>
      </c>
      <c r="BS6" s="106">
        <f>100*SUMPRODUCT($C5:$C99,xyzs!$G2:$G96,'99set'!BO$10:BO$104)/SUMPRODUCT($C5:$C99,xyzs!$G2:$G96)</f>
        <v>9.9356248853731106</v>
      </c>
      <c r="BT6" s="106">
        <f>100*SUMPRODUCT($C5:$C99,xyzs!$G2:$G96,'99set'!BP$10:BP$104)/SUMPRODUCT($C5:$C99,xyzs!$G2:$G96)</f>
        <v>12.454190245947091</v>
      </c>
      <c r="BU6" s="106">
        <f>100*SUMPRODUCT($C5:$C99,xyzs!$G2:$G96,'99set'!BQ$10:BQ$104)/SUMPRODUCT($C5:$C99,xyzs!$G2:$G96)</f>
        <v>14.534012105870728</v>
      </c>
      <c r="BV6" s="106">
        <f>100*SUMPRODUCT($C5:$C99,xyzs!$G2:$G96,'99set'!BR$10:BR$104)/SUMPRODUCT($C5:$C99,xyzs!$G2:$G96)</f>
        <v>29.022789546546758</v>
      </c>
      <c r="BW6" s="106">
        <f>100*SUMPRODUCT($C5:$C99,xyzs!$G2:$G96,'99set'!BS$10:BS$104)/SUMPRODUCT($C5:$C99,xyzs!$G2:$G96)</f>
        <v>18.921439651308493</v>
      </c>
      <c r="BX6" s="106">
        <f>100*SUMPRODUCT($C5:$C99,xyzs!$G2:$G96,'99set'!BT$10:BT$104)/SUMPRODUCT($C5:$C99,xyzs!$G2:$G96)</f>
        <v>39.573582198363489</v>
      </c>
      <c r="BY6" s="106">
        <f>100*SUMPRODUCT($C5:$C99,xyzs!$G2:$G96,'99set'!BU$10:BU$104)/SUMPRODUCT($C5:$C99,xyzs!$G2:$G96)</f>
        <v>7.3211754258252926</v>
      </c>
      <c r="BZ6" s="106">
        <f>100*SUMPRODUCT($C5:$C99,xyzs!$G2:$G96,'99set'!BV$10:BV$104)/SUMPRODUCT($C5:$C99,xyzs!$G2:$G96)</f>
        <v>46.62522025371463</v>
      </c>
      <c r="CA6" s="106">
        <f>100*SUMPRODUCT($C5:$C99,xyzs!$G2:$G96,'99set'!BW$10:BW$104)/SUMPRODUCT($C5:$C99,xyzs!$G2:$G96)</f>
        <v>22.119027619896148</v>
      </c>
      <c r="CB6" s="106">
        <f>100*SUMPRODUCT($C5:$C99,xyzs!$G2:$G96,'99set'!BX$10:BX$104)/SUMPRODUCT($C5:$C99,xyzs!$G2:$G96)</f>
        <v>4.8113280588419851</v>
      </c>
      <c r="CC6" s="106">
        <f>100*SUMPRODUCT($C5:$C99,xyzs!$G2:$G96,'99set'!BY$10:BY$104)/SUMPRODUCT($C5:$C99,xyzs!$G2:$G96)</f>
        <v>6.4448469123587548</v>
      </c>
      <c r="CD6" s="106">
        <f>100*SUMPRODUCT($C5:$C99,xyzs!$G2:$G96,'99set'!BZ$10:BZ$104)/SUMPRODUCT($C5:$C99,xyzs!$G2:$G96)</f>
        <v>14.225393891857058</v>
      </c>
      <c r="CE6" s="106">
        <f>100*SUMPRODUCT($C5:$C99,xyzs!$G2:$G96,'99set'!CA$10:CA$104)/SUMPRODUCT($C5:$C99,xyzs!$G2:$G96)</f>
        <v>12.390527990434883</v>
      </c>
      <c r="CF6" s="106">
        <f>100*SUMPRODUCT($C5:$C99,xyzs!$G2:$G96,'99set'!CB$10:CB$104)/SUMPRODUCT($C5:$C99,xyzs!$G2:$G96)</f>
        <v>11.794837496205652</v>
      </c>
      <c r="CG6" s="106">
        <f>100*SUMPRODUCT($C5:$C99,xyzs!$G2:$G96,'99set'!CC$10:CC$104)/SUMPRODUCT($C5:$C99,xyzs!$G2:$G96)</f>
        <v>41.812139386708139</v>
      </c>
      <c r="CH6" s="106">
        <f>100*SUMPRODUCT($C5:$C99,xyzs!$G2:$G96,'99set'!CD$10:CD$104)/SUMPRODUCT($C5:$C99,xyzs!$G2:$G96)</f>
        <v>31.113810801179778</v>
      </c>
      <c r="CI6" s="106">
        <f>100*SUMPRODUCT($C5:$C99,xyzs!$G2:$G96,'99set'!CE$10:CE$104)/SUMPRODUCT($C5:$C99,xyzs!$G2:$G96)</f>
        <v>12.058883787108053</v>
      </c>
      <c r="CJ6" s="106">
        <f>100*SUMPRODUCT($C5:$C99,xyzs!$G2:$G96,'99set'!CF$10:CF$104)/SUMPRODUCT($C5:$C99,xyzs!$G2:$G96)</f>
        <v>66.644386863015072</v>
      </c>
      <c r="CK6" s="106">
        <f>100*SUMPRODUCT($C5:$C99,xyzs!$G2:$G96,'99set'!CG$10:CG$104)/SUMPRODUCT($C5:$C99,xyzs!$G2:$G96)</f>
        <v>40.748853993876381</v>
      </c>
      <c r="CL6" s="106">
        <f>100*SUMPRODUCT($C5:$C99,xyzs!$G2:$G96,'99set'!CH$10:CH$104)/SUMPRODUCT($C5:$C99,xyzs!$G2:$G96)</f>
        <v>4.7429008916648572</v>
      </c>
      <c r="CM6" s="106">
        <f>100*SUMPRODUCT($C5:$C99,xyzs!$G2:$G96,'99set'!CI$10:CI$104)/SUMPRODUCT($C5:$C99,xyzs!$G2:$G96)</f>
        <v>10.680882943600988</v>
      </c>
      <c r="CN6" s="106">
        <f>100*SUMPRODUCT($C5:$C99,xyzs!$G2:$G96,'99set'!CJ$10:CJ$104)/SUMPRODUCT($C5:$C99,xyzs!$G2:$G96)</f>
        <v>31.091191103274344</v>
      </c>
      <c r="CO6" s="106">
        <f>100*SUMPRODUCT($C5:$C99,xyzs!$G2:$G96,'99set'!CK$10:CK$104)/SUMPRODUCT($C5:$C99,xyzs!$G2:$G96)</f>
        <v>9.571107041637184</v>
      </c>
      <c r="CP6" s="106">
        <f>100*SUMPRODUCT($C5:$C99,xyzs!$G2:$G96,'99set'!CL$10:CL$104)/SUMPRODUCT($C5:$C99,xyzs!$G2:$G96)</f>
        <v>27.329833739115589</v>
      </c>
      <c r="CQ6" s="106">
        <f>100*SUMPRODUCT($C5:$C99,xyzs!$G2:$G96,'99set'!CM$10:CM$104)/SUMPRODUCT($C5:$C99,xyzs!$G2:$G96)</f>
        <v>8.9891841583103869</v>
      </c>
      <c r="CR6" s="106">
        <f>100*SUMPRODUCT($C5:$C99,xyzs!$G2:$G96,'99set'!CN$10:CN$104)/SUMPRODUCT($C5:$C99,xyzs!$G2:$G96)</f>
        <v>12.036368667465863</v>
      </c>
      <c r="CS6" s="106">
        <f>100*SUMPRODUCT($C5:$C99,xyzs!$G2:$G96,'99set'!CO$10:CO$104)/SUMPRODUCT($C5:$C99,xyzs!$G2:$G96)</f>
        <v>53.54574015906563</v>
      </c>
      <c r="CT6" s="106">
        <f>100*SUMPRODUCT($C5:$C99,xyzs!$G2:$G96,'99set'!CP$10:CP$104)/SUMPRODUCT($C5:$C99,xyzs!$G2:$G96)</f>
        <v>21.880378798657343</v>
      </c>
      <c r="CU6" s="106">
        <f>100*SUMPRODUCT($C5:$C99,xyzs!$G2:$G96,'99set'!CQ$10:CQ$104)/SUMPRODUCT($C5:$C99,xyzs!$G2:$G96)</f>
        <v>33.708553997612057</v>
      </c>
      <c r="CV6" s="106">
        <f>100*SUMPRODUCT($C5:$C99,xyzs!$G2:$G96,'99set'!CR$10:CR$104)/SUMPRODUCT($C5:$C99,xyzs!$G2:$G96)</f>
        <v>9.8832024585606746</v>
      </c>
      <c r="CW6" s="106">
        <f>100*SUMPRODUCT($C5:$C99,xyzs!$G2:$G96,'99set'!CS$10:CS$104)/SUMPRODUCT($C5:$C99,xyzs!$G2:$G96)</f>
        <v>37.585928568661259</v>
      </c>
      <c r="CX6" s="106">
        <f>100*SUMPRODUCT($C5:$C99,xyzs!$G2:$G96,'99set'!CT$10:CT$104)/SUMPRODUCT($C5:$C99,xyzs!$G2:$G96)</f>
        <v>49.854692844584513</v>
      </c>
      <c r="CY6" s="106">
        <f>100*SUMPRODUCT($C5:$C99,xyzs!$G2:$G96,'99set'!CU$10:CU$104)/SUMPRODUCT($C5:$C99,xyzs!$G2:$G96)</f>
        <v>18.203563342659784</v>
      </c>
      <c r="CZ6" s="106">
        <f>100*SUMPRODUCT($C5:$C99,xyzs!$G2:$G96,'99set'!CV$10:CV$104)/SUMPRODUCT($C5:$C99,xyzs!$G2:$G96)</f>
        <v>30.3903004863032</v>
      </c>
      <c r="DA6" s="106">
        <f>100*SUMPRODUCT($C5:$C99,xyzs!$G2:$G96,'99set'!CW$10:CW$104)/SUMPRODUCT($C5:$C99,xyzs!$G2:$G96)</f>
        <v>18.951953713652543</v>
      </c>
      <c r="DC6">
        <v>2</v>
      </c>
      <c r="DD6" s="114">
        <v>63.42126252438991</v>
      </c>
      <c r="DE6" s="114">
        <v>31.315010834098434</v>
      </c>
      <c r="DF6" s="114">
        <v>4.9339433064894198</v>
      </c>
      <c r="DG6" s="114">
        <v>61.985918419424905</v>
      </c>
      <c r="DH6" s="114">
        <v>24.478163269030087</v>
      </c>
      <c r="DI6" s="114">
        <v>1.7618603008961586</v>
      </c>
      <c r="DJ6" s="114">
        <v>7.6723404461749709</v>
      </c>
      <c r="DK6" s="114">
        <f t="shared" ref="DK6:DK69" si="0">DJ6^2</f>
        <v>58.864807922012353</v>
      </c>
      <c r="DL6" s="114">
        <f t="shared" ref="DL6:DL69" si="1">ATAN(DF6/DE6)+PI()*IF(AND((DE6&lt;0),(DF6&gt;0)),1,0)+PI()*IF(AND((DE6&lt;0),(DF6&lt;0)),1,0)+2*PI()*IF(AND((DE6&gt;0),(DF6&lt;0)),1,0)</f>
        <v>0.15627371377080315</v>
      </c>
      <c r="DM6" s="114">
        <f t="shared" ref="DM6:DM69" si="2">DL6*180/PI()</f>
        <v>8.9538242479024746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24.045840128124151</v>
      </c>
      <c r="DS6" s="117">
        <f t="shared" ref="DS6:EH6" si="4">DAVERAGE($DE$4:$DN$103,"a_r",DS4:DS5)</f>
        <v>20.576674306367874</v>
      </c>
      <c r="DT6" s="117">
        <f t="shared" si="4"/>
        <v>14.839810279213639</v>
      </c>
      <c r="DU6" s="117">
        <f t="shared" si="4"/>
        <v>2.7226970030650839</v>
      </c>
      <c r="DV6" s="117">
        <f t="shared" si="4"/>
        <v>-2.9284614844235128</v>
      </c>
      <c r="DW6" s="117">
        <f t="shared" si="4"/>
        <v>-12.73985775839766</v>
      </c>
      <c r="DX6" s="117">
        <f t="shared" si="4"/>
        <v>-18.746784263271142</v>
      </c>
      <c r="DY6" s="117">
        <f t="shared" si="4"/>
        <v>-21.445625670631173</v>
      </c>
      <c r="DZ6" s="117">
        <f t="shared" si="4"/>
        <v>-22.582012872043485</v>
      </c>
      <c r="EA6" s="117">
        <f t="shared" si="4"/>
        <v>-18.075884442516962</v>
      </c>
      <c r="EB6" s="117">
        <f t="shared" si="4"/>
        <v>-10.871766917958265</v>
      </c>
      <c r="EC6" s="117">
        <f t="shared" si="4"/>
        <v>-6.5969307606156899</v>
      </c>
      <c r="ED6" s="117">
        <f t="shared" si="4"/>
        <v>3.2787094752389438</v>
      </c>
      <c r="EE6" s="117">
        <f t="shared" si="4"/>
        <v>9.3866607635046098</v>
      </c>
      <c r="EF6" s="117">
        <f t="shared" si="4"/>
        <v>18.917276654218711</v>
      </c>
      <c r="EG6" s="117">
        <f t="shared" si="4"/>
        <v>16.89163908186314</v>
      </c>
      <c r="EH6" s="117">
        <f t="shared" si="4"/>
        <v>24.045840128124151</v>
      </c>
    </row>
    <row r="7" spans="1:138">
      <c r="A7">
        <v>370</v>
      </c>
      <c r="B7" s="111">
        <f>B6</f>
        <v>1.8824306472919418E-2</v>
      </c>
      <c r="C7" s="112">
        <f>Reference!N7</f>
        <v>0.4142201345046056</v>
      </c>
      <c r="D7" s="112"/>
      <c r="E7" s="118" t="s">
        <v>111</v>
      </c>
      <c r="F7" s="106">
        <f>100*SUMPRODUCT($C5:$C99,xyzs!$H2:$H96,'99set'!B$10:B$104)/SUMPRODUCT($C5:$C99,xyzs!$G2:$G96)</f>
        <v>37.361966081683555</v>
      </c>
      <c r="G7" s="106">
        <f>100*SUMPRODUCT($C5:$C99,xyzs!$H2:$H96,'99set'!C$10:C$104)/SUMPRODUCT($C5:$C99,xyzs!$G2:$G96)</f>
        <v>22.524427725209559</v>
      </c>
      <c r="H7" s="106">
        <f>100*SUMPRODUCT($C5:$C99,xyzs!$H2:$H96,'99set'!D$10:D$104)/SUMPRODUCT($C5:$C99,xyzs!$G2:$G96)</f>
        <v>8.1275692658028191</v>
      </c>
      <c r="I7" s="106">
        <f>100*SUMPRODUCT($C5:$C99,xyzs!$H2:$H96,'99set'!E$10:E$104)/SUMPRODUCT($C5:$C99,xyzs!$G2:$G96)</f>
        <v>1.9654999015159036</v>
      </c>
      <c r="J7" s="106">
        <f>100*SUMPRODUCT($C5:$C99,xyzs!$H2:$H96,'99set'!F$10:F$104)/SUMPRODUCT($C5:$C99,xyzs!$G2:$G96)</f>
        <v>10.476960796060947</v>
      </c>
      <c r="K7" s="106">
        <f>100*SUMPRODUCT($C5:$C99,xyzs!$H2:$H96,'99set'!G$10:G$104)/SUMPRODUCT($C5:$C99,xyzs!$G2:$G96)</f>
        <v>3.3655224224008231</v>
      </c>
      <c r="L7" s="106">
        <f>100*SUMPRODUCT($C5:$C99,xyzs!$H2:$H96,'99set'!H$10:H$104)/SUMPRODUCT($C5:$C99,xyzs!$G2:$G96)</f>
        <v>4.6240465554392998</v>
      </c>
      <c r="M7" s="106">
        <f>100*SUMPRODUCT($C5:$C99,xyzs!$H2:$H96,'99set'!I$10:I$104)/SUMPRODUCT($C5:$C99,xyzs!$G2:$G96)</f>
        <v>2.0466689366441173</v>
      </c>
      <c r="N7" s="106">
        <f>100*SUMPRODUCT($C5:$C99,xyzs!$H2:$H96,'99set'!J$10:J$104)/SUMPRODUCT($C5:$C99,xyzs!$G2:$G96)</f>
        <v>2.1314359268837619</v>
      </c>
      <c r="O7" s="106">
        <f>100*SUMPRODUCT($C5:$C99,xyzs!$H2:$H96,'99set'!K$10:K$104)/SUMPRODUCT($C5:$C99,xyzs!$G2:$G96)</f>
        <v>1.8233099915684494</v>
      </c>
      <c r="P7" s="106">
        <f>100*SUMPRODUCT($C5:$C99,xyzs!$H2:$H96,'99set'!L$10:L$104)/SUMPRODUCT($C5:$C99,xyzs!$G2:$G96)</f>
        <v>6.7748130544184324</v>
      </c>
      <c r="Q7" s="106">
        <f>100*SUMPRODUCT($C5:$C99,xyzs!$H2:$H96,'99set'!M$10:M$104)/SUMPRODUCT($C5:$C99,xyzs!$G2:$G96)</f>
        <v>2.6088475801635034</v>
      </c>
      <c r="R7" s="106">
        <f>100*SUMPRODUCT($C5:$C99,xyzs!$H2:$H96,'99set'!N$10:N$104)/SUMPRODUCT($C5:$C99,xyzs!$G2:$G96)</f>
        <v>3.1425966161180114</v>
      </c>
      <c r="S7" s="106">
        <f>100*SUMPRODUCT($C5:$C99,xyzs!$H2:$H96,'99set'!O$10:O$104)/SUMPRODUCT($C5:$C99,xyzs!$G2:$G96)</f>
        <v>1.8499010891839489</v>
      </c>
      <c r="T7" s="106">
        <f>100*SUMPRODUCT($C5:$C99,xyzs!$H2:$H96,'99set'!P$10:P$104)/SUMPRODUCT($C5:$C99,xyzs!$G2:$G96)</f>
        <v>13.382085809241087</v>
      </c>
      <c r="U7" s="106">
        <f>100*SUMPRODUCT($C5:$C99,xyzs!$H2:$H96,'99set'!Q$10:Q$104)/SUMPRODUCT($C5:$C99,xyzs!$G2:$G96)</f>
        <v>9.9892239145484325</v>
      </c>
      <c r="V7" s="106">
        <f>100*SUMPRODUCT($C5:$C99,xyzs!$H2:$H96,'99set'!R$10:R$104)/SUMPRODUCT($C5:$C99,xyzs!$G2:$G96)</f>
        <v>2.149529632204763</v>
      </c>
      <c r="W7" s="106">
        <f>100*SUMPRODUCT($C5:$C99,xyzs!$H2:$H96,'99set'!S$10:S$104)/SUMPRODUCT($C5:$C99,xyzs!$G2:$G96)</f>
        <v>2.3173499576672696</v>
      </c>
      <c r="X7" s="106">
        <f>100*SUMPRODUCT($C5:$C99,xyzs!$H2:$H96,'99set'!T$10:T$104)/SUMPRODUCT($C5:$C99,xyzs!$G2:$G96)</f>
        <v>4.4460484155160547</v>
      </c>
      <c r="Y7" s="106">
        <f>100*SUMPRODUCT($C5:$C99,xyzs!$H2:$H96,'99set'!U$10:U$104)/SUMPRODUCT($C5:$C99,xyzs!$G2:$G96)</f>
        <v>4.752899209184215</v>
      </c>
      <c r="Z7" s="106">
        <f>100*SUMPRODUCT($C5:$C99,xyzs!$H2:$H96,'99set'!V$10:V$104)/SUMPRODUCT($C5:$C99,xyzs!$G2:$G96)</f>
        <v>2.3777126172242382</v>
      </c>
      <c r="AA7" s="106">
        <f>100*SUMPRODUCT($C5:$C99,xyzs!$H2:$H96,'99set'!W$10:W$104)/SUMPRODUCT($C5:$C99,xyzs!$G2:$G96)</f>
        <v>6.8029329120298883</v>
      </c>
      <c r="AB7" s="106">
        <f>100*SUMPRODUCT($C5:$C99,xyzs!$H2:$H96,'99set'!X$10:X$104)/SUMPRODUCT($C5:$C99,xyzs!$G2:$G96)</f>
        <v>4.3421797823878174</v>
      </c>
      <c r="AC7" s="106">
        <f>100*SUMPRODUCT($C5:$C99,xyzs!$H2:$H96,'99set'!Y$10:Y$104)/SUMPRODUCT($C5:$C99,xyzs!$G2:$G96)</f>
        <v>20.50837862890393</v>
      </c>
      <c r="AD7" s="106">
        <f>100*SUMPRODUCT($C5:$C99,xyzs!$H2:$H96,'99set'!Z$10:Z$104)/SUMPRODUCT($C5:$C99,xyzs!$G2:$G96)</f>
        <v>11.356257949429731</v>
      </c>
      <c r="AE7" s="106">
        <f>100*SUMPRODUCT($C5:$C99,xyzs!$H2:$H96,'99set'!AA$10:AA$104)/SUMPRODUCT($C5:$C99,xyzs!$G2:$G96)</f>
        <v>2.1604058014257554</v>
      </c>
      <c r="AF7" s="106">
        <f>100*SUMPRODUCT($C5:$C99,xyzs!$H2:$H96,'99set'!AB$10:AB$104)/SUMPRODUCT($C5:$C99,xyzs!$G2:$G96)</f>
        <v>8.3413660127370299</v>
      </c>
      <c r="AG7" s="106">
        <f>100*SUMPRODUCT($C5:$C99,xyzs!$H2:$H96,'99set'!AC$10:AC$104)/SUMPRODUCT($C5:$C99,xyzs!$G2:$G96)</f>
        <v>9.41398803956778</v>
      </c>
      <c r="AH7" s="106">
        <f>100*SUMPRODUCT($C5:$C99,xyzs!$H2:$H96,'99set'!AD$10:AD$104)/SUMPRODUCT($C5:$C99,xyzs!$G2:$G96)</f>
        <v>1.8416003052984011</v>
      </c>
      <c r="AI7" s="106">
        <f>100*SUMPRODUCT($C5:$C99,xyzs!$H2:$H96,'99set'!AE$10:AE$104)/SUMPRODUCT($C5:$C99,xyzs!$G2:$G96)</f>
        <v>7.7337627878566062</v>
      </c>
      <c r="AJ7" s="106">
        <f>100*SUMPRODUCT($C5:$C99,xyzs!$H2:$H96,'99set'!AF$10:AF$104)/SUMPRODUCT($C5:$C99,xyzs!$G2:$G96)</f>
        <v>5.873716977865171</v>
      </c>
      <c r="AK7" s="106">
        <f>100*SUMPRODUCT($C5:$C99,xyzs!$H2:$H96,'99set'!AG$10:AG$104)/SUMPRODUCT($C5:$C99,xyzs!$G2:$G96)</f>
        <v>8.4891629165195539</v>
      </c>
      <c r="AL7" s="106">
        <f>100*SUMPRODUCT($C5:$C99,xyzs!$H2:$H96,'99set'!AH$10:AH$104)/SUMPRODUCT($C5:$C99,xyzs!$G2:$G96)</f>
        <v>3.5978435759270964</v>
      </c>
      <c r="AM7" s="106">
        <f>100*SUMPRODUCT($C5:$C99,xyzs!$H2:$H96,'99set'!AI$10:AI$104)/SUMPRODUCT($C5:$C99,xyzs!$G2:$G96)</f>
        <v>15.015116230838533</v>
      </c>
      <c r="AN7" s="106">
        <f>100*SUMPRODUCT($C5:$C99,xyzs!$H2:$H96,'99set'!AJ$10:AJ$104)/SUMPRODUCT($C5:$C99,xyzs!$G2:$G96)</f>
        <v>2.3114706330587009</v>
      </c>
      <c r="AO7" s="106">
        <f>100*SUMPRODUCT($C5:$C99,xyzs!$H2:$H96,'99set'!AK$10:AK$104)/SUMPRODUCT($C5:$C99,xyzs!$G2:$G96)</f>
        <v>1.9997183226884996</v>
      </c>
      <c r="AP7" s="106">
        <f>100*SUMPRODUCT($C5:$C99,xyzs!$H2:$H96,'99set'!AL$10:AL$104)/SUMPRODUCT($C5:$C99,xyzs!$G2:$G96)</f>
        <v>16.913945245690527</v>
      </c>
      <c r="AQ7" s="106">
        <f>100*SUMPRODUCT($C5:$C99,xyzs!$H2:$H96,'99set'!AM$10:AM$104)/SUMPRODUCT($C5:$C99,xyzs!$G2:$G96)</f>
        <v>2.2406291842135828</v>
      </c>
      <c r="AR7" s="106">
        <f>100*SUMPRODUCT($C5:$C99,xyzs!$H2:$H96,'99set'!AN$10:AN$104)/SUMPRODUCT($C5:$C99,xyzs!$G2:$G96)</f>
        <v>15.388358426173015</v>
      </c>
      <c r="AS7" s="106">
        <f>100*SUMPRODUCT($C5:$C99,xyzs!$H2:$H96,'99set'!AO$10:AO$104)/SUMPRODUCT($C5:$C99,xyzs!$G2:$G96)</f>
        <v>2.1404169985750165</v>
      </c>
      <c r="AT7" s="106">
        <f>100*SUMPRODUCT($C5:$C99,xyzs!$H2:$H96,'99set'!AP$10:AP$104)/SUMPRODUCT($C5:$C99,xyzs!$G2:$G96)</f>
        <v>3.7094536203145942</v>
      </c>
      <c r="AU7" s="106">
        <f>100*SUMPRODUCT($C5:$C99,xyzs!$H2:$H96,'99set'!AQ$10:AQ$104)/SUMPRODUCT($C5:$C99,xyzs!$G2:$G96)</f>
        <v>21.544255574581104</v>
      </c>
      <c r="AV7" s="106">
        <f>100*SUMPRODUCT($C5:$C99,xyzs!$H2:$H96,'99set'!AR$10:AR$104)/SUMPRODUCT($C5:$C99,xyzs!$G2:$G96)</f>
        <v>3.6366165332887221</v>
      </c>
      <c r="AW7" s="106">
        <f>100*SUMPRODUCT($C5:$C99,xyzs!$H2:$H96,'99set'!AS$10:AS$104)/SUMPRODUCT($C5:$C99,xyzs!$G2:$G96)</f>
        <v>4.3009549749131351</v>
      </c>
      <c r="AX7" s="106">
        <f>100*SUMPRODUCT($C5:$C99,xyzs!$H2:$H96,'99set'!AT$10:AT$104)/SUMPRODUCT($C5:$C99,xyzs!$G2:$G96)</f>
        <v>1.7681388032357686</v>
      </c>
      <c r="AY7" s="106">
        <f>100*SUMPRODUCT($C5:$C99,xyzs!$H2:$H96,'99set'!AU$10:AU$104)/SUMPRODUCT($C5:$C99,xyzs!$G2:$G96)</f>
        <v>3.8165362859746876</v>
      </c>
      <c r="AZ7" s="106">
        <f>100*SUMPRODUCT($C5:$C99,xyzs!$H2:$H96,'99set'!AV$10:AV$104)/SUMPRODUCT($C5:$C99,xyzs!$G2:$G96)</f>
        <v>7.2032205303109116</v>
      </c>
      <c r="BA7" s="106">
        <f>100*SUMPRODUCT($C5:$C99,xyzs!$H2:$H96,'99set'!AW$10:AW$104)/SUMPRODUCT($C5:$C99,xyzs!$G2:$G96)</f>
        <v>10.213695012666678</v>
      </c>
      <c r="BB7" s="106">
        <f>100*SUMPRODUCT($C5:$C99,xyzs!$H2:$H96,'99set'!AX$10:AX$104)/SUMPRODUCT($C5:$C99,xyzs!$G2:$G96)</f>
        <v>11.996639770828315</v>
      </c>
      <c r="BC7" s="106">
        <f>100*SUMPRODUCT($C5:$C99,xyzs!$H2:$H96,'99set'!AY$10:AY$104)/SUMPRODUCT($C5:$C99,xyzs!$G2:$G96)</f>
        <v>2.999380860888972</v>
      </c>
      <c r="BD7" s="106">
        <f>100*SUMPRODUCT($C5:$C99,xyzs!$H2:$H96,'99set'!AZ$10:AZ$104)/SUMPRODUCT($C5:$C99,xyzs!$G2:$G96)</f>
        <v>6.0710076757061806</v>
      </c>
      <c r="BE7" s="106">
        <f>100*SUMPRODUCT($C5:$C99,xyzs!$H2:$H96,'99set'!BA$10:BA$104)/SUMPRODUCT($C5:$C99,xyzs!$G2:$G96)</f>
        <v>7.5759359749063773</v>
      </c>
      <c r="BF7" s="106">
        <f>100*SUMPRODUCT($C5:$C99,xyzs!$H2:$H96,'99set'!BB$10:BB$104)/SUMPRODUCT($C5:$C99,xyzs!$G2:$G96)</f>
        <v>2.9772203619029103</v>
      </c>
      <c r="BG7" s="106">
        <f>100*SUMPRODUCT($C5:$C99,xyzs!$H2:$H96,'99set'!BC$10:BC$104)/SUMPRODUCT($C5:$C99,xyzs!$G2:$G96)</f>
        <v>5.3618361595704265</v>
      </c>
      <c r="BH7" s="106">
        <f>100*SUMPRODUCT($C5:$C99,xyzs!$H2:$H96,'99set'!BD$10:BD$104)/SUMPRODUCT($C5:$C99,xyzs!$G2:$G96)</f>
        <v>25.266489434996622</v>
      </c>
      <c r="BI7" s="106">
        <f>100*SUMPRODUCT($C5:$C99,xyzs!$H2:$H96,'99set'!BE$10:BE$104)/SUMPRODUCT($C5:$C99,xyzs!$G2:$G96)</f>
        <v>23.374591372161102</v>
      </c>
      <c r="BJ7" s="106">
        <f>100*SUMPRODUCT($C5:$C99,xyzs!$H2:$H96,'99set'!BF$10:BF$104)/SUMPRODUCT($C5:$C99,xyzs!$G2:$G96)</f>
        <v>16.336563094538107</v>
      </c>
      <c r="BK7" s="106">
        <f>100*SUMPRODUCT($C5:$C99,xyzs!$H2:$H96,'99set'!BG$10:BG$104)/SUMPRODUCT($C5:$C99,xyzs!$G2:$G96)</f>
        <v>10.117369022180933</v>
      </c>
      <c r="BL7" s="106">
        <f>100*SUMPRODUCT($C5:$C99,xyzs!$H2:$H96,'99set'!BH$10:BH$104)/SUMPRODUCT($C5:$C99,xyzs!$G2:$G96)</f>
        <v>9.3808461888989694</v>
      </c>
      <c r="BM7" s="106">
        <f>100*SUMPRODUCT($C5:$C99,xyzs!$H2:$H96,'99set'!BI$10:BI$104)/SUMPRODUCT($C5:$C99,xyzs!$G2:$G96)</f>
        <v>26.338653614187859</v>
      </c>
      <c r="BN7" s="106">
        <f>100*SUMPRODUCT($C5:$C99,xyzs!$H2:$H96,'99set'!BJ$10:BJ$104)/SUMPRODUCT($C5:$C99,xyzs!$G2:$G96)</f>
        <v>26.960209562099248</v>
      </c>
      <c r="BO7" s="106">
        <f>100*SUMPRODUCT($C5:$C99,xyzs!$H2:$H96,'99set'!BK$10:BK$104)/SUMPRODUCT($C5:$C99,xyzs!$G2:$G96)</f>
        <v>19.769674362496392</v>
      </c>
      <c r="BP7" s="106">
        <f>100*SUMPRODUCT($C5:$C99,xyzs!$H2:$H96,'99set'!BL$10:BL$104)/SUMPRODUCT($C5:$C99,xyzs!$G2:$G96)</f>
        <v>13.406576131534333</v>
      </c>
      <c r="BQ7" s="106">
        <f>100*SUMPRODUCT($C5:$C99,xyzs!$H2:$H96,'99set'!BM$10:BM$104)/SUMPRODUCT($C5:$C99,xyzs!$G2:$G96)</f>
        <v>2.930341743312245</v>
      </c>
      <c r="BR7" s="106">
        <f>100*SUMPRODUCT($C5:$C99,xyzs!$H2:$H96,'99set'!BN$10:BN$104)/SUMPRODUCT($C5:$C99,xyzs!$G2:$G96)</f>
        <v>14.585342011112942</v>
      </c>
      <c r="BS7" s="106">
        <f>100*SUMPRODUCT($C5:$C99,xyzs!$H2:$H96,'99set'!BO$10:BO$104)/SUMPRODUCT($C5:$C99,xyzs!$G2:$G96)</f>
        <v>5.4117950383483802</v>
      </c>
      <c r="BT7" s="106">
        <f>100*SUMPRODUCT($C5:$C99,xyzs!$H2:$H96,'99set'!BP$10:BP$104)/SUMPRODUCT($C5:$C99,xyzs!$G2:$G96)</f>
        <v>9.0887000966709639</v>
      </c>
      <c r="BU7" s="106">
        <f>100*SUMPRODUCT($C5:$C99,xyzs!$H2:$H96,'99set'!BQ$10:BQ$104)/SUMPRODUCT($C5:$C99,xyzs!$G2:$G96)</f>
        <v>10.933997627198117</v>
      </c>
      <c r="BV7" s="106">
        <f>100*SUMPRODUCT($C5:$C99,xyzs!$H2:$H96,'99set'!BR$10:BR$104)/SUMPRODUCT($C5:$C99,xyzs!$G2:$G96)</f>
        <v>16.181870655189794</v>
      </c>
      <c r="BW7" s="106">
        <f>100*SUMPRODUCT($C5:$C99,xyzs!$H2:$H96,'99set'!BS$10:BS$104)/SUMPRODUCT($C5:$C99,xyzs!$G2:$G96)</f>
        <v>9.1088687710253833</v>
      </c>
      <c r="BX7" s="106">
        <f>100*SUMPRODUCT($C5:$C99,xyzs!$H2:$H96,'99set'!BT$10:BT$104)/SUMPRODUCT($C5:$C99,xyzs!$G2:$G96)</f>
        <v>25.257222869756415</v>
      </c>
      <c r="BY7" s="106">
        <f>100*SUMPRODUCT($C5:$C99,xyzs!$H2:$H96,'99set'!BU$10:BU$104)/SUMPRODUCT($C5:$C99,xyzs!$G2:$G96)</f>
        <v>6.215153145852983</v>
      </c>
      <c r="BZ7" s="106">
        <f>100*SUMPRODUCT($C5:$C99,xyzs!$H2:$H96,'99set'!BV$10:BV$104)/SUMPRODUCT($C5:$C99,xyzs!$G2:$G96)</f>
        <v>20.09217673466037</v>
      </c>
      <c r="CA7" s="106">
        <f>100*SUMPRODUCT($C5:$C99,xyzs!$H2:$H96,'99set'!BW$10:BW$104)/SUMPRODUCT($C5:$C99,xyzs!$G2:$G96)</f>
        <v>19.256154734562834</v>
      </c>
      <c r="CB7" s="106">
        <f>100*SUMPRODUCT($C5:$C99,xyzs!$H2:$H96,'99set'!BX$10:BX$104)/SUMPRODUCT($C5:$C99,xyzs!$G2:$G96)</f>
        <v>2.0015246560273905</v>
      </c>
      <c r="CC7" s="106">
        <f>100*SUMPRODUCT($C5:$C99,xyzs!$H2:$H96,'99set'!BY$10:BY$104)/SUMPRODUCT($C5:$C99,xyzs!$G2:$G96)</f>
        <v>5.8844464222483124</v>
      </c>
      <c r="CD7" s="106">
        <f>100*SUMPRODUCT($C5:$C99,xyzs!$H2:$H96,'99set'!BZ$10:BZ$104)/SUMPRODUCT($C5:$C99,xyzs!$G2:$G96)</f>
        <v>16.251610057925966</v>
      </c>
      <c r="CE7" s="106">
        <f>100*SUMPRODUCT($C5:$C99,xyzs!$H2:$H96,'99set'!CA$10:CA$104)/SUMPRODUCT($C5:$C99,xyzs!$G2:$G96)</f>
        <v>9.9733681097772759</v>
      </c>
      <c r="CF7" s="106">
        <f>100*SUMPRODUCT($C5:$C99,xyzs!$H2:$H96,'99set'!CB$10:CB$104)/SUMPRODUCT($C5:$C99,xyzs!$G2:$G96)</f>
        <v>13.835962809457515</v>
      </c>
      <c r="CG7" s="106">
        <f>100*SUMPRODUCT($C5:$C99,xyzs!$H2:$H96,'99set'!CC$10:CC$104)/SUMPRODUCT($C5:$C99,xyzs!$G2:$G96)</f>
        <v>23.692313305880674</v>
      </c>
      <c r="CH7" s="106">
        <f>100*SUMPRODUCT($C5:$C99,xyzs!$H2:$H96,'99set'!CD$10:CD$104)/SUMPRODUCT($C5:$C99,xyzs!$G2:$G96)</f>
        <v>20.195830744941034</v>
      </c>
      <c r="CI7" s="106">
        <f>100*SUMPRODUCT($C5:$C99,xyzs!$H2:$H96,'99set'!CE$10:CE$104)/SUMPRODUCT($C5:$C99,xyzs!$G2:$G96)</f>
        <v>11.420184197300703</v>
      </c>
      <c r="CJ7" s="106">
        <f>100*SUMPRODUCT($C5:$C99,xyzs!$H2:$H96,'99set'!CF$10:CF$104)/SUMPRODUCT($C5:$C99,xyzs!$G2:$G96)</f>
        <v>28.827636492642565</v>
      </c>
      <c r="CK7" s="106">
        <f>100*SUMPRODUCT($C5:$C99,xyzs!$H2:$H96,'99set'!CG$10:CG$104)/SUMPRODUCT($C5:$C99,xyzs!$G2:$G96)</f>
        <v>21.108638953577827</v>
      </c>
      <c r="CL7" s="106">
        <f>100*SUMPRODUCT($C5:$C99,xyzs!$H2:$H96,'99set'!CH$10:CH$104)/SUMPRODUCT($C5:$C99,xyzs!$G2:$G96)</f>
        <v>2.2084658603378435</v>
      </c>
      <c r="CM7" s="106">
        <f>100*SUMPRODUCT($C5:$C99,xyzs!$H2:$H96,'99set'!CI$10:CI$104)/SUMPRODUCT($C5:$C99,xyzs!$G2:$G96)</f>
        <v>5.7560669733595162</v>
      </c>
      <c r="CN7" s="106">
        <f>100*SUMPRODUCT($C5:$C99,xyzs!$H2:$H96,'99set'!CJ$10:CJ$104)/SUMPRODUCT($C5:$C99,xyzs!$G2:$G96)</f>
        <v>19.718415743414713</v>
      </c>
      <c r="CO7" s="106">
        <f>100*SUMPRODUCT($C5:$C99,xyzs!$H2:$H96,'99set'!CK$10:CK$104)/SUMPRODUCT($C5:$C99,xyzs!$G2:$G96)</f>
        <v>7.630540894022424</v>
      </c>
      <c r="CP7" s="106">
        <f>100*SUMPRODUCT($C5:$C99,xyzs!$H2:$H96,'99set'!CL$10:CL$104)/SUMPRODUCT($C5:$C99,xyzs!$G2:$G96)</f>
        <v>16.057600654084172</v>
      </c>
      <c r="CQ7" s="106">
        <f>100*SUMPRODUCT($C5:$C99,xyzs!$H2:$H96,'99set'!CM$10:CM$104)/SUMPRODUCT($C5:$C99,xyzs!$G2:$G96)</f>
        <v>5.7802182548259999</v>
      </c>
      <c r="CR7" s="106">
        <f>100*SUMPRODUCT($C5:$C99,xyzs!$H2:$H96,'99set'!CN$10:CN$104)/SUMPRODUCT($C5:$C99,xyzs!$G2:$G96)</f>
        <v>7.6578825697683817</v>
      </c>
      <c r="CS7" s="106">
        <f>100*SUMPRODUCT($C5:$C99,xyzs!$H2:$H96,'99set'!CO$10:CO$104)/SUMPRODUCT($C5:$C99,xyzs!$G2:$G96)</f>
        <v>20.599771296851557</v>
      </c>
      <c r="CT7" s="106">
        <f>100*SUMPRODUCT($C5:$C99,xyzs!$H2:$H96,'99set'!CP$10:CP$104)/SUMPRODUCT($C5:$C99,xyzs!$G2:$G96)</f>
        <v>10.223339350486926</v>
      </c>
      <c r="CU7" s="106">
        <f>100*SUMPRODUCT($C5:$C99,xyzs!$H2:$H96,'99set'!CQ$10:CQ$104)/SUMPRODUCT($C5:$C99,xyzs!$G2:$G96)</f>
        <v>14.554190828162964</v>
      </c>
      <c r="CV7" s="106">
        <f>100*SUMPRODUCT($C5:$C99,xyzs!$H2:$H96,'99set'!CR$10:CR$104)/SUMPRODUCT($C5:$C99,xyzs!$G2:$G96)</f>
        <v>4.8331249247817567</v>
      </c>
      <c r="CW7" s="106">
        <f>100*SUMPRODUCT($C5:$C99,xyzs!$H2:$H96,'99set'!CS$10:CS$104)/SUMPRODUCT($C5:$C99,xyzs!$G2:$G96)</f>
        <v>15.91706325719022</v>
      </c>
      <c r="CX7" s="106">
        <f>100*SUMPRODUCT($C5:$C99,xyzs!$H2:$H96,'99set'!CT$10:CT$104)/SUMPRODUCT($C5:$C99,xyzs!$G2:$G96)</f>
        <v>20.354667959440409</v>
      </c>
      <c r="CY7" s="106">
        <f>100*SUMPRODUCT($C5:$C99,xyzs!$H2:$H96,'99set'!CU$10:CU$104)/SUMPRODUCT($C5:$C99,xyzs!$G2:$G96)</f>
        <v>7.4187190421368694</v>
      </c>
      <c r="CZ7" s="106">
        <f>100*SUMPRODUCT($C5:$C99,xyzs!$H2:$H96,'99set'!CV$10:CV$104)/SUMPRODUCT($C5:$C99,xyzs!$G2:$G96)</f>
        <v>10.937507414376698</v>
      </c>
      <c r="DA7" s="106">
        <f>100*SUMPRODUCT($C5:$C99,xyzs!$H2:$H96,'99set'!CW$10:CW$104)/SUMPRODUCT($C5:$C99,xyzs!$G2:$G96)</f>
        <v>6.7026698073098165</v>
      </c>
      <c r="DC7">
        <v>3</v>
      </c>
      <c r="DD7" s="114">
        <v>32.072786588010501</v>
      </c>
      <c r="DE7" s="114">
        <v>15.423968187323448</v>
      </c>
      <c r="DF7" s="114">
        <v>2.4600718472207164</v>
      </c>
      <c r="DG7" s="114">
        <v>30.297207749478545</v>
      </c>
      <c r="DH7" s="114">
        <v>9.8042102950301384</v>
      </c>
      <c r="DI7" s="114">
        <v>1.5392452920032682</v>
      </c>
      <c r="DJ7" s="114">
        <v>5.9650884758425056</v>
      </c>
      <c r="DK7" s="114">
        <f t="shared" si="0"/>
        <v>35.582280524629063</v>
      </c>
      <c r="DL7" s="114">
        <f t="shared" si="1"/>
        <v>0.15816447520866062</v>
      </c>
      <c r="DM7" s="114">
        <f t="shared" si="2"/>
        <v>9.0621568983577951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5.1129108493268003</v>
      </c>
      <c r="DS7" s="117">
        <f t="shared" si="5"/>
        <v>15.098393482422157</v>
      </c>
      <c r="DT7" s="117">
        <f t="shared" si="5"/>
        <v>22.884477714472325</v>
      </c>
      <c r="DU7" s="117">
        <f t="shared" si="5"/>
        <v>20.392999261286207</v>
      </c>
      <c r="DV7" s="117">
        <f t="shared" si="5"/>
        <v>16.773893910958822</v>
      </c>
      <c r="DW7" s="117">
        <f t="shared" si="5"/>
        <v>16.868438594148195</v>
      </c>
      <c r="DX7" s="117">
        <f t="shared" si="5"/>
        <v>13.086282360334996</v>
      </c>
      <c r="DY7" s="117">
        <f t="shared" si="5"/>
        <v>5.6400347022905635</v>
      </c>
      <c r="DZ7" s="117">
        <f t="shared" si="5"/>
        <v>-3.8826816866696272</v>
      </c>
      <c r="EA7" s="117">
        <f t="shared" si="5"/>
        <v>-11.976686769364724</v>
      </c>
      <c r="EB7" s="117">
        <f t="shared" si="5"/>
        <v>-15.825243457683298</v>
      </c>
      <c r="EC7" s="117">
        <f t="shared" si="5"/>
        <v>-21.172851428612496</v>
      </c>
      <c r="ED7" s="117">
        <f t="shared" si="5"/>
        <v>-18.027661705270209</v>
      </c>
      <c r="EE7" s="117">
        <f t="shared" si="5"/>
        <v>-13.980186576717589</v>
      </c>
      <c r="EF7" s="117">
        <f t="shared" si="5"/>
        <v>-13.431554731291508</v>
      </c>
      <c r="EG7" s="117">
        <f t="shared" si="5"/>
        <v>-4.1767669974805965</v>
      </c>
      <c r="EH7" s="117">
        <f t="shared" si="5"/>
        <v>5.1129108493268003</v>
      </c>
    </row>
    <row r="8" spans="1:138">
      <c r="A8">
        <v>375</v>
      </c>
      <c r="B8" s="111">
        <f>B7</f>
        <v>1.8824306472919418E-2</v>
      </c>
      <c r="C8" s="112">
        <f>Reference!N8</f>
        <v>0.46209113393437218</v>
      </c>
      <c r="D8" s="112"/>
      <c r="E8" s="118" t="s">
        <v>112</v>
      </c>
      <c r="F8" s="119">
        <f t="shared" ref="F8:T8" si="6">F5/(F5+F6+F7)</f>
        <v>0.4449380687074449</v>
      </c>
      <c r="G8" s="119">
        <f t="shared" si="6"/>
        <v>0.48034151088489868</v>
      </c>
      <c r="H8" s="119">
        <f t="shared" si="6"/>
        <v>0.54747986116200442</v>
      </c>
      <c r="I8" s="119">
        <f t="shared" si="6"/>
        <v>0.50966812104677217</v>
      </c>
      <c r="J8" s="119">
        <f t="shared" si="6"/>
        <v>0.51072022199964362</v>
      </c>
      <c r="K8" s="119">
        <f t="shared" si="6"/>
        <v>0.58940288470776236</v>
      </c>
      <c r="L8" s="119">
        <f t="shared" si="6"/>
        <v>0.51835477789430018</v>
      </c>
      <c r="M8" s="119">
        <f t="shared" si="6"/>
        <v>0.5973298137971238</v>
      </c>
      <c r="N8" s="119">
        <f t="shared" si="6"/>
        <v>0.5870410877901131</v>
      </c>
      <c r="O8" s="119">
        <f t="shared" si="6"/>
        <v>0.45736081933258049</v>
      </c>
      <c r="P8" s="119">
        <f t="shared" si="6"/>
        <v>0.57005276683015027</v>
      </c>
      <c r="Q8" s="119">
        <f t="shared" si="6"/>
        <v>0.58840922037599319</v>
      </c>
      <c r="R8" s="119">
        <f t="shared" si="6"/>
        <v>0.59208697891367512</v>
      </c>
      <c r="S8" s="119">
        <f t="shared" si="6"/>
        <v>0.5570964227029126</v>
      </c>
      <c r="T8" s="119">
        <f t="shared" si="6"/>
        <v>0.47010254678984409</v>
      </c>
      <c r="U8" s="119">
        <f>U5/(U5+U6+U7)</f>
        <v>0.50019831242402846</v>
      </c>
      <c r="V8" s="119">
        <f>V5/(V5+V6+V7)</f>
        <v>0.55368815186949982</v>
      </c>
      <c r="W8" s="119">
        <f>W5/(W5+W6+W7)</f>
        <v>0.54398663761094035</v>
      </c>
      <c r="X8" s="119">
        <f t="shared" ref="X8:CI8" si="7">X5/(X5+X6+X7)</f>
        <v>0.51552640287051155</v>
      </c>
      <c r="Y8" s="119">
        <f t="shared" si="7"/>
        <v>0.53933782368634631</v>
      </c>
      <c r="Z8" s="119">
        <f t="shared" si="7"/>
        <v>0.57491873802977833</v>
      </c>
      <c r="AA8" s="119">
        <f t="shared" si="7"/>
        <v>0.54163357658262568</v>
      </c>
      <c r="AB8" s="119">
        <f t="shared" si="7"/>
        <v>0.55313770917830041</v>
      </c>
      <c r="AC8" s="119">
        <f t="shared" si="7"/>
        <v>0.47406272342871586</v>
      </c>
      <c r="AD8" s="119">
        <f t="shared" si="7"/>
        <v>0.50912183505135078</v>
      </c>
      <c r="AE8" s="119">
        <f t="shared" si="7"/>
        <v>0.54769349855294691</v>
      </c>
      <c r="AF8" s="119">
        <f t="shared" si="7"/>
        <v>0.52152303754029861</v>
      </c>
      <c r="AG8" s="119">
        <f t="shared" si="7"/>
        <v>0.47980683372381444</v>
      </c>
      <c r="AH8" s="119">
        <f t="shared" si="7"/>
        <v>0.49246992441034493</v>
      </c>
      <c r="AI8" s="119">
        <f t="shared" si="7"/>
        <v>0.51048933601386082</v>
      </c>
      <c r="AJ8" s="119">
        <f t="shared" si="7"/>
        <v>0.48936922031143854</v>
      </c>
      <c r="AK8" s="119">
        <f t="shared" si="7"/>
        <v>0.5055371143230839</v>
      </c>
      <c r="AL8" s="119">
        <f t="shared" si="7"/>
        <v>0.51618381248467682</v>
      </c>
      <c r="AM8" s="119">
        <f t="shared" si="7"/>
        <v>0.48173351641108098</v>
      </c>
      <c r="AN8" s="119">
        <f t="shared" si="7"/>
        <v>0.50684603323034882</v>
      </c>
      <c r="AO8" s="119">
        <f t="shared" si="7"/>
        <v>0.48032874322603258</v>
      </c>
      <c r="AP8" s="119">
        <f t="shared" si="7"/>
        <v>0.45669365786105232</v>
      </c>
      <c r="AQ8" s="119">
        <f t="shared" si="7"/>
        <v>0.4800702490028852</v>
      </c>
      <c r="AR8" s="119">
        <f t="shared" si="7"/>
        <v>0.4689066216356273</v>
      </c>
      <c r="AS8" s="119">
        <f t="shared" si="7"/>
        <v>0.45846782290907706</v>
      </c>
      <c r="AT8" s="119">
        <f t="shared" si="7"/>
        <v>0.46623783435847582</v>
      </c>
      <c r="AU8" s="119">
        <f t="shared" si="7"/>
        <v>0.45224336426949513</v>
      </c>
      <c r="AV8" s="119">
        <f t="shared" si="7"/>
        <v>0.46154177502780447</v>
      </c>
      <c r="AW8" s="119">
        <f t="shared" si="7"/>
        <v>0.46022272245580553</v>
      </c>
      <c r="AX8" s="119">
        <f t="shared" si="7"/>
        <v>0.4462038699608244</v>
      </c>
      <c r="AY8" s="119">
        <f t="shared" si="7"/>
        <v>0.43780253876098207</v>
      </c>
      <c r="AZ8" s="119">
        <f t="shared" si="7"/>
        <v>0.44162600282504572</v>
      </c>
      <c r="BA8" s="119">
        <f t="shared" si="7"/>
        <v>0.44650991641394616</v>
      </c>
      <c r="BB8" s="119">
        <f t="shared" si="7"/>
        <v>0.4250694004785755</v>
      </c>
      <c r="BC8" s="119">
        <f t="shared" si="7"/>
        <v>0.42211249395402484</v>
      </c>
      <c r="BD8" s="119">
        <f t="shared" si="7"/>
        <v>0.41183835881964076</v>
      </c>
      <c r="BE8" s="119">
        <f t="shared" si="7"/>
        <v>0.41865681571344049</v>
      </c>
      <c r="BF8" s="119">
        <f t="shared" si="7"/>
        <v>0.39020530116931551</v>
      </c>
      <c r="BG8" s="119">
        <f t="shared" si="7"/>
        <v>0.33740913829377844</v>
      </c>
      <c r="BH8" s="119">
        <f t="shared" si="7"/>
        <v>0.41776495877320918</v>
      </c>
      <c r="BI8" s="119">
        <f t="shared" si="7"/>
        <v>0.41033101302522623</v>
      </c>
      <c r="BJ8" s="119">
        <f t="shared" si="7"/>
        <v>0.35416119620920994</v>
      </c>
      <c r="BK8" s="119">
        <f t="shared" si="7"/>
        <v>0.3241512815792908</v>
      </c>
      <c r="BL8" s="119">
        <f t="shared" si="7"/>
        <v>0.31370349256317553</v>
      </c>
      <c r="BM8" s="119">
        <f t="shared" si="7"/>
        <v>0.41517281010050994</v>
      </c>
      <c r="BN8" s="119">
        <f t="shared" si="7"/>
        <v>0.43405427060625218</v>
      </c>
      <c r="BO8" s="119">
        <f t="shared" si="7"/>
        <v>0.41220435594033966</v>
      </c>
      <c r="BP8" s="119">
        <f t="shared" si="7"/>
        <v>0.43059032484057025</v>
      </c>
      <c r="BQ8" s="119">
        <f t="shared" si="7"/>
        <v>0.43624667390376382</v>
      </c>
      <c r="BR8" s="119">
        <f t="shared" si="7"/>
        <v>0.31207441217517817</v>
      </c>
      <c r="BS8" s="119">
        <f t="shared" si="7"/>
        <v>0.35792001922436922</v>
      </c>
      <c r="BT8" s="119">
        <f t="shared" si="7"/>
        <v>0.29613985330052445</v>
      </c>
      <c r="BU8" s="119">
        <f t="shared" si="7"/>
        <v>0.29546809348164788</v>
      </c>
      <c r="BV8" s="119">
        <f t="shared" si="7"/>
        <v>0.37607620649310686</v>
      </c>
      <c r="BW8" s="119">
        <f t="shared" si="7"/>
        <v>0.41270010506057625</v>
      </c>
      <c r="BX8" s="119">
        <f t="shared" si="7"/>
        <v>0.36449119220893722</v>
      </c>
      <c r="BY8" s="119">
        <f t="shared" si="7"/>
        <v>0.32570405341896336</v>
      </c>
      <c r="BZ8" s="119">
        <f t="shared" si="7"/>
        <v>0.42646253487711011</v>
      </c>
      <c r="CA8" s="119">
        <f t="shared" si="7"/>
        <v>0.31385259246551478</v>
      </c>
      <c r="CB8" s="119">
        <f t="shared" si="7"/>
        <v>0.4352981758034164</v>
      </c>
      <c r="CC8" s="119">
        <f t="shared" si="7"/>
        <v>0.32954057702584461</v>
      </c>
      <c r="CD8" s="119">
        <f t="shared" si="7"/>
        <v>0.30752519364465014</v>
      </c>
      <c r="CE8" s="119">
        <f t="shared" si="7"/>
        <v>0.36093998698218566</v>
      </c>
      <c r="CF8" s="119">
        <f t="shared" si="7"/>
        <v>0.31036041346150883</v>
      </c>
      <c r="CG8" s="119">
        <f t="shared" si="7"/>
        <v>0.40827886655789863</v>
      </c>
      <c r="CH8" s="119">
        <f t="shared" si="7"/>
        <v>0.40511704627108125</v>
      </c>
      <c r="CI8" s="119">
        <f t="shared" si="7"/>
        <v>0.38451327629804133</v>
      </c>
      <c r="CJ8" s="119">
        <f t="shared" ref="CJ8:DA8" si="8">CJ5/(CJ5+CJ6+CJ7)</f>
        <v>0.43607612661524564</v>
      </c>
      <c r="CK8" s="119">
        <f t="shared" si="8"/>
        <v>0.42653886180708639</v>
      </c>
      <c r="CL8" s="119">
        <f t="shared" si="8"/>
        <v>0.44159503859497129</v>
      </c>
      <c r="CM8" s="119">
        <f t="shared" si="8"/>
        <v>0.4347321567971506</v>
      </c>
      <c r="CN8" s="119">
        <f t="shared" si="8"/>
        <v>0.42731835722429862</v>
      </c>
      <c r="CO8" s="119">
        <f t="shared" si="8"/>
        <v>0.42828254202626836</v>
      </c>
      <c r="CP8" s="119">
        <f t="shared" si="8"/>
        <v>0.45268130974710452</v>
      </c>
      <c r="CQ8" s="119">
        <f t="shared" si="8"/>
        <v>0.45928862848997148</v>
      </c>
      <c r="CR8" s="119">
        <f t="shared" si="8"/>
        <v>0.46522857066777362</v>
      </c>
      <c r="CS8" s="119">
        <f t="shared" si="8"/>
        <v>0.44830071606286281</v>
      </c>
      <c r="CT8" s="119">
        <f t="shared" si="8"/>
        <v>0.46874742245226142</v>
      </c>
      <c r="CU8" s="119">
        <f t="shared" si="8"/>
        <v>0.46306845428369997</v>
      </c>
      <c r="CV8" s="119">
        <f t="shared" si="8"/>
        <v>0.50297129642237171</v>
      </c>
      <c r="CW8" s="119">
        <f t="shared" si="8"/>
        <v>0.47572752545420227</v>
      </c>
      <c r="CX8" s="119">
        <f t="shared" si="8"/>
        <v>0.47286677111874881</v>
      </c>
      <c r="CY8" s="119">
        <f t="shared" si="8"/>
        <v>0.50323104512126582</v>
      </c>
      <c r="CZ8" s="119">
        <f t="shared" si="8"/>
        <v>0.52707752334992819</v>
      </c>
      <c r="DA8" s="119">
        <f t="shared" si="8"/>
        <v>0.5481919068728659</v>
      </c>
      <c r="DC8">
        <v>4</v>
      </c>
      <c r="DD8" s="114">
        <v>70.0876777089114</v>
      </c>
      <c r="DE8" s="114">
        <v>20.321726428435085</v>
      </c>
      <c r="DF8" s="114">
        <v>6.7482181178731304</v>
      </c>
      <c r="DG8" s="114">
        <v>71.617316487888274</v>
      </c>
      <c r="DH8" s="114">
        <v>13.332490042212665</v>
      </c>
      <c r="DI8" s="114">
        <v>6.000420778271816</v>
      </c>
      <c r="DJ8" s="114">
        <v>7.1936375303291511</v>
      </c>
      <c r="DK8" s="114">
        <f t="shared" si="0"/>
        <v>51.748420917760086</v>
      </c>
      <c r="DL8" s="114">
        <f t="shared" si="1"/>
        <v>0.3206123447588366</v>
      </c>
      <c r="DM8" s="114">
        <f t="shared" si="2"/>
        <v>18.369734214474637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0.51356239633563705</v>
      </c>
      <c r="D9" s="112"/>
      <c r="E9" s="118" t="s">
        <v>114</v>
      </c>
      <c r="F9" s="119">
        <f>F6/(F5+F6+F7)</f>
        <v>0.40408706072427819</v>
      </c>
      <c r="G9" s="119">
        <f t="shared" ref="G9:S9" si="10">G6/(G5+G6+G7)</f>
        <v>0.38336597476409173</v>
      </c>
      <c r="H9" s="119">
        <f t="shared" si="10"/>
        <v>0.34973351863201918</v>
      </c>
      <c r="I9" s="119">
        <f t="shared" si="10"/>
        <v>0.37005003478007453</v>
      </c>
      <c r="J9" s="119">
        <f t="shared" si="10"/>
        <v>0.37947464620442278</v>
      </c>
      <c r="K9" s="119">
        <f t="shared" si="10"/>
        <v>0.34260429555331134</v>
      </c>
      <c r="L9" s="119">
        <f t="shared" si="10"/>
        <v>0.37953540255668727</v>
      </c>
      <c r="M9" s="119">
        <f t="shared" si="10"/>
        <v>0.3434004971780773</v>
      </c>
      <c r="N9" s="119">
        <f t="shared" si="10"/>
        <v>0.34760027891677137</v>
      </c>
      <c r="O9" s="119">
        <f t="shared" si="10"/>
        <v>0.39784649169257014</v>
      </c>
      <c r="P9" s="119">
        <f t="shared" si="10"/>
        <v>0.37354541171422578</v>
      </c>
      <c r="Q9" s="119">
        <f t="shared" si="10"/>
        <v>0.37053520257670447</v>
      </c>
      <c r="R9" s="119">
        <f t="shared" si="10"/>
        <v>0.3694059472104233</v>
      </c>
      <c r="S9" s="119">
        <f t="shared" si="10"/>
        <v>0.38429099712646797</v>
      </c>
      <c r="T9" s="119">
        <f>T6/(T5+T6+T7)</f>
        <v>0.40329701055509537</v>
      </c>
      <c r="U9" s="119">
        <f>U6/(U5+U6+U7)</f>
        <v>0.39808711335038494</v>
      </c>
      <c r="V9" s="119">
        <f>V6/(V5+V6+V7)</f>
        <v>0.39075402350196542</v>
      </c>
      <c r="W9" s="119">
        <f>W6/(W5+W6+W7)</f>
        <v>0.39960426332286564</v>
      </c>
      <c r="X9" s="119">
        <f t="shared" ref="X9:CI9" si="11">X6/(X5+X6+X7)</f>
        <v>0.40266935793151726</v>
      </c>
      <c r="Y9" s="119">
        <f t="shared" si="11"/>
        <v>0.41096594818033849</v>
      </c>
      <c r="Z9" s="119">
        <f t="shared" si="11"/>
        <v>0.39705104296786864</v>
      </c>
      <c r="AA9" s="119">
        <f t="shared" si="11"/>
        <v>0.41505842823008576</v>
      </c>
      <c r="AB9" s="119">
        <f t="shared" si="11"/>
        <v>0.41158508704506774</v>
      </c>
      <c r="AC9" s="119">
        <f t="shared" si="11"/>
        <v>0.41529248189686158</v>
      </c>
      <c r="AD9" s="119">
        <f t="shared" si="11"/>
        <v>0.4262787101594101</v>
      </c>
      <c r="AE9" s="119">
        <f t="shared" si="11"/>
        <v>0.42896537374672716</v>
      </c>
      <c r="AF9" s="119">
        <f t="shared" si="11"/>
        <v>0.42952914240204215</v>
      </c>
      <c r="AG9" s="119">
        <f t="shared" si="11"/>
        <v>0.42484403120484476</v>
      </c>
      <c r="AH9" s="119">
        <f t="shared" si="11"/>
        <v>0.43588107530531162</v>
      </c>
      <c r="AI9" s="119">
        <f t="shared" si="11"/>
        <v>0.43876989684351408</v>
      </c>
      <c r="AJ9" s="119">
        <f t="shared" si="11"/>
        <v>0.4276894575407133</v>
      </c>
      <c r="AK9" s="119">
        <f t="shared" si="11"/>
        <v>0.44149199837549524</v>
      </c>
      <c r="AL9" s="119">
        <f t="shared" si="11"/>
        <v>0.44840980379247514</v>
      </c>
      <c r="AM9" s="119">
        <f t="shared" si="11"/>
        <v>0.42999476451799296</v>
      </c>
      <c r="AN9" s="119">
        <f t="shared" si="11"/>
        <v>0.4555647020545483</v>
      </c>
      <c r="AO9" s="119">
        <f t="shared" si="11"/>
        <v>0.44275858630937154</v>
      </c>
      <c r="AP9" s="119">
        <f t="shared" si="11"/>
        <v>0.41327379492780281</v>
      </c>
      <c r="AQ9" s="119">
        <f t="shared" si="11"/>
        <v>0.45328729059666412</v>
      </c>
      <c r="AR9" s="119">
        <f t="shared" si="11"/>
        <v>0.43012180442830533</v>
      </c>
      <c r="AS9" s="119">
        <f t="shared" si="11"/>
        <v>0.4237388133968768</v>
      </c>
      <c r="AT9" s="119">
        <f t="shared" si="11"/>
        <v>0.43712899284516482</v>
      </c>
      <c r="AU9" s="119">
        <f t="shared" si="11"/>
        <v>0.41783327193435432</v>
      </c>
      <c r="AV9" s="119">
        <f t="shared" si="11"/>
        <v>0.48933541666349756</v>
      </c>
      <c r="AW9" s="119">
        <f t="shared" si="11"/>
        <v>0.4891622618302664</v>
      </c>
      <c r="AX9" s="119">
        <f t="shared" si="11"/>
        <v>0.40828533088838048</v>
      </c>
      <c r="AY9" s="119">
        <f t="shared" si="11"/>
        <v>0.48571121481650242</v>
      </c>
      <c r="AZ9" s="119">
        <f t="shared" si="11"/>
        <v>0.45865480268847653</v>
      </c>
      <c r="BA9" s="119">
        <f t="shared" si="11"/>
        <v>0.43502402671704871</v>
      </c>
      <c r="BB9" s="119">
        <f t="shared" si="11"/>
        <v>0.4620177442330437</v>
      </c>
      <c r="BC9" s="119">
        <f t="shared" si="11"/>
        <v>0.47663720281751321</v>
      </c>
      <c r="BD9" s="119">
        <f t="shared" si="11"/>
        <v>0.45368289872610978</v>
      </c>
      <c r="BE9" s="119">
        <f t="shared" si="11"/>
        <v>0.44197284177312773</v>
      </c>
      <c r="BF9" s="119">
        <f t="shared" si="11"/>
        <v>0.47914044476190792</v>
      </c>
      <c r="BG9" s="119">
        <f t="shared" si="11"/>
        <v>0.50036467667200557</v>
      </c>
      <c r="BH9" s="119">
        <f t="shared" si="11"/>
        <v>0.42190526937960554</v>
      </c>
      <c r="BI9" s="119">
        <f t="shared" si="11"/>
        <v>0.42304791487492299</v>
      </c>
      <c r="BJ9" s="119">
        <f t="shared" si="11"/>
        <v>0.45405959493672665</v>
      </c>
      <c r="BK9" s="119">
        <f t="shared" si="11"/>
        <v>0.46981263715102833</v>
      </c>
      <c r="BL9" s="119">
        <f t="shared" si="11"/>
        <v>0.4646454617934081</v>
      </c>
      <c r="BM9" s="119">
        <f t="shared" si="11"/>
        <v>0.4179651268162009</v>
      </c>
      <c r="BN9" s="119">
        <f t="shared" si="11"/>
        <v>0.40706642576678659</v>
      </c>
      <c r="BO9" s="119">
        <f t="shared" si="11"/>
        <v>0.41377065303216348</v>
      </c>
      <c r="BP9" s="119">
        <f t="shared" si="11"/>
        <v>0.40523062427010448</v>
      </c>
      <c r="BQ9" s="119">
        <f t="shared" si="11"/>
        <v>0.40235387831089503</v>
      </c>
      <c r="BR9" s="119">
        <f t="shared" si="11"/>
        <v>0.4244111779546299</v>
      </c>
      <c r="BS9" s="119">
        <f t="shared" si="11"/>
        <v>0.41567024731850377</v>
      </c>
      <c r="BT9" s="119">
        <f t="shared" si="11"/>
        <v>0.40690956664221617</v>
      </c>
      <c r="BU9" s="119">
        <f t="shared" si="11"/>
        <v>0.40206028526109144</v>
      </c>
      <c r="BV9" s="119">
        <f t="shared" si="11"/>
        <v>0.4005783667264029</v>
      </c>
      <c r="BW9" s="119">
        <f t="shared" si="11"/>
        <v>0.39644799307530648</v>
      </c>
      <c r="BX9" s="119">
        <f t="shared" si="11"/>
        <v>0.38792299457762908</v>
      </c>
      <c r="BY9" s="119">
        <f t="shared" si="11"/>
        <v>0.36469555889560012</v>
      </c>
      <c r="BZ9" s="119">
        <f t="shared" si="11"/>
        <v>0.40081465767873681</v>
      </c>
      <c r="CA9" s="119">
        <f t="shared" si="11"/>
        <v>0.36681200166214639</v>
      </c>
      <c r="CB9" s="119">
        <f t="shared" si="11"/>
        <v>0.39880001012004407</v>
      </c>
      <c r="CC9" s="119">
        <f t="shared" si="11"/>
        <v>0.350466829261673</v>
      </c>
      <c r="CD9" s="119">
        <f t="shared" si="11"/>
        <v>0.32321834839222846</v>
      </c>
      <c r="CE9" s="119">
        <f t="shared" si="11"/>
        <v>0.35406580961489048</v>
      </c>
      <c r="CF9" s="119">
        <f t="shared" si="11"/>
        <v>0.31735984663634159</v>
      </c>
      <c r="CG9" s="119">
        <f t="shared" si="11"/>
        <v>0.37770144612384932</v>
      </c>
      <c r="CH9" s="119">
        <f t="shared" si="11"/>
        <v>0.36073289762765676</v>
      </c>
      <c r="CI9" s="119">
        <f t="shared" si="11"/>
        <v>0.31611488490763034</v>
      </c>
      <c r="CJ9" s="119">
        <f t="shared" ref="CJ9:DA9" si="12">CJ6/(CJ5+CJ6+CJ7)</f>
        <v>0.39364789242121351</v>
      </c>
      <c r="CK9" s="119">
        <f t="shared" si="12"/>
        <v>0.3777696618134106</v>
      </c>
      <c r="CL9" s="119">
        <f t="shared" si="12"/>
        <v>0.38099836821226052</v>
      </c>
      <c r="CM9" s="119">
        <f t="shared" si="12"/>
        <v>0.36731630232696416</v>
      </c>
      <c r="CN9" s="119">
        <f t="shared" si="12"/>
        <v>0.35043283154309013</v>
      </c>
      <c r="CO9" s="119">
        <f t="shared" si="12"/>
        <v>0.31810725392743994</v>
      </c>
      <c r="CP9" s="119">
        <f t="shared" si="12"/>
        <v>0.34475716336125584</v>
      </c>
      <c r="CQ9" s="119">
        <f t="shared" si="12"/>
        <v>0.32909619218399089</v>
      </c>
      <c r="CR9" s="119">
        <f t="shared" si="12"/>
        <v>0.32683172356921147</v>
      </c>
      <c r="CS9" s="119">
        <f t="shared" si="12"/>
        <v>0.39842123850213168</v>
      </c>
      <c r="CT9" s="119">
        <f t="shared" si="12"/>
        <v>0.36207667848645897</v>
      </c>
      <c r="CU9" s="119">
        <f t="shared" si="12"/>
        <v>0.37501360660559085</v>
      </c>
      <c r="CV9" s="119">
        <f t="shared" si="12"/>
        <v>0.3337949188826726</v>
      </c>
      <c r="CW9" s="119">
        <f t="shared" si="12"/>
        <v>0.36830216603461935</v>
      </c>
      <c r="CX9" s="119">
        <f t="shared" si="12"/>
        <v>0.37430999104812063</v>
      </c>
      <c r="CY9" s="119">
        <f t="shared" si="12"/>
        <v>0.35293363022834018</v>
      </c>
      <c r="CZ9" s="119">
        <f t="shared" si="12"/>
        <v>0.34776236394299409</v>
      </c>
      <c r="DA9" s="119">
        <f t="shared" si="12"/>
        <v>0.33376619467452073</v>
      </c>
      <c r="DC9">
        <v>5</v>
      </c>
      <c r="DD9" s="114">
        <v>51.633021308856691</v>
      </c>
      <c r="DE9" s="114">
        <v>34.034875445785211</v>
      </c>
      <c r="DF9" s="114">
        <v>9.9938199666139393</v>
      </c>
      <c r="DG9" s="114">
        <v>48.18972477716062</v>
      </c>
      <c r="DH9" s="114">
        <v>23.518874292303686</v>
      </c>
      <c r="DI9" s="114">
        <v>5.508509444962888</v>
      </c>
      <c r="DJ9" s="114">
        <v>11.939873606569233</v>
      </c>
      <c r="DK9" s="114">
        <f t="shared" si="0"/>
        <v>142.56058174084856</v>
      </c>
      <c r="DL9" s="114">
        <f t="shared" si="1"/>
        <v>0.28560687493488618</v>
      </c>
      <c r="DM9" s="114">
        <f t="shared" si="2"/>
        <v>16.364068533689718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0.56871729967613449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51.559958722857083</v>
      </c>
      <c r="DE10" s="114">
        <v>18.087006709280683</v>
      </c>
      <c r="DF10" s="114">
        <v>7.07395231697339</v>
      </c>
      <c r="DG10" s="114">
        <v>51.523901936214038</v>
      </c>
      <c r="DH10" s="114">
        <v>11.077134181499529</v>
      </c>
      <c r="DI10" s="114">
        <v>6.5727030628600014</v>
      </c>
      <c r="DJ10" s="114">
        <v>7.0278633852937968</v>
      </c>
      <c r="DK10" s="114">
        <f t="shared" si="0"/>
        <v>49.390863762353185</v>
      </c>
      <c r="DL10" s="114">
        <f t="shared" si="1"/>
        <v>0.3728164422677851</v>
      </c>
      <c r="DM10" s="114">
        <f t="shared" si="2"/>
        <v>21.360808675026803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7.4669521830076127</v>
      </c>
      <c r="DS10" s="117">
        <f t="shared" si="14"/>
        <v>8.0329245365580384</v>
      </c>
      <c r="DT10" s="117">
        <f t="shared" si="14"/>
        <v>9.9291189269854776</v>
      </c>
      <c r="DU10" s="117">
        <f t="shared" si="14"/>
        <v>7.104815935205516</v>
      </c>
      <c r="DV10" s="117">
        <f t="shared" si="14"/>
        <v>4.4229621333792126</v>
      </c>
      <c r="DW10" s="117">
        <f t="shared" si="14"/>
        <v>3.6092744565277806</v>
      </c>
      <c r="DX10" s="117">
        <f t="shared" si="14"/>
        <v>6.8806833783005548</v>
      </c>
      <c r="DY10" s="117">
        <f t="shared" si="14"/>
        <v>5.8972924357193266</v>
      </c>
      <c r="DZ10" s="117">
        <f t="shared" si="14"/>
        <v>6.1179141823921626</v>
      </c>
      <c r="EA10" s="117">
        <f t="shared" si="14"/>
        <v>7.581335879289381</v>
      </c>
      <c r="EB10" s="117">
        <f t="shared" si="14"/>
        <v>7.2596426730125581</v>
      </c>
      <c r="EC10" s="117">
        <f t="shared" si="14"/>
        <v>5.779206699919988</v>
      </c>
      <c r="ED10" s="117">
        <f t="shared" si="14"/>
        <v>3.1019745419581417</v>
      </c>
      <c r="EE10" s="117">
        <f t="shared" si="14"/>
        <v>4.4346863058542993</v>
      </c>
      <c r="EF10" s="117">
        <f t="shared" si="14"/>
        <v>6.4371177234565709</v>
      </c>
      <c r="EG10" s="117">
        <f t="shared" si="14"/>
        <v>5.9841974804666878</v>
      </c>
      <c r="EH10" s="117">
        <f t="shared" si="14"/>
        <v>7.4669521830076127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0.62762777694334881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44.034205146059193</v>
      </c>
      <c r="DE11" s="114">
        <v>32.229906787768876</v>
      </c>
      <c r="DF11" s="114">
        <v>10.983502196816929</v>
      </c>
      <c r="DG11" s="114">
        <v>39.656082001857229</v>
      </c>
      <c r="DH11" s="114">
        <v>23.403117199592884</v>
      </c>
      <c r="DI11" s="114">
        <v>8.381723781042691</v>
      </c>
      <c r="DJ11" s="114">
        <v>10.190653935077851</v>
      </c>
      <c r="DK11" s="114">
        <f t="shared" si="0"/>
        <v>103.84942762451769</v>
      </c>
      <c r="DL11" s="114">
        <f t="shared" si="1"/>
        <v>0.32844292439807787</v>
      </c>
      <c r="DM11" s="114">
        <f t="shared" si="2"/>
        <v>18.818393378944236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0.20694612678321062</v>
      </c>
      <c r="DS11" s="117">
        <f t="shared" si="15"/>
        <v>0.65309316055816891</v>
      </c>
      <c r="DT11" s="117">
        <f t="shared" si="15"/>
        <v>0.97890565941793428</v>
      </c>
      <c r="DU11" s="117">
        <f t="shared" si="15"/>
        <v>1.4502655513630496</v>
      </c>
      <c r="DV11" s="117">
        <f t="shared" si="15"/>
        <v>1.7849808298302927</v>
      </c>
      <c r="DW11" s="117">
        <f t="shared" si="15"/>
        <v>2.2122667381300776</v>
      </c>
      <c r="DX11" s="117">
        <f t="shared" si="15"/>
        <v>2.5312926596060459</v>
      </c>
      <c r="DY11" s="117">
        <f t="shared" si="15"/>
        <v>2.8615150750323628</v>
      </c>
      <c r="DZ11" s="117">
        <f t="shared" si="15"/>
        <v>3.3186375895243407</v>
      </c>
      <c r="EA11" s="117">
        <f t="shared" si="15"/>
        <v>3.7160887113471395</v>
      </c>
      <c r="EB11" s="117">
        <f t="shared" si="15"/>
        <v>4.1167262401743914</v>
      </c>
      <c r="EC11" s="117">
        <f t="shared" si="15"/>
        <v>4.4389491701025205</v>
      </c>
      <c r="ED11" s="117">
        <f t="shared" si="15"/>
        <v>4.8922030373143759</v>
      </c>
      <c r="EE11" s="117">
        <f t="shared" si="15"/>
        <v>5.3104764050456854</v>
      </c>
      <c r="EF11" s="117">
        <f t="shared" si="15"/>
        <v>5.6651698179574161</v>
      </c>
      <c r="EG11" s="117">
        <f t="shared" si="15"/>
        <v>6.0166202566863012</v>
      </c>
      <c r="EH11" s="117">
        <f t="shared" si="15"/>
        <v>0.20694612678321062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0.69035395274121736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43.126069477105972</v>
      </c>
      <c r="DE12" s="114">
        <v>30.16008821079787</v>
      </c>
      <c r="DF12" s="114">
        <v>10.112756431216827</v>
      </c>
      <c r="DG12" s="114">
        <v>38.480038631706691</v>
      </c>
      <c r="DH12" s="114">
        <v>20.23877265137331</v>
      </c>
      <c r="DI12" s="114">
        <v>7.3990002624888573</v>
      </c>
      <c r="DJ12" s="114">
        <v>11.286389041203149</v>
      </c>
      <c r="DK12" s="114">
        <f t="shared" si="0"/>
        <v>127.38257758939054</v>
      </c>
      <c r="DL12" s="114">
        <f t="shared" si="1"/>
        <v>0.32352185915138221</v>
      </c>
      <c r="DM12" s="114">
        <f t="shared" si="2"/>
        <v>18.536437109600069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-3.4691658217562775</v>
      </c>
      <c r="DS12" s="117">
        <f t="shared" si="16"/>
        <v>-5.736864027154235</v>
      </c>
      <c r="DT12" s="117">
        <f t="shared" si="16"/>
        <v>-12.117113276148554</v>
      </c>
      <c r="DU12" s="117">
        <f t="shared" si="16"/>
        <v>-5.6511584874885967</v>
      </c>
      <c r="DV12" s="117">
        <f t="shared" si="16"/>
        <v>-9.8113962739741467</v>
      </c>
      <c r="DW12" s="117">
        <f t="shared" si="16"/>
        <v>-6.0069265048734817</v>
      </c>
      <c r="DX12" s="117">
        <f t="shared" si="16"/>
        <v>-2.6988414073600318</v>
      </c>
      <c r="DY12" s="117">
        <f t="shared" si="16"/>
        <v>-1.1363872014123118</v>
      </c>
      <c r="DZ12" s="117">
        <f t="shared" si="16"/>
        <v>4.5061284295265231</v>
      </c>
      <c r="EA12" s="117">
        <f t="shared" si="16"/>
        <v>7.204117524558697</v>
      </c>
      <c r="EB12" s="117">
        <f t="shared" si="16"/>
        <v>4.274836157342575</v>
      </c>
      <c r="EC12" s="117">
        <f t="shared" si="16"/>
        <v>9.8756402358546342</v>
      </c>
      <c r="ED12" s="117">
        <f t="shared" si="16"/>
        <v>6.1079512882656655</v>
      </c>
      <c r="EE12" s="117">
        <f t="shared" si="16"/>
        <v>9.5306158907141008</v>
      </c>
      <c r="EF12" s="117">
        <f t="shared" si="16"/>
        <v>-2.0256375723555706</v>
      </c>
      <c r="EG12" s="117">
        <f t="shared" si="16"/>
        <v>7.1542010462610115</v>
      </c>
      <c r="EH12" s="117">
        <f t="shared" si="16"/>
        <v>-24.045840128124151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0.75694387871463786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29.062731177101636</v>
      </c>
      <c r="DE13" s="114">
        <v>3.4341025517946386</v>
      </c>
      <c r="DF13" s="114">
        <v>0.61411044619183597</v>
      </c>
      <c r="DG13" s="114">
        <v>28.39270505656847</v>
      </c>
      <c r="DH13" s="114">
        <v>3.4754082118550689</v>
      </c>
      <c r="DI13" s="114">
        <v>0.51106545782658364</v>
      </c>
      <c r="DJ13" s="114">
        <v>0.67916082732806893</v>
      </c>
      <c r="DK13" s="114">
        <f t="shared" si="0"/>
        <v>0.46125942937694708</v>
      </c>
      <c r="DL13" s="114">
        <f t="shared" si="1"/>
        <v>0.17695657215915525</v>
      </c>
      <c r="DM13" s="114">
        <f t="shared" si="2"/>
        <v>10.138864741821802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10.105652165874478</v>
      </c>
      <c r="DS13" s="117">
        <f t="shared" si="17"/>
        <v>18.991435598447239</v>
      </c>
      <c r="DT13" s="117">
        <f t="shared" si="17"/>
        <v>21.638738487879266</v>
      </c>
      <c r="DU13" s="117">
        <f t="shared" si="17"/>
        <v>18.583446586122513</v>
      </c>
      <c r="DV13" s="117">
        <f t="shared" si="17"/>
        <v>16.82116625255351</v>
      </c>
      <c r="DW13" s="117">
        <f t="shared" si="17"/>
        <v>14.977360477241596</v>
      </c>
      <c r="DX13" s="117">
        <f t="shared" si="17"/>
        <v>9.3631585313127808</v>
      </c>
      <c r="DY13" s="117">
        <f t="shared" si="17"/>
        <v>0.87867650781046813</v>
      </c>
      <c r="DZ13" s="117">
        <f t="shared" si="17"/>
        <v>-7.9296842280171758</v>
      </c>
      <c r="EA13" s="117">
        <f t="shared" si="17"/>
        <v>-13.900965113524011</v>
      </c>
      <c r="EB13" s="117">
        <f t="shared" si="17"/>
        <v>-18.499047443147898</v>
      </c>
      <c r="EC13" s="117">
        <f t="shared" si="17"/>
        <v>-19.600256566941354</v>
      </c>
      <c r="ED13" s="117">
        <f t="shared" si="17"/>
        <v>-16.003924140993899</v>
      </c>
      <c r="EE13" s="117">
        <f t="shared" si="17"/>
        <v>-13.705870654004549</v>
      </c>
      <c r="EF13" s="117">
        <f t="shared" si="17"/>
        <v>-8.8041608643860521</v>
      </c>
      <c r="EG13" s="117">
        <f t="shared" si="17"/>
        <v>0.46807192592310187</v>
      </c>
      <c r="EH13" s="117">
        <f t="shared" si="17"/>
        <v>2.5564554246634001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0.82743336498568754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75.953927346449063</v>
      </c>
      <c r="DE14" s="114">
        <v>29.421679892095884</v>
      </c>
      <c r="DF14" s="114">
        <v>18.213688540452381</v>
      </c>
      <c r="DG14" s="114">
        <v>76.021296995925397</v>
      </c>
      <c r="DH14" s="114">
        <v>20.110618690619688</v>
      </c>
      <c r="DI14" s="114">
        <v>19.612428642278154</v>
      </c>
      <c r="DJ14" s="114">
        <v>9.4157778881917924</v>
      </c>
      <c r="DK14" s="114">
        <f t="shared" si="0"/>
        <v>88.656873239761495</v>
      </c>
      <c r="DL14" s="114">
        <f t="shared" si="1"/>
        <v>0.55431407300205959</v>
      </c>
      <c r="DM14" s="114">
        <f t="shared" si="2"/>
        <v>31.759856907724625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0.90184590384311203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58.808602419853074</v>
      </c>
      <c r="DE15" s="114">
        <v>28.167255796538232</v>
      </c>
      <c r="DF15" s="114">
        <v>19.444792202516233</v>
      </c>
      <c r="DG15" s="114">
        <v>59.710630582570154</v>
      </c>
      <c r="DH15" s="114">
        <v>17.376100138609768</v>
      </c>
      <c r="DI15" s="114">
        <v>20.808578102084549</v>
      </c>
      <c r="DJ15" s="114">
        <v>10.914330360578134</v>
      </c>
      <c r="DK15" s="114">
        <f t="shared" si="0"/>
        <v>119.12260721983762</v>
      </c>
      <c r="DL15" s="114">
        <f t="shared" si="1"/>
        <v>0.60420868203540246</v>
      </c>
      <c r="DM15" s="114">
        <f t="shared" si="2"/>
        <v>34.618607425790486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0.98019268113629998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65.051509547114748</v>
      </c>
      <c r="DE16" s="114">
        <v>30.066641713101795</v>
      </c>
      <c r="DF16" s="114">
        <v>20.953084346989336</v>
      </c>
      <c r="DG16" s="114">
        <v>65.232591514865561</v>
      </c>
      <c r="DH16" s="114">
        <v>19.07931764678283</v>
      </c>
      <c r="DI16" s="114">
        <v>22.155596984982246</v>
      </c>
      <c r="DJ16" s="114">
        <v>11.054416197243937</v>
      </c>
      <c r="DK16" s="114">
        <f t="shared" si="0"/>
        <v>122.20011746188909</v>
      </c>
      <c r="DL16" s="114">
        <f t="shared" si="1"/>
        <v>0.60863437560936196</v>
      </c>
      <c r="DM16" s="114">
        <f t="shared" si="2"/>
        <v>34.872180988996533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-0.2638620614811848</v>
      </c>
      <c r="DS16" s="117">
        <f t="shared" si="26"/>
        <v>-0.30698886289515642</v>
      </c>
      <c r="DT16" s="117">
        <f t="shared" si="26"/>
        <v>-0.33805453676291292</v>
      </c>
      <c r="DU16" s="117">
        <f t="shared" si="26"/>
        <v>-0.26485085209710096</v>
      </c>
      <c r="DV16" s="117">
        <f t="shared" si="26"/>
        <v>-0.15577499994645869</v>
      </c>
      <c r="DW16" s="117">
        <f t="shared" si="26"/>
        <v>4.516258386458509E-2</v>
      </c>
      <c r="DX16" s="117">
        <f t="shared" si="26"/>
        <v>0.16803266044801524</v>
      </c>
      <c r="DY16" s="117">
        <f t="shared" si="26"/>
        <v>0.23380048338148288</v>
      </c>
      <c r="DZ16" s="117">
        <f t="shared" si="26"/>
        <v>0.23808017907037352</v>
      </c>
      <c r="EA16" s="117">
        <f t="shared" si="26"/>
        <v>0.30847900568022796</v>
      </c>
      <c r="EB16" s="117">
        <f t="shared" si="26"/>
        <v>0.34597564242319445</v>
      </c>
      <c r="EC16" s="117">
        <f t="shared" si="26"/>
        <v>0.19512814619959737</v>
      </c>
      <c r="ED16" s="117">
        <f t="shared" si="26"/>
        <v>2.6012439824081888E-2</v>
      </c>
      <c r="EE16" s="117">
        <f t="shared" si="26"/>
        <v>-8.6143545380738387E-2</v>
      </c>
      <c r="EF16" s="117">
        <f t="shared" si="26"/>
        <v>-0.14425841263901495</v>
      </c>
      <c r="EG16" s="117">
        <f t="shared" si="26"/>
        <v>-0.25868160369309257</v>
      </c>
      <c r="EH16" s="117">
        <f t="shared" si="26"/>
        <v>-0.2638620614811848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1.0624726701812641</v>
      </c>
      <c r="D17" s="112"/>
      <c r="E17" s="129" t="s">
        <v>244</v>
      </c>
      <c r="F17" s="130">
        <f t="shared" ref="F17:BQ18" si="27">F14-F8</f>
        <v>4.3095869384641716E-3</v>
      </c>
      <c r="G17" s="131">
        <f t="shared" si="27"/>
        <v>-8.8006279612375393E-3</v>
      </c>
      <c r="H17" s="131">
        <f t="shared" si="27"/>
        <v>-3.1401869370167534E-2</v>
      </c>
      <c r="I17" s="131">
        <f t="shared" si="27"/>
        <v>-2.231521501169037E-2</v>
      </c>
      <c r="J17" s="131">
        <f t="shared" si="27"/>
        <v>-1.9168654366783389E-2</v>
      </c>
      <c r="K17" s="131">
        <f t="shared" si="27"/>
        <v>-5.1405541336062566E-2</v>
      </c>
      <c r="L17" s="131">
        <f t="shared" si="27"/>
        <v>-2.100282590382524E-2</v>
      </c>
      <c r="M17" s="131">
        <f t="shared" si="27"/>
        <v>-3.7425758877964066E-2</v>
      </c>
      <c r="N17" s="131">
        <f t="shared" si="27"/>
        <v>-4.2191930609181028E-2</v>
      </c>
      <c r="O17" s="131">
        <f t="shared" si="27"/>
        <v>3.8373158378485206E-3</v>
      </c>
      <c r="P17" s="131">
        <f t="shared" si="27"/>
        <v>-2.0706334961428263E-2</v>
      </c>
      <c r="Q17" s="131">
        <f t="shared" si="27"/>
        <v>-2.8719716983345633E-2</v>
      </c>
      <c r="R17" s="131">
        <f t="shared" si="27"/>
        <v>-2.8260337596213048E-2</v>
      </c>
      <c r="S17" s="131">
        <f t="shared" si="27"/>
        <v>-1.5526016119608355E-2</v>
      </c>
      <c r="T17" s="131">
        <f t="shared" si="27"/>
        <v>4.4794923821367405E-6</v>
      </c>
      <c r="U17" s="131">
        <f t="shared" si="27"/>
        <v>-3.5305137564516365E-3</v>
      </c>
      <c r="V17" s="131">
        <f t="shared" si="27"/>
        <v>-2.1326851447703854E-2</v>
      </c>
      <c r="W17" s="131">
        <f t="shared" si="27"/>
        <v>-1.6478602689433242E-2</v>
      </c>
      <c r="X17" s="131">
        <f t="shared" si="27"/>
        <v>-6.5587911981235258E-3</v>
      </c>
      <c r="Y17" s="131">
        <f t="shared" si="27"/>
        <v>-1.1683313084611457E-2</v>
      </c>
      <c r="Z17" s="131">
        <f t="shared" si="27"/>
        <v>-1.0891829290848976E-2</v>
      </c>
      <c r="AA17" s="131">
        <f t="shared" si="27"/>
        <v>-1.3496816441008308E-2</v>
      </c>
      <c r="AB17" s="131">
        <f t="shared" si="27"/>
        <v>-1.2864336895133111E-2</v>
      </c>
      <c r="AC17" s="131">
        <f t="shared" si="27"/>
        <v>1.9226616625547255E-3</v>
      </c>
      <c r="AD17" s="131">
        <f t="shared" si="27"/>
        <v>-4.4423266843639508E-3</v>
      </c>
      <c r="AE17" s="131">
        <f t="shared" si="27"/>
        <v>-1.5919550125968129E-2</v>
      </c>
      <c r="AF17" s="131">
        <f t="shared" si="27"/>
        <v>-3.9381010162768959E-3</v>
      </c>
      <c r="AG17" s="131">
        <f t="shared" si="27"/>
        <v>5.140149406315464E-3</v>
      </c>
      <c r="AH17" s="131">
        <f t="shared" si="27"/>
        <v>7.6590048216695905E-4</v>
      </c>
      <c r="AI17" s="131">
        <f t="shared" si="27"/>
        <v>4.2668628474014092E-3</v>
      </c>
      <c r="AJ17" s="131">
        <f t="shared" si="27"/>
        <v>1.3125144029435265E-2</v>
      </c>
      <c r="AK17" s="131">
        <f t="shared" si="27"/>
        <v>5.9051324535311922E-3</v>
      </c>
      <c r="AL17" s="131">
        <f t="shared" si="27"/>
        <v>-1.369733754972513E-3</v>
      </c>
      <c r="AM17" s="131">
        <f t="shared" si="27"/>
        <v>1.0315108794490713E-2</v>
      </c>
      <c r="AN17" s="131">
        <f t="shared" si="27"/>
        <v>1.4595125423029209E-3</v>
      </c>
      <c r="AO17" s="131">
        <f t="shared" si="27"/>
        <v>4.4401708726342082E-3</v>
      </c>
      <c r="AP17" s="131">
        <f t="shared" si="27"/>
        <v>1.0037467908705411E-2</v>
      </c>
      <c r="AQ17" s="131">
        <f t="shared" si="27"/>
        <v>3.485955757155268E-3</v>
      </c>
      <c r="AR17" s="131">
        <f t="shared" si="27"/>
        <v>1.6120330672333372E-2</v>
      </c>
      <c r="AS17" s="131">
        <f t="shared" si="27"/>
        <v>8.8726454612835792E-3</v>
      </c>
      <c r="AT17" s="131">
        <f t="shared" si="27"/>
        <v>1.0385591081507217E-2</v>
      </c>
      <c r="AU17" s="131">
        <f t="shared" si="27"/>
        <v>9.696236657156132E-3</v>
      </c>
      <c r="AV17" s="131">
        <f t="shared" si="27"/>
        <v>1.6261772816238085E-2</v>
      </c>
      <c r="AW17" s="131">
        <f t="shared" si="27"/>
        <v>2.4097278257954491E-2</v>
      </c>
      <c r="AX17" s="131">
        <f t="shared" si="27"/>
        <v>4.9421071876821765E-3</v>
      </c>
      <c r="AY17" s="131">
        <f t="shared" si="27"/>
        <v>2.5886386873997747E-2</v>
      </c>
      <c r="AZ17" s="131">
        <f t="shared" si="27"/>
        <v>2.3957338408175932E-2</v>
      </c>
      <c r="BA17" s="131">
        <f t="shared" si="27"/>
        <v>1.6964357794972906E-2</v>
      </c>
      <c r="BB17" s="131">
        <f t="shared" si="27"/>
        <v>3.3230910851518469E-2</v>
      </c>
      <c r="BC17" s="131">
        <f t="shared" si="27"/>
        <v>3.1465882142241886E-2</v>
      </c>
      <c r="BD17" s="131">
        <f t="shared" si="27"/>
        <v>2.415816875067428E-2</v>
      </c>
      <c r="BE17" s="131">
        <f t="shared" si="27"/>
        <v>2.0770682793133155E-2</v>
      </c>
      <c r="BF17" s="131">
        <f t="shared" si="27"/>
        <v>3.3088128490041946E-2</v>
      </c>
      <c r="BG17" s="131">
        <f t="shared" si="27"/>
        <v>4.9735856506663734E-2</v>
      </c>
      <c r="BH17" s="131">
        <f t="shared" si="27"/>
        <v>1.6886861102391681E-2</v>
      </c>
      <c r="BI17" s="131">
        <f t="shared" si="27"/>
        <v>1.9053529634518562E-2</v>
      </c>
      <c r="BJ17" s="131">
        <f t="shared" si="27"/>
        <v>4.0402208582037025E-2</v>
      </c>
      <c r="BK17" s="131">
        <f t="shared" si="27"/>
        <v>5.2202113451926047E-2</v>
      </c>
      <c r="BL17" s="131">
        <f t="shared" si="27"/>
        <v>5.1331795740092778E-2</v>
      </c>
      <c r="BM17" s="131">
        <f t="shared" si="27"/>
        <v>1.4259263056363325E-2</v>
      </c>
      <c r="BN17" s="131">
        <f t="shared" si="27"/>
        <v>8.4013724528901879E-3</v>
      </c>
      <c r="BO17" s="131">
        <f t="shared" si="27"/>
        <v>1.374693864141513E-2</v>
      </c>
      <c r="BP17" s="131">
        <f t="shared" si="27"/>
        <v>1.262887183107303E-2</v>
      </c>
      <c r="BQ17" s="131">
        <f t="shared" si="27"/>
        <v>1.8732874354864482E-2</v>
      </c>
      <c r="BR17" s="131">
        <f t="shared" ref="BR17:DA18" si="28">BR14-BR8</f>
        <v>4.0583840634512702E-2</v>
      </c>
      <c r="BS17" s="131">
        <f t="shared" si="28"/>
        <v>4.370229233734324E-2</v>
      </c>
      <c r="BT17" s="131">
        <f t="shared" si="28"/>
        <v>4.2727667119753843E-2</v>
      </c>
      <c r="BU17" s="131">
        <f t="shared" si="28"/>
        <v>4.1441278031419115E-2</v>
      </c>
      <c r="BV17" s="131">
        <f t="shared" si="28"/>
        <v>1.810192444978892E-2</v>
      </c>
      <c r="BW17" s="131">
        <f t="shared" si="28"/>
        <v>9.5821608560116012E-3</v>
      </c>
      <c r="BX17" s="131">
        <f t="shared" si="28"/>
        <v>1.8227045083115456E-2</v>
      </c>
      <c r="BY17" s="131">
        <f t="shared" si="28"/>
        <v>3.267638024807179E-2</v>
      </c>
      <c r="BZ17" s="131">
        <f t="shared" si="28"/>
        <v>7.8086353591747537E-3</v>
      </c>
      <c r="CA17" s="131">
        <f t="shared" si="28"/>
        <v>2.0385065072137498E-2</v>
      </c>
      <c r="CB17" s="131">
        <f t="shared" si="28"/>
        <v>7.0522125894642018E-3</v>
      </c>
      <c r="CC17" s="131">
        <f t="shared" si="28"/>
        <v>2.9429890628391076E-2</v>
      </c>
      <c r="CD17" s="131">
        <f t="shared" si="28"/>
        <v>6.1987317768951722E-3</v>
      </c>
      <c r="CE17" s="131">
        <f t="shared" si="28"/>
        <v>-4.0308714121897737E-3</v>
      </c>
      <c r="CF17" s="131">
        <f t="shared" si="28"/>
        <v>7.8349664263058227E-3</v>
      </c>
      <c r="CG17" s="131">
        <f t="shared" si="28"/>
        <v>-5.7038018544414149E-4</v>
      </c>
      <c r="CH17" s="131">
        <f t="shared" si="28"/>
        <v>-2.3244337913172486E-3</v>
      </c>
      <c r="CI17" s="131">
        <f t="shared" si="28"/>
        <v>-2.9903327753389441E-2</v>
      </c>
      <c r="CJ17" s="131">
        <f t="shared" si="28"/>
        <v>2.9890360340312228E-3</v>
      </c>
      <c r="CK17" s="131">
        <f t="shared" si="28"/>
        <v>-1.3983028953936105E-3</v>
      </c>
      <c r="CL17" s="131">
        <f t="shared" si="28"/>
        <v>-5.0119334644149749E-4</v>
      </c>
      <c r="CM17" s="131">
        <f t="shared" si="28"/>
        <v>-8.1351053438911136E-3</v>
      </c>
      <c r="CN17" s="131">
        <f t="shared" si="28"/>
        <v>-2.2783422256448416E-2</v>
      </c>
      <c r="CO17" s="131">
        <f t="shared" si="28"/>
        <v>-2.0471903980109063E-2</v>
      </c>
      <c r="CP17" s="131">
        <f t="shared" si="28"/>
        <v>-1.8354559361278722E-2</v>
      </c>
      <c r="CQ17" s="131">
        <f t="shared" si="28"/>
        <v>-2.9415462184566699E-2</v>
      </c>
      <c r="CR17" s="131">
        <f t="shared" si="28"/>
        <v>-2.9177033776178529E-2</v>
      </c>
      <c r="CS17" s="131">
        <f t="shared" si="28"/>
        <v>4.7314085432071384E-3</v>
      </c>
      <c r="CT17" s="131">
        <f t="shared" si="28"/>
        <v>-2.1223999722978615E-2</v>
      </c>
      <c r="CU17" s="131">
        <f t="shared" si="28"/>
        <v>-1.0665187895614325E-2</v>
      </c>
      <c r="CV17" s="131">
        <f t="shared" si="28"/>
        <v>-4.6783134592823628E-2</v>
      </c>
      <c r="CW17" s="131">
        <f t="shared" si="28"/>
        <v>-1.5271989380488737E-2</v>
      </c>
      <c r="CX17" s="131">
        <f t="shared" si="28"/>
        <v>-1.2253346715279723E-2</v>
      </c>
      <c r="CY17" s="131">
        <f t="shared" si="28"/>
        <v>-1.7347764051405423E-2</v>
      </c>
      <c r="CZ17" s="131">
        <f t="shared" si="28"/>
        <v>-2.6715550131777843E-2</v>
      </c>
      <c r="DA17" s="131">
        <f t="shared" si="28"/>
        <v>-4.1438740162610621E-2</v>
      </c>
      <c r="DC17">
        <v>13</v>
      </c>
      <c r="DD17" s="114">
        <v>44.027273243407016</v>
      </c>
      <c r="DE17" s="114">
        <v>18.981335194394759</v>
      </c>
      <c r="DF17" s="114">
        <v>14.44279297161653</v>
      </c>
      <c r="DG17" s="114">
        <v>42.054830680102121</v>
      </c>
      <c r="DH17" s="114">
        <v>13.016143044619801</v>
      </c>
      <c r="DI17" s="114">
        <v>14.335433580922212</v>
      </c>
      <c r="DJ17" s="114">
        <v>6.2837546966796722</v>
      </c>
      <c r="DK17" s="114">
        <f t="shared" si="0"/>
        <v>39.485573088043843</v>
      </c>
      <c r="DL17" s="114">
        <f t="shared" si="1"/>
        <v>0.65043718626416758</v>
      </c>
      <c r="DM17" s="114">
        <f t="shared" si="2"/>
        <v>37.267305611301403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-9.715779720972384E-2</v>
      </c>
      <c r="DS17" s="117">
        <f t="shared" si="29"/>
        <v>4.396938279012149E-2</v>
      </c>
      <c r="DT17" s="117">
        <f t="shared" si="29"/>
        <v>0.12184669291955859</v>
      </c>
      <c r="DU17" s="117">
        <f t="shared" si="29"/>
        <v>0.19828198229933805</v>
      </c>
      <c r="DV17" s="117">
        <f t="shared" si="29"/>
        <v>0.17110843052747546</v>
      </c>
      <c r="DW17" s="117">
        <f t="shared" si="29"/>
        <v>0.15713078426406429</v>
      </c>
      <c r="DX17" s="117">
        <f t="shared" si="29"/>
        <v>0.24642401490383412</v>
      </c>
      <c r="DY17" s="117">
        <f t="shared" si="29"/>
        <v>8.4968241542671491E-2</v>
      </c>
      <c r="DZ17" s="117">
        <f t="shared" si="29"/>
        <v>8.192253134204687E-2</v>
      </c>
      <c r="EA17" s="117">
        <f t="shared" si="29"/>
        <v>-1.572843012778084E-2</v>
      </c>
      <c r="EB17" s="117">
        <f t="shared" si="29"/>
        <v>-4.2439782941630713E-2</v>
      </c>
      <c r="EC17" s="117">
        <f t="shared" si="29"/>
        <v>-8.2670224753329039E-2</v>
      </c>
      <c r="ED17" s="117">
        <f t="shared" si="29"/>
        <v>-0.12805721616103247</v>
      </c>
      <c r="EE17" s="117">
        <f t="shared" si="29"/>
        <v>-0.19324412706554675</v>
      </c>
      <c r="EF17" s="117">
        <f t="shared" si="29"/>
        <v>-0.22339369711254028</v>
      </c>
      <c r="EG17" s="117">
        <f t="shared" si="29"/>
        <v>-0.15609282924503484</v>
      </c>
      <c r="EH17" s="117">
        <f t="shared" si="29"/>
        <v>-9.715779720972384E-2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1.1486728024820738</v>
      </c>
      <c r="D18" s="112"/>
      <c r="E18" s="129" t="s">
        <v>246</v>
      </c>
      <c r="F18" s="130">
        <f t="shared" si="27"/>
        <v>-1.3481645158371469E-2</v>
      </c>
      <c r="G18" s="131">
        <f t="shared" si="27"/>
        <v>-7.3101745436495169E-3</v>
      </c>
      <c r="H18" s="131">
        <f t="shared" si="27"/>
        <v>1.5888629661411358E-3</v>
      </c>
      <c r="I18" s="131">
        <f t="shared" si="27"/>
        <v>2.0256247805338634E-3</v>
      </c>
      <c r="J18" s="131">
        <f t="shared" si="27"/>
        <v>1.1759834296313221E-3</v>
      </c>
      <c r="K18" s="131">
        <f t="shared" si="27"/>
        <v>1.1151372559460082E-2</v>
      </c>
      <c r="L18" s="131">
        <f t="shared" si="27"/>
        <v>3.7502291344058691E-3</v>
      </c>
      <c r="M18" s="131">
        <f t="shared" si="27"/>
        <v>1.1134513138653435E-2</v>
      </c>
      <c r="N18" s="131">
        <f t="shared" si="27"/>
        <v>1.2895225839264335E-2</v>
      </c>
      <c r="O18" s="131">
        <f t="shared" si="27"/>
        <v>-1.3172807394697839E-2</v>
      </c>
      <c r="P18" s="131">
        <f t="shared" si="27"/>
        <v>1.2281854471428877E-2</v>
      </c>
      <c r="Q18" s="131">
        <f t="shared" si="27"/>
        <v>1.9527536795541534E-2</v>
      </c>
      <c r="R18" s="131">
        <f t="shared" si="27"/>
        <v>1.8948096044082763E-2</v>
      </c>
      <c r="S18" s="131">
        <f t="shared" si="27"/>
        <v>6.1792142617068668E-3</v>
      </c>
      <c r="T18" s="131">
        <f t="shared" si="27"/>
        <v>-7.6635781911663092E-3</v>
      </c>
      <c r="U18" s="131">
        <f t="shared" si="27"/>
        <v>6.4226367691516684E-4</v>
      </c>
      <c r="V18" s="131">
        <f t="shared" si="27"/>
        <v>1.6960378091202488E-2</v>
      </c>
      <c r="W18" s="131">
        <f t="shared" si="27"/>
        <v>1.5809832980596239E-2</v>
      </c>
      <c r="X18" s="131">
        <f t="shared" si="27"/>
        <v>5.1988199082479425E-3</v>
      </c>
      <c r="Y18" s="131">
        <f t="shared" si="27"/>
        <v>1.0709152290068247E-2</v>
      </c>
      <c r="Z18" s="131">
        <f t="shared" si="27"/>
        <v>1.7976932674520552E-2</v>
      </c>
      <c r="AA18" s="131">
        <f t="shared" si="27"/>
        <v>1.290843025618138E-2</v>
      </c>
      <c r="AB18" s="131">
        <f t="shared" si="27"/>
        <v>1.5794484894922356E-2</v>
      </c>
      <c r="AC18" s="131">
        <f t="shared" si="27"/>
        <v>-4.0886201127471322E-3</v>
      </c>
      <c r="AD18" s="131">
        <f t="shared" si="27"/>
        <v>4.5561577287572264E-3</v>
      </c>
      <c r="AE18" s="131">
        <f t="shared" si="27"/>
        <v>1.5104771968633912E-2</v>
      </c>
      <c r="AF18" s="131">
        <f t="shared" si="27"/>
        <v>8.3831535407922764E-3</v>
      </c>
      <c r="AG18" s="131">
        <f t="shared" si="27"/>
        <v>-1.453778475191625E-3</v>
      </c>
      <c r="AH18" s="131">
        <f t="shared" si="27"/>
        <v>-2.1099500390060477E-3</v>
      </c>
      <c r="AI18" s="131">
        <f t="shared" si="27"/>
        <v>9.3279676630065866E-3</v>
      </c>
      <c r="AJ18" s="131">
        <f t="shared" si="27"/>
        <v>9.0164398504162802E-3</v>
      </c>
      <c r="AK18" s="131">
        <f t="shared" si="27"/>
        <v>6.3949771818526679E-3</v>
      </c>
      <c r="AL18" s="131">
        <f t="shared" si="27"/>
        <v>9.9715298230075855E-3</v>
      </c>
      <c r="AM18" s="131">
        <f t="shared" si="27"/>
        <v>3.0209504205472859E-3</v>
      </c>
      <c r="AN18" s="131">
        <f t="shared" si="27"/>
        <v>3.4742404837772578E-3</v>
      </c>
      <c r="AO18" s="131">
        <f t="shared" si="27"/>
        <v>-3.4568563653679107E-3</v>
      </c>
      <c r="AP18" s="131">
        <f t="shared" si="27"/>
        <v>-4.5833251977072109E-3</v>
      </c>
      <c r="AQ18" s="131">
        <f t="shared" si="27"/>
        <v>-1.3947446557899257E-4</v>
      </c>
      <c r="AR18" s="131">
        <f t="shared" si="27"/>
        <v>3.1660333581914335E-3</v>
      </c>
      <c r="AS18" s="131">
        <f t="shared" si="27"/>
        <v>-1.1291182283759804E-2</v>
      </c>
      <c r="AT18" s="131">
        <f t="shared" si="27"/>
        <v>-1.1081499220498947E-2</v>
      </c>
      <c r="AU18" s="131">
        <f t="shared" si="27"/>
        <v>-7.2252491576269562E-3</v>
      </c>
      <c r="AV18" s="131">
        <f t="shared" si="27"/>
        <v>-9.0092416084540106E-3</v>
      </c>
      <c r="AW18" s="131">
        <f t="shared" si="27"/>
        <v>-9.2508088673586841E-3</v>
      </c>
      <c r="AX18" s="131">
        <f t="shared" si="27"/>
        <v>-1.294980948866975E-2</v>
      </c>
      <c r="AY18" s="131">
        <f t="shared" si="27"/>
        <v>-1.3611067869827131E-2</v>
      </c>
      <c r="AZ18" s="131">
        <f t="shared" si="27"/>
        <v>-1.0455270413294471E-2</v>
      </c>
      <c r="BA18" s="131">
        <f t="shared" si="27"/>
        <v>-4.2795519126223036E-3</v>
      </c>
      <c r="BB18" s="131">
        <f t="shared" si="27"/>
        <v>-8.3989714429575368E-3</v>
      </c>
      <c r="BC18" s="131">
        <f t="shared" si="27"/>
        <v>-1.4489665450682976E-2</v>
      </c>
      <c r="BD18" s="131">
        <f t="shared" si="27"/>
        <v>-2.0061491271921361E-2</v>
      </c>
      <c r="BE18" s="131">
        <f t="shared" si="27"/>
        <v>-2.0002899859945966E-2</v>
      </c>
      <c r="BF18" s="131">
        <f t="shared" si="27"/>
        <v>-3.1402904872765536E-2</v>
      </c>
      <c r="BG18" s="131">
        <f t="shared" si="27"/>
        <v>-3.7385009506422484E-2</v>
      </c>
      <c r="BH18" s="131">
        <f t="shared" si="27"/>
        <v>-1.584371348542718E-2</v>
      </c>
      <c r="BI18" s="131">
        <f t="shared" si="27"/>
        <v>-1.7664522111907111E-2</v>
      </c>
      <c r="BJ18" s="131">
        <f t="shared" si="27"/>
        <v>-2.948721165702356E-2</v>
      </c>
      <c r="BK18" s="131">
        <f t="shared" si="27"/>
        <v>-3.3534834671980873E-2</v>
      </c>
      <c r="BL18" s="131">
        <f t="shared" si="27"/>
        <v>-3.4649054573070548E-2</v>
      </c>
      <c r="BM18" s="131">
        <f t="shared" si="27"/>
        <v>-2.0856639491259266E-2</v>
      </c>
      <c r="BN18" s="131">
        <f t="shared" si="27"/>
        <v>-1.4977815760744528E-2</v>
      </c>
      <c r="BO18" s="131">
        <f t="shared" si="27"/>
        <v>-2.2143064675664459E-2</v>
      </c>
      <c r="BP18" s="131">
        <f t="shared" si="27"/>
        <v>-1.1067052970119062E-2</v>
      </c>
      <c r="BQ18" s="131">
        <f t="shared" si="27"/>
        <v>-1.432440523486922E-2</v>
      </c>
      <c r="BR18" s="131">
        <f t="shared" si="28"/>
        <v>-4.1400453910427626E-2</v>
      </c>
      <c r="BS18" s="131">
        <f t="shared" si="28"/>
        <v>-2.7946749122102044E-2</v>
      </c>
      <c r="BT18" s="131">
        <f t="shared" si="28"/>
        <v>-4.4864430765887808E-2</v>
      </c>
      <c r="BU18" s="131">
        <f t="shared" si="28"/>
        <v>-4.4905911456258218E-2</v>
      </c>
      <c r="BV18" s="131">
        <f t="shared" si="28"/>
        <v>-3.2292551244471002E-2</v>
      </c>
      <c r="BW18" s="131">
        <f t="shared" si="28"/>
        <v>-2.541778424828911E-2</v>
      </c>
      <c r="BX18" s="131">
        <f t="shared" si="28"/>
        <v>-3.30741168320976E-2</v>
      </c>
      <c r="BY18" s="131">
        <f t="shared" si="28"/>
        <v>-3.3091895741145572E-2</v>
      </c>
      <c r="BZ18" s="131">
        <f t="shared" si="28"/>
        <v>-1.7804069892601859E-2</v>
      </c>
      <c r="CA18" s="131">
        <f t="shared" si="28"/>
        <v>-4.6698845262412747E-2</v>
      </c>
      <c r="CB18" s="131">
        <f t="shared" si="28"/>
        <v>-1.0393250336028226E-2</v>
      </c>
      <c r="CC18" s="131">
        <f t="shared" si="28"/>
        <v>-2.913818167683363E-2</v>
      </c>
      <c r="CD18" s="131">
        <f t="shared" si="28"/>
        <v>-5.7299115243580889E-2</v>
      </c>
      <c r="CE18" s="131">
        <f t="shared" si="28"/>
        <v>-3.6491116728708917E-2</v>
      </c>
      <c r="CF18" s="131">
        <f t="shared" si="28"/>
        <v>-4.8235963743000598E-2</v>
      </c>
      <c r="CG18" s="131">
        <f t="shared" si="28"/>
        <v>-2.4473609005435104E-2</v>
      </c>
      <c r="CH18" s="131">
        <f t="shared" si="28"/>
        <v>-2.4805668226017319E-2</v>
      </c>
      <c r="CI18" s="131">
        <f t="shared" si="28"/>
        <v>-4.2127933176376253E-2</v>
      </c>
      <c r="CJ18" s="131">
        <f t="shared" si="28"/>
        <v>-1.5786654597940486E-2</v>
      </c>
      <c r="CK18" s="131">
        <f t="shared" si="28"/>
        <v>-1.9758967022464768E-2</v>
      </c>
      <c r="CL18" s="131">
        <f t="shared" si="28"/>
        <v>-2.23702930372216E-2</v>
      </c>
      <c r="CM18" s="131">
        <f t="shared" si="28"/>
        <v>-1.543973001682547E-2</v>
      </c>
      <c r="CN18" s="131">
        <f t="shared" si="28"/>
        <v>-2.5394428294701343E-2</v>
      </c>
      <c r="CO18" s="131">
        <f t="shared" si="28"/>
        <v>-3.1979248621236855E-2</v>
      </c>
      <c r="CP18" s="131">
        <f t="shared" si="28"/>
        <v>-2.2113572972261408E-2</v>
      </c>
      <c r="CQ18" s="131">
        <f t="shared" si="28"/>
        <v>-1.7043367772613893E-2</v>
      </c>
      <c r="CR18" s="131">
        <f t="shared" si="28"/>
        <v>-2.3974321666368592E-2</v>
      </c>
      <c r="CS18" s="131">
        <f t="shared" si="28"/>
        <v>-9.7132616925951765E-3</v>
      </c>
      <c r="CT18" s="131">
        <f t="shared" si="28"/>
        <v>-1.0216282215683048E-2</v>
      </c>
      <c r="CU18" s="131">
        <f t="shared" si="28"/>
        <v>-8.8715326313366094E-3</v>
      </c>
      <c r="CV18" s="131">
        <f t="shared" si="28"/>
        <v>-8.8671160327336573E-3</v>
      </c>
      <c r="CW18" s="131">
        <f t="shared" si="28"/>
        <v>-8.7902064513405986E-3</v>
      </c>
      <c r="CX18" s="131">
        <f t="shared" si="28"/>
        <v>-9.0934147469860505E-3</v>
      </c>
      <c r="CY18" s="131">
        <f t="shared" si="28"/>
        <v>-1.0782076773335203E-3</v>
      </c>
      <c r="CZ18" s="131">
        <f t="shared" si="28"/>
        <v>-3.4096936606506922E-3</v>
      </c>
      <c r="DA18" s="131">
        <f t="shared" si="28"/>
        <v>-6.4692120770696859E-3</v>
      </c>
      <c r="DC18">
        <v>14</v>
      </c>
      <c r="DD18" s="114">
        <v>74.249144895382329</v>
      </c>
      <c r="DE18" s="114">
        <v>6.453747927251869</v>
      </c>
      <c r="DF18" s="114">
        <v>5.9112702987406962</v>
      </c>
      <c r="DG18" s="114">
        <v>74.316593408158582</v>
      </c>
      <c r="DH18" s="114">
        <v>3.7459609736067416</v>
      </c>
      <c r="DI18" s="114">
        <v>6.4874946908352031</v>
      </c>
      <c r="DJ18" s="114">
        <v>2.7692406970596055</v>
      </c>
      <c r="DK18" s="114">
        <f t="shared" si="0"/>
        <v>7.6686940382511697</v>
      </c>
      <c r="DL18" s="114">
        <f t="shared" si="1"/>
        <v>0.74155431492649748</v>
      </c>
      <c r="DM18" s="114">
        <f t="shared" si="2"/>
        <v>42.487932525003416</v>
      </c>
      <c r="DN18" s="115">
        <f t="shared" si="3"/>
        <v>2</v>
      </c>
      <c r="DO18">
        <v>5</v>
      </c>
      <c r="DQ18" t="s">
        <v>247</v>
      </c>
      <c r="DR18" s="117">
        <f>COS(DR11)</f>
        <v>0.97866296321567658</v>
      </c>
      <c r="DS18" s="117">
        <f t="shared" ref="DS18:EG18" si="30">COS(DS11)</f>
        <v>0.79420805449404652</v>
      </c>
      <c r="DT18" s="117">
        <f t="shared" si="30"/>
        <v>0.5579310600207803</v>
      </c>
      <c r="DU18" s="117">
        <f t="shared" si="30"/>
        <v>0.12023914883379919</v>
      </c>
      <c r="DV18" s="117">
        <f t="shared" si="30"/>
        <v>-0.21255063616334341</v>
      </c>
      <c r="DW18" s="117">
        <f t="shared" si="30"/>
        <v>-0.59837420603083258</v>
      </c>
      <c r="DX18" s="117">
        <f t="shared" si="30"/>
        <v>-0.81947612417386129</v>
      </c>
      <c r="DY18" s="117">
        <f t="shared" si="30"/>
        <v>-0.96103399614621543</v>
      </c>
      <c r="DZ18" s="117">
        <f t="shared" si="30"/>
        <v>-0.98436844022024328</v>
      </c>
      <c r="EA18" s="117">
        <f t="shared" si="30"/>
        <v>-0.83946625717339796</v>
      </c>
      <c r="EB18" s="117">
        <f t="shared" si="30"/>
        <v>-0.56105747867423728</v>
      </c>
      <c r="EC18" s="117">
        <f t="shared" si="30"/>
        <v>-0.27004504116915756</v>
      </c>
      <c r="ED18" s="117">
        <f t="shared" si="30"/>
        <v>0.1788466314149742</v>
      </c>
      <c r="EE18" s="117">
        <f t="shared" si="30"/>
        <v>0.56306292509883149</v>
      </c>
      <c r="EF18" s="117">
        <f t="shared" si="30"/>
        <v>0.8150299238027352</v>
      </c>
      <c r="EG18" s="117">
        <f t="shared" si="30"/>
        <v>0.96468141787898731</v>
      </c>
      <c r="EH18" s="117">
        <f>COS(EH11)</f>
        <v>0.97866296321567658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1.2387682091969834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71.871670125044787</v>
      </c>
      <c r="DE19" s="114">
        <v>13.12514169907368</v>
      </c>
      <c r="DF19" s="114">
        <v>10.453958569056347</v>
      </c>
      <c r="DG19" s="114">
        <v>70.715348062518558</v>
      </c>
      <c r="DH19" s="114">
        <v>7.7796515986218395</v>
      </c>
      <c r="DI19" s="114">
        <v>12.27058111607581</v>
      </c>
      <c r="DJ19" s="114">
        <v>5.7629387125539537</v>
      </c>
      <c r="DK19" s="114">
        <f t="shared" si="0"/>
        <v>33.211462604653022</v>
      </c>
      <c r="DL19" s="114">
        <f t="shared" si="1"/>
        <v>0.67259304309468548</v>
      </c>
      <c r="DM19" s="114">
        <f t="shared" si="2"/>
        <v>38.536742699186178</v>
      </c>
      <c r="DN19" s="115">
        <f t="shared" si="3"/>
        <v>2</v>
      </c>
      <c r="DO19">
        <v>2</v>
      </c>
      <c r="DQ19" t="s">
        <v>248</v>
      </c>
      <c r="DR19" s="117">
        <f>SIN(DR11)</f>
        <v>0.20547215001043628</v>
      </c>
      <c r="DS19" s="117">
        <f t="shared" ref="DS19:EG19" si="31">SIN(DS11)</f>
        <v>0.60764592171492571</v>
      </c>
      <c r="DT19" s="117">
        <f t="shared" si="31"/>
        <v>0.8298873009415727</v>
      </c>
      <c r="DU19" s="117">
        <f t="shared" si="31"/>
        <v>0.99274495571003707</v>
      </c>
      <c r="DV19" s="117">
        <f t="shared" si="31"/>
        <v>0.97715005350588713</v>
      </c>
      <c r="DW19" s="117">
        <f t="shared" si="31"/>
        <v>0.8012167681451573</v>
      </c>
      <c r="DX19" s="117">
        <f t="shared" si="31"/>
        <v>0.57311332379293556</v>
      </c>
      <c r="DY19" s="117">
        <f t="shared" si="31"/>
        <v>0.27643020502693988</v>
      </c>
      <c r="DZ19" s="117">
        <f t="shared" si="31"/>
        <v>-0.17612147483587934</v>
      </c>
      <c r="EA19" s="117">
        <f t="shared" si="31"/>
        <v>-0.54341181719510523</v>
      </c>
      <c r="EB19" s="117">
        <f t="shared" si="31"/>
        <v>-0.82777684530536844</v>
      </c>
      <c r="EC19" s="117">
        <f t="shared" si="31"/>
        <v>-0.96284769083170574</v>
      </c>
      <c r="ED19" s="117">
        <f t="shared" si="31"/>
        <v>-0.98387696508837752</v>
      </c>
      <c r="EE19" s="117">
        <f t="shared" si="31"/>
        <v>-0.8264140260058197</v>
      </c>
      <c r="EF19" s="117">
        <f t="shared" si="31"/>
        <v>-0.57941886688828803</v>
      </c>
      <c r="EG19" s="117">
        <f t="shared" si="31"/>
        <v>-0.26341936526950077</v>
      </c>
      <c r="EH19" s="117">
        <f>SIN(EH11)</f>
        <v>0.20547215001043628</v>
      </c>
    </row>
    <row r="20" spans="1:138">
      <c r="A20">
        <v>435</v>
      </c>
      <c r="B20" s="120">
        <f>'Color metric'!B14</f>
        <v>1</v>
      </c>
      <c r="C20" s="112">
        <f>Reference!N20</f>
        <v>1.3327225270247289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48.483039518273529</v>
      </c>
      <c r="DE20" s="114">
        <v>17.82091792211892</v>
      </c>
      <c r="DF20" s="114">
        <v>16.26916744758358</v>
      </c>
      <c r="DG20" s="114">
        <v>46.685645747771474</v>
      </c>
      <c r="DH20" s="114">
        <v>8.0846227376839419</v>
      </c>
      <c r="DI20" s="114">
        <v>17.873878194005616</v>
      </c>
      <c r="DJ20" s="114">
        <v>10.030013203599172</v>
      </c>
      <c r="DK20" s="114">
        <f t="shared" si="0"/>
        <v>100.60116486437371</v>
      </c>
      <c r="DL20" s="114">
        <f t="shared" si="1"/>
        <v>0.73991044897500824</v>
      </c>
      <c r="DM20" s="114">
        <f t="shared" si="2"/>
        <v>42.393745943897819</v>
      </c>
      <c r="DN20" s="115">
        <f t="shared" si="3"/>
        <v>2</v>
      </c>
      <c r="DO20">
        <v>3</v>
      </c>
      <c r="DQ20" t="s">
        <v>249</v>
      </c>
      <c r="DR20" s="117">
        <f>DR18+DR16</f>
        <v>0.71480090173449184</v>
      </c>
      <c r="DS20" s="117">
        <f t="shared" ref="DS20:EH21" si="32">DS18+DS16</f>
        <v>0.4872191915988901</v>
      </c>
      <c r="DT20" s="117">
        <f t="shared" si="32"/>
        <v>0.21987652325786738</v>
      </c>
      <c r="DU20" s="117">
        <f t="shared" si="32"/>
        <v>-0.14461170326330178</v>
      </c>
      <c r="DV20" s="117">
        <f t="shared" si="32"/>
        <v>-0.36832563610980207</v>
      </c>
      <c r="DW20" s="117">
        <f t="shared" si="32"/>
        <v>-0.55321162216624753</v>
      </c>
      <c r="DX20" s="117">
        <f t="shared" si="32"/>
        <v>-0.65144346372584605</v>
      </c>
      <c r="DY20" s="117">
        <f t="shared" si="32"/>
        <v>-0.72723351276473258</v>
      </c>
      <c r="DZ20" s="117">
        <f t="shared" si="32"/>
        <v>-0.74628826114986979</v>
      </c>
      <c r="EA20" s="117">
        <f t="shared" si="32"/>
        <v>-0.53098725149316994</v>
      </c>
      <c r="EB20" s="117">
        <f t="shared" si="32"/>
        <v>-0.21508183625104282</v>
      </c>
      <c r="EC20" s="117">
        <f t="shared" si="32"/>
        <v>-7.4916894969560194E-2</v>
      </c>
      <c r="ED20" s="117">
        <f t="shared" si="32"/>
        <v>0.20485907123905608</v>
      </c>
      <c r="EE20" s="117">
        <f t="shared" si="32"/>
        <v>0.47691937971809312</v>
      </c>
      <c r="EF20" s="117">
        <f t="shared" si="32"/>
        <v>0.67077151116372025</v>
      </c>
      <c r="EG20" s="117">
        <f t="shared" si="32"/>
        <v>0.70599981418589475</v>
      </c>
      <c r="EH20" s="117">
        <f t="shared" si="32"/>
        <v>0.71480090173449184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1.4304882620411479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86.196505882897426</v>
      </c>
      <c r="H21" s="135">
        <f t="shared" si="33"/>
        <v>63.42126252438991</v>
      </c>
      <c r="I21" s="135">
        <f t="shared" si="33"/>
        <v>32.072786588010501</v>
      </c>
      <c r="J21" s="135">
        <f t="shared" si="33"/>
        <v>70.0876777089114</v>
      </c>
      <c r="K21" s="135">
        <f t="shared" si="33"/>
        <v>51.633021308856691</v>
      </c>
      <c r="L21" s="135">
        <f t="shared" si="33"/>
        <v>51.559958722857083</v>
      </c>
      <c r="M21" s="135">
        <f t="shared" si="33"/>
        <v>44.034205146059193</v>
      </c>
      <c r="N21" s="135">
        <f t="shared" si="33"/>
        <v>43.126069477105972</v>
      </c>
      <c r="O21" s="135">
        <f t="shared" si="33"/>
        <v>29.062731177101636</v>
      </c>
      <c r="P21" s="135">
        <f t="shared" si="33"/>
        <v>75.953927346449063</v>
      </c>
      <c r="Q21" s="135">
        <f t="shared" si="33"/>
        <v>58.808602419853074</v>
      </c>
      <c r="R21" s="135">
        <f t="shared" si="33"/>
        <v>65.051509547114748</v>
      </c>
      <c r="S21" s="135">
        <f t="shared" si="33"/>
        <v>44.027273243407016</v>
      </c>
      <c r="T21" s="135">
        <f t="shared" si="33"/>
        <v>74.249144895382329</v>
      </c>
      <c r="U21" s="135">
        <f t="shared" si="33"/>
        <v>71.871670125044787</v>
      </c>
      <c r="V21" s="135">
        <f t="shared" si="33"/>
        <v>48.483039518273529</v>
      </c>
      <c r="W21" s="135">
        <f t="shared" si="33"/>
        <v>50.164198103279269</v>
      </c>
      <c r="X21" s="135">
        <f t="shared" si="33"/>
        <v>56.784279070570626</v>
      </c>
      <c r="Y21" s="135">
        <f t="shared" si="33"/>
        <v>71.649094722908288</v>
      </c>
      <c r="Z21" s="135">
        <f t="shared" si="33"/>
        <v>67.528333127716394</v>
      </c>
      <c r="AA21" s="135">
        <f t="shared" si="33"/>
        <v>86.215321259726309</v>
      </c>
      <c r="AB21" s="135">
        <f t="shared" si="33"/>
        <v>78.747040865430648</v>
      </c>
      <c r="AC21" s="135">
        <f t="shared" si="33"/>
        <v>91.522987587120937</v>
      </c>
      <c r="AD21" s="135">
        <f t="shared" si="33"/>
        <v>90.384697644717576</v>
      </c>
      <c r="AE21" s="135">
        <f t="shared" si="33"/>
        <v>71.533121595806534</v>
      </c>
      <c r="AF21" s="135">
        <f t="shared" si="33"/>
        <v>89.546079233632483</v>
      </c>
      <c r="AG21" s="135">
        <f t="shared" si="33"/>
        <v>73.397717697162861</v>
      </c>
      <c r="AH21" s="135">
        <f t="shared" si="33"/>
        <v>41.979168809287586</v>
      </c>
      <c r="AI21" s="135">
        <f t="shared" si="33"/>
        <v>86.660813145797235</v>
      </c>
      <c r="AJ21" s="135">
        <f t="shared" si="33"/>
        <v>64.547195297694245</v>
      </c>
      <c r="AK21" s="135">
        <f t="shared" si="33"/>
        <v>88.342833559882067</v>
      </c>
      <c r="AL21" s="135">
        <f t="shared" si="33"/>
        <v>75.194339864715189</v>
      </c>
      <c r="AM21" s="135">
        <f t="shared" si="33"/>
        <v>89.652182282726855</v>
      </c>
      <c r="AN21" s="135">
        <f t="shared" si="33"/>
        <v>62.050164818879843</v>
      </c>
      <c r="AO21" s="135">
        <f t="shared" si="33"/>
        <v>42.442576870829228</v>
      </c>
      <c r="AP21" s="135">
        <f t="shared" si="33"/>
        <v>80.754354971545922</v>
      </c>
      <c r="AQ21" s="135">
        <f t="shared" si="33"/>
        <v>47.997084090959341</v>
      </c>
      <c r="AR21" s="135">
        <f t="shared" si="33"/>
        <v>86.339558800765403</v>
      </c>
      <c r="AS21" s="135">
        <f t="shared" si="33"/>
        <v>35.435907740344881</v>
      </c>
      <c r="AT21" s="135">
        <f t="shared" si="33"/>
        <v>50.301238690131491</v>
      </c>
      <c r="AU21" s="135">
        <f t="shared" si="33"/>
        <v>88.275877716437648</v>
      </c>
      <c r="AV21" s="135">
        <f t="shared" si="33"/>
        <v>68.394420976163318</v>
      </c>
      <c r="AW21" s="135">
        <f t="shared" si="33"/>
        <v>72.152741455765565</v>
      </c>
      <c r="AX21" s="135">
        <f t="shared" si="33"/>
        <v>28.836186332704703</v>
      </c>
      <c r="AY21" s="135">
        <f t="shared" si="33"/>
        <v>58.211070425133684</v>
      </c>
      <c r="AZ21" s="135">
        <f t="shared" si="33"/>
        <v>66.506065478894811</v>
      </c>
      <c r="BA21" s="135">
        <f t="shared" si="33"/>
        <v>70.192033605685012</v>
      </c>
      <c r="BB21" s="135">
        <f t="shared" si="33"/>
        <v>77.327720423239199</v>
      </c>
      <c r="BC21" s="135">
        <f t="shared" si="33"/>
        <v>46.208998132225837</v>
      </c>
      <c r="BD21" s="135">
        <f t="shared" si="33"/>
        <v>54.640445494402712</v>
      </c>
      <c r="BE21" s="135">
        <f t="shared" si="33"/>
        <v>58.593919644551676</v>
      </c>
      <c r="BF21" s="135">
        <f t="shared" si="33"/>
        <v>41.128697458753308</v>
      </c>
      <c r="BG21" s="135">
        <f t="shared" si="33"/>
        <v>49.310746346068164</v>
      </c>
      <c r="BH21" s="135">
        <f t="shared" si="33"/>
        <v>86.973916270251394</v>
      </c>
      <c r="BI21" s="135">
        <f t="shared" si="33"/>
        <v>83.538612479496607</v>
      </c>
      <c r="BJ21" s="135">
        <f t="shared" si="33"/>
        <v>70.757994356638932</v>
      </c>
      <c r="BK21" s="135">
        <f t="shared" si="33"/>
        <v>57.227513570119569</v>
      </c>
      <c r="BL21" s="135">
        <f t="shared" si="33"/>
        <v>53.5297289988888</v>
      </c>
      <c r="BM21" s="135">
        <f t="shared" si="33"/>
        <v>86.811222289713328</v>
      </c>
      <c r="BN21" s="135">
        <f t="shared" si="33"/>
        <v>88.404100177790994</v>
      </c>
      <c r="BO21" s="135">
        <f t="shared" si="33"/>
        <v>76.883610228850117</v>
      </c>
      <c r="BP21" s="135">
        <f t="shared" si="33"/>
        <v>67.316766473294095</v>
      </c>
      <c r="BQ21" s="135">
        <f t="shared" si="33"/>
        <v>34.796533365610131</v>
      </c>
      <c r="BR21" s="135">
        <f t="shared" ref="BR21:DA21" si="34">BR126</f>
        <v>58.228155134071443</v>
      </c>
      <c r="BS21" s="135">
        <f t="shared" si="34"/>
        <v>40.008253194363292</v>
      </c>
      <c r="BT21" s="135">
        <f t="shared" si="34"/>
        <v>44.383259732951046</v>
      </c>
      <c r="BU21" s="135">
        <f t="shared" si="34"/>
        <v>47.611422112084362</v>
      </c>
      <c r="BV21" s="135">
        <f t="shared" si="34"/>
        <v>63.950798660051554</v>
      </c>
      <c r="BW21" s="135">
        <f t="shared" si="34"/>
        <v>53.593605483678864</v>
      </c>
      <c r="BX21" s="135">
        <f t="shared" si="34"/>
        <v>72.469549551414389</v>
      </c>
      <c r="BY21" s="135">
        <f t="shared" si="34"/>
        <v>35.211913529811582</v>
      </c>
      <c r="BZ21" s="135">
        <f t="shared" si="34"/>
        <v>76.87940576828862</v>
      </c>
      <c r="CA21" s="135">
        <f t="shared" si="34"/>
        <v>57.655075671282262</v>
      </c>
      <c r="CB21" s="135">
        <f t="shared" si="34"/>
        <v>28.495843994690745</v>
      </c>
      <c r="CC21" s="135">
        <f t="shared" si="34"/>
        <v>33.314559246782167</v>
      </c>
      <c r="CD21" s="135">
        <f t="shared" si="34"/>
        <v>48.383532883747975</v>
      </c>
      <c r="CE21" s="135">
        <f t="shared" si="34"/>
        <v>45.07261197323583</v>
      </c>
      <c r="CF21" s="135">
        <f t="shared" si="34"/>
        <v>44.618306447770543</v>
      </c>
      <c r="CG21" s="135">
        <f t="shared" si="34"/>
        <v>74.224781635860907</v>
      </c>
      <c r="CH21" s="135">
        <f t="shared" si="34"/>
        <v>66.490402729537436</v>
      </c>
      <c r="CI21" s="135">
        <f t="shared" si="34"/>
        <v>45.172252823571917</v>
      </c>
      <c r="CJ21" s="135">
        <f t="shared" si="34"/>
        <v>87.574167663250208</v>
      </c>
      <c r="CK21" s="135">
        <f t="shared" si="34"/>
        <v>73.499260346241996</v>
      </c>
      <c r="CL21" s="135">
        <f t="shared" si="34"/>
        <v>28.459665529475359</v>
      </c>
      <c r="CM21" s="135">
        <f t="shared" si="34"/>
        <v>41.978005809815151</v>
      </c>
      <c r="CN21" s="135">
        <f t="shared" si="34"/>
        <v>66.676277246087764</v>
      </c>
      <c r="CO21" s="135">
        <f t="shared" si="34"/>
        <v>40.648895014612421</v>
      </c>
      <c r="CP21" s="135">
        <f t="shared" si="34"/>
        <v>63.416711761944846</v>
      </c>
      <c r="CQ21" s="135">
        <f t="shared" si="34"/>
        <v>39.303925811161236</v>
      </c>
      <c r="CR21" s="135">
        <f t="shared" si="34"/>
        <v>44.930090183819836</v>
      </c>
      <c r="CS21" s="135">
        <f t="shared" si="34"/>
        <v>80.925789896692919</v>
      </c>
      <c r="CT21" s="135">
        <f t="shared" si="34"/>
        <v>57.539133170356337</v>
      </c>
      <c r="CU21" s="135">
        <f t="shared" si="34"/>
        <v>68.324662397120932</v>
      </c>
      <c r="CV21" s="135">
        <f t="shared" si="34"/>
        <v>40.933290974248777</v>
      </c>
      <c r="CW21" s="135">
        <f t="shared" si="34"/>
        <v>71.399075956736681</v>
      </c>
      <c r="CX21" s="135">
        <f t="shared" si="34"/>
        <v>79.285113467374103</v>
      </c>
      <c r="CY21" s="135">
        <f t="shared" si="34"/>
        <v>53.328220185508066</v>
      </c>
      <c r="CZ21" s="135">
        <f t="shared" si="34"/>
        <v>65.978318833102449</v>
      </c>
      <c r="DA21" s="135">
        <f t="shared" si="34"/>
        <v>54.488521972576599</v>
      </c>
      <c r="DC21">
        <v>17</v>
      </c>
      <c r="DD21" s="114">
        <v>50.164198103279269</v>
      </c>
      <c r="DE21" s="114">
        <v>14.855355312885084</v>
      </c>
      <c r="DF21" s="114">
        <v>17.057654931014337</v>
      </c>
      <c r="DG21" s="114">
        <v>50.650114553362137</v>
      </c>
      <c r="DH21" s="114">
        <v>5.7934929241863236</v>
      </c>
      <c r="DI21" s="114">
        <v>19.774501887364707</v>
      </c>
      <c r="DJ21" s="114">
        <v>9.4728412914185682</v>
      </c>
      <c r="DK21" s="114">
        <f t="shared" si="0"/>
        <v>89.734722132404613</v>
      </c>
      <c r="DL21" s="114">
        <f t="shared" si="1"/>
        <v>0.854298387755692</v>
      </c>
      <c r="DM21" s="114">
        <f t="shared" si="2"/>
        <v>48.947692063231834</v>
      </c>
      <c r="DN21" s="115">
        <f t="shared" si="3"/>
        <v>3</v>
      </c>
      <c r="DO21">
        <v>3</v>
      </c>
      <c r="DQ21" t="s">
        <v>251</v>
      </c>
      <c r="DR21" s="117">
        <f>DR19+DR17</f>
        <v>0.10831435280071244</v>
      </c>
      <c r="DS21" s="117">
        <f t="shared" si="32"/>
        <v>0.65161530450504723</v>
      </c>
      <c r="DT21" s="117">
        <f t="shared" si="32"/>
        <v>0.95173399386113133</v>
      </c>
      <c r="DU21" s="117">
        <f t="shared" si="32"/>
        <v>1.1910269380093752</v>
      </c>
      <c r="DV21" s="117">
        <f t="shared" si="32"/>
        <v>1.1482584840333625</v>
      </c>
      <c r="DW21" s="117">
        <f t="shared" si="32"/>
        <v>0.95834755240922154</v>
      </c>
      <c r="DX21" s="117">
        <f t="shared" si="32"/>
        <v>0.8195373386967697</v>
      </c>
      <c r="DY21" s="117">
        <f t="shared" si="32"/>
        <v>0.3613984465696114</v>
      </c>
      <c r="DZ21" s="117">
        <f t="shared" si="32"/>
        <v>-9.4198943493832468E-2</v>
      </c>
      <c r="EA21" s="117">
        <f t="shared" si="32"/>
        <v>-0.55914024732288603</v>
      </c>
      <c r="EB21" s="117">
        <f t="shared" si="32"/>
        <v>-0.87021662824699919</v>
      </c>
      <c r="EC21" s="117">
        <f t="shared" si="32"/>
        <v>-1.0455179155850347</v>
      </c>
      <c r="ED21" s="117">
        <f t="shared" si="32"/>
        <v>-1.1119341812494099</v>
      </c>
      <c r="EE21" s="117">
        <f t="shared" si="32"/>
        <v>-1.0196581530713664</v>
      </c>
      <c r="EF21" s="117">
        <f t="shared" si="32"/>
        <v>-0.80281256400082834</v>
      </c>
      <c r="EG21" s="117">
        <f t="shared" si="32"/>
        <v>-0.41951219451453559</v>
      </c>
      <c r="EH21" s="117">
        <f t="shared" si="32"/>
        <v>0.10831435280071244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1.5320072049686697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16.858692749221458</v>
      </c>
      <c r="H22" s="135">
        <f t="shared" si="35"/>
        <v>31.315010834098434</v>
      </c>
      <c r="I22" s="135">
        <f t="shared" si="35"/>
        <v>15.423968187323448</v>
      </c>
      <c r="J22" s="135">
        <f t="shared" si="35"/>
        <v>20.321726428435085</v>
      </c>
      <c r="K22" s="135">
        <f t="shared" si="35"/>
        <v>34.034875445785211</v>
      </c>
      <c r="L22" s="135">
        <f t="shared" si="35"/>
        <v>18.087006709280683</v>
      </c>
      <c r="M22" s="135">
        <f t="shared" si="35"/>
        <v>32.229906787768876</v>
      </c>
      <c r="N22" s="135">
        <f t="shared" si="35"/>
        <v>30.16008821079787</v>
      </c>
      <c r="O22" s="135">
        <f t="shared" si="35"/>
        <v>3.4341025517946386</v>
      </c>
      <c r="P22" s="135">
        <f t="shared" si="35"/>
        <v>29.421679892095884</v>
      </c>
      <c r="Q22" s="135">
        <f t="shared" si="35"/>
        <v>28.167255796538232</v>
      </c>
      <c r="R22" s="135">
        <f t="shared" si="35"/>
        <v>30.066641713101795</v>
      </c>
      <c r="S22" s="135">
        <f t="shared" si="35"/>
        <v>18.981335194394759</v>
      </c>
      <c r="T22" s="135">
        <f t="shared" si="35"/>
        <v>6.453747927251869</v>
      </c>
      <c r="U22" s="135">
        <f t="shared" si="35"/>
        <v>13.12514169907368</v>
      </c>
      <c r="V22" s="135">
        <f t="shared" si="35"/>
        <v>17.82091792211892</v>
      </c>
      <c r="W22" s="135">
        <f t="shared" si="35"/>
        <v>14.855355312885084</v>
      </c>
      <c r="X22" s="135">
        <f t="shared" si="35"/>
        <v>12.049493436474409</v>
      </c>
      <c r="Y22" s="135">
        <f t="shared" si="35"/>
        <v>13.518245615353655</v>
      </c>
      <c r="Z22" s="135">
        <f t="shared" si="35"/>
        <v>20.062326399199158</v>
      </c>
      <c r="AA22" s="135">
        <f t="shared" si="35"/>
        <v>13.555394976162228</v>
      </c>
      <c r="AB22" s="135">
        <f t="shared" si="35"/>
        <v>14.998045935207301</v>
      </c>
      <c r="AC22" s="135">
        <f t="shared" si="35"/>
        <v>3.6869400853639824</v>
      </c>
      <c r="AD22" s="135">
        <f t="shared" si="35"/>
        <v>6.0950265817497629</v>
      </c>
      <c r="AE22" s="135">
        <f t="shared" si="35"/>
        <v>7.754635689049576</v>
      </c>
      <c r="AF22" s="135">
        <f t="shared" si="35"/>
        <v>6.4673244438373994</v>
      </c>
      <c r="AG22" s="135">
        <f t="shared" si="35"/>
        <v>1.3490853596689414</v>
      </c>
      <c r="AH22" s="135">
        <f t="shared" si="35"/>
        <v>0.16253377443104411</v>
      </c>
      <c r="AI22" s="135">
        <f t="shared" si="35"/>
        <v>1.8768983139051632</v>
      </c>
      <c r="AJ22" s="135">
        <f t="shared" si="35"/>
        <v>1.9927466141935566</v>
      </c>
      <c r="AK22" s="135">
        <f t="shared" si="35"/>
        <v>0.34051992821630894</v>
      </c>
      <c r="AL22" s="135">
        <f t="shared" si="35"/>
        <v>-0.67627144993805455</v>
      </c>
      <c r="AM22" s="135">
        <f t="shared" si="35"/>
        <v>0.17187026694021554</v>
      </c>
      <c r="AN22" s="135">
        <f t="shared" si="35"/>
        <v>-3.3726239022877391</v>
      </c>
      <c r="AO22" s="135">
        <f t="shared" si="35"/>
        <v>-2.7651632388731788</v>
      </c>
      <c r="AP22" s="135">
        <f t="shared" si="35"/>
        <v>5.2085976359976478E-2</v>
      </c>
      <c r="AQ22" s="135">
        <f t="shared" si="35"/>
        <v>-5.2499187201765967</v>
      </c>
      <c r="AR22" s="135">
        <f t="shared" si="35"/>
        <v>-2.5889634564139521</v>
      </c>
      <c r="AS22" s="135">
        <f t="shared" si="35"/>
        <v>-1.8468105441834848</v>
      </c>
      <c r="AT22" s="135">
        <f t="shared" si="35"/>
        <v>-3.9334111630901645</v>
      </c>
      <c r="AU22" s="135">
        <f t="shared" si="35"/>
        <v>-2.9945294004249354</v>
      </c>
      <c r="AV22" s="135">
        <f t="shared" si="35"/>
        <v>-16.777739554263356</v>
      </c>
      <c r="AW22" s="135">
        <f t="shared" si="35"/>
        <v>-17.376827630337697</v>
      </c>
      <c r="AX22" s="135">
        <f t="shared" si="35"/>
        <v>-0.72531680810234922</v>
      </c>
      <c r="AY22" s="135">
        <f t="shared" si="35"/>
        <v>-18.260729745675494</v>
      </c>
      <c r="AZ22" s="135">
        <f t="shared" si="35"/>
        <v>-14.449542239469942</v>
      </c>
      <c r="BA22" s="135">
        <f t="shared" si="35"/>
        <v>-8.8489905725371134</v>
      </c>
      <c r="BB22" s="135">
        <f t="shared" si="35"/>
        <v>-19.998759465190023</v>
      </c>
      <c r="BC22" s="135">
        <f t="shared" si="35"/>
        <v>-17.49480906135226</v>
      </c>
      <c r="BD22" s="135">
        <f t="shared" si="35"/>
        <v>-18.046750364341605</v>
      </c>
      <c r="BE22" s="135">
        <f t="shared" si="35"/>
        <v>-15.758153337346709</v>
      </c>
      <c r="BF22" s="135">
        <f t="shared" si="35"/>
        <v>-21.183210601021596</v>
      </c>
      <c r="BG22" s="135">
        <f t="shared" si="35"/>
        <v>-30.794388379814777</v>
      </c>
      <c r="BH22" s="135">
        <f t="shared" si="35"/>
        <v>-16.161568532224059</v>
      </c>
      <c r="BI22" s="135">
        <f t="shared" si="35"/>
        <v>-17.925526159233002</v>
      </c>
      <c r="BJ22" s="135">
        <f t="shared" si="35"/>
        <v>-30.237753530038752</v>
      </c>
      <c r="BK22" s="135">
        <f t="shared" si="35"/>
        <v>-31.921887582576353</v>
      </c>
      <c r="BL22" s="135">
        <f t="shared" si="35"/>
        <v>-31.485439648254239</v>
      </c>
      <c r="BM22" s="135">
        <f t="shared" si="35"/>
        <v>-15.909730673785331</v>
      </c>
      <c r="BN22" s="135">
        <f t="shared" si="35"/>
        <v>-6.6122659861702013</v>
      </c>
      <c r="BO22" s="135">
        <f t="shared" si="35"/>
        <v>-14.432183978192667</v>
      </c>
      <c r="BP22" s="135">
        <f t="shared" si="35"/>
        <v>-5.9288807002652826</v>
      </c>
      <c r="BQ22" s="135">
        <f t="shared" si="35"/>
        <v>-1.8655500581969815</v>
      </c>
      <c r="BR22" s="135">
        <f t="shared" ref="BR22:DA23" si="36">BR128</f>
        <v>-28.677687611559627</v>
      </c>
      <c r="BS22" s="135">
        <f t="shared" si="36"/>
        <v>-18.190539979936077</v>
      </c>
      <c r="BT22" s="135">
        <f t="shared" si="36"/>
        <v>-24.986412894909925</v>
      </c>
      <c r="BU22" s="135">
        <f t="shared" si="36"/>
        <v>-25.282527605781659</v>
      </c>
      <c r="BV22" s="135">
        <f t="shared" si="36"/>
        <v>-16.852876318995982</v>
      </c>
      <c r="BW22" s="135">
        <f t="shared" si="36"/>
        <v>-6.8268905137257185</v>
      </c>
      <c r="BX22" s="135">
        <f t="shared" si="36"/>
        <v>-17.091399706049554</v>
      </c>
      <c r="BY22" s="135">
        <f t="shared" si="36"/>
        <v>-13.850526780415587</v>
      </c>
      <c r="BZ22" s="135">
        <f t="shared" si="36"/>
        <v>-5.8816081770824598</v>
      </c>
      <c r="CA22" s="135">
        <f t="shared" si="36"/>
        <v>-19.758576965888569</v>
      </c>
      <c r="CB22" s="135">
        <f t="shared" si="36"/>
        <v>-0.82602367673037358</v>
      </c>
      <c r="CC22" s="135">
        <f t="shared" si="36"/>
        <v>-10.827816224348979</v>
      </c>
      <c r="CD22" s="135">
        <f t="shared" si="36"/>
        <v>-12.217318510020331</v>
      </c>
      <c r="CE22" s="135">
        <f t="shared" si="36"/>
        <v>-7.1097643710027025</v>
      </c>
      <c r="CF22" s="135">
        <f t="shared" si="36"/>
        <v>-10.329487290944845</v>
      </c>
      <c r="CG22" s="135">
        <f t="shared" si="36"/>
        <v>-2.5020599543801976</v>
      </c>
      <c r="CH22" s="135">
        <f t="shared" si="36"/>
        <v>1.9343369391532599</v>
      </c>
      <c r="CI22" s="135">
        <f t="shared" si="36"/>
        <v>5.8327280734882319</v>
      </c>
      <c r="CJ22" s="135">
        <f t="shared" si="36"/>
        <v>1.5130811652898335</v>
      </c>
      <c r="CK22" s="135">
        <f t="shared" si="36"/>
        <v>3.8346917230244508</v>
      </c>
      <c r="CL22" s="135">
        <f t="shared" si="36"/>
        <v>4.6395434403674329</v>
      </c>
      <c r="CM22" s="135">
        <f t="shared" si="36"/>
        <v>7.1838881385564166</v>
      </c>
      <c r="CN22" s="135">
        <f t="shared" si="36"/>
        <v>11.280934137846254</v>
      </c>
      <c r="CO22" s="135">
        <f t="shared" si="36"/>
        <v>14.442277337248333</v>
      </c>
      <c r="CP22" s="135">
        <f t="shared" si="36"/>
        <v>18.32010456532884</v>
      </c>
      <c r="CQ22" s="135">
        <f t="shared" si="36"/>
        <v>17.958295966312075</v>
      </c>
      <c r="CR22" s="135">
        <f t="shared" si="36"/>
        <v>20.473429431015216</v>
      </c>
      <c r="CS22" s="135">
        <f t="shared" si="36"/>
        <v>4.0198976289620241</v>
      </c>
      <c r="CT22" s="135">
        <f t="shared" si="36"/>
        <v>16.90894110576669</v>
      </c>
      <c r="CU22" s="135">
        <f t="shared" si="36"/>
        <v>14.23891615587713</v>
      </c>
      <c r="CV22" s="135">
        <f t="shared" si="36"/>
        <v>23.663587200388545</v>
      </c>
      <c r="CW22" s="135">
        <f t="shared" si="36"/>
        <v>18.699954719720445</v>
      </c>
      <c r="CX22" s="135">
        <f t="shared" si="36"/>
        <v>17.632544889980416</v>
      </c>
      <c r="CY22" s="135">
        <f t="shared" si="36"/>
        <v>23.077631872346753</v>
      </c>
      <c r="CZ22" s="135">
        <f t="shared" si="36"/>
        <v>29.99441170992635</v>
      </c>
      <c r="DA22" s="135">
        <f t="shared" si="36"/>
        <v>32.644451794933616</v>
      </c>
      <c r="DC22">
        <v>18</v>
      </c>
      <c r="DD22" s="114">
        <v>56.784279070570626</v>
      </c>
      <c r="DE22" s="114">
        <v>12.049493436474409</v>
      </c>
      <c r="DF22" s="114">
        <v>13.232138501833004</v>
      </c>
      <c r="DG22" s="114">
        <v>56.028188059068853</v>
      </c>
      <c r="DH22" s="114">
        <v>5.9784642272876019</v>
      </c>
      <c r="DI22" s="114">
        <v>15.228907123542834</v>
      </c>
      <c r="DJ22" s="114">
        <v>6.4355383772547059</v>
      </c>
      <c r="DK22" s="114">
        <f t="shared" si="0"/>
        <v>41.416154205118133</v>
      </c>
      <c r="DL22" s="114">
        <f t="shared" si="1"/>
        <v>0.83214291289329201</v>
      </c>
      <c r="DM22" s="114">
        <f t="shared" si="2"/>
        <v>47.678276860508127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43.824909600641327</v>
      </c>
      <c r="DS22" s="117">
        <f t="shared" ref="DS22:EH22" si="37">10*LN(EXP((100-$G$33*DS10)/10)+1)</f>
        <v>39.623759404564346</v>
      </c>
      <c r="DT22" s="117">
        <f t="shared" si="37"/>
        <v>25.913205126049125</v>
      </c>
      <c r="DU22" s="117">
        <f t="shared" si="37"/>
        <v>46.525517893600124</v>
      </c>
      <c r="DV22" s="117">
        <f t="shared" si="37"/>
        <v>66.663603860591053</v>
      </c>
      <c r="DW22" s="117">
        <f t="shared" si="37"/>
        <v>72.792969679635647</v>
      </c>
      <c r="DX22" s="117">
        <f t="shared" si="37"/>
        <v>48.20063714337028</v>
      </c>
      <c r="DY22" s="117">
        <f t="shared" si="37"/>
        <v>55.573081200027296</v>
      </c>
      <c r="DZ22" s="117">
        <f t="shared" si="37"/>
        <v>53.916575274393551</v>
      </c>
      <c r="EA22" s="117">
        <f t="shared" si="37"/>
        <v>42.973704188366639</v>
      </c>
      <c r="EB22" s="117">
        <f t="shared" si="37"/>
        <v>45.369926943400827</v>
      </c>
      <c r="EC22" s="117">
        <f t="shared" si="37"/>
        <v>56.460159575984406</v>
      </c>
      <c r="ED22" s="117">
        <f t="shared" si="37"/>
        <v>76.615818685666028</v>
      </c>
      <c r="EE22" s="117">
        <f t="shared" si="37"/>
        <v>66.57531663398963</v>
      </c>
      <c r="EF22" s="117">
        <f t="shared" si="37"/>
        <v>51.522166075025112</v>
      </c>
      <c r="EG22" s="117">
        <f t="shared" si="37"/>
        <v>54.920430273948412</v>
      </c>
      <c r="EH22" s="117">
        <f t="shared" si="37"/>
        <v>43.824909600641327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1.6372108913994032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1.7688006336689717</v>
      </c>
      <c r="H23" s="135">
        <f t="shared" si="35"/>
        <v>4.9339433064894198</v>
      </c>
      <c r="I23" s="135">
        <f t="shared" si="35"/>
        <v>2.4600718472207164</v>
      </c>
      <c r="J23" s="135">
        <f t="shared" si="35"/>
        <v>6.7482181178731304</v>
      </c>
      <c r="K23" s="135">
        <f t="shared" si="35"/>
        <v>9.9938199666139393</v>
      </c>
      <c r="L23" s="135">
        <f t="shared" si="35"/>
        <v>7.07395231697339</v>
      </c>
      <c r="M23" s="135">
        <f t="shared" si="35"/>
        <v>10.983502196816929</v>
      </c>
      <c r="N23" s="135">
        <f t="shared" si="35"/>
        <v>10.112756431216827</v>
      </c>
      <c r="O23" s="135">
        <f t="shared" si="35"/>
        <v>0.61411044619183597</v>
      </c>
      <c r="P23" s="135">
        <f t="shared" si="35"/>
        <v>18.213688540452381</v>
      </c>
      <c r="Q23" s="135">
        <f t="shared" si="35"/>
        <v>19.444792202516233</v>
      </c>
      <c r="R23" s="135">
        <f t="shared" si="35"/>
        <v>20.953084346989336</v>
      </c>
      <c r="S23" s="135">
        <f t="shared" si="35"/>
        <v>14.44279297161653</v>
      </c>
      <c r="T23" s="135">
        <f t="shared" si="35"/>
        <v>5.9112702987406962</v>
      </c>
      <c r="U23" s="135">
        <f t="shared" si="35"/>
        <v>10.453958569056347</v>
      </c>
      <c r="V23" s="135">
        <f t="shared" si="35"/>
        <v>16.26916744758358</v>
      </c>
      <c r="W23" s="135">
        <f t="shared" si="35"/>
        <v>17.057654931014337</v>
      </c>
      <c r="X23" s="135">
        <f t="shared" si="35"/>
        <v>13.232138501833004</v>
      </c>
      <c r="Y23" s="135">
        <f t="shared" si="35"/>
        <v>23.213253694481562</v>
      </c>
      <c r="Z23" s="135">
        <f t="shared" si="35"/>
        <v>27.331905430892878</v>
      </c>
      <c r="AA23" s="135">
        <f t="shared" si="35"/>
        <v>27.892306055649652</v>
      </c>
      <c r="AB23" s="135">
        <f t="shared" si="35"/>
        <v>28.579607672962513</v>
      </c>
      <c r="AC23" s="135">
        <f t="shared" si="35"/>
        <v>12.054844853354602</v>
      </c>
      <c r="AD23" s="135">
        <f t="shared" si="35"/>
        <v>24.015639498940022</v>
      </c>
      <c r="AE23" s="135">
        <f t="shared" si="35"/>
        <v>32.466967488954495</v>
      </c>
      <c r="AF23" s="135">
        <f t="shared" si="35"/>
        <v>28.303262972288451</v>
      </c>
      <c r="AG23" s="135">
        <f t="shared" si="35"/>
        <v>14.576634516139361</v>
      </c>
      <c r="AH23" s="135">
        <f t="shared" si="35"/>
        <v>15.235590292780136</v>
      </c>
      <c r="AI23" s="135">
        <f t="shared" si="35"/>
        <v>28.106749823840033</v>
      </c>
      <c r="AJ23" s="135">
        <f t="shared" si="35"/>
        <v>16.174859118065942</v>
      </c>
      <c r="AK23" s="135">
        <f t="shared" si="35"/>
        <v>28.047308743440482</v>
      </c>
      <c r="AL23" s="135">
        <f t="shared" si="35"/>
        <v>30.767372809160882</v>
      </c>
      <c r="AM23" s="135">
        <f t="shared" si="35"/>
        <v>18.685835899753584</v>
      </c>
      <c r="AN23" s="135">
        <f t="shared" si="35"/>
        <v>27.717191856524401</v>
      </c>
      <c r="AO23" s="135">
        <f t="shared" si="35"/>
        <v>14.902867321038363</v>
      </c>
      <c r="AP23" s="135">
        <f t="shared" si="35"/>
        <v>6.6552986665911549</v>
      </c>
      <c r="AQ23" s="135">
        <f t="shared" si="35"/>
        <v>18.351759845758565</v>
      </c>
      <c r="AR23" s="135">
        <f t="shared" si="35"/>
        <v>15.501511033935833</v>
      </c>
      <c r="AS23" s="135">
        <f t="shared" si="35"/>
        <v>6.5722374944807296</v>
      </c>
      <c r="AT23" s="135">
        <f t="shared" si="35"/>
        <v>12.541089462654462</v>
      </c>
      <c r="AU23" s="135">
        <f t="shared" si="35"/>
        <v>7.837121464117371</v>
      </c>
      <c r="AV23" s="135">
        <f t="shared" si="35"/>
        <v>27.231361979049744</v>
      </c>
      <c r="AW23" s="135">
        <f t="shared" si="35"/>
        <v>27.590234916733191</v>
      </c>
      <c r="AX23" s="135">
        <f t="shared" si="35"/>
        <v>1.2584413242963413</v>
      </c>
      <c r="AY23" s="135">
        <f t="shared" si="35"/>
        <v>19.285074616565954</v>
      </c>
      <c r="AZ23" s="135">
        <f t="shared" si="35"/>
        <v>15.200391742737013</v>
      </c>
      <c r="BA23" s="135">
        <f t="shared" si="35"/>
        <v>10.645126985506931</v>
      </c>
      <c r="BB23" s="135">
        <f t="shared" si="35"/>
        <v>13.521379502436941</v>
      </c>
      <c r="BC23" s="135">
        <f t="shared" si="35"/>
        <v>12.651185218233051</v>
      </c>
      <c r="BD23" s="135">
        <f t="shared" si="35"/>
        <v>6.7171930555095951</v>
      </c>
      <c r="BE23" s="135">
        <f t="shared" si="35"/>
        <v>5.4984618946412738</v>
      </c>
      <c r="BF23" s="135">
        <f t="shared" si="35"/>
        <v>7.0895299377114105</v>
      </c>
      <c r="BG23" s="135">
        <f t="shared" si="35"/>
        <v>3.2549539212999745</v>
      </c>
      <c r="BH23" s="135">
        <f t="shared" si="35"/>
        <v>-0.81452394932007366</v>
      </c>
      <c r="BI23" s="135">
        <f t="shared" si="35"/>
        <v>-2.441578824173094</v>
      </c>
      <c r="BJ23" s="135">
        <f t="shared" si="35"/>
        <v>-4.026392539513334</v>
      </c>
      <c r="BK23" s="135">
        <f t="shared" si="35"/>
        <v>-4.4008025290047783</v>
      </c>
      <c r="BL23" s="135">
        <f t="shared" si="35"/>
        <v>-6.492571008121792</v>
      </c>
      <c r="BM23" s="135">
        <f t="shared" si="35"/>
        <v>-3.336964834636158</v>
      </c>
      <c r="BN23" s="135">
        <f t="shared" si="35"/>
        <v>-2.8468345169817977</v>
      </c>
      <c r="BO23" s="135">
        <f t="shared" si="35"/>
        <v>-5.6659381219181606</v>
      </c>
      <c r="BP23" s="135">
        <f t="shared" si="35"/>
        <v>-4.3656547303413626</v>
      </c>
      <c r="BQ23" s="135">
        <f t="shared" si="35"/>
        <v>-2.8380612906410523</v>
      </c>
      <c r="BR23" s="135">
        <f t="shared" si="36"/>
        <v>-14.970225016519469</v>
      </c>
      <c r="BS23" s="135">
        <f t="shared" si="36"/>
        <v>-10.490984092749278</v>
      </c>
      <c r="BT23" s="135">
        <f t="shared" si="36"/>
        <v>-17.234987697266554</v>
      </c>
      <c r="BU23" s="135">
        <f t="shared" si="36"/>
        <v>-18.625729584819439</v>
      </c>
      <c r="BV23" s="135">
        <f t="shared" si="36"/>
        <v>-15.302391746875179</v>
      </c>
      <c r="BW23" s="135">
        <f t="shared" si="36"/>
        <v>-10.529097012740223</v>
      </c>
      <c r="BX23" s="135">
        <f t="shared" si="36"/>
        <v>-21.083543260056761</v>
      </c>
      <c r="BY23" s="135">
        <f t="shared" si="36"/>
        <v>-20.550068012543694</v>
      </c>
      <c r="BZ23" s="135">
        <f t="shared" si="36"/>
        <v>-8.164388062397661</v>
      </c>
      <c r="CA23" s="135">
        <f t="shared" si="36"/>
        <v>-25.793693569358418</v>
      </c>
      <c r="CB23" s="135">
        <f t="shared" si="36"/>
        <v>-3.7054392614178302</v>
      </c>
      <c r="CC23" s="135">
        <f t="shared" si="36"/>
        <v>-21.817852996045271</v>
      </c>
      <c r="CD23" s="135">
        <f t="shared" si="36"/>
        <v>-30.24179191698969</v>
      </c>
      <c r="CE23" s="135">
        <f t="shared" si="36"/>
        <v>-22.934435378873133</v>
      </c>
      <c r="CF23" s="135">
        <f t="shared" si="36"/>
        <v>-29.814588420225721</v>
      </c>
      <c r="CG23" s="135">
        <f t="shared" si="36"/>
        <v>-19.168002165556121</v>
      </c>
      <c r="CH23" s="135">
        <f t="shared" si="36"/>
        <v>-21.901273127886444</v>
      </c>
      <c r="CI23" s="135">
        <f t="shared" si="36"/>
        <v>-25.637462093234323</v>
      </c>
      <c r="CJ23" s="135">
        <f t="shared" si="36"/>
        <v>-9.2064507141103977</v>
      </c>
      <c r="CK23" s="135">
        <f t="shared" si="36"/>
        <v>-15.365460885849668</v>
      </c>
      <c r="CL23" s="135">
        <f t="shared" si="36"/>
        <v>-6.015226315407924</v>
      </c>
      <c r="CM23" s="135">
        <f t="shared" si="36"/>
        <v>-11.491501510986431</v>
      </c>
      <c r="CN23" s="135">
        <f t="shared" si="36"/>
        <v>-19.514914012450443</v>
      </c>
      <c r="CO23" s="135">
        <f t="shared" si="36"/>
        <v>-18.899104468025552</v>
      </c>
      <c r="CP23" s="135">
        <f t="shared" si="36"/>
        <v>-14.599893417871408</v>
      </c>
      <c r="CQ23" s="135">
        <f t="shared" si="36"/>
        <v>-12.73870341188824</v>
      </c>
      <c r="CR23" s="135">
        <f t="shared" si="36"/>
        <v>-12.95606736411488</v>
      </c>
      <c r="CS23" s="135">
        <f t="shared" si="36"/>
        <v>-1.6226027161113561</v>
      </c>
      <c r="CT23" s="135">
        <f t="shared" si="36"/>
        <v>-6.8594459922360791</v>
      </c>
      <c r="CU23" s="135">
        <f t="shared" si="36"/>
        <v>-5.2990261181616871</v>
      </c>
      <c r="CV23" s="135">
        <f t="shared" si="36"/>
        <v>-5.6634587737317785</v>
      </c>
      <c r="CW23" s="135">
        <f t="shared" si="36"/>
        <v>-4.2592670096428726</v>
      </c>
      <c r="CX23" s="135">
        <f t="shared" si="36"/>
        <v>-3.3251303718062126</v>
      </c>
      <c r="CY23" s="135">
        <f t="shared" si="36"/>
        <v>-2.2084380006741835</v>
      </c>
      <c r="CZ23" s="135">
        <f t="shared" si="36"/>
        <v>0.70838138455932032</v>
      </c>
      <c r="DA23" s="135">
        <f t="shared" si="36"/>
        <v>0.84446269497032189</v>
      </c>
      <c r="DC23">
        <v>19</v>
      </c>
      <c r="DD23" s="114">
        <v>71.649094722908288</v>
      </c>
      <c r="DE23" s="114">
        <v>13.518245615353655</v>
      </c>
      <c r="DF23" s="114">
        <v>23.213253694481562</v>
      </c>
      <c r="DG23" s="114">
        <v>73.546541629983437</v>
      </c>
      <c r="DH23" s="114">
        <v>4.9254243690386019</v>
      </c>
      <c r="DI23" s="114">
        <v>26.110661095360587</v>
      </c>
      <c r="DJ23" s="114">
        <v>9.2645480938338807</v>
      </c>
      <c r="DK23" s="114">
        <f t="shared" si="0"/>
        <v>85.831851382960991</v>
      </c>
      <c r="DL23" s="114">
        <f t="shared" si="1"/>
        <v>1.0434556354431777</v>
      </c>
      <c r="DM23" s="114">
        <f t="shared" si="2"/>
        <v>59.785604020035521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1.746021100605208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67.528333127716394</v>
      </c>
      <c r="DE24" s="114">
        <v>20.062326399199158</v>
      </c>
      <c r="DF24" s="114">
        <v>27.331905430892878</v>
      </c>
      <c r="DG24" s="114">
        <v>65.206515771458299</v>
      </c>
      <c r="DH24" s="114">
        <v>9.5206728005355767</v>
      </c>
      <c r="DI24" s="114">
        <v>32.181765471094927</v>
      </c>
      <c r="DJ24" s="114">
        <v>11.833783792159918</v>
      </c>
      <c r="DK24" s="114">
        <f t="shared" si="0"/>
        <v>140.03843883958677</v>
      </c>
      <c r="DL24" s="114">
        <f t="shared" si="1"/>
        <v>0.93759727400382831</v>
      </c>
      <c r="DM24" s="114">
        <f t="shared" si="2"/>
        <v>53.720366683390381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-1408.2174415402023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1.8583503867442959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86.215321259726309</v>
      </c>
      <c r="DE25" s="114">
        <v>13.555394976162228</v>
      </c>
      <c r="DF25" s="114">
        <v>27.892306055649652</v>
      </c>
      <c r="DG25" s="114">
        <v>88.108833163719723</v>
      </c>
      <c r="DH25" s="114">
        <v>3.1490617274036921</v>
      </c>
      <c r="DI25" s="114">
        <v>31.200761208420992</v>
      </c>
      <c r="DJ25" s="114">
        <v>11.082555414374493</v>
      </c>
      <c r="DK25" s="114">
        <f t="shared" si="0"/>
        <v>122.82303451268139</v>
      </c>
      <c r="DL25" s="114">
        <f t="shared" si="1"/>
        <v>1.1184190225797157</v>
      </c>
      <c r="DM25" s="114">
        <f t="shared" si="2"/>
        <v>64.080689720964429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1.974102636503255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78.747040865430648</v>
      </c>
      <c r="DE26" s="114">
        <v>14.998045935207301</v>
      </c>
      <c r="DF26" s="114">
        <v>28.579607672962513</v>
      </c>
      <c r="DG26" s="114">
        <v>79.807897766864016</v>
      </c>
      <c r="DH26" s="114">
        <v>4.3493562625397404</v>
      </c>
      <c r="DI26" s="114">
        <v>32.750395887149786</v>
      </c>
      <c r="DJ26" s="114">
        <v>11.485446592871305</v>
      </c>
      <c r="DK26" s="114">
        <f t="shared" si="0"/>
        <v>131.91548343769907</v>
      </c>
      <c r="DL26" s="114">
        <f t="shared" si="1"/>
        <v>1.0875207238319009</v>
      </c>
      <c r="DM26" s="114">
        <f t="shared" si="2"/>
        <v>62.31034760858028</v>
      </c>
      <c r="DN26" s="115">
        <f t="shared" si="3"/>
        <v>3</v>
      </c>
      <c r="DO26">
        <v>4</v>
      </c>
      <c r="DQ26" t="s">
        <v>257</v>
      </c>
      <c r="DR26" s="114">
        <f>DR25/DR24*100</f>
        <v>83.493404839686065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2.0931736474855192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91.522987587120937</v>
      </c>
      <c r="DE27" s="114">
        <v>3.6869400853639824</v>
      </c>
      <c r="DF27" s="114">
        <v>12.054844853354602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4.5746326479178867</v>
      </c>
      <c r="DK27" s="114">
        <f t="shared" si="0"/>
        <v>20.927263863396217</v>
      </c>
      <c r="DL27" s="114">
        <f t="shared" si="1"/>
        <v>1.2739838338871239</v>
      </c>
      <c r="DM27" s="114">
        <f t="shared" si="2"/>
        <v>72.993896849627944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2.2154517219640533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90.384697644717576</v>
      </c>
      <c r="DE28" s="114">
        <v>6.0950265817497629</v>
      </c>
      <c r="DF28" s="114">
        <v>24.015639498940022</v>
      </c>
      <c r="DG28" s="114">
        <v>91.981617069597235</v>
      </c>
      <c r="DH28" s="114">
        <v>-1.1725868880642552</v>
      </c>
      <c r="DI28" s="114">
        <v>26.978176163571931</v>
      </c>
      <c r="DJ28" s="114">
        <v>8.0090561669567837</v>
      </c>
      <c r="DK28" s="114">
        <f t="shared" si="0"/>
        <v>64.144980685468482</v>
      </c>
      <c r="DL28" s="114">
        <f t="shared" si="1"/>
        <v>1.32224998650324</v>
      </c>
      <c r="DM28" s="114">
        <f t="shared" si="2"/>
        <v>75.759343687865709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2.3408182709481693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71.533121595806534</v>
      </c>
      <c r="DE29" s="114">
        <v>7.754635689049576</v>
      </c>
      <c r="DF29" s="114">
        <v>32.466967488954495</v>
      </c>
      <c r="DG29" s="114">
        <v>73.890039535119868</v>
      </c>
      <c r="DH29" s="114">
        <v>-2.1807257246907392</v>
      </c>
      <c r="DI29" s="114">
        <v>35.067387342526899</v>
      </c>
      <c r="DJ29" s="114">
        <v>10.537013429295348</v>
      </c>
      <c r="DK29" s="114">
        <f t="shared" si="0"/>
        <v>111.02865200915051</v>
      </c>
      <c r="DL29" s="114">
        <f t="shared" si="1"/>
        <v>1.3363418962416855</v>
      </c>
      <c r="DM29" s="114">
        <f t="shared" si="2"/>
        <v>76.566750641157952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2.4691484238647461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4.1898931994877566</v>
      </c>
      <c r="H30" s="145">
        <f t="shared" si="42"/>
        <v>7.6723404461749709</v>
      </c>
      <c r="I30" s="145">
        <f t="shared" si="42"/>
        <v>5.9650884758425056</v>
      </c>
      <c r="J30" s="145">
        <f t="shared" si="42"/>
        <v>7.1936375303291511</v>
      </c>
      <c r="K30" s="145">
        <f t="shared" si="42"/>
        <v>11.939873606569233</v>
      </c>
      <c r="L30" s="145">
        <f t="shared" si="42"/>
        <v>7.0278633852937968</v>
      </c>
      <c r="M30" s="145">
        <f t="shared" si="42"/>
        <v>10.190653935077851</v>
      </c>
      <c r="N30" s="145">
        <f t="shared" si="42"/>
        <v>11.286389041203149</v>
      </c>
      <c r="O30" s="145">
        <f t="shared" si="42"/>
        <v>0.67916082732806893</v>
      </c>
      <c r="P30" s="145">
        <f t="shared" si="42"/>
        <v>9.4157778881917924</v>
      </c>
      <c r="Q30" s="145">
        <f t="shared" si="42"/>
        <v>10.914330360578134</v>
      </c>
      <c r="R30" s="145">
        <f t="shared" si="42"/>
        <v>11.054416197243937</v>
      </c>
      <c r="S30" s="145">
        <f t="shared" si="42"/>
        <v>6.2837546966796722</v>
      </c>
      <c r="T30" s="145">
        <f t="shared" si="42"/>
        <v>2.7692406970596055</v>
      </c>
      <c r="U30" s="145">
        <f t="shared" si="42"/>
        <v>5.7629387125539537</v>
      </c>
      <c r="V30" s="145">
        <f t="shared" si="42"/>
        <v>10.030013203599172</v>
      </c>
      <c r="W30" s="145">
        <f t="shared" si="42"/>
        <v>9.4728412914185682</v>
      </c>
      <c r="X30" s="145">
        <f t="shared" si="42"/>
        <v>6.4355383772547059</v>
      </c>
      <c r="Y30" s="145">
        <f t="shared" si="42"/>
        <v>9.2645480938338807</v>
      </c>
      <c r="Z30" s="145">
        <f t="shared" si="42"/>
        <v>11.833783792159918</v>
      </c>
      <c r="AA30" s="145">
        <f t="shared" si="42"/>
        <v>11.082555414374493</v>
      </c>
      <c r="AB30" s="145">
        <f t="shared" si="42"/>
        <v>11.485446592871305</v>
      </c>
      <c r="AC30" s="145">
        <f t="shared" si="42"/>
        <v>4.5746326479178867</v>
      </c>
      <c r="AD30" s="145">
        <f t="shared" si="42"/>
        <v>8.0090561669567837</v>
      </c>
      <c r="AE30" s="145">
        <f t="shared" si="42"/>
        <v>10.537013429295348</v>
      </c>
      <c r="AF30" s="145">
        <f t="shared" si="42"/>
        <v>9.1745568529751775</v>
      </c>
      <c r="AG30" s="145">
        <f t="shared" si="42"/>
        <v>4.692532749549593</v>
      </c>
      <c r="AH30" s="145">
        <f t="shared" si="42"/>
        <v>3.3062466053536426</v>
      </c>
      <c r="AI30" s="145">
        <f t="shared" si="42"/>
        <v>9.5449135978821484</v>
      </c>
      <c r="AJ30" s="145">
        <f t="shared" si="42"/>
        <v>8.6067955366309423</v>
      </c>
      <c r="AK30" s="145">
        <f t="shared" si="42"/>
        <v>8.2729332720942939</v>
      </c>
      <c r="AL30" s="145">
        <f t="shared" si="42"/>
        <v>8.7678664392007857</v>
      </c>
      <c r="AM30" s="145">
        <f t="shared" si="42"/>
        <v>7.157338270279471</v>
      </c>
      <c r="AN30" s="145">
        <f t="shared" si="42"/>
        <v>5.8435499889572977</v>
      </c>
      <c r="AO30" s="145">
        <f t="shared" si="42"/>
        <v>3.0623882843800785</v>
      </c>
      <c r="AP30" s="145">
        <f t="shared" si="42"/>
        <v>4.2769561583253966</v>
      </c>
      <c r="AQ30" s="145">
        <f t="shared" si="42"/>
        <v>4.3113017606560531</v>
      </c>
      <c r="AR30" s="145">
        <f t="shared" si="42"/>
        <v>7.4831925129915948</v>
      </c>
      <c r="AS30" s="145">
        <f t="shared" si="42"/>
        <v>1.002545563241944</v>
      </c>
      <c r="AT30" s="145">
        <f t="shared" si="42"/>
        <v>1.6977827264915986</v>
      </c>
      <c r="AU30" s="145">
        <f t="shared" si="42"/>
        <v>3.2150697911143498</v>
      </c>
      <c r="AV30" s="145">
        <f t="shared" si="42"/>
        <v>2.8996784782830636</v>
      </c>
      <c r="AW30" s="145">
        <f t="shared" si="42"/>
        <v>4.8998945540063925</v>
      </c>
      <c r="AX30" s="145">
        <f t="shared" si="42"/>
        <v>0.19620522424424819</v>
      </c>
      <c r="AY30" s="145">
        <f t="shared" si="42"/>
        <v>4.230537538982551</v>
      </c>
      <c r="AZ30" s="145">
        <f t="shared" si="42"/>
        <v>4.8266727811989645</v>
      </c>
      <c r="BA30" s="145">
        <f t="shared" si="42"/>
        <v>4.6026581624514664</v>
      </c>
      <c r="BB30" s="145">
        <f t="shared" si="42"/>
        <v>8.4694110370704383</v>
      </c>
      <c r="BC30" s="145">
        <f t="shared" si="42"/>
        <v>5.2919557195306703</v>
      </c>
      <c r="BD30" s="145">
        <f t="shared" si="42"/>
        <v>5.04545503740919</v>
      </c>
      <c r="BE30" s="145">
        <f t="shared" si="42"/>
        <v>5.0778739738251222</v>
      </c>
      <c r="BF30" s="145">
        <f t="shared" si="42"/>
        <v>5.992281713053548</v>
      </c>
      <c r="BG30" s="145">
        <f t="shared" si="42"/>
        <v>7.4735590185894489</v>
      </c>
      <c r="BH30" s="145">
        <f t="shared" si="42"/>
        <v>5.0053106769012548</v>
      </c>
      <c r="BI30" s="145">
        <f t="shared" si="42"/>
        <v>5.3328162490596291</v>
      </c>
      <c r="BJ30" s="145">
        <f t="shared" si="42"/>
        <v>7.531153402509295</v>
      </c>
      <c r="BK30" s="145">
        <f t="shared" si="42"/>
        <v>7.9259778368783316</v>
      </c>
      <c r="BL30" s="145">
        <f t="shared" si="42"/>
        <v>7.3111386014126793</v>
      </c>
      <c r="BM30" s="145">
        <f t="shared" si="42"/>
        <v>4.6028265414133918</v>
      </c>
      <c r="BN30" s="145">
        <f t="shared" si="42"/>
        <v>2.3451514567998677</v>
      </c>
      <c r="BO30" s="145">
        <f t="shared" si="42"/>
        <v>5.1161759685705546</v>
      </c>
      <c r="BP30" s="145">
        <f t="shared" si="42"/>
        <v>4.5142605335468931</v>
      </c>
      <c r="BQ30" s="145">
        <f t="shared" si="42"/>
        <v>4.987270153795107</v>
      </c>
      <c r="BR30" s="145">
        <f t="shared" si="42"/>
        <v>9.2456065668878917</v>
      </c>
      <c r="BS30" s="145">
        <f t="shared" ref="BS30:DA30" si="43">POWER(POWER(BS21-BS25,2)+POWER(BS22-BS26,2)+POWER(BS23-BS27,2),1/2)</f>
        <v>7.8797844520478773</v>
      </c>
      <c r="BT30" s="145">
        <f t="shared" si="43"/>
        <v>10.00335942032342</v>
      </c>
      <c r="BU30" s="145">
        <f t="shared" si="43"/>
        <v>10.348265817649855</v>
      </c>
      <c r="BV30" s="145">
        <f t="shared" si="43"/>
        <v>8.7329229077698596</v>
      </c>
      <c r="BW30" s="145">
        <f t="shared" si="43"/>
        <v>6.1965823339138542</v>
      </c>
      <c r="BX30" s="145">
        <f t="shared" si="43"/>
        <v>9.4160999852631413</v>
      </c>
      <c r="BY30" s="145">
        <f t="shared" si="43"/>
        <v>8.6088856450748814</v>
      </c>
      <c r="BZ30" s="145">
        <f t="shared" si="43"/>
        <v>3.4397471200984677</v>
      </c>
      <c r="CA30" s="145">
        <f t="shared" si="43"/>
        <v>10.629915654970757</v>
      </c>
      <c r="CB30" s="145">
        <f t="shared" si="43"/>
        <v>1.5615805668259701</v>
      </c>
      <c r="CC30" s="145">
        <f t="shared" si="43"/>
        <v>7.5389978179716941</v>
      </c>
      <c r="CD30" s="145">
        <f t="shared" si="43"/>
        <v>10.098482382412755</v>
      </c>
      <c r="CE30" s="145">
        <f t="shared" si="43"/>
        <v>5.0969209139851088</v>
      </c>
      <c r="CF30" s="145">
        <f t="shared" si="43"/>
        <v>8.1782757781875155</v>
      </c>
      <c r="CG30" s="145">
        <f t="shared" si="43"/>
        <v>3.9607738581885927</v>
      </c>
      <c r="CH30" s="145">
        <f t="shared" si="43"/>
        <v>3.2385274282517114</v>
      </c>
      <c r="CI30" s="145">
        <f t="shared" si="43"/>
        <v>5.4934532113463428</v>
      </c>
      <c r="CJ30" s="145">
        <f t="shared" si="43"/>
        <v>1.3105289194312064</v>
      </c>
      <c r="CK30" s="145">
        <f t="shared" si="43"/>
        <v>2.3653886088033058</v>
      </c>
      <c r="CL30" s="145">
        <f t="shared" si="43"/>
        <v>2.5429485688630793</v>
      </c>
      <c r="CM30" s="145">
        <f t="shared" si="43"/>
        <v>3.2503538220174777</v>
      </c>
      <c r="CN30" s="145">
        <f t="shared" si="43"/>
        <v>7.3158163959666549</v>
      </c>
      <c r="CO30" s="145">
        <f t="shared" si="43"/>
        <v>4.6296264365699846</v>
      </c>
      <c r="CP30" s="145">
        <f t="shared" si="43"/>
        <v>6.004074310554782</v>
      </c>
      <c r="CQ30" s="145">
        <f t="shared" si="43"/>
        <v>6.6189493727312536</v>
      </c>
      <c r="CR30" s="145">
        <f t="shared" si="43"/>
        <v>6.6883294870836787</v>
      </c>
      <c r="CS30" s="145">
        <f t="shared" si="43"/>
        <v>2.6438504151715803</v>
      </c>
      <c r="CT30" s="145">
        <f t="shared" si="43"/>
        <v>7.6509943568696324</v>
      </c>
      <c r="CU30" s="145">
        <f t="shared" si="43"/>
        <v>5.0454309027908657</v>
      </c>
      <c r="CV30" s="145">
        <f t="shared" si="43"/>
        <v>10.441650382720399</v>
      </c>
      <c r="CW30" s="145">
        <f t="shared" si="43"/>
        <v>6.0971683235770673</v>
      </c>
      <c r="CX30" s="145">
        <f t="shared" si="43"/>
        <v>5.243905719450022</v>
      </c>
      <c r="CY30" s="145">
        <f t="shared" si="43"/>
        <v>4.7663822626872507</v>
      </c>
      <c r="CZ30" s="145">
        <f t="shared" si="43"/>
        <v>6.4339078054788947</v>
      </c>
      <c r="DA30" s="145">
        <f t="shared" si="43"/>
        <v>9.5576657602983524</v>
      </c>
      <c r="DC30">
        <v>26</v>
      </c>
      <c r="DD30" s="114">
        <v>89.546079233632483</v>
      </c>
      <c r="DE30" s="114">
        <v>6.4673244438373994</v>
      </c>
      <c r="DF30" s="114">
        <v>28.303262972288451</v>
      </c>
      <c r="DG30" s="114">
        <v>90.771006470450388</v>
      </c>
      <c r="DH30" s="114">
        <v>-1.6777124142328965</v>
      </c>
      <c r="DI30" s="114">
        <v>32.34435456907908</v>
      </c>
      <c r="DJ30" s="114">
        <v>9.1745568529751775</v>
      </c>
      <c r="DK30" s="114">
        <f t="shared" si="0"/>
        <v>84.172493448473787</v>
      </c>
      <c r="DL30" s="114">
        <f t="shared" si="1"/>
        <v>1.3461520726188136</v>
      </c>
      <c r="DM30" s="114">
        <f t="shared" si="2"/>
        <v>77.128832343846327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2.6003116395165318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73.397717697162861</v>
      </c>
      <c r="DE31" s="114">
        <v>1.3490853596689414</v>
      </c>
      <c r="DF31" s="114">
        <v>14.576634516139361</v>
      </c>
      <c r="DG31" s="114">
        <v>73.730962313505202</v>
      </c>
      <c r="DH31" s="114">
        <v>-2.1516246722465207</v>
      </c>
      <c r="DI31" s="114">
        <v>17.683697583365507</v>
      </c>
      <c r="DJ31" s="114">
        <v>4.692532749549593</v>
      </c>
      <c r="DK31" s="114">
        <f t="shared" si="0"/>
        <v>22.019863605595464</v>
      </c>
      <c r="DL31" s="114">
        <f t="shared" si="1"/>
        <v>1.4785080096064698</v>
      </c>
      <c r="DM31" s="114">
        <f t="shared" si="2"/>
        <v>84.712268926738503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2.7341723143474184</v>
      </c>
      <c r="D32" s="112"/>
      <c r="E32" s="143" t="s">
        <v>266</v>
      </c>
      <c r="F32" s="144"/>
      <c r="G32" s="145">
        <f>AVERAGE(G30:DA30)</f>
        <v>6.438789661527144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41.979168809287586</v>
      </c>
      <c r="DE32" s="114">
        <v>0.16253377443104411</v>
      </c>
      <c r="DF32" s="114">
        <v>15.235590292780136</v>
      </c>
      <c r="DG32" s="114">
        <v>42.593994567753263</v>
      </c>
      <c r="DH32" s="114">
        <v>-2.7663269162797337</v>
      </c>
      <c r="DI32" s="114">
        <v>16.640948238838284</v>
      </c>
      <c r="DJ32" s="114">
        <v>3.3062466053536426</v>
      </c>
      <c r="DK32" s="114">
        <f t="shared" si="0"/>
        <v>10.931266615412484</v>
      </c>
      <c r="DL32" s="114">
        <f t="shared" si="1"/>
        <v>1.5601286988326057</v>
      </c>
      <c r="DM32" s="114">
        <f t="shared" si="2"/>
        <v>89.388789940345006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2.8705903844130387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86.660813145797235</v>
      </c>
      <c r="DE33" s="114">
        <v>1.8768983139051632</v>
      </c>
      <c r="DF33" s="114">
        <v>28.106749823840033</v>
      </c>
      <c r="DG33" s="114">
        <v>87.239979273545217</v>
      </c>
      <c r="DH33" s="114">
        <v>-5.3698614323104259</v>
      </c>
      <c r="DI33" s="114">
        <v>34.291765213322449</v>
      </c>
      <c r="DJ33" s="114">
        <v>9.5449135978821484</v>
      </c>
      <c r="DK33" s="114">
        <f t="shared" si="0"/>
        <v>91.105375591035539</v>
      </c>
      <c r="DL33" s="114">
        <f t="shared" si="1"/>
        <v>1.5041178270193869</v>
      </c>
      <c r="DM33" s="114">
        <f t="shared" si="2"/>
        <v>86.179603378599296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4.8880781490403757</v>
      </c>
      <c r="DS33" s="117">
        <f t="shared" ref="DS33:DX33" si="44">DAVERAGE($DE$4:$DO$103,"dE",DS31:DS32)</f>
        <v>5.7214816477173773</v>
      </c>
      <c r="DT33" s="117">
        <f t="shared" si="44"/>
        <v>7.7483153571977601</v>
      </c>
      <c r="DU33" s="117">
        <f t="shared" si="44"/>
        <v>8.7342472458196614</v>
      </c>
      <c r="DV33" s="117">
        <f t="shared" si="44"/>
        <v>6.4448631520010924</v>
      </c>
      <c r="DW33" s="117">
        <f t="shared" si="44"/>
        <v>6.0992385449043294</v>
      </c>
      <c r="DX33" s="117">
        <f t="shared" si="44"/>
        <v>6.2480312050595881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3.0094219178190258</v>
      </c>
      <c r="D34" s="112"/>
      <c r="E34" s="143" t="s">
        <v>253</v>
      </c>
      <c r="F34" s="144"/>
      <c r="G34" s="145">
        <f>10*LN(EXP((100-$G$33*G30)/10)+1)</f>
        <v>68.418891820819695</v>
      </c>
      <c r="H34" s="145">
        <f t="shared" ref="H34:BS34" si="45">10*LN(EXP((100-$G$33*H30)/10)+1)</f>
        <v>42.297187723381612</v>
      </c>
      <c r="I34" s="145">
        <f t="shared" si="45"/>
        <v>55.063922873097923</v>
      </c>
      <c r="J34" s="145">
        <f t="shared" si="45"/>
        <v>45.862406849000294</v>
      </c>
      <c r="K34" s="145">
        <f t="shared" si="45"/>
        <v>13.113143345166138</v>
      </c>
      <c r="L34" s="145">
        <f t="shared" si="45"/>
        <v>47.100362437965508</v>
      </c>
      <c r="M34" s="145">
        <f t="shared" si="45"/>
        <v>24.103228112677797</v>
      </c>
      <c r="N34" s="145">
        <f t="shared" si="45"/>
        <v>16.932961444909139</v>
      </c>
      <c r="O34" s="145">
        <f t="shared" si="45"/>
        <v>94.879884953986334</v>
      </c>
      <c r="P34" s="145">
        <f t="shared" si="45"/>
        <v>29.540399969111956</v>
      </c>
      <c r="Q34" s="145">
        <f t="shared" si="45"/>
        <v>19.277966599643356</v>
      </c>
      <c r="R34" s="145">
        <f t="shared" si="45"/>
        <v>18.382478866960096</v>
      </c>
      <c r="S34" s="145">
        <f t="shared" si="45"/>
        <v>52.672202352267796</v>
      </c>
      <c r="T34" s="145">
        <f t="shared" si="45"/>
        <v>79.123587712840134</v>
      </c>
      <c r="U34" s="145">
        <f t="shared" si="45"/>
        <v>56.582389654160636</v>
      </c>
      <c r="V34" s="145">
        <f t="shared" si="45"/>
        <v>25.211507255193929</v>
      </c>
      <c r="W34" s="145">
        <f t="shared" si="45"/>
        <v>29.133033974753712</v>
      </c>
      <c r="X34" s="145">
        <f t="shared" si="45"/>
        <v>51.534005478194402</v>
      </c>
      <c r="Y34" s="145">
        <f t="shared" si="45"/>
        <v>30.624337044250009</v>
      </c>
      <c r="Z34" s="145">
        <f t="shared" si="45"/>
        <v>13.703730352500092</v>
      </c>
      <c r="AA34" s="145">
        <f t="shared" si="45"/>
        <v>18.204367082437166</v>
      </c>
      <c r="AB34" s="145">
        <f t="shared" si="45"/>
        <v>15.725542814904074</v>
      </c>
      <c r="AC34" s="145">
        <f t="shared" si="45"/>
        <v>65.521550396179052</v>
      </c>
      <c r="AD34" s="145">
        <f t="shared" si="45"/>
        <v>39.800334350269836</v>
      </c>
      <c r="AE34" s="145">
        <f t="shared" si="45"/>
        <v>21.756098933127994</v>
      </c>
      <c r="AF34" s="145">
        <f t="shared" si="45"/>
        <v>31.272139071101218</v>
      </c>
      <c r="AG34" s="145">
        <f t="shared" si="45"/>
        <v>64.633910225625243</v>
      </c>
      <c r="AH34" s="145">
        <f t="shared" si="45"/>
        <v>75.076390856586485</v>
      </c>
      <c r="AI34" s="145">
        <f t="shared" si="45"/>
        <v>28.619885190841909</v>
      </c>
      <c r="AJ34" s="145">
        <f t="shared" si="45"/>
        <v>35.399210601152532</v>
      </c>
      <c r="AK34" s="145">
        <f t="shared" si="45"/>
        <v>37.851749287786333</v>
      </c>
      <c r="AL34" s="145">
        <f t="shared" si="45"/>
        <v>34.222133857117825</v>
      </c>
      <c r="AM34" s="145">
        <f t="shared" si="45"/>
        <v>46.133351448888895</v>
      </c>
      <c r="AN34" s="145">
        <f t="shared" si="45"/>
        <v>55.976766593898198</v>
      </c>
      <c r="AO34" s="145">
        <f t="shared" si="45"/>
        <v>76.914160688618821</v>
      </c>
      <c r="AP34" s="145">
        <f t="shared" si="45"/>
        <v>67.763161759062669</v>
      </c>
      <c r="AQ34" s="145">
        <f t="shared" si="45"/>
        <v>67.504495112791915</v>
      </c>
      <c r="AR34" s="145">
        <f t="shared" si="45"/>
        <v>43.70399674021332</v>
      </c>
      <c r="AS34" s="145">
        <f t="shared" si="45"/>
        <v>92.441773229003076</v>
      </c>
      <c r="AT34" s="145">
        <f t="shared" si="45"/>
        <v>87.200351190137411</v>
      </c>
      <c r="AU34" s="145">
        <f t="shared" si="45"/>
        <v>75.7634993704484</v>
      </c>
      <c r="AV34" s="145">
        <f t="shared" si="45"/>
        <v>78.140465288701279</v>
      </c>
      <c r="AW34" s="145">
        <f t="shared" si="45"/>
        <v>63.073041109259577</v>
      </c>
      <c r="AX34" s="145">
        <f t="shared" si="45"/>
        <v>98.521138981137412</v>
      </c>
      <c r="AY34" s="145">
        <f t="shared" si="45"/>
        <v>68.11276588581228</v>
      </c>
      <c r="AZ34" s="145">
        <f t="shared" si="45"/>
        <v>63.624154074652751</v>
      </c>
      <c r="BA34" s="145">
        <f t="shared" si="45"/>
        <v>65.310542771157429</v>
      </c>
      <c r="BB34" s="145">
        <f t="shared" si="45"/>
        <v>36.406496579928351</v>
      </c>
      <c r="BC34" s="145">
        <f t="shared" si="45"/>
        <v>60.123167988618718</v>
      </c>
      <c r="BD34" s="145">
        <f t="shared" si="45"/>
        <v>61.977629487895229</v>
      </c>
      <c r="BE34" s="145">
        <f t="shared" si="45"/>
        <v>61.733694003533159</v>
      </c>
      <c r="BF34" s="145">
        <f t="shared" si="45"/>
        <v>54.859727023602574</v>
      </c>
      <c r="BG34" s="145">
        <f t="shared" si="45"/>
        <v>43.775717998926858</v>
      </c>
      <c r="BH34" s="145">
        <f t="shared" si="45"/>
        <v>62.279711511109127</v>
      </c>
      <c r="BI34" s="145">
        <f t="shared" si="45"/>
        <v>59.815845633281498</v>
      </c>
      <c r="BJ34" s="145">
        <f t="shared" si="45"/>
        <v>43.347027421963283</v>
      </c>
      <c r="BK34" s="145">
        <f t="shared" si="45"/>
        <v>40.415393081592946</v>
      </c>
      <c r="BL34" s="145">
        <f t="shared" si="45"/>
        <v>44.985885243494927</v>
      </c>
      <c r="BM34" s="145">
        <f t="shared" si="45"/>
        <v>65.309275044270791</v>
      </c>
      <c r="BN34" s="145">
        <f t="shared" si="45"/>
        <v>82.320218349388327</v>
      </c>
      <c r="BO34" s="145">
        <f t="shared" si="45"/>
        <v>61.445507631560147</v>
      </c>
      <c r="BP34" s="145">
        <f t="shared" si="45"/>
        <v>65.976121086120941</v>
      </c>
      <c r="BQ34" s="145">
        <f t="shared" si="45"/>
        <v>62.415470429420843</v>
      </c>
      <c r="BR34" s="145">
        <f t="shared" si="45"/>
        <v>30.760521251741082</v>
      </c>
      <c r="BS34" s="145">
        <f t="shared" si="45"/>
        <v>40.757675002731624</v>
      </c>
      <c r="BT34" s="145">
        <f t="shared" ref="BT34:DA34" si="46">10*LN(EXP((100-$G$33*BT30)/10)+1)</f>
        <v>25.396473865183449</v>
      </c>
      <c r="BU34" s="145">
        <f t="shared" si="46"/>
        <v>23.027497910411245</v>
      </c>
      <c r="BV34" s="145">
        <f t="shared" si="46"/>
        <v>34.477116955658516</v>
      </c>
      <c r="BW34" s="145">
        <f t="shared" si="46"/>
        <v>53.326200241900672</v>
      </c>
      <c r="BX34" s="145">
        <f t="shared" si="46"/>
        <v>29.538097972100946</v>
      </c>
      <c r="BY34" s="145">
        <f t="shared" si="46"/>
        <v>35.383908802753261</v>
      </c>
      <c r="BZ34" s="145">
        <f t="shared" si="46"/>
        <v>74.070378216998677</v>
      </c>
      <c r="CA34" s="145">
        <f t="shared" si="46"/>
        <v>21.137662421237671</v>
      </c>
      <c r="CB34" s="145">
        <f t="shared" si="46"/>
        <v>88.227156111473889</v>
      </c>
      <c r="CC34" s="145">
        <f t="shared" si="46"/>
        <v>43.288657961642173</v>
      </c>
      <c r="CD34" s="145">
        <f t="shared" si="46"/>
        <v>24.737739014277068</v>
      </c>
      <c r="CE34" s="145">
        <f t="shared" si="46"/>
        <v>61.590381550224336</v>
      </c>
      <c r="CF34" s="145">
        <f t="shared" si="46"/>
        <v>38.549814440035973</v>
      </c>
      <c r="CG34" s="145">
        <f t="shared" si="46"/>
        <v>70.144756919921562</v>
      </c>
      <c r="CH34" s="145">
        <f t="shared" si="46"/>
        <v>75.58672022575746</v>
      </c>
      <c r="CI34" s="145">
        <f t="shared" si="46"/>
        <v>58.607893387265335</v>
      </c>
      <c r="CJ34" s="145">
        <f t="shared" si="46"/>
        <v>90.11983141976286</v>
      </c>
      <c r="CK34" s="145">
        <f t="shared" si="46"/>
        <v>82.167671122576863</v>
      </c>
      <c r="CL34" s="145">
        <f t="shared" si="46"/>
        <v>80.829255931433153</v>
      </c>
      <c r="CM34" s="145">
        <f t="shared" si="46"/>
        <v>75.49759593332611</v>
      </c>
      <c r="CN34" s="145">
        <f t="shared" si="46"/>
        <v>44.951007731696464</v>
      </c>
      <c r="CO34" s="145">
        <f t="shared" si="46"/>
        <v>65.107501376265645</v>
      </c>
      <c r="CP34" s="145">
        <f t="shared" si="46"/>
        <v>54.771180988084183</v>
      </c>
      <c r="CQ34" s="145">
        <f t="shared" si="46"/>
        <v>50.159654838318993</v>
      </c>
      <c r="CR34" s="145">
        <f t="shared" si="46"/>
        <v>49.640089448044151</v>
      </c>
      <c r="CS34" s="145">
        <f t="shared" si="46"/>
        <v>80.068700083678777</v>
      </c>
      <c r="CT34" s="145">
        <f t="shared" si="46"/>
        <v>42.455812861021784</v>
      </c>
      <c r="CU34" s="145">
        <f t="shared" si="46"/>
        <v>61.977811092787988</v>
      </c>
      <c r="CV34" s="145">
        <f t="shared" si="46"/>
        <v>22.396051669122961</v>
      </c>
      <c r="CW34" s="145">
        <f t="shared" si="46"/>
        <v>54.072292148641239</v>
      </c>
      <c r="CX34" s="145">
        <f t="shared" si="46"/>
        <v>60.484593776482271</v>
      </c>
      <c r="CY34" s="145">
        <f t="shared" si="46"/>
        <v>64.077977856452918</v>
      </c>
      <c r="CZ34" s="145">
        <f t="shared" si="46"/>
        <v>51.546228973999469</v>
      </c>
      <c r="DA34" s="145">
        <f t="shared" si="46"/>
        <v>28.529254394310005</v>
      </c>
      <c r="DC34">
        <v>30</v>
      </c>
      <c r="DD34" s="114">
        <v>64.547195297694245</v>
      </c>
      <c r="DE34" s="114">
        <v>1.9927466141935566</v>
      </c>
      <c r="DF34" s="114">
        <v>16.174859118065942</v>
      </c>
      <c r="DG34" s="114">
        <v>64.289655723093659</v>
      </c>
      <c r="DH34" s="114">
        <v>-2.8744382034594813</v>
      </c>
      <c r="DI34" s="114">
        <v>23.268596830139362</v>
      </c>
      <c r="DJ34" s="114">
        <v>8.6067955366309423</v>
      </c>
      <c r="DK34" s="114">
        <f t="shared" si="0"/>
        <v>74.076929409370308</v>
      </c>
      <c r="DL34" s="114">
        <f t="shared" si="1"/>
        <v>1.4482137889803144</v>
      </c>
      <c r="DM34" s="114">
        <f t="shared" si="2"/>
        <v>82.976537941221622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63.16197510658273</v>
      </c>
      <c r="DS34" s="117">
        <f t="shared" ref="DS34:DX34" si="47">10*LN(EXP((100-$G$33*DS33)/10)+1)</f>
        <v>56.893902227342885</v>
      </c>
      <c r="DT34" s="117">
        <f t="shared" si="47"/>
        <v>41.732915375567174</v>
      </c>
      <c r="DU34" s="117">
        <f t="shared" si="47"/>
        <v>34.467449322943715</v>
      </c>
      <c r="DV34" s="117">
        <f t="shared" si="47"/>
        <v>51.464104465178096</v>
      </c>
      <c r="DW34" s="117">
        <f t="shared" si="47"/>
        <v>54.05675272784211</v>
      </c>
      <c r="DX34" s="117">
        <f t="shared" si="47"/>
        <v>52.940186614718925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3.1505196947457437</v>
      </c>
      <c r="D35" s="112"/>
      <c r="E35" s="143" t="s">
        <v>269</v>
      </c>
      <c r="F35" s="144"/>
      <c r="G35" s="145">
        <f>10*LN(EXP((100-$G$33*G32)/10)+1)</f>
        <v>51.509632655521862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88.342833559882067</v>
      </c>
      <c r="DE35" s="114">
        <v>0.34051992821630894</v>
      </c>
      <c r="DF35" s="114">
        <v>28.047308743440482</v>
      </c>
      <c r="DG35" s="114">
        <v>88.823055235328326</v>
      </c>
      <c r="DH35" s="114">
        <v>-5.7577328680796294</v>
      </c>
      <c r="DI35" s="114">
        <v>33.617059626507441</v>
      </c>
      <c r="DJ35" s="114">
        <v>8.2729332720942939</v>
      </c>
      <c r="DK35" s="114">
        <f t="shared" si="0"/>
        <v>68.441424924524796</v>
      </c>
      <c r="DL35" s="114">
        <f t="shared" si="1"/>
        <v>1.5586560105267153</v>
      </c>
      <c r="DM35" s="114">
        <f t="shared" si="2"/>
        <v>89.304411115879205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3.2937337725239444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75.194339864715189</v>
      </c>
      <c r="DE36" s="114">
        <v>-0.67627144993805455</v>
      </c>
      <c r="DF36" s="114">
        <v>30.767372809160882</v>
      </c>
      <c r="DG36" s="114">
        <v>76.110084678901444</v>
      </c>
      <c r="DH36" s="114">
        <v>-8.0902503045098086</v>
      </c>
      <c r="DI36" s="114">
        <v>35.357559175194112</v>
      </c>
      <c r="DJ36" s="114">
        <v>8.7678664392007857</v>
      </c>
      <c r="DK36" s="114">
        <f t="shared" si="0"/>
        <v>76.875481895663469</v>
      </c>
      <c r="DL36" s="114">
        <f t="shared" si="1"/>
        <v>1.5927729374521162</v>
      </c>
      <c r="DM36" s="114">
        <f t="shared" si="2"/>
        <v>91.25916703866092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3.4389120335582253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89.652182282726855</v>
      </c>
      <c r="DE37" s="114">
        <v>0.17187026694021554</v>
      </c>
      <c r="DF37" s="114">
        <v>18.685835899753584</v>
      </c>
      <c r="DG37" s="114">
        <v>89.680431120343471</v>
      </c>
      <c r="DH37" s="114">
        <v>-4.1475421685526035</v>
      </c>
      <c r="DI37" s="114">
        <v>24.392793874935322</v>
      </c>
      <c r="DJ37" s="114">
        <v>7.157338270279471</v>
      </c>
      <c r="DK37" s="114">
        <f t="shared" si="0"/>
        <v>51.22749111520713</v>
      </c>
      <c r="DL37" s="114">
        <f t="shared" si="1"/>
        <v>1.5615986959637747</v>
      </c>
      <c r="DM37" s="114">
        <f t="shared" si="2"/>
        <v>89.473014571857306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3.5859007142119079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62.050164818879843</v>
      </c>
      <c r="DE38" s="114">
        <v>-3.3726239022877391</v>
      </c>
      <c r="DF38" s="114">
        <v>27.717191856524401</v>
      </c>
      <c r="DG38" s="114">
        <v>63.523280603093433</v>
      </c>
      <c r="DH38" s="114">
        <v>-8.1257861907131552</v>
      </c>
      <c r="DI38" s="114">
        <v>30.780597578859279</v>
      </c>
      <c r="DJ38" s="114">
        <v>5.8435499889572977</v>
      </c>
      <c r="DK38" s="114">
        <f t="shared" si="0"/>
        <v>34.147076473442837</v>
      </c>
      <c r="DL38" s="114">
        <f t="shared" si="1"/>
        <v>1.6918809313351471</v>
      </c>
      <c r="DM38" s="114">
        <f t="shared" si="2"/>
        <v>96.937636804166956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3.7345449130674391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42.442576870829228</v>
      </c>
      <c r="DE39" s="114">
        <v>-2.7651632388731788</v>
      </c>
      <c r="DF39" s="114">
        <v>14.902867321038363</v>
      </c>
      <c r="DG39" s="114">
        <v>43.356973877904984</v>
      </c>
      <c r="DH39" s="114">
        <v>-5.099156832489248</v>
      </c>
      <c r="DI39" s="114">
        <v>16.662007458355003</v>
      </c>
      <c r="DJ39" s="114">
        <v>3.0623882843800785</v>
      </c>
      <c r="DK39" s="114">
        <f t="shared" si="0"/>
        <v>9.3782220043083608</v>
      </c>
      <c r="DL39" s="114">
        <f t="shared" si="1"/>
        <v>1.7542557017491667</v>
      </c>
      <c r="DM39" s="114">
        <f t="shared" si="2"/>
        <v>100.51144789698776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3.8846890772584102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80.754354971545922</v>
      </c>
      <c r="DE40" s="114">
        <v>5.2085976359976478E-2</v>
      </c>
      <c r="DF40" s="114">
        <v>6.6552986665911549</v>
      </c>
      <c r="DG40" s="114">
        <v>80.540163323953891</v>
      </c>
      <c r="DH40" s="114">
        <v>-1.6462988697127576</v>
      </c>
      <c r="DI40" s="114">
        <v>10.574732915685001</v>
      </c>
      <c r="DJ40" s="114">
        <v>4.2769561583253966</v>
      </c>
      <c r="DK40" s="114">
        <f t="shared" si="0"/>
        <v>18.292353980237536</v>
      </c>
      <c r="DL40" s="114">
        <f t="shared" si="1"/>
        <v>1.562970244813414</v>
      </c>
      <c r="DM40" s="114">
        <f t="shared" si="2"/>
        <v>89.551598532337664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4.036177465832905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47.997084090959341</v>
      </c>
      <c r="DE41" s="114">
        <v>-5.2499187201765967</v>
      </c>
      <c r="DF41" s="114">
        <v>18.351759845758565</v>
      </c>
      <c r="DG41" s="114">
        <v>49.363032838445179</v>
      </c>
      <c r="DH41" s="114">
        <v>-8.5901028861689905</v>
      </c>
      <c r="DI41" s="114">
        <v>20.710716527838919</v>
      </c>
      <c r="DJ41" s="114">
        <v>4.3113017606560531</v>
      </c>
      <c r="DK41" s="114">
        <f t="shared" si="0"/>
        <v>18.587322871435983</v>
      </c>
      <c r="DL41" s="114">
        <f t="shared" si="1"/>
        <v>1.8494263732180714</v>
      </c>
      <c r="DM41" s="114">
        <f t="shared" si="2"/>
        <v>105.96432570558211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4.18885458935274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86.339558800765403</v>
      </c>
      <c r="DE42" s="114">
        <v>-2.5889634564139521</v>
      </c>
      <c r="DF42" s="114">
        <v>15.501511033935833</v>
      </c>
      <c r="DG42" s="114">
        <v>86.102868939403038</v>
      </c>
      <c r="DH42" s="114">
        <v>-5.5114518226636813</v>
      </c>
      <c r="DI42" s="114">
        <v>22.386364688528406</v>
      </c>
      <c r="DJ42" s="114">
        <v>7.4831925129915948</v>
      </c>
      <c r="DK42" s="114">
        <f t="shared" si="0"/>
        <v>55.998170186493461</v>
      </c>
      <c r="DL42" s="114">
        <f t="shared" si="1"/>
        <v>1.7362825603645715</v>
      </c>
      <c r="DM42" s="114">
        <f t="shared" si="2"/>
        <v>99.481662751058536</v>
      </c>
      <c r="DN42" s="115">
        <f t="shared" si="3"/>
        <v>5</v>
      </c>
      <c r="DO42">
        <v>1</v>
      </c>
    </row>
    <row r="43" spans="1:128">
      <c r="A43">
        <v>550</v>
      </c>
      <c r="B43" s="120">
        <f>'Color metric'!B37</f>
        <v>0.49900924702774102</v>
      </c>
      <c r="C43" s="112">
        <f>Reference!N43</f>
        <v>4.3425656251580342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35.435907740344881</v>
      </c>
      <c r="DE43" s="114">
        <v>-1.8468105441834848</v>
      </c>
      <c r="DF43" s="114">
        <v>6.5722374944807296</v>
      </c>
      <c r="DG43" s="114">
        <v>34.76581926586173</v>
      </c>
      <c r="DH43" s="114">
        <v>-1.7013714898445558</v>
      </c>
      <c r="DI43" s="114">
        <v>7.3036242076591602</v>
      </c>
      <c r="DJ43" s="114">
        <v>1.002545563241944</v>
      </c>
      <c r="DK43" s="114">
        <f t="shared" si="0"/>
        <v>1.0050976063761068</v>
      </c>
      <c r="DL43" s="114">
        <f t="shared" si="1"/>
        <v>1.8447337538116213</v>
      </c>
      <c r="DM43" s="114">
        <f t="shared" si="2"/>
        <v>105.69545841873133</v>
      </c>
      <c r="DN43" s="115">
        <f t="shared" si="3"/>
        <v>5</v>
      </c>
      <c r="DO43">
        <v>6</v>
      </c>
    </row>
    <row r="44" spans="1:128">
      <c r="A44">
        <v>555</v>
      </c>
      <c r="B44" s="120">
        <f>'Color metric'!B38</f>
        <v>0.45838837516512548</v>
      </c>
      <c r="C44" s="112">
        <f>Reference!N44</f>
        <v>4.4971568079335684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50.301238690131491</v>
      </c>
      <c r="DE44" s="114">
        <v>-3.9334111630901645</v>
      </c>
      <c r="DF44" s="114">
        <v>12.541089462654462</v>
      </c>
      <c r="DG44" s="114">
        <v>48.859163266454594</v>
      </c>
      <c r="DH44" s="114">
        <v>-3.6762660870206099</v>
      </c>
      <c r="DI44" s="114">
        <v>13.399437334238895</v>
      </c>
      <c r="DJ44" s="114">
        <v>1.6977827264915986</v>
      </c>
      <c r="DK44" s="114">
        <f t="shared" si="0"/>
        <v>2.8824661863732461</v>
      </c>
      <c r="DL44" s="114">
        <f t="shared" si="1"/>
        <v>1.8747211667883594</v>
      </c>
      <c r="DM44" s="114">
        <f t="shared" si="2"/>
        <v>107.41361062081427</v>
      </c>
      <c r="DN44" s="115">
        <f t="shared" si="3"/>
        <v>5</v>
      </c>
      <c r="DO44">
        <v>6</v>
      </c>
    </row>
    <row r="45" spans="1:128">
      <c r="A45">
        <v>560</v>
      </c>
      <c r="B45" s="120">
        <f>'Color metric'!B39</f>
        <v>0.5392998678996036</v>
      </c>
      <c r="C45" s="112">
        <f>Reference!N45</f>
        <v>4.6524757954006093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88.275877716437648</v>
      </c>
      <c r="DE45" s="114">
        <v>-2.9945294004249354</v>
      </c>
      <c r="DF45" s="114">
        <v>7.837121464117371</v>
      </c>
      <c r="DG45" s="114">
        <v>87.804627000864429</v>
      </c>
      <c r="DH45" s="114">
        <v>-3.8531102245300044</v>
      </c>
      <c r="DI45" s="114">
        <v>10.899381331157864</v>
      </c>
      <c r="DJ45" s="114">
        <v>3.2150697911143498</v>
      </c>
      <c r="DK45" s="114">
        <f t="shared" si="0"/>
        <v>10.336673761736069</v>
      </c>
      <c r="DL45" s="114">
        <f t="shared" si="1"/>
        <v>1.9357732139232866</v>
      </c>
      <c r="DM45" s="114">
        <f t="shared" si="2"/>
        <v>110.91163525227937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4.808372009127635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68.394420976163318</v>
      </c>
      <c r="DE46" s="114">
        <v>-16.777739554263356</v>
      </c>
      <c r="DF46" s="114">
        <v>27.231361979049744</v>
      </c>
      <c r="DG46" s="114">
        <v>68.906991565544004</v>
      </c>
      <c r="DH46" s="114">
        <v>-16.937456108197452</v>
      </c>
      <c r="DI46" s="114">
        <v>30.080905326802036</v>
      </c>
      <c r="DJ46" s="114">
        <v>2.8996784782830636</v>
      </c>
      <c r="DK46" s="114">
        <f t="shared" si="0"/>
        <v>8.4081352774179834</v>
      </c>
      <c r="DL46" s="114">
        <f t="shared" si="1"/>
        <v>2.1229832687473253</v>
      </c>
      <c r="DM46" s="114">
        <f t="shared" si="2"/>
        <v>121.63798127610956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4.9646969506053011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72.152741455765565</v>
      </c>
      <c r="DE47" s="114">
        <v>-17.376827630337697</v>
      </c>
      <c r="DF47" s="114">
        <v>27.590234916733191</v>
      </c>
      <c r="DG47" s="114">
        <v>72.36774784801581</v>
      </c>
      <c r="DH47" s="114">
        <v>-16.462555152140414</v>
      </c>
      <c r="DI47" s="114">
        <v>32.399272733935717</v>
      </c>
      <c r="DJ47" s="114">
        <v>4.8998945540063925</v>
      </c>
      <c r="DK47" s="114">
        <f t="shared" si="0"/>
        <v>24.008966640381505</v>
      </c>
      <c r="DL47" s="114">
        <f t="shared" si="1"/>
        <v>2.1328527988968937</v>
      </c>
      <c r="DM47" s="114">
        <f t="shared" si="2"/>
        <v>122.20346369945693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5.1213044928660567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28.836186332704703</v>
      </c>
      <c r="DE48" s="114">
        <v>-0.72531680810234922</v>
      </c>
      <c r="DF48" s="114">
        <v>1.2584413242963413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0.19620522424424819</v>
      </c>
      <c r="DK48" s="114">
        <f t="shared" si="0"/>
        <v>3.849649002073572E-2</v>
      </c>
      <c r="DL48" s="114">
        <f t="shared" si="1"/>
        <v>2.0936530163854723</v>
      </c>
      <c r="DM48" s="114">
        <f t="shared" si="2"/>
        <v>119.95748160372175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5.2780511480479149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58.211070425133684</v>
      </c>
      <c r="DE49" s="114">
        <v>-18.260729745675494</v>
      </c>
      <c r="DF49" s="114">
        <v>19.285074616565954</v>
      </c>
      <c r="DG49" s="114">
        <v>58.281211257154972</v>
      </c>
      <c r="DH49" s="114">
        <v>-15.974884555983119</v>
      </c>
      <c r="DI49" s="114">
        <v>22.844209328990328</v>
      </c>
      <c r="DJ49" s="114">
        <v>4.230537538982551</v>
      </c>
      <c r="DK49" s="114">
        <f t="shared" si="0"/>
        <v>17.897447868740539</v>
      </c>
      <c r="DL49" s="114">
        <f t="shared" si="1"/>
        <v>2.3289187173288406</v>
      </c>
      <c r="DM49" s="114">
        <f t="shared" si="2"/>
        <v>133.43721333196373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5.4347963114057638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66.506065478894811</v>
      </c>
      <c r="DE50" s="114">
        <v>-14.449542239469942</v>
      </c>
      <c r="DF50" s="114">
        <v>15.200391742737013</v>
      </c>
      <c r="DG50" s="114">
        <v>66.810369150483922</v>
      </c>
      <c r="DH50" s="114">
        <v>-12.009592065840884</v>
      </c>
      <c r="DI50" s="114">
        <v>19.353801494065657</v>
      </c>
      <c r="DJ50" s="114">
        <v>4.8266727811989645</v>
      </c>
      <c r="DK50" s="114">
        <f t="shared" si="0"/>
        <v>23.296770136766948</v>
      </c>
      <c r="DL50" s="114">
        <f t="shared" si="1"/>
        <v>2.3308760844270364</v>
      </c>
      <c r="DM50" s="114">
        <f t="shared" si="2"/>
        <v>133.54936220564815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5.5914024823632982</v>
      </c>
      <c r="D51" s="112"/>
      <c r="E51" s="172" t="s">
        <v>107</v>
      </c>
      <c r="F51" s="168">
        <f>F5</f>
        <v>110.10945708331916</v>
      </c>
      <c r="G51" s="168">
        <f t="shared" ref="G51:BR53" si="48">G5</f>
        <v>79.383799593574025</v>
      </c>
      <c r="H51" s="168">
        <f t="shared" si="48"/>
        <v>43.290464112055545</v>
      </c>
      <c r="I51" s="168">
        <f t="shared" si="48"/>
        <v>8.3283778080517266</v>
      </c>
      <c r="J51" s="168">
        <f t="shared" si="48"/>
        <v>48.729924149537446</v>
      </c>
      <c r="K51" s="168">
        <f t="shared" si="48"/>
        <v>29.174383882421182</v>
      </c>
      <c r="L51" s="168">
        <f t="shared" si="48"/>
        <v>23.473713260918423</v>
      </c>
      <c r="M51" s="168">
        <f t="shared" si="48"/>
        <v>20.626670983855959</v>
      </c>
      <c r="N51" s="168">
        <f t="shared" si="48"/>
        <v>19.144226279354726</v>
      </c>
      <c r="O51" s="168">
        <f t="shared" si="48"/>
        <v>5.7593415630666112</v>
      </c>
      <c r="P51" s="168">
        <f t="shared" si="48"/>
        <v>68.472982374634924</v>
      </c>
      <c r="Q51" s="168">
        <f t="shared" si="48"/>
        <v>37.390047372983446</v>
      </c>
      <c r="R51" s="168">
        <f t="shared" si="48"/>
        <v>48.320746010932488</v>
      </c>
      <c r="S51" s="168">
        <f t="shared" si="48"/>
        <v>17.582800077024963</v>
      </c>
      <c r="T51" s="168">
        <f t="shared" si="48"/>
        <v>49.691395135362939</v>
      </c>
      <c r="U51" s="168">
        <f t="shared" si="48"/>
        <v>49.123667699785386</v>
      </c>
      <c r="V51" s="168">
        <f t="shared" si="48"/>
        <v>21.42216865764221</v>
      </c>
      <c r="W51" s="168">
        <f t="shared" si="48"/>
        <v>22.347589883681639</v>
      </c>
      <c r="X51" s="168">
        <f t="shared" si="48"/>
        <v>28.018784467785512</v>
      </c>
      <c r="Y51" s="168">
        <f t="shared" si="48"/>
        <v>51.58174799112205</v>
      </c>
      <c r="Z51" s="168">
        <f t="shared" si="48"/>
        <v>48.768492931763603</v>
      </c>
      <c r="AA51" s="168">
        <f t="shared" si="48"/>
        <v>85.081215799984989</v>
      </c>
      <c r="AB51" s="168">
        <f t="shared" si="48"/>
        <v>68.084290151742096</v>
      </c>
      <c r="AC51" s="168">
        <f t="shared" si="48"/>
        <v>87.869093657172556</v>
      </c>
      <c r="AD51" s="168">
        <f t="shared" si="48"/>
        <v>89.501047731648484</v>
      </c>
      <c r="AE51" s="168">
        <f t="shared" si="48"/>
        <v>50.693360957895628</v>
      </c>
      <c r="AF51" s="168">
        <f t="shared" si="48"/>
        <v>88.874530777337796</v>
      </c>
      <c r="AG51" s="168">
        <f t="shared" si="48"/>
        <v>47.372173754898817</v>
      </c>
      <c r="AH51" s="168">
        <f t="shared" si="48"/>
        <v>12.657996057797778</v>
      </c>
      <c r="AI51" s="168">
        <f t="shared" si="48"/>
        <v>77.807326392294115</v>
      </c>
      <c r="AJ51" s="168">
        <f t="shared" si="48"/>
        <v>34.656022153397871</v>
      </c>
      <c r="AK51" s="168">
        <f t="shared" si="48"/>
        <v>81.017840977730913</v>
      </c>
      <c r="AL51" s="168">
        <f t="shared" si="48"/>
        <v>52.452366451282522</v>
      </c>
      <c r="AM51" s="168">
        <f t="shared" si="48"/>
        <v>81.943399509315327</v>
      </c>
      <c r="AN51" s="168">
        <f t="shared" si="48"/>
        <v>31.167401921100321</v>
      </c>
      <c r="AO51" s="168">
        <f t="shared" si="48"/>
        <v>12.488477944413326</v>
      </c>
      <c r="AP51" s="168">
        <f t="shared" si="48"/>
        <v>59.404292915780914</v>
      </c>
      <c r="AQ51" s="168">
        <f t="shared" si="48"/>
        <v>16.140751765840729</v>
      </c>
      <c r="AR51" s="168">
        <f t="shared" si="48"/>
        <v>71.462718474644547</v>
      </c>
      <c r="AS51" s="168">
        <f t="shared" si="48"/>
        <v>8.3307946278120379</v>
      </c>
      <c r="AT51" s="168">
        <f t="shared" si="48"/>
        <v>17.897452526300995</v>
      </c>
      <c r="AU51" s="168">
        <f t="shared" si="48"/>
        <v>74.992259567859676</v>
      </c>
      <c r="AV51" s="168">
        <f t="shared" si="48"/>
        <v>34.168454688539093</v>
      </c>
      <c r="AW51" s="168">
        <f t="shared" si="48"/>
        <v>39.106916787337525</v>
      </c>
      <c r="AX51" s="168">
        <f t="shared" si="48"/>
        <v>5.4219369368874064</v>
      </c>
      <c r="AY51" s="168">
        <f t="shared" si="48"/>
        <v>21.845617394309247</v>
      </c>
      <c r="AZ51" s="168">
        <f t="shared" si="48"/>
        <v>31.900874316628041</v>
      </c>
      <c r="BA51" s="168">
        <f t="shared" si="48"/>
        <v>38.496394890784345</v>
      </c>
      <c r="BB51" s="168">
        <f t="shared" si="48"/>
        <v>45.162302043637823</v>
      </c>
      <c r="BC51" s="168">
        <f t="shared" si="48"/>
        <v>12.504418210491973</v>
      </c>
      <c r="BD51" s="168">
        <f t="shared" si="48"/>
        <v>18.592335055444817</v>
      </c>
      <c r="BE51" s="168">
        <f t="shared" si="48"/>
        <v>22.757476046222166</v>
      </c>
      <c r="BF51" s="168">
        <f t="shared" si="48"/>
        <v>8.8916137958447905</v>
      </c>
      <c r="BG51" s="168">
        <f t="shared" si="48"/>
        <v>11.151914334245769</v>
      </c>
      <c r="BH51" s="168">
        <f t="shared" si="48"/>
        <v>65.83589432919409</v>
      </c>
      <c r="BI51" s="168">
        <f t="shared" si="48"/>
        <v>57.563666083253864</v>
      </c>
      <c r="BJ51" s="168">
        <f t="shared" si="48"/>
        <v>30.168946686559753</v>
      </c>
      <c r="BK51" s="168">
        <f t="shared" si="48"/>
        <v>15.917397159471056</v>
      </c>
      <c r="BL51" s="168">
        <f t="shared" si="48"/>
        <v>13.276744100679004</v>
      </c>
      <c r="BM51" s="168">
        <f t="shared" si="48"/>
        <v>65.533726679431467</v>
      </c>
      <c r="BN51" s="168">
        <f t="shared" si="48"/>
        <v>73.654615986640493</v>
      </c>
      <c r="BO51" s="168">
        <f t="shared" si="48"/>
        <v>46.827446102011073</v>
      </c>
      <c r="BP51" s="168">
        <f t="shared" si="48"/>
        <v>35.1612580302262</v>
      </c>
      <c r="BQ51" s="168">
        <f t="shared" si="48"/>
        <v>7.9204226313184902</v>
      </c>
      <c r="BR51" s="168">
        <f t="shared" si="48"/>
        <v>17.27310486259249</v>
      </c>
      <c r="BS51" s="168">
        <f t="shared" ref="BS51:DA53" si="49">BS5</f>
        <v>8.5552407778033448</v>
      </c>
      <c r="BT51" s="168">
        <f t="shared" si="49"/>
        <v>9.0638863638576144</v>
      </c>
      <c r="BU51" s="168">
        <f t="shared" si="49"/>
        <v>10.680828236422657</v>
      </c>
      <c r="BV51" s="168">
        <f t="shared" si="49"/>
        <v>27.247553790062639</v>
      </c>
      <c r="BW51" s="168">
        <f t="shared" si="49"/>
        <v>19.697111016801259</v>
      </c>
      <c r="BX51" s="168">
        <f t="shared" si="49"/>
        <v>37.183209959401843</v>
      </c>
      <c r="BY51" s="168">
        <f t="shared" si="49"/>
        <v>6.5384303532613464</v>
      </c>
      <c r="BZ51" s="168">
        <f t="shared" si="49"/>
        <v>49.60873869672745</v>
      </c>
      <c r="CA51" s="168">
        <f t="shared" si="49"/>
        <v>18.92553714127051</v>
      </c>
      <c r="CB51" s="168">
        <f t="shared" si="49"/>
        <v>5.2516606671481227</v>
      </c>
      <c r="CC51" s="168">
        <f t="shared" si="49"/>
        <v>6.0600273492821533</v>
      </c>
      <c r="CD51" s="168">
        <f t="shared" si="49"/>
        <v>13.534711234759685</v>
      </c>
      <c r="CE51" s="168">
        <f t="shared" si="49"/>
        <v>12.631089729997727</v>
      </c>
      <c r="CF51" s="168">
        <f t="shared" si="49"/>
        <v>11.534700059987061</v>
      </c>
      <c r="CG51" s="168">
        <f t="shared" si="49"/>
        <v>45.197107536539427</v>
      </c>
      <c r="CH51" s="168">
        <f t="shared" si="49"/>
        <v>34.942017245739642</v>
      </c>
      <c r="CI51" s="168">
        <f t="shared" si="49"/>
        <v>14.668087884672486</v>
      </c>
      <c r="CJ51" s="168">
        <f t="shared" si="49"/>
        <v>73.827465212933106</v>
      </c>
      <c r="CK51" s="168">
        <f t="shared" si="49"/>
        <v>46.009437917955545</v>
      </c>
      <c r="CL51" s="168">
        <f t="shared" si="49"/>
        <v>5.4972453350246848</v>
      </c>
      <c r="CM51" s="168">
        <f t="shared" si="49"/>
        <v>12.641212081124385</v>
      </c>
      <c r="CN51" s="168">
        <f t="shared" si="49"/>
        <v>37.912648332336005</v>
      </c>
      <c r="CO51" s="168">
        <f t="shared" si="49"/>
        <v>12.886025084900773</v>
      </c>
      <c r="CP51" s="168">
        <f t="shared" si="49"/>
        <v>35.885273018184364</v>
      </c>
      <c r="CQ51" s="168">
        <f t="shared" si="49"/>
        <v>12.545359567715462</v>
      </c>
      <c r="CR51" s="168">
        <f t="shared" si="49"/>
        <v>17.133167276553273</v>
      </c>
      <c r="CS51" s="168">
        <f t="shared" si="49"/>
        <v>60.249282256313954</v>
      </c>
      <c r="CT51" s="168">
        <f t="shared" si="49"/>
        <v>28.326516932885831</v>
      </c>
      <c r="CU51" s="168">
        <f t="shared" si="49"/>
        <v>41.623471044424072</v>
      </c>
      <c r="CV51" s="168">
        <f t="shared" si="49"/>
        <v>14.892279277427546</v>
      </c>
      <c r="CW51" s="168">
        <f t="shared" si="49"/>
        <v>48.548888491160533</v>
      </c>
      <c r="CX51" s="168">
        <f t="shared" si="49"/>
        <v>62.981561257618033</v>
      </c>
      <c r="CY51" s="168">
        <f t="shared" si="49"/>
        <v>25.955583206766509</v>
      </c>
      <c r="CZ51" s="168">
        <f t="shared" si="49"/>
        <v>46.060315821888423</v>
      </c>
      <c r="DA51" s="168">
        <f t="shared" si="49"/>
        <v>31.127501259930877</v>
      </c>
      <c r="DC51">
        <v>47</v>
      </c>
      <c r="DD51" s="114">
        <v>70.192033605685012</v>
      </c>
      <c r="DE51" s="114">
        <v>-8.8489905725371134</v>
      </c>
      <c r="DF51" s="114">
        <v>10.645126985506931</v>
      </c>
      <c r="DG51" s="114">
        <v>68.840100568288833</v>
      </c>
      <c r="DH51" s="114">
        <v>-8.5511304957755208</v>
      </c>
      <c r="DI51" s="114">
        <v>15.034662108666264</v>
      </c>
      <c r="DJ51" s="114">
        <v>4.6026581624514664</v>
      </c>
      <c r="DK51" s="114">
        <f t="shared" si="0"/>
        <v>21.184462160381109</v>
      </c>
      <c r="DL51" s="114">
        <f t="shared" si="1"/>
        <v>2.2643165429948988</v>
      </c>
      <c r="DM51" s="114">
        <f t="shared" si="2"/>
        <v>129.73578139526052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5.7477354632750233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63.357105355319376</v>
      </c>
      <c r="H52" s="168">
        <f t="shared" si="50"/>
        <v>27.654216001640705</v>
      </c>
      <c r="I52" s="168">
        <f t="shared" si="50"/>
        <v>6.0469085082296434</v>
      </c>
      <c r="J52" s="168">
        <f t="shared" si="50"/>
        <v>36.20724210569243</v>
      </c>
      <c r="K52" s="168">
        <f t="shared" si="50"/>
        <v>16.958297113178606</v>
      </c>
      <c r="L52" s="168">
        <f t="shared" si="50"/>
        <v>17.187273257466941</v>
      </c>
      <c r="M52" s="168">
        <f t="shared" si="50"/>
        <v>11.858120769090705</v>
      </c>
      <c r="N52" s="168">
        <f t="shared" si="50"/>
        <v>11.335728508204026</v>
      </c>
      <c r="O52" s="168">
        <f t="shared" si="50"/>
        <v>5.00990408113437</v>
      </c>
      <c r="P52" s="168">
        <f t="shared" si="50"/>
        <v>44.869124194699225</v>
      </c>
      <c r="Q52" s="168">
        <f t="shared" si="50"/>
        <v>23.545397145286216</v>
      </c>
      <c r="R52" s="168">
        <f t="shared" si="50"/>
        <v>30.147548562599418</v>
      </c>
      <c r="S52" s="168">
        <f t="shared" si="50"/>
        <v>12.128801224556732</v>
      </c>
      <c r="T52" s="168">
        <f t="shared" si="50"/>
        <v>42.629828843200869</v>
      </c>
      <c r="U52" s="168">
        <f t="shared" si="50"/>
        <v>39.095491900047648</v>
      </c>
      <c r="V52" s="168">
        <f t="shared" si="50"/>
        <v>15.118254863947904</v>
      </c>
      <c r="W52" s="168">
        <f t="shared" si="50"/>
        <v>16.416197706122713</v>
      </c>
      <c r="X52" s="168">
        <f t="shared" si="48"/>
        <v>21.885020609698273</v>
      </c>
      <c r="Y52" s="168">
        <f t="shared" si="48"/>
        <v>39.30438593585216</v>
      </c>
      <c r="Z52" s="168">
        <f t="shared" si="48"/>
        <v>33.680552922811358</v>
      </c>
      <c r="AA52" s="168">
        <f t="shared" si="48"/>
        <v>65.198461152748422</v>
      </c>
      <c r="AB52" s="168">
        <f t="shared" si="48"/>
        <v>50.66094396300425</v>
      </c>
      <c r="AC52" s="168">
        <f t="shared" si="48"/>
        <v>76.975835018173754</v>
      </c>
      <c r="AD52" s="168">
        <f t="shared" si="48"/>
        <v>74.937644701714291</v>
      </c>
      <c r="AE52" s="168">
        <f t="shared" si="48"/>
        <v>39.704134862355374</v>
      </c>
      <c r="AF52" s="168">
        <f t="shared" si="48"/>
        <v>73.197535369133234</v>
      </c>
      <c r="AG52" s="168">
        <f t="shared" si="48"/>
        <v>41.945599458786219</v>
      </c>
      <c r="AH52" s="168">
        <f t="shared" si="48"/>
        <v>11.203488090139686</v>
      </c>
      <c r="AI52" s="168">
        <f t="shared" si="48"/>
        <v>66.876054339144048</v>
      </c>
      <c r="AJ52" s="168">
        <f t="shared" si="48"/>
        <v>30.288000757123278</v>
      </c>
      <c r="AK52" s="168">
        <f t="shared" si="48"/>
        <v>70.75391203516476</v>
      </c>
      <c r="AL52" s="168">
        <f t="shared" si="48"/>
        <v>45.565464820865166</v>
      </c>
      <c r="AM52" s="168">
        <f t="shared" si="48"/>
        <v>73.142581064972731</v>
      </c>
      <c r="AN52" s="168">
        <f t="shared" si="48"/>
        <v>28.013967238740211</v>
      </c>
      <c r="AO52" s="168">
        <f t="shared" si="48"/>
        <v>11.511659291274601</v>
      </c>
      <c r="AP52" s="168">
        <f t="shared" si="48"/>
        <v>53.75646704464836</v>
      </c>
      <c r="AQ52" s="168">
        <f t="shared" si="48"/>
        <v>15.24026463070261</v>
      </c>
      <c r="AR52" s="168">
        <f t="shared" si="48"/>
        <v>65.551800724092544</v>
      </c>
      <c r="AS52" s="168">
        <f t="shared" si="48"/>
        <v>7.6997356277765023</v>
      </c>
      <c r="AT52" s="168">
        <f t="shared" si="48"/>
        <v>16.780052627176673</v>
      </c>
      <c r="AU52" s="168">
        <f t="shared" si="48"/>
        <v>69.286281813339954</v>
      </c>
      <c r="AV52" s="168">
        <f t="shared" si="48"/>
        <v>36.226049117128923</v>
      </c>
      <c r="AW52" s="168">
        <f t="shared" si="48"/>
        <v>41.566022135595503</v>
      </c>
      <c r="AX52" s="168">
        <f t="shared" si="48"/>
        <v>4.9611791052537573</v>
      </c>
      <c r="AY52" s="168">
        <f t="shared" si="48"/>
        <v>24.236180523382806</v>
      </c>
      <c r="AZ52" s="168">
        <f t="shared" si="48"/>
        <v>33.130950446048182</v>
      </c>
      <c r="BA52" s="168">
        <f t="shared" si="48"/>
        <v>37.506124956815313</v>
      </c>
      <c r="BB52" s="168">
        <f t="shared" si="48"/>
        <v>49.087948676335294</v>
      </c>
      <c r="BC52" s="168">
        <f t="shared" si="48"/>
        <v>14.119626886377878</v>
      </c>
      <c r="BD52" s="168">
        <f t="shared" si="48"/>
        <v>20.481395871469275</v>
      </c>
      <c r="BE52" s="168">
        <f t="shared" si="48"/>
        <v>24.024895767174744</v>
      </c>
      <c r="BF52" s="168">
        <f t="shared" si="48"/>
        <v>10.918180188801617</v>
      </c>
      <c r="BG52" s="168">
        <f t="shared" si="48"/>
        <v>16.537856794116589</v>
      </c>
      <c r="BH52" s="168">
        <f t="shared" si="48"/>
        <v>66.488368994310093</v>
      </c>
      <c r="BI52" s="168">
        <f t="shared" si="48"/>
        <v>59.34766843367931</v>
      </c>
      <c r="BJ52" s="168">
        <f t="shared" si="48"/>
        <v>38.678714265678764</v>
      </c>
      <c r="BK52" s="168">
        <f t="shared" si="48"/>
        <v>23.070074872562671</v>
      </c>
      <c r="BL52" s="168">
        <f t="shared" si="48"/>
        <v>19.664999083587045</v>
      </c>
      <c r="BM52" s="168">
        <f t="shared" si="48"/>
        <v>65.97448512024603</v>
      </c>
      <c r="BN52" s="168">
        <f t="shared" si="48"/>
        <v>69.075051903141201</v>
      </c>
      <c r="BO52" s="168">
        <f t="shared" si="48"/>
        <v>47.005381370258782</v>
      </c>
      <c r="BP52" s="168">
        <f t="shared" si="48"/>
        <v>33.090428929136728</v>
      </c>
      <c r="BQ52" s="168">
        <f t="shared" si="48"/>
        <v>7.3050706267972396</v>
      </c>
      <c r="BR52" s="168">
        <f t="shared" si="48"/>
        <v>23.490867868883903</v>
      </c>
      <c r="BS52" s="168">
        <f t="shared" si="49"/>
        <v>9.9356248853731106</v>
      </c>
      <c r="BT52" s="168">
        <f t="shared" si="49"/>
        <v>12.454190245947091</v>
      </c>
      <c r="BU52" s="168">
        <f t="shared" si="49"/>
        <v>14.534012105870728</v>
      </c>
      <c r="BV52" s="168">
        <f t="shared" si="49"/>
        <v>29.022789546546758</v>
      </c>
      <c r="BW52" s="168">
        <f t="shared" si="49"/>
        <v>18.921439651308493</v>
      </c>
      <c r="BX52" s="168">
        <f t="shared" si="49"/>
        <v>39.573582198363489</v>
      </c>
      <c r="BY52" s="168">
        <f t="shared" si="49"/>
        <v>7.3211754258252926</v>
      </c>
      <c r="BZ52" s="168">
        <f t="shared" si="49"/>
        <v>46.62522025371463</v>
      </c>
      <c r="CA52" s="168">
        <f t="shared" si="49"/>
        <v>22.119027619896148</v>
      </c>
      <c r="CB52" s="168">
        <f t="shared" si="49"/>
        <v>4.8113280588419851</v>
      </c>
      <c r="CC52" s="168">
        <f t="shared" si="49"/>
        <v>6.4448469123587548</v>
      </c>
      <c r="CD52" s="168">
        <f t="shared" si="49"/>
        <v>14.225393891857058</v>
      </c>
      <c r="CE52" s="168">
        <f t="shared" si="49"/>
        <v>12.390527990434883</v>
      </c>
      <c r="CF52" s="168">
        <f t="shared" si="49"/>
        <v>11.794837496205652</v>
      </c>
      <c r="CG52" s="168">
        <f t="shared" si="49"/>
        <v>41.812139386708139</v>
      </c>
      <c r="CH52" s="168">
        <f t="shared" si="49"/>
        <v>31.113810801179778</v>
      </c>
      <c r="CI52" s="168">
        <f t="shared" si="49"/>
        <v>12.058883787108053</v>
      </c>
      <c r="CJ52" s="168">
        <f t="shared" si="49"/>
        <v>66.644386863015072</v>
      </c>
      <c r="CK52" s="168">
        <f t="shared" si="49"/>
        <v>40.748853993876381</v>
      </c>
      <c r="CL52" s="168">
        <f t="shared" si="49"/>
        <v>4.7429008916648572</v>
      </c>
      <c r="CM52" s="168">
        <f t="shared" si="49"/>
        <v>10.680882943600988</v>
      </c>
      <c r="CN52" s="168">
        <f t="shared" si="49"/>
        <v>31.091191103274344</v>
      </c>
      <c r="CO52" s="168">
        <f t="shared" si="49"/>
        <v>9.571107041637184</v>
      </c>
      <c r="CP52" s="168">
        <f t="shared" si="49"/>
        <v>27.329833739115589</v>
      </c>
      <c r="CQ52" s="168">
        <f t="shared" si="49"/>
        <v>8.9891841583103869</v>
      </c>
      <c r="CR52" s="168">
        <f t="shared" si="49"/>
        <v>12.036368667465863</v>
      </c>
      <c r="CS52" s="168">
        <f t="shared" si="49"/>
        <v>53.54574015906563</v>
      </c>
      <c r="CT52" s="168">
        <f t="shared" si="49"/>
        <v>21.880378798657343</v>
      </c>
      <c r="CU52" s="168">
        <f t="shared" si="49"/>
        <v>33.708553997612057</v>
      </c>
      <c r="CV52" s="168">
        <f t="shared" si="49"/>
        <v>9.8832024585606746</v>
      </c>
      <c r="CW52" s="168">
        <f t="shared" si="49"/>
        <v>37.585928568661259</v>
      </c>
      <c r="CX52" s="168">
        <f t="shared" si="49"/>
        <v>49.854692844584513</v>
      </c>
      <c r="CY52" s="168">
        <f t="shared" si="49"/>
        <v>18.203563342659784</v>
      </c>
      <c r="CZ52" s="168">
        <f t="shared" si="49"/>
        <v>30.3903004863032</v>
      </c>
      <c r="DA52" s="168">
        <f t="shared" si="49"/>
        <v>18.951953713652543</v>
      </c>
      <c r="DC52">
        <v>48</v>
      </c>
      <c r="DD52" s="114">
        <v>77.327720423239199</v>
      </c>
      <c r="DE52" s="114">
        <v>-19.998759465190023</v>
      </c>
      <c r="DF52" s="114">
        <v>13.521379502436941</v>
      </c>
      <c r="DG52" s="114">
        <v>78.001893313883741</v>
      </c>
      <c r="DH52" s="114">
        <v>-15.772236974107249</v>
      </c>
      <c r="DI52" s="114">
        <v>20.829793958441883</v>
      </c>
      <c r="DJ52" s="114">
        <v>8.4694110370704383</v>
      </c>
      <c r="DK52" s="114">
        <f t="shared" si="0"/>
        <v>71.730923314850557</v>
      </c>
      <c r="DL52" s="114">
        <f t="shared" si="1"/>
        <v>2.547080194353089</v>
      </c>
      <c r="DM52" s="114">
        <f t="shared" si="2"/>
        <v>145.93694521779346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5.9036645366316209</v>
      </c>
      <c r="D53" s="112"/>
      <c r="E53" s="172" t="s">
        <v>111</v>
      </c>
      <c r="F53" s="168">
        <f t="shared" si="50"/>
        <v>37.361966081683555</v>
      </c>
      <c r="G53" s="168">
        <f t="shared" si="50"/>
        <v>22.524427725209559</v>
      </c>
      <c r="H53" s="168">
        <f t="shared" si="50"/>
        <v>8.1275692658028191</v>
      </c>
      <c r="I53" s="168">
        <f t="shared" si="50"/>
        <v>1.9654999015159036</v>
      </c>
      <c r="J53" s="168">
        <f t="shared" si="50"/>
        <v>10.476960796060947</v>
      </c>
      <c r="K53" s="168">
        <f t="shared" si="50"/>
        <v>3.3655224224008231</v>
      </c>
      <c r="L53" s="168">
        <f t="shared" si="50"/>
        <v>4.6240465554392998</v>
      </c>
      <c r="M53" s="168">
        <f t="shared" si="50"/>
        <v>2.0466689366441173</v>
      </c>
      <c r="N53" s="168">
        <f t="shared" si="50"/>
        <v>2.1314359268837619</v>
      </c>
      <c r="O53" s="168">
        <f t="shared" si="50"/>
        <v>1.8233099915684494</v>
      </c>
      <c r="P53" s="168">
        <f t="shared" si="50"/>
        <v>6.7748130544184324</v>
      </c>
      <c r="Q53" s="168">
        <f t="shared" si="50"/>
        <v>2.6088475801635034</v>
      </c>
      <c r="R53" s="168">
        <f t="shared" si="50"/>
        <v>3.1425966161180114</v>
      </c>
      <c r="S53" s="168">
        <f t="shared" si="50"/>
        <v>1.8499010891839489</v>
      </c>
      <c r="T53" s="168">
        <f t="shared" si="50"/>
        <v>13.382085809241087</v>
      </c>
      <c r="U53" s="168">
        <f t="shared" si="50"/>
        <v>9.9892239145484325</v>
      </c>
      <c r="V53" s="168">
        <f t="shared" si="50"/>
        <v>2.149529632204763</v>
      </c>
      <c r="W53" s="168">
        <f t="shared" si="50"/>
        <v>2.3173499576672696</v>
      </c>
      <c r="X53" s="168">
        <f t="shared" si="48"/>
        <v>4.4460484155160547</v>
      </c>
      <c r="Y53" s="168">
        <f t="shared" si="48"/>
        <v>4.752899209184215</v>
      </c>
      <c r="Z53" s="168">
        <f t="shared" si="48"/>
        <v>2.3777126172242382</v>
      </c>
      <c r="AA53" s="168">
        <f t="shared" si="48"/>
        <v>6.8029329120298883</v>
      </c>
      <c r="AB53" s="168">
        <f t="shared" si="48"/>
        <v>4.3421797823878174</v>
      </c>
      <c r="AC53" s="168">
        <f t="shared" si="48"/>
        <v>20.50837862890393</v>
      </c>
      <c r="AD53" s="168">
        <f t="shared" si="48"/>
        <v>11.356257949429731</v>
      </c>
      <c r="AE53" s="168">
        <f t="shared" si="48"/>
        <v>2.1604058014257554</v>
      </c>
      <c r="AF53" s="168">
        <f t="shared" si="48"/>
        <v>8.3413660127370299</v>
      </c>
      <c r="AG53" s="168">
        <f t="shared" si="48"/>
        <v>9.41398803956778</v>
      </c>
      <c r="AH53" s="168">
        <f t="shared" si="48"/>
        <v>1.8416003052984011</v>
      </c>
      <c r="AI53" s="168">
        <f t="shared" si="48"/>
        <v>7.7337627878566062</v>
      </c>
      <c r="AJ53" s="168">
        <f t="shared" si="48"/>
        <v>5.873716977865171</v>
      </c>
      <c r="AK53" s="168">
        <f t="shared" si="48"/>
        <v>8.4891629165195539</v>
      </c>
      <c r="AL53" s="168">
        <f t="shared" si="48"/>
        <v>3.5978435759270964</v>
      </c>
      <c r="AM53" s="168">
        <f t="shared" si="48"/>
        <v>15.015116230838533</v>
      </c>
      <c r="AN53" s="168">
        <f t="shared" si="48"/>
        <v>2.3114706330587009</v>
      </c>
      <c r="AO53" s="168">
        <f t="shared" si="48"/>
        <v>1.9997183226884996</v>
      </c>
      <c r="AP53" s="168">
        <f t="shared" si="48"/>
        <v>16.913945245690527</v>
      </c>
      <c r="AQ53" s="168">
        <f t="shared" si="48"/>
        <v>2.2406291842135828</v>
      </c>
      <c r="AR53" s="168">
        <f t="shared" si="48"/>
        <v>15.388358426173015</v>
      </c>
      <c r="AS53" s="168">
        <f t="shared" si="48"/>
        <v>2.1404169985750165</v>
      </c>
      <c r="AT53" s="168">
        <f t="shared" si="48"/>
        <v>3.7094536203145942</v>
      </c>
      <c r="AU53" s="168">
        <f t="shared" si="48"/>
        <v>21.544255574581104</v>
      </c>
      <c r="AV53" s="168">
        <f t="shared" si="48"/>
        <v>3.6366165332887221</v>
      </c>
      <c r="AW53" s="168">
        <f t="shared" si="48"/>
        <v>4.3009549749131351</v>
      </c>
      <c r="AX53" s="168">
        <f t="shared" si="48"/>
        <v>1.7681388032357686</v>
      </c>
      <c r="AY53" s="168">
        <f t="shared" si="48"/>
        <v>3.8165362859746876</v>
      </c>
      <c r="AZ53" s="168">
        <f t="shared" si="48"/>
        <v>7.2032205303109116</v>
      </c>
      <c r="BA53" s="168">
        <f t="shared" si="48"/>
        <v>10.213695012666678</v>
      </c>
      <c r="BB53" s="168">
        <f t="shared" si="48"/>
        <v>11.996639770828315</v>
      </c>
      <c r="BC53" s="168">
        <f t="shared" si="48"/>
        <v>2.999380860888972</v>
      </c>
      <c r="BD53" s="168">
        <f t="shared" si="48"/>
        <v>6.0710076757061806</v>
      </c>
      <c r="BE53" s="168">
        <f t="shared" si="48"/>
        <v>7.5759359749063773</v>
      </c>
      <c r="BF53" s="168">
        <f t="shared" si="48"/>
        <v>2.9772203619029103</v>
      </c>
      <c r="BG53" s="168">
        <f t="shared" si="48"/>
        <v>5.3618361595704265</v>
      </c>
      <c r="BH53" s="168">
        <f t="shared" si="48"/>
        <v>25.266489434996622</v>
      </c>
      <c r="BI53" s="168">
        <f t="shared" si="48"/>
        <v>23.374591372161102</v>
      </c>
      <c r="BJ53" s="168">
        <f t="shared" si="48"/>
        <v>16.336563094538107</v>
      </c>
      <c r="BK53" s="168">
        <f t="shared" si="48"/>
        <v>10.117369022180933</v>
      </c>
      <c r="BL53" s="168">
        <f t="shared" si="48"/>
        <v>9.3808461888989694</v>
      </c>
      <c r="BM53" s="168">
        <f t="shared" si="48"/>
        <v>26.338653614187859</v>
      </c>
      <c r="BN53" s="168">
        <f t="shared" si="48"/>
        <v>26.960209562099248</v>
      </c>
      <c r="BO53" s="168">
        <f t="shared" si="48"/>
        <v>19.769674362496392</v>
      </c>
      <c r="BP53" s="168">
        <f t="shared" si="48"/>
        <v>13.406576131534333</v>
      </c>
      <c r="BQ53" s="168">
        <f t="shared" si="48"/>
        <v>2.930341743312245</v>
      </c>
      <c r="BR53" s="168">
        <f t="shared" si="48"/>
        <v>14.585342011112942</v>
      </c>
      <c r="BS53" s="168">
        <f t="shared" si="49"/>
        <v>5.4117950383483802</v>
      </c>
      <c r="BT53" s="168">
        <f t="shared" si="49"/>
        <v>9.0887000966709639</v>
      </c>
      <c r="BU53" s="168">
        <f t="shared" si="49"/>
        <v>10.933997627198117</v>
      </c>
      <c r="BV53" s="168">
        <f t="shared" si="49"/>
        <v>16.181870655189794</v>
      </c>
      <c r="BW53" s="168">
        <f t="shared" si="49"/>
        <v>9.1088687710253833</v>
      </c>
      <c r="BX53" s="168">
        <f t="shared" si="49"/>
        <v>25.257222869756415</v>
      </c>
      <c r="BY53" s="168">
        <f t="shared" si="49"/>
        <v>6.215153145852983</v>
      </c>
      <c r="BZ53" s="168">
        <f t="shared" si="49"/>
        <v>20.09217673466037</v>
      </c>
      <c r="CA53" s="168">
        <f t="shared" si="49"/>
        <v>19.256154734562834</v>
      </c>
      <c r="CB53" s="168">
        <f t="shared" si="49"/>
        <v>2.0015246560273905</v>
      </c>
      <c r="CC53" s="168">
        <f t="shared" si="49"/>
        <v>5.8844464222483124</v>
      </c>
      <c r="CD53" s="168">
        <f t="shared" si="49"/>
        <v>16.251610057925966</v>
      </c>
      <c r="CE53" s="168">
        <f t="shared" si="49"/>
        <v>9.9733681097772759</v>
      </c>
      <c r="CF53" s="168">
        <f t="shared" si="49"/>
        <v>13.835962809457515</v>
      </c>
      <c r="CG53" s="168">
        <f t="shared" si="49"/>
        <v>23.692313305880674</v>
      </c>
      <c r="CH53" s="168">
        <f t="shared" si="49"/>
        <v>20.195830744941034</v>
      </c>
      <c r="CI53" s="168">
        <f t="shared" si="49"/>
        <v>11.420184197300703</v>
      </c>
      <c r="CJ53" s="168">
        <f t="shared" si="49"/>
        <v>28.827636492642565</v>
      </c>
      <c r="CK53" s="168">
        <f t="shared" si="49"/>
        <v>21.108638953577827</v>
      </c>
      <c r="CL53" s="168">
        <f t="shared" si="49"/>
        <v>2.2084658603378435</v>
      </c>
      <c r="CM53" s="168">
        <f t="shared" si="49"/>
        <v>5.7560669733595162</v>
      </c>
      <c r="CN53" s="168">
        <f t="shared" si="49"/>
        <v>19.718415743414713</v>
      </c>
      <c r="CO53" s="168">
        <f t="shared" si="49"/>
        <v>7.630540894022424</v>
      </c>
      <c r="CP53" s="168">
        <f t="shared" si="49"/>
        <v>16.057600654084172</v>
      </c>
      <c r="CQ53" s="168">
        <f t="shared" si="49"/>
        <v>5.7802182548259999</v>
      </c>
      <c r="CR53" s="168">
        <f t="shared" si="49"/>
        <v>7.6578825697683817</v>
      </c>
      <c r="CS53" s="168">
        <f t="shared" si="49"/>
        <v>20.599771296851557</v>
      </c>
      <c r="CT53" s="168">
        <f t="shared" si="49"/>
        <v>10.223339350486926</v>
      </c>
      <c r="CU53" s="168">
        <f t="shared" si="49"/>
        <v>14.554190828162964</v>
      </c>
      <c r="CV53" s="168">
        <f t="shared" si="49"/>
        <v>4.8331249247817567</v>
      </c>
      <c r="CW53" s="168">
        <f t="shared" si="49"/>
        <v>15.91706325719022</v>
      </c>
      <c r="CX53" s="168">
        <f t="shared" si="49"/>
        <v>20.354667959440409</v>
      </c>
      <c r="CY53" s="168">
        <f t="shared" si="49"/>
        <v>7.4187190421368694</v>
      </c>
      <c r="CZ53" s="168">
        <f t="shared" si="49"/>
        <v>10.937507414376698</v>
      </c>
      <c r="DA53" s="168">
        <f t="shared" si="49"/>
        <v>6.7026698073098165</v>
      </c>
      <c r="DC53">
        <v>49</v>
      </c>
      <c r="DD53" s="114">
        <v>46.208998132225837</v>
      </c>
      <c r="DE53" s="114">
        <v>-17.49480906135226</v>
      </c>
      <c r="DF53" s="114">
        <v>12.651185218233051</v>
      </c>
      <c r="DG53" s="114">
        <v>45.593002956950116</v>
      </c>
      <c r="DH53" s="114">
        <v>-14.038046973263526</v>
      </c>
      <c r="DI53" s="114">
        <v>16.610495909232537</v>
      </c>
      <c r="DJ53" s="114">
        <v>5.2919557195306703</v>
      </c>
      <c r="DK53" s="114">
        <f t="shared" si="0"/>
        <v>28.004795337473375</v>
      </c>
      <c r="DL53" s="114">
        <f t="shared" si="1"/>
        <v>2.5155051248590024</v>
      </c>
      <c r="DM53" s="114">
        <f t="shared" si="2"/>
        <v>144.12782699795002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6.0590626214946388</v>
      </c>
      <c r="D54" s="112"/>
      <c r="E54" s="172" t="s">
        <v>282</v>
      </c>
      <c r="F54" s="168">
        <f t="shared" ref="F54:BQ56" si="51">$F5</f>
        <v>110.10945708331916</v>
      </c>
      <c r="G54" s="168">
        <f t="shared" si="51"/>
        <v>110.10945708331916</v>
      </c>
      <c r="H54" s="168">
        <f t="shared" si="51"/>
        <v>110.10945708331916</v>
      </c>
      <c r="I54" s="168">
        <f t="shared" si="51"/>
        <v>110.10945708331916</v>
      </c>
      <c r="J54" s="168">
        <f t="shared" si="51"/>
        <v>110.10945708331916</v>
      </c>
      <c r="K54" s="168">
        <f t="shared" si="51"/>
        <v>110.10945708331916</v>
      </c>
      <c r="L54" s="168">
        <f t="shared" si="51"/>
        <v>110.10945708331916</v>
      </c>
      <c r="M54" s="168">
        <f t="shared" si="51"/>
        <v>110.10945708331916</v>
      </c>
      <c r="N54" s="168">
        <f t="shared" si="51"/>
        <v>110.10945708331916</v>
      </c>
      <c r="O54" s="168">
        <f t="shared" si="51"/>
        <v>110.10945708331916</v>
      </c>
      <c r="P54" s="168">
        <f t="shared" si="51"/>
        <v>110.10945708331916</v>
      </c>
      <c r="Q54" s="168">
        <f t="shared" si="51"/>
        <v>110.10945708331916</v>
      </c>
      <c r="R54" s="168">
        <f t="shared" si="51"/>
        <v>110.10945708331916</v>
      </c>
      <c r="S54" s="168">
        <f t="shared" si="51"/>
        <v>110.10945708331916</v>
      </c>
      <c r="T54" s="168">
        <f t="shared" si="51"/>
        <v>110.10945708331916</v>
      </c>
      <c r="U54" s="168">
        <f t="shared" si="51"/>
        <v>110.10945708331916</v>
      </c>
      <c r="V54" s="168">
        <f t="shared" si="51"/>
        <v>110.10945708331916</v>
      </c>
      <c r="W54" s="168">
        <f t="shared" si="51"/>
        <v>110.10945708331916</v>
      </c>
      <c r="X54" s="168">
        <f t="shared" si="51"/>
        <v>110.10945708331916</v>
      </c>
      <c r="Y54" s="168">
        <f t="shared" si="51"/>
        <v>110.10945708331916</v>
      </c>
      <c r="Z54" s="168">
        <f t="shared" si="51"/>
        <v>110.10945708331916</v>
      </c>
      <c r="AA54" s="168">
        <f t="shared" si="51"/>
        <v>110.10945708331916</v>
      </c>
      <c r="AB54" s="168">
        <f t="shared" si="51"/>
        <v>110.10945708331916</v>
      </c>
      <c r="AC54" s="168">
        <f t="shared" si="51"/>
        <v>110.10945708331916</v>
      </c>
      <c r="AD54" s="168">
        <f t="shared" si="51"/>
        <v>110.10945708331916</v>
      </c>
      <c r="AE54" s="168">
        <f t="shared" si="51"/>
        <v>110.10945708331916</v>
      </c>
      <c r="AF54" s="168">
        <f t="shared" si="51"/>
        <v>110.10945708331916</v>
      </c>
      <c r="AG54" s="168">
        <f t="shared" si="51"/>
        <v>110.10945708331916</v>
      </c>
      <c r="AH54" s="168">
        <f t="shared" si="51"/>
        <v>110.10945708331916</v>
      </c>
      <c r="AI54" s="168">
        <f t="shared" si="51"/>
        <v>110.10945708331916</v>
      </c>
      <c r="AJ54" s="168">
        <f t="shared" si="51"/>
        <v>110.10945708331916</v>
      </c>
      <c r="AK54" s="168">
        <f t="shared" si="51"/>
        <v>110.10945708331916</v>
      </c>
      <c r="AL54" s="168">
        <f t="shared" si="51"/>
        <v>110.10945708331916</v>
      </c>
      <c r="AM54" s="168">
        <f t="shared" si="51"/>
        <v>110.10945708331916</v>
      </c>
      <c r="AN54" s="168">
        <f t="shared" si="51"/>
        <v>110.10945708331916</v>
      </c>
      <c r="AO54" s="168">
        <f t="shared" si="51"/>
        <v>110.10945708331916</v>
      </c>
      <c r="AP54" s="168">
        <f t="shared" si="51"/>
        <v>110.10945708331916</v>
      </c>
      <c r="AQ54" s="168">
        <f t="shared" si="51"/>
        <v>110.10945708331916</v>
      </c>
      <c r="AR54" s="168">
        <f t="shared" si="51"/>
        <v>110.10945708331916</v>
      </c>
      <c r="AS54" s="168">
        <f t="shared" si="51"/>
        <v>110.10945708331916</v>
      </c>
      <c r="AT54" s="168">
        <f t="shared" si="51"/>
        <v>110.10945708331916</v>
      </c>
      <c r="AU54" s="168">
        <f t="shared" si="51"/>
        <v>110.10945708331916</v>
      </c>
      <c r="AV54" s="168">
        <f t="shared" si="51"/>
        <v>110.10945708331916</v>
      </c>
      <c r="AW54" s="168">
        <f t="shared" si="51"/>
        <v>110.10945708331916</v>
      </c>
      <c r="AX54" s="168">
        <f t="shared" si="51"/>
        <v>110.10945708331916</v>
      </c>
      <c r="AY54" s="168">
        <f t="shared" si="51"/>
        <v>110.10945708331916</v>
      </c>
      <c r="AZ54" s="168">
        <f t="shared" si="51"/>
        <v>110.10945708331916</v>
      </c>
      <c r="BA54" s="168">
        <f t="shared" si="51"/>
        <v>110.10945708331916</v>
      </c>
      <c r="BB54" s="168">
        <f t="shared" si="51"/>
        <v>110.10945708331916</v>
      </c>
      <c r="BC54" s="168">
        <f t="shared" si="51"/>
        <v>110.10945708331916</v>
      </c>
      <c r="BD54" s="168">
        <f t="shared" si="51"/>
        <v>110.10945708331916</v>
      </c>
      <c r="BE54" s="168">
        <f t="shared" si="51"/>
        <v>110.10945708331916</v>
      </c>
      <c r="BF54" s="168">
        <f t="shared" si="51"/>
        <v>110.10945708331916</v>
      </c>
      <c r="BG54" s="168">
        <f t="shared" si="51"/>
        <v>110.10945708331916</v>
      </c>
      <c r="BH54" s="168">
        <f t="shared" si="51"/>
        <v>110.10945708331916</v>
      </c>
      <c r="BI54" s="168">
        <f t="shared" si="51"/>
        <v>110.10945708331916</v>
      </c>
      <c r="BJ54" s="168">
        <f t="shared" si="51"/>
        <v>110.10945708331916</v>
      </c>
      <c r="BK54" s="168">
        <f t="shared" si="51"/>
        <v>110.10945708331916</v>
      </c>
      <c r="BL54" s="168">
        <f t="shared" si="51"/>
        <v>110.10945708331916</v>
      </c>
      <c r="BM54" s="168">
        <f t="shared" si="51"/>
        <v>110.10945708331916</v>
      </c>
      <c r="BN54" s="168">
        <f t="shared" si="51"/>
        <v>110.10945708331916</v>
      </c>
      <c r="BO54" s="168">
        <f t="shared" si="51"/>
        <v>110.10945708331916</v>
      </c>
      <c r="BP54" s="168">
        <f t="shared" si="51"/>
        <v>110.10945708331916</v>
      </c>
      <c r="BQ54" s="168">
        <f t="shared" si="51"/>
        <v>110.10945708331916</v>
      </c>
      <c r="BR54" s="168">
        <f t="shared" ref="BR54:DA56" si="52">$F5</f>
        <v>110.10945708331916</v>
      </c>
      <c r="BS54" s="168">
        <f t="shared" si="52"/>
        <v>110.10945708331916</v>
      </c>
      <c r="BT54" s="168">
        <f t="shared" si="52"/>
        <v>110.10945708331916</v>
      </c>
      <c r="BU54" s="168">
        <f t="shared" si="52"/>
        <v>110.10945708331916</v>
      </c>
      <c r="BV54" s="168">
        <f t="shared" si="52"/>
        <v>110.10945708331916</v>
      </c>
      <c r="BW54" s="168">
        <f t="shared" si="52"/>
        <v>110.10945708331916</v>
      </c>
      <c r="BX54" s="168">
        <f t="shared" si="52"/>
        <v>110.10945708331916</v>
      </c>
      <c r="BY54" s="168">
        <f t="shared" si="52"/>
        <v>110.10945708331916</v>
      </c>
      <c r="BZ54" s="168">
        <f t="shared" si="52"/>
        <v>110.10945708331916</v>
      </c>
      <c r="CA54" s="168">
        <f t="shared" si="52"/>
        <v>110.10945708331916</v>
      </c>
      <c r="CB54" s="168">
        <f t="shared" si="52"/>
        <v>110.10945708331916</v>
      </c>
      <c r="CC54" s="168">
        <f t="shared" si="52"/>
        <v>110.10945708331916</v>
      </c>
      <c r="CD54" s="168">
        <f t="shared" si="52"/>
        <v>110.10945708331916</v>
      </c>
      <c r="CE54" s="168">
        <f t="shared" si="52"/>
        <v>110.10945708331916</v>
      </c>
      <c r="CF54" s="168">
        <f t="shared" si="52"/>
        <v>110.10945708331916</v>
      </c>
      <c r="CG54" s="168">
        <f t="shared" si="52"/>
        <v>110.10945708331916</v>
      </c>
      <c r="CH54" s="168">
        <f t="shared" si="52"/>
        <v>110.10945708331916</v>
      </c>
      <c r="CI54" s="168">
        <f t="shared" si="52"/>
        <v>110.10945708331916</v>
      </c>
      <c r="CJ54" s="168">
        <f t="shared" si="52"/>
        <v>110.10945708331916</v>
      </c>
      <c r="CK54" s="168">
        <f t="shared" si="52"/>
        <v>110.10945708331916</v>
      </c>
      <c r="CL54" s="168">
        <f t="shared" si="52"/>
        <v>110.10945708331916</v>
      </c>
      <c r="CM54" s="168">
        <f t="shared" si="52"/>
        <v>110.10945708331916</v>
      </c>
      <c r="CN54" s="168">
        <f t="shared" si="52"/>
        <v>110.10945708331916</v>
      </c>
      <c r="CO54" s="168">
        <f t="shared" si="52"/>
        <v>110.10945708331916</v>
      </c>
      <c r="CP54" s="168">
        <f t="shared" si="52"/>
        <v>110.10945708331916</v>
      </c>
      <c r="CQ54" s="168">
        <f t="shared" si="52"/>
        <v>110.10945708331916</v>
      </c>
      <c r="CR54" s="168">
        <f t="shared" si="52"/>
        <v>110.10945708331916</v>
      </c>
      <c r="CS54" s="168">
        <f t="shared" si="52"/>
        <v>110.10945708331916</v>
      </c>
      <c r="CT54" s="168">
        <f t="shared" si="52"/>
        <v>110.10945708331916</v>
      </c>
      <c r="CU54" s="168">
        <f t="shared" si="52"/>
        <v>110.10945708331916</v>
      </c>
      <c r="CV54" s="168">
        <f t="shared" si="52"/>
        <v>110.10945708331916</v>
      </c>
      <c r="CW54" s="168">
        <f t="shared" si="52"/>
        <v>110.10945708331916</v>
      </c>
      <c r="CX54" s="168">
        <f t="shared" si="52"/>
        <v>110.10945708331916</v>
      </c>
      <c r="CY54" s="168">
        <f t="shared" si="52"/>
        <v>110.10945708331916</v>
      </c>
      <c r="CZ54" s="168">
        <f t="shared" si="52"/>
        <v>110.10945708331916</v>
      </c>
      <c r="DA54" s="168">
        <f t="shared" si="52"/>
        <v>110.10945708331916</v>
      </c>
      <c r="DC54">
        <v>50</v>
      </c>
      <c r="DD54" s="114">
        <v>54.640445494402712</v>
      </c>
      <c r="DE54" s="114">
        <v>-18.046750364341605</v>
      </c>
      <c r="DF54" s="114">
        <v>6.7171930555095951</v>
      </c>
      <c r="DG54" s="114">
        <v>53.12487508779887</v>
      </c>
      <c r="DH54" s="114">
        <v>-13.756124903056556</v>
      </c>
      <c r="DI54" s="114">
        <v>8.8966874987502482</v>
      </c>
      <c r="DJ54" s="114">
        <v>5.04545503740919</v>
      </c>
      <c r="DK54" s="114">
        <f t="shared" si="0"/>
        <v>25.456616534517771</v>
      </c>
      <c r="DL54" s="114">
        <f t="shared" si="1"/>
        <v>2.7852696625167681</v>
      </c>
      <c r="DM54" s="114">
        <f t="shared" si="2"/>
        <v>159.58419646803796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6.2138064099882477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58.593919644551676</v>
      </c>
      <c r="DE55" s="114">
        <v>-15.758153337346709</v>
      </c>
      <c r="DF55" s="114">
        <v>5.4984618946412738</v>
      </c>
      <c r="DG55" s="114">
        <v>56.710554171843235</v>
      </c>
      <c r="DH55" s="114">
        <v>-11.344493801432622</v>
      </c>
      <c r="DI55" s="114">
        <v>7.1589883446850227</v>
      </c>
      <c r="DJ55" s="114">
        <v>5.0778739738251222</v>
      </c>
      <c r="DK55" s="114">
        <f t="shared" si="0"/>
        <v>25.784804094050539</v>
      </c>
      <c r="DL55" s="114">
        <f t="shared" si="1"/>
        <v>2.8058731096694731</v>
      </c>
      <c r="DM55" s="114">
        <f t="shared" si="2"/>
        <v>160.76468703330877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6.3677764847084841</v>
      </c>
      <c r="D56" s="112"/>
      <c r="E56" s="172" t="s">
        <v>284</v>
      </c>
      <c r="F56" s="168">
        <f t="shared" si="51"/>
        <v>37.361966081683555</v>
      </c>
      <c r="G56" s="168">
        <f t="shared" si="51"/>
        <v>37.361966081683555</v>
      </c>
      <c r="H56" s="168">
        <f t="shared" si="51"/>
        <v>37.361966081683555</v>
      </c>
      <c r="I56" s="168">
        <f t="shared" si="51"/>
        <v>37.361966081683555</v>
      </c>
      <c r="J56" s="168">
        <f t="shared" si="51"/>
        <v>37.361966081683555</v>
      </c>
      <c r="K56" s="168">
        <f t="shared" si="51"/>
        <v>37.361966081683555</v>
      </c>
      <c r="L56" s="168">
        <f t="shared" si="51"/>
        <v>37.361966081683555</v>
      </c>
      <c r="M56" s="168">
        <f t="shared" si="51"/>
        <v>37.361966081683555</v>
      </c>
      <c r="N56" s="168">
        <f t="shared" si="51"/>
        <v>37.361966081683555</v>
      </c>
      <c r="O56" s="168">
        <f t="shared" si="51"/>
        <v>37.361966081683555</v>
      </c>
      <c r="P56" s="168">
        <f t="shared" si="51"/>
        <v>37.361966081683555</v>
      </c>
      <c r="Q56" s="168">
        <f t="shared" si="51"/>
        <v>37.361966081683555</v>
      </c>
      <c r="R56" s="168">
        <f t="shared" si="51"/>
        <v>37.361966081683555</v>
      </c>
      <c r="S56" s="168">
        <f t="shared" si="51"/>
        <v>37.361966081683555</v>
      </c>
      <c r="T56" s="168">
        <f t="shared" si="51"/>
        <v>37.361966081683555</v>
      </c>
      <c r="U56" s="168">
        <f t="shared" si="51"/>
        <v>37.361966081683555</v>
      </c>
      <c r="V56" s="168">
        <f t="shared" si="51"/>
        <v>37.361966081683555</v>
      </c>
      <c r="W56" s="168">
        <f t="shared" si="51"/>
        <v>37.361966081683555</v>
      </c>
      <c r="X56" s="168">
        <f t="shared" si="51"/>
        <v>37.361966081683555</v>
      </c>
      <c r="Y56" s="168">
        <f t="shared" si="51"/>
        <v>37.361966081683555</v>
      </c>
      <c r="Z56" s="168">
        <f t="shared" si="51"/>
        <v>37.361966081683555</v>
      </c>
      <c r="AA56" s="168">
        <f t="shared" si="51"/>
        <v>37.361966081683555</v>
      </c>
      <c r="AB56" s="168">
        <f t="shared" si="51"/>
        <v>37.361966081683555</v>
      </c>
      <c r="AC56" s="168">
        <f t="shared" si="51"/>
        <v>37.361966081683555</v>
      </c>
      <c r="AD56" s="168">
        <f t="shared" si="51"/>
        <v>37.361966081683555</v>
      </c>
      <c r="AE56" s="168">
        <f t="shared" si="51"/>
        <v>37.361966081683555</v>
      </c>
      <c r="AF56" s="168">
        <f t="shared" si="51"/>
        <v>37.361966081683555</v>
      </c>
      <c r="AG56" s="168">
        <f t="shared" si="51"/>
        <v>37.361966081683555</v>
      </c>
      <c r="AH56" s="168">
        <f t="shared" si="51"/>
        <v>37.361966081683555</v>
      </c>
      <c r="AI56" s="168">
        <f t="shared" si="51"/>
        <v>37.361966081683555</v>
      </c>
      <c r="AJ56" s="168">
        <f t="shared" si="51"/>
        <v>37.361966081683555</v>
      </c>
      <c r="AK56" s="168">
        <f t="shared" si="51"/>
        <v>37.361966081683555</v>
      </c>
      <c r="AL56" s="168">
        <f t="shared" si="51"/>
        <v>37.361966081683555</v>
      </c>
      <c r="AM56" s="168">
        <f t="shared" si="51"/>
        <v>37.361966081683555</v>
      </c>
      <c r="AN56" s="168">
        <f t="shared" si="51"/>
        <v>37.361966081683555</v>
      </c>
      <c r="AO56" s="168">
        <f t="shared" si="51"/>
        <v>37.361966081683555</v>
      </c>
      <c r="AP56" s="168">
        <f t="shared" si="51"/>
        <v>37.361966081683555</v>
      </c>
      <c r="AQ56" s="168">
        <f t="shared" si="51"/>
        <v>37.361966081683555</v>
      </c>
      <c r="AR56" s="168">
        <f t="shared" si="51"/>
        <v>37.361966081683555</v>
      </c>
      <c r="AS56" s="168">
        <f t="shared" si="51"/>
        <v>37.361966081683555</v>
      </c>
      <c r="AT56" s="168">
        <f t="shared" si="51"/>
        <v>37.361966081683555</v>
      </c>
      <c r="AU56" s="168">
        <f t="shared" si="51"/>
        <v>37.361966081683555</v>
      </c>
      <c r="AV56" s="168">
        <f t="shared" si="51"/>
        <v>37.361966081683555</v>
      </c>
      <c r="AW56" s="168">
        <f t="shared" si="51"/>
        <v>37.361966081683555</v>
      </c>
      <c r="AX56" s="168">
        <f t="shared" si="51"/>
        <v>37.361966081683555</v>
      </c>
      <c r="AY56" s="168">
        <f t="shared" si="51"/>
        <v>37.361966081683555</v>
      </c>
      <c r="AZ56" s="168">
        <f t="shared" si="51"/>
        <v>37.361966081683555</v>
      </c>
      <c r="BA56" s="168">
        <f t="shared" si="51"/>
        <v>37.361966081683555</v>
      </c>
      <c r="BB56" s="168">
        <f t="shared" si="51"/>
        <v>37.361966081683555</v>
      </c>
      <c r="BC56" s="168">
        <f t="shared" si="51"/>
        <v>37.361966081683555</v>
      </c>
      <c r="BD56" s="168">
        <f t="shared" si="51"/>
        <v>37.361966081683555</v>
      </c>
      <c r="BE56" s="168">
        <f t="shared" si="51"/>
        <v>37.361966081683555</v>
      </c>
      <c r="BF56" s="168">
        <f t="shared" si="51"/>
        <v>37.361966081683555</v>
      </c>
      <c r="BG56" s="168">
        <f t="shared" si="51"/>
        <v>37.361966081683555</v>
      </c>
      <c r="BH56" s="168">
        <f t="shared" si="51"/>
        <v>37.361966081683555</v>
      </c>
      <c r="BI56" s="168">
        <f t="shared" si="51"/>
        <v>37.361966081683555</v>
      </c>
      <c r="BJ56" s="168">
        <f t="shared" si="51"/>
        <v>37.361966081683555</v>
      </c>
      <c r="BK56" s="168">
        <f t="shared" si="51"/>
        <v>37.361966081683555</v>
      </c>
      <c r="BL56" s="168">
        <f t="shared" si="51"/>
        <v>37.361966081683555</v>
      </c>
      <c r="BM56" s="168">
        <f t="shared" si="51"/>
        <v>37.361966081683555</v>
      </c>
      <c r="BN56" s="168">
        <f t="shared" si="51"/>
        <v>37.361966081683555</v>
      </c>
      <c r="BO56" s="168">
        <f t="shared" si="51"/>
        <v>37.361966081683555</v>
      </c>
      <c r="BP56" s="168">
        <f t="shared" si="51"/>
        <v>37.361966081683555</v>
      </c>
      <c r="BQ56" s="168">
        <f t="shared" si="51"/>
        <v>37.361966081683555</v>
      </c>
      <c r="BR56" s="168">
        <f t="shared" si="52"/>
        <v>37.361966081683555</v>
      </c>
      <c r="BS56" s="168">
        <f t="shared" si="52"/>
        <v>37.361966081683555</v>
      </c>
      <c r="BT56" s="168">
        <f t="shared" si="52"/>
        <v>37.361966081683555</v>
      </c>
      <c r="BU56" s="168">
        <f t="shared" si="52"/>
        <v>37.361966081683555</v>
      </c>
      <c r="BV56" s="168">
        <f t="shared" si="52"/>
        <v>37.361966081683555</v>
      </c>
      <c r="BW56" s="168">
        <f t="shared" si="52"/>
        <v>37.361966081683555</v>
      </c>
      <c r="BX56" s="168">
        <f t="shared" si="52"/>
        <v>37.361966081683555</v>
      </c>
      <c r="BY56" s="168">
        <f t="shared" si="52"/>
        <v>37.361966081683555</v>
      </c>
      <c r="BZ56" s="168">
        <f t="shared" si="52"/>
        <v>37.361966081683555</v>
      </c>
      <c r="CA56" s="168">
        <f t="shared" si="52"/>
        <v>37.361966081683555</v>
      </c>
      <c r="CB56" s="168">
        <f t="shared" si="52"/>
        <v>37.361966081683555</v>
      </c>
      <c r="CC56" s="168">
        <f t="shared" si="52"/>
        <v>37.361966081683555</v>
      </c>
      <c r="CD56" s="168">
        <f t="shared" si="52"/>
        <v>37.361966081683555</v>
      </c>
      <c r="CE56" s="168">
        <f t="shared" si="52"/>
        <v>37.361966081683555</v>
      </c>
      <c r="CF56" s="168">
        <f t="shared" si="52"/>
        <v>37.361966081683555</v>
      </c>
      <c r="CG56" s="168">
        <f t="shared" si="52"/>
        <v>37.361966081683555</v>
      </c>
      <c r="CH56" s="168">
        <f t="shared" si="52"/>
        <v>37.361966081683555</v>
      </c>
      <c r="CI56" s="168">
        <f t="shared" si="52"/>
        <v>37.361966081683555</v>
      </c>
      <c r="CJ56" s="168">
        <f t="shared" si="52"/>
        <v>37.361966081683555</v>
      </c>
      <c r="CK56" s="168">
        <f t="shared" si="52"/>
        <v>37.361966081683555</v>
      </c>
      <c r="CL56" s="168">
        <f t="shared" si="52"/>
        <v>37.361966081683555</v>
      </c>
      <c r="CM56" s="168">
        <f t="shared" si="52"/>
        <v>37.361966081683555</v>
      </c>
      <c r="CN56" s="168">
        <f t="shared" si="52"/>
        <v>37.361966081683555</v>
      </c>
      <c r="CO56" s="168">
        <f t="shared" si="52"/>
        <v>37.361966081683555</v>
      </c>
      <c r="CP56" s="168">
        <f t="shared" si="52"/>
        <v>37.361966081683555</v>
      </c>
      <c r="CQ56" s="168">
        <f t="shared" si="52"/>
        <v>37.361966081683555</v>
      </c>
      <c r="CR56" s="168">
        <f t="shared" si="52"/>
        <v>37.361966081683555</v>
      </c>
      <c r="CS56" s="168">
        <f t="shared" si="52"/>
        <v>37.361966081683555</v>
      </c>
      <c r="CT56" s="168">
        <f t="shared" si="52"/>
        <v>37.361966081683555</v>
      </c>
      <c r="CU56" s="168">
        <f t="shared" si="52"/>
        <v>37.361966081683555</v>
      </c>
      <c r="CV56" s="168">
        <f t="shared" si="52"/>
        <v>37.361966081683555</v>
      </c>
      <c r="CW56" s="168">
        <f t="shared" si="52"/>
        <v>37.361966081683555</v>
      </c>
      <c r="CX56" s="168">
        <f t="shared" si="52"/>
        <v>37.361966081683555</v>
      </c>
      <c r="CY56" s="168">
        <f t="shared" si="52"/>
        <v>37.361966081683555</v>
      </c>
      <c r="CZ56" s="168">
        <f t="shared" si="52"/>
        <v>37.361966081683555</v>
      </c>
      <c r="DA56" s="168">
        <f t="shared" si="52"/>
        <v>37.361966081683555</v>
      </c>
      <c r="DC56">
        <v>52</v>
      </c>
      <c r="DD56" s="114">
        <v>41.128697458753308</v>
      </c>
      <c r="DE56" s="114">
        <v>-21.183210601021596</v>
      </c>
      <c r="DF56" s="114">
        <v>7.0895299377114105</v>
      </c>
      <c r="DG56" s="114">
        <v>38.979342590042172</v>
      </c>
      <c r="DH56" s="114">
        <v>-15.695048383028224</v>
      </c>
      <c r="DI56" s="114">
        <v>8.1701729157267078</v>
      </c>
      <c r="DJ56" s="114">
        <v>5.992281713053548</v>
      </c>
      <c r="DK56" s="114">
        <f t="shared" si="0"/>
        <v>35.907440128595965</v>
      </c>
      <c r="DL56" s="114">
        <f t="shared" si="1"/>
        <v>2.81863343294581</v>
      </c>
      <c r="DM56" s="114">
        <f t="shared" si="2"/>
        <v>161.49579970226543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6.520857417933505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49.310746346068164</v>
      </c>
      <c r="DE57" s="114">
        <v>-30.794388379814777</v>
      </c>
      <c r="DF57" s="114">
        <v>3.2549539212999745</v>
      </c>
      <c r="DG57" s="114">
        <v>46.827453102474934</v>
      </c>
      <c r="DH57" s="114">
        <v>-24.248854457037638</v>
      </c>
      <c r="DI57" s="114">
        <v>5.8709288325782945</v>
      </c>
      <c r="DJ57" s="114">
        <v>7.4735590185894489</v>
      </c>
      <c r="DK57" s="114">
        <f t="shared" si="0"/>
        <v>55.854084404339687</v>
      </c>
      <c r="DL57" s="114">
        <f t="shared" si="1"/>
        <v>3.0362840949974004</v>
      </c>
      <c r="DM57" s="114">
        <f t="shared" si="2"/>
        <v>173.96626404604976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6.6729378535345596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86.973916270251394</v>
      </c>
      <c r="DE58" s="114">
        <v>-16.161568532224059</v>
      </c>
      <c r="DF58" s="114">
        <v>-0.81452394932007366</v>
      </c>
      <c r="DG58" s="114">
        <v>86.959389438786218</v>
      </c>
      <c r="DH58" s="114">
        <v>-12.269466325509999</v>
      </c>
      <c r="DI58" s="114">
        <v>2.332611947961901</v>
      </c>
      <c r="DJ58" s="114">
        <v>5.0053106769012548</v>
      </c>
      <c r="DK58" s="114">
        <f t="shared" si="0"/>
        <v>25.053134972301699</v>
      </c>
      <c r="DL58" s="114">
        <f t="shared" si="1"/>
        <v>3.1919488647123559</v>
      </c>
      <c r="DM58" s="114">
        <f t="shared" si="2"/>
        <v>182.88519836959259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6.82391057249556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83.538612479496607</v>
      </c>
      <c r="DE59" s="114">
        <v>-17.925526159233002</v>
      </c>
      <c r="DF59" s="114">
        <v>-2.441578824173094</v>
      </c>
      <c r="DG59" s="114">
        <v>82.887906761587303</v>
      </c>
      <c r="DH59" s="114">
        <v>-13.462098210723543</v>
      </c>
      <c r="DI59" s="114">
        <v>0.40329765177084365</v>
      </c>
      <c r="DJ59" s="114">
        <v>5.3328162490596291</v>
      </c>
      <c r="DK59" s="114">
        <f t="shared" si="0"/>
        <v>28.438929146234411</v>
      </c>
      <c r="DL59" s="114">
        <f t="shared" si="1"/>
        <v>3.2769664057808328</v>
      </c>
      <c r="DM59" s="114">
        <f t="shared" si="2"/>
        <v>187.75634465739645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6.9736725429515047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70.757994356638932</v>
      </c>
      <c r="DE60" s="114">
        <v>-30.237753530038752</v>
      </c>
      <c r="DF60" s="114">
        <v>-4.026392539513334</v>
      </c>
      <c r="DG60" s="114">
        <v>69.285416004107887</v>
      </c>
      <c r="DH60" s="114">
        <v>-23.413313799114018</v>
      </c>
      <c r="DI60" s="114">
        <v>-1.202068385532381</v>
      </c>
      <c r="DJ60" s="114">
        <v>7.531153402509295</v>
      </c>
      <c r="DK60" s="114">
        <f t="shared" si="0"/>
        <v>56.718271572127328</v>
      </c>
      <c r="DL60" s="114">
        <f t="shared" si="1"/>
        <v>3.27397170825577</v>
      </c>
      <c r="DM60" s="114">
        <f t="shared" si="2"/>
        <v>187.58476112829209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7.1221249556524171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57.227513570119569</v>
      </c>
      <c r="DE61" s="114">
        <v>-31.921887582576353</v>
      </c>
      <c r="DF61" s="114">
        <v>-4.4008025290047783</v>
      </c>
      <c r="DG61" s="114">
        <v>55.172439125068564</v>
      </c>
      <c r="DH61" s="114">
        <v>-24.967951635471088</v>
      </c>
      <c r="DI61" s="114">
        <v>-1.2007136959343554</v>
      </c>
      <c r="DJ61" s="114">
        <v>7.9259778368783316</v>
      </c>
      <c r="DK61" s="114">
        <f t="shared" si="0"/>
        <v>62.821124670686515</v>
      </c>
      <c r="DL61" s="114">
        <f t="shared" si="1"/>
        <v>3.2785906900824928</v>
      </c>
      <c r="DM61" s="114">
        <f t="shared" si="2"/>
        <v>187.84940929261094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7.2691732457511247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53.5297289988888</v>
      </c>
      <c r="DE62" s="114">
        <v>-31.485439648254239</v>
      </c>
      <c r="DF62" s="114">
        <v>-6.492571008121792</v>
      </c>
      <c r="DG62" s="114">
        <v>51.458063729889965</v>
      </c>
      <c r="DH62" s="114">
        <v>-24.870937157435325</v>
      </c>
      <c r="DI62" s="114">
        <v>-4.1667792157979573</v>
      </c>
      <c r="DJ62" s="114">
        <v>7.3111386014126793</v>
      </c>
      <c r="DK62" s="114">
        <f t="shared" si="0"/>
        <v>53.452747649066552</v>
      </c>
      <c r="DL62" s="114">
        <f t="shared" si="1"/>
        <v>3.3449509097831931</v>
      </c>
      <c r="DM62" s="114">
        <f t="shared" si="2"/>
        <v>191.65156980902194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7.4147271018001319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86.811222289713328</v>
      </c>
      <c r="DE63" s="114">
        <v>-15.909730673785331</v>
      </c>
      <c r="DF63" s="114">
        <v>-3.336964834636158</v>
      </c>
      <c r="DG63" s="114">
        <v>86.210201026895646</v>
      </c>
      <c r="DH63" s="114">
        <v>-11.348346090639106</v>
      </c>
      <c r="DI63" s="114">
        <v>-3.473186333000196</v>
      </c>
      <c r="DJ63" s="114">
        <v>4.6028265414133918</v>
      </c>
      <c r="DK63" s="114">
        <f t="shared" si="0"/>
        <v>21.186012170339566</v>
      </c>
      <c r="DL63" s="114">
        <f t="shared" si="1"/>
        <v>3.3483393038208948</v>
      </c>
      <c r="DM63" s="114">
        <f t="shared" si="2"/>
        <v>191.84571048670955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7.5587004628266463</v>
      </c>
      <c r="D64" s="112"/>
      <c r="E64" s="172" t="s">
        <v>291</v>
      </c>
      <c r="F64" s="168">
        <f t="array" ref="F64:F66">MMULT($I$43:$K$45,F51:F53)</f>
        <v>117.58062685899085</v>
      </c>
      <c r="G64" s="168">
        <f t="array" ref="G64:G66">MMULT($I$43:$K$45,G51:G53)</f>
        <v>81.732693740242212</v>
      </c>
      <c r="H64" s="168">
        <f t="array" ref="H64:H66">MMULT($I$43:$K$45,H51:H53)</f>
        <v>42.283586046852768</v>
      </c>
      <c r="I64" s="168">
        <f t="array" ref="I64:I66">MMULT($I$43:$K$45,I51:I53)</f>
        <v>8.3815899688695765</v>
      </c>
      <c r="J64" s="168">
        <f t="array" ref="J64:J66">MMULT($I$43:$K$45,J51:J53)</f>
        <v>49.562461192106205</v>
      </c>
      <c r="K64" s="168">
        <f t="array" ref="K64:K66">MMULT($I$43:$K$45,K51:K53)</f>
        <v>28.117712107461877</v>
      </c>
      <c r="L64" s="168">
        <f t="array" ref="L64:L66">MMULT($I$43:$K$45,L51:L53)</f>
        <v>23.834244508405476</v>
      </c>
      <c r="M64" s="168">
        <f t="array" ref="M64:M66">MMULT($I$43:$K$45,M51:M53)</f>
        <v>19.87709414406001</v>
      </c>
      <c r="N64" s="168">
        <f t="array" ref="N64:N66">MMULT($I$43:$K$45,N51:N53)</f>
        <v>18.552572790109668</v>
      </c>
      <c r="O64" s="168">
        <f t="array" ref="O64:O66">MMULT($I$43:$K$45,O51:O53)</f>
        <v>6.0765947480398221</v>
      </c>
      <c r="P64" s="168">
        <f t="array" ref="P64:P66">MMULT($I$43:$K$45,P51:P53)</f>
        <v>68.352547598137704</v>
      </c>
      <c r="Q64" s="168">
        <f t="array" ref="Q64:Q66">MMULT($I$43:$K$45,Q51:Q53)</f>
        <v>37.090852481518674</v>
      </c>
      <c r="R64" s="168">
        <f t="array" ref="R64:R66">MMULT($I$43:$K$45,R51:R53)</f>
        <v>47.850471848846475</v>
      </c>
      <c r="S64" s="168">
        <f t="array" ref="S64:S66">MMULT($I$43:$K$45,S51:S53)</f>
        <v>17.79478496562999</v>
      </c>
      <c r="T64" s="168">
        <f t="array" ref="T64:T66">MMULT($I$43:$K$45,T51:T53)</f>
        <v>52.554378090812307</v>
      </c>
      <c r="U64" s="168">
        <f t="array" ref="U64:U66">MMULT($I$43:$K$45,U51:U53)</f>
        <v>51.170997046940535</v>
      </c>
      <c r="V64" s="168">
        <f t="array" ref="V64:V66">MMULT($I$43:$K$45,V51:V53)</f>
        <v>21.843883869602177</v>
      </c>
      <c r="W64" s="168">
        <f t="array" ref="W64:W66">MMULT($I$43:$K$45,W51:W53)</f>
        <v>23.052374768187057</v>
      </c>
      <c r="X64" s="168">
        <f t="array" ref="X64:X66">MMULT($I$43:$K$45,X51:X53)</f>
        <v>29.211931849239793</v>
      </c>
      <c r="Y64" s="168">
        <f t="array" ref="Y64:Y66">MMULT($I$43:$K$45,Y51:Y53)</f>
        <v>53.912398294364806</v>
      </c>
      <c r="Z64" s="168">
        <f t="array" ref="Z64:Z66">MMULT($I$43:$K$45,Z51:Z53)</f>
        <v>49.820576626998914</v>
      </c>
      <c r="AA64" s="168">
        <f t="array" ref="AA64:AA66">MMULT($I$43:$K$45,AA51:AA53)</f>
        <v>89.251977544536075</v>
      </c>
      <c r="AB64" s="168">
        <f t="array" ref="AB64:AB66">MMULT($I$43:$K$45,AB51:AB53)</f>
        <v>70.950939353043452</v>
      </c>
      <c r="AC64" s="168">
        <f t="array" ref="AC64:AC66">MMULT($I$43:$K$45,AC51:AC53)</f>
        <v>94.128729866449504</v>
      </c>
      <c r="AD64" s="168">
        <f t="array" ref="AD64:AD66">MMULT($I$43:$K$45,AD51:AD53)</f>
        <v>95.935323650621086</v>
      </c>
      <c r="AE64" s="168">
        <f t="array" ref="AE64:AE66">MMULT($I$43:$K$45,AE51:AE53)</f>
        <v>53.854141344662246</v>
      </c>
      <c r="AF64" s="168">
        <f t="array" ref="AF64:AF66">MMULT($I$43:$K$45,AF51:AF53)</f>
        <v>95.218279507744271</v>
      </c>
      <c r="AG64" s="168">
        <f t="array" ref="AG64:AG66">MMULT($I$43:$K$45,AG51:AG53)</f>
        <v>51.205326797458603</v>
      </c>
      <c r="AH64" s="168">
        <f t="array" ref="AH64:AH66">MMULT($I$43:$K$45,AH51:AH53)</f>
        <v>13.789722105097759</v>
      </c>
      <c r="AI64" s="168">
        <f t="array" ref="AI64:AI66">MMULT($I$43:$K$45,AI51:AI53)</f>
        <v>84.491198647621502</v>
      </c>
      <c r="AJ64" s="168">
        <f t="array" ref="AJ64:AJ66">MMULT($I$43:$K$45,AJ51:AJ53)</f>
        <v>37.453766522064818</v>
      </c>
      <c r="AK64" s="168">
        <f t="array" ref="AK64:AK66">MMULT($I$43:$K$45,AK51:AK53)</f>
        <v>88.387114421145228</v>
      </c>
      <c r="AL64" s="168">
        <f t="array" ref="AL64:AL66">MMULT($I$43:$K$45,AL51:AL53)</f>
        <v>57.427728025812954</v>
      </c>
      <c r="AM64" s="168">
        <f t="array" ref="AM64:AM66">MMULT($I$43:$K$45,AM51:AM53)</f>
        <v>89.03172111005037</v>
      </c>
      <c r="AN64" s="168">
        <f t="array" ref="AN64:AN66">MMULT($I$43:$K$45,AN51:AN53)</f>
        <v>34.498889622736378</v>
      </c>
      <c r="AO64" s="168">
        <f t="array" ref="AO64:AO66">MMULT($I$43:$K$45,AO51:AO53)</f>
        <v>13.772211213593041</v>
      </c>
      <c r="AP64" s="168">
        <f t="array" ref="AP64:AP66">MMULT($I$43:$K$45,AP51:AP53)</f>
        <v>63.878419383165046</v>
      </c>
      <c r="AQ64" s="168">
        <f t="array" ref="AQ64:AQ66">MMULT($I$43:$K$45,AQ51:AQ53)</f>
        <v>18.011282399841644</v>
      </c>
      <c r="AR64" s="168">
        <f t="array" ref="AR64:AR66">MMULT($I$43:$K$45,AR51:AR53)</f>
        <v>78.029864280879195</v>
      </c>
      <c r="AS64" s="168">
        <f t="array" ref="AS64:AS66">MMULT($I$43:$K$45,AS51:AS53)</f>
        <v>9.065009008384866</v>
      </c>
      <c r="AT64" s="168">
        <f t="array" ref="AT64:AT66">MMULT($I$43:$K$45,AT51:AT53)</f>
        <v>19.721548551969377</v>
      </c>
      <c r="AU64" s="168">
        <f t="array" ref="AU64:AU66">MMULT($I$43:$K$45,AU51:AU53)</f>
        <v>81.220927373026441</v>
      </c>
      <c r="AV64" s="168">
        <f t="array" ref="AV64:AV66">MMULT($I$43:$K$45,AV51:AV53)</f>
        <v>40.010767771473944</v>
      </c>
      <c r="AW64" s="168">
        <f t="array" ref="AW64:AW66">MMULT($I$43:$K$45,AW51:AW53)</f>
        <v>45.815836643286872</v>
      </c>
      <c r="AX64" s="168">
        <f t="array" ref="AX64:AX66">MMULT($I$43:$K$45,AX51:AX53)</f>
        <v>5.8173721893226169</v>
      </c>
      <c r="AY64" s="168">
        <f t="array" ref="AY64:AY66">MMULT($I$43:$K$45,AY51:AY53)</f>
        <v>25.800526086552782</v>
      </c>
      <c r="AZ64" s="168">
        <f t="array" ref="AZ64:AZ66">MMULT($I$43:$K$45,AZ51:AZ53)</f>
        <v>36.440213996724836</v>
      </c>
      <c r="BA64" s="168">
        <f t="array" ref="BA64:BA66">MMULT($I$43:$K$45,BA51:BA53)</f>
        <v>42.664085387357559</v>
      </c>
      <c r="BB64" s="168">
        <f t="array" ref="BB64:BB66">MMULT($I$43:$K$45,BB51:BB53)</f>
        <v>52.234863390148924</v>
      </c>
      <c r="BC64" s="168">
        <f t="array" ref="BC64:BC66">MMULT($I$43:$K$45,BC51:BC53)</f>
        <v>14.741929923228085</v>
      </c>
      <c r="BD64" s="168">
        <f t="array" ref="BD64:BD66">MMULT($I$43:$K$45,BD51:BD53)</f>
        <v>21.437339148478475</v>
      </c>
      <c r="BE64" s="168">
        <f t="array" ref="BE64:BE66">MMULT($I$43:$K$45,BE51:BE53)</f>
        <v>25.767441665925073</v>
      </c>
      <c r="BF64" s="168">
        <f t="array" ref="BF64:BF66">MMULT($I$43:$K$45,BF51:BF53)</f>
        <v>10.722724211931205</v>
      </c>
      <c r="BG64" s="168">
        <f t="array" ref="BG64:BG66">MMULT($I$43:$K$45,BG51:BG53)</f>
        <v>14.406023910573548</v>
      </c>
      <c r="BH64" s="168">
        <f t="array" ref="BH64:BH66">MMULT($I$43:$K$45,BH51:BH53)</f>
        <v>72.704668800145598</v>
      </c>
      <c r="BI64" s="168">
        <f t="array" ref="BI64:BI66">MMULT($I$43:$K$45,BI51:BI53)</f>
        <v>63.8823792260781</v>
      </c>
      <c r="BJ64" s="168">
        <f t="array" ref="BJ64:BJ66">MMULT($I$43:$K$45,BJ51:BJ53)</f>
        <v>36.071121933893593</v>
      </c>
      <c r="BK64" s="168">
        <f t="array" ref="BK64:BK66">MMULT($I$43:$K$45,BK51:BK53)</f>
        <v>19.932112074511132</v>
      </c>
      <c r="BL64" s="168">
        <f t="array" ref="BL64:BL66">MMULT($I$43:$K$45,BL51:BL53)</f>
        <v>16.653832262209377</v>
      </c>
      <c r="BM64" s="168">
        <f t="array" ref="BM64:BM66">MMULT($I$43:$K$45,BM51:BM53)</f>
        <v>72.088356371400963</v>
      </c>
      <c r="BN64" s="168">
        <f t="array" ref="BN64:BN66">MMULT($I$43:$K$45,BN51:BN53)</f>
        <v>79.270406859714697</v>
      </c>
      <c r="BO64" s="168">
        <f t="array" ref="BO64:BO66">MMULT($I$43:$K$45,BO51:BO53)</f>
        <v>51.298069223747468</v>
      </c>
      <c r="BP64" s="168">
        <f t="array" ref="BP64:BP66">MMULT($I$43:$K$45,BP51:BP53)</f>
        <v>37.804590188745721</v>
      </c>
      <c r="BQ64" s="168">
        <f t="array" ref="BQ64:BQ66">MMULT($I$43:$K$45,BQ51:BQ53)</f>
        <v>8.4664565463883754</v>
      </c>
      <c r="BR64" s="168">
        <f t="array" ref="BR64:BR66">MMULT($I$43:$K$45,BR51:BR53)</f>
        <v>20.38074853717556</v>
      </c>
      <c r="BS64" s="168">
        <f t="array" ref="BS64:BS66">MMULT($I$43:$K$45,BS51:BS53)</f>
        <v>9.6587493785028027</v>
      </c>
      <c r="BT64" s="168">
        <f t="array" ref="BT64:BT66">MMULT($I$43:$K$45,BT51:BT53)</f>
        <v>10.516331161394366</v>
      </c>
      <c r="BU64" s="168">
        <f t="array" ref="BU64:BU66">MMULT($I$43:$K$45,BU51:BU53)</f>
        <v>12.295041317675615</v>
      </c>
      <c r="BV64" s="168">
        <f t="array" ref="BV64:BV66">MMULT($I$43:$K$45,BV51:BV53)</f>
        <v>29.807262012151561</v>
      </c>
      <c r="BW64" s="168">
        <f t="array" ref="BW64:BW66">MMULT($I$43:$K$45,BW51:BW53)</f>
        <v>21.083413138899569</v>
      </c>
      <c r="BX64" s="168">
        <f t="array" ref="BX64:BX66">MMULT($I$43:$K$45,BX51:BX53)</f>
        <v>40.146894176618183</v>
      </c>
      <c r="BY64" s="168">
        <f t="array" ref="BY64:BY66">MMULT($I$43:$K$45,BY51:BY53)</f>
        <v>6.927197854917936</v>
      </c>
      <c r="BZ64" s="168">
        <f t="array" ref="BZ64:BZ66">MMULT($I$43:$K$45,BZ51:BZ53)</f>
        <v>53.120508836248838</v>
      </c>
      <c r="CA64" s="168">
        <f t="array" ref="CA64:CA66">MMULT($I$43:$K$45,CA51:CA53)</f>
        <v>20.243768353737412</v>
      </c>
      <c r="CB64" s="168">
        <f t="array" ref="CB64:CB66">MMULT($I$43:$K$45,CB51:CB53)</f>
        <v>5.5903158668258133</v>
      </c>
      <c r="CC64" s="168">
        <f t="array" ref="CC64:CC66">MMULT($I$43:$K$45,CC51:CC53)</f>
        <v>6.2538601761301571</v>
      </c>
      <c r="CD64" s="168">
        <f t="array" ref="CD64:CD66">MMULT($I$43:$K$45,CD51:CD53)</f>
        <v>13.390204135366515</v>
      </c>
      <c r="CE64" s="168">
        <f t="array" ref="CE64:CE66">MMULT($I$43:$K$45,CE51:CE53)</f>
        <v>12.959358397805332</v>
      </c>
      <c r="CF64" s="168">
        <f t="array" ref="CF64:CF66">MMULT($I$43:$K$45,CF51:CF53)</f>
        <v>11.272730032072566</v>
      </c>
      <c r="CG64" s="168">
        <f t="array" ref="CG64:CG66">MMULT($I$43:$K$45,CG51:CG53)</f>
        <v>47.235303802430884</v>
      </c>
      <c r="CH64" s="168">
        <f t="array" ref="CH64:CH66">MMULT($I$43:$K$45,CH51:CH53)</f>
        <v>35.692200444886417</v>
      </c>
      <c r="CI64" s="168">
        <f t="array" ref="CI64:CI66">MMULT($I$43:$K$45,CI51:CI53)</f>
        <v>14.074633363187983</v>
      </c>
      <c r="CJ64" s="168">
        <f t="array" ref="CJ64:CJ66">MMULT($I$43:$K$45,CJ51:CJ53)</f>
        <v>78.049586937983506</v>
      </c>
      <c r="CK64" s="168">
        <f t="array" ref="CK64:CK66">MMULT($I$43:$K$45,CK51:CK53)</f>
        <v>47.793380815986083</v>
      </c>
      <c r="CL64" s="168">
        <f t="array" ref="CL64:CL66">MMULT($I$43:$K$45,CL51:CL53)</f>
        <v>5.7072767488464464</v>
      </c>
      <c r="CM64" s="168">
        <f t="array" ref="CM64:CM66">MMULT($I$43:$K$45,CM51:CM53)</f>
        <v>12.917202249145348</v>
      </c>
      <c r="CN64" s="168">
        <f t="array" ref="CN64:CN66">MMULT($I$43:$K$45,CN51:CN53)</f>
        <v>37.936893679171931</v>
      </c>
      <c r="CO64" s="168">
        <f t="array" ref="CO64:CO66">MMULT($I$43:$K$45,CO51:CO53)</f>
        <v>12.315426926113378</v>
      </c>
      <c r="CP64" s="168">
        <f t="array" ref="CP64:CP66">MMULT($I$43:$K$45,CP51:CP53)</f>
        <v>35.429870295826291</v>
      </c>
      <c r="CQ64" s="168">
        <f t="array" ref="CQ64:CQ66">MMULT($I$43:$K$45,CQ51:CQ53)</f>
        <v>12.116285561048288</v>
      </c>
      <c r="CR64" s="168">
        <f t="array" ref="CR64:CR66">MMULT($I$43:$K$45,CR51:CR53)</f>
        <v>16.482368830471188</v>
      </c>
      <c r="CS64" s="168">
        <f t="array" ref="CS64:CS66">MMULT($I$43:$K$45,CS51:CS53)</f>
        <v>63.80852115115276</v>
      </c>
      <c r="CT64" s="168">
        <f t="array" ref="CT64:CT66">MMULT($I$43:$K$45,CT51:CT53)</f>
        <v>28.497212029802853</v>
      </c>
      <c r="CU64" s="168">
        <f t="array" ref="CU64:CU66">MMULT($I$43:$K$45,CU51:CU53)</f>
        <v>42.61927378823443</v>
      </c>
      <c r="CV64" s="168">
        <f t="array" ref="CV64:CV66">MMULT($I$43:$K$45,CV51:CV53)</f>
        <v>14.373986542912014</v>
      </c>
      <c r="CW64" s="168">
        <f t="array" ref="CW64:CW66">MMULT($I$43:$K$45,CW51:CW53)</f>
        <v>49.138609326451629</v>
      </c>
      <c r="CX64" s="168">
        <f t="array" ref="CX64:CX66">MMULT($I$43:$K$45,CX51:CX53)</f>
        <v>64.264866059002884</v>
      </c>
      <c r="CY64" s="168">
        <f t="array" ref="CY64:CY66">MMULT($I$43:$K$45,CY51:CY53)</f>
        <v>25.635702213482112</v>
      </c>
      <c r="CZ64" s="168">
        <f t="array" ref="CZ64:CZ66">MMULT($I$43:$K$45,CZ51:CZ53)</f>
        <v>45.032421319100912</v>
      </c>
      <c r="DA64" s="168">
        <f t="array" ref="DA64:DA66">MMULT($I$43:$K$45,DA51:DA53)</f>
        <v>29.863478661955362</v>
      </c>
      <c r="DC64">
        <v>60</v>
      </c>
      <c r="DD64" s="114">
        <v>88.404100177790994</v>
      </c>
      <c r="DE64" s="114">
        <v>-6.6122659861702013</v>
      </c>
      <c r="DF64" s="114">
        <v>-2.8468345169817977</v>
      </c>
      <c r="DG64" s="114">
        <v>87.930187932816978</v>
      </c>
      <c r="DH64" s="114">
        <v>-4.4814322723591049</v>
      </c>
      <c r="DI64" s="114">
        <v>-1.9896937913828796</v>
      </c>
      <c r="DJ64" s="114">
        <v>2.3451514567998677</v>
      </c>
      <c r="DK64" s="114">
        <f t="shared" si="0"/>
        <v>5.4997353553305421</v>
      </c>
      <c r="DL64" s="114">
        <f t="shared" si="1"/>
        <v>3.5481450200706042</v>
      </c>
      <c r="DM64" s="114">
        <f t="shared" si="2"/>
        <v>203.2937347504064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7.7010115043346135</v>
      </c>
      <c r="D65" s="112"/>
      <c r="E65" s="172" t="s">
        <v>292</v>
      </c>
      <c r="F65" s="168">
        <v>92.504893989274905</v>
      </c>
      <c r="G65" s="168">
        <v>51.831643955739729</v>
      </c>
      <c r="H65" s="168">
        <v>16.533439286064212</v>
      </c>
      <c r="I65" s="168">
        <v>4.416770116373872</v>
      </c>
      <c r="J65" s="168">
        <v>27.239328303654322</v>
      </c>
      <c r="K65" s="168">
        <v>8.2801425367257835</v>
      </c>
      <c r="L65" s="168">
        <v>12.68749838815611</v>
      </c>
      <c r="M65" s="168">
        <v>5.6287189818039476</v>
      </c>
      <c r="N65" s="168">
        <v>5.7855232916763404</v>
      </c>
      <c r="O65" s="168">
        <v>4.4631616449004925</v>
      </c>
      <c r="P65" s="168">
        <v>28.029074281340748</v>
      </c>
      <c r="Q65" s="168">
        <v>13.6765882927312</v>
      </c>
      <c r="R65" s="168">
        <v>17.196156631078729</v>
      </c>
      <c r="S65" s="168">
        <v>8.2286663411343106</v>
      </c>
      <c r="T65" s="168">
        <v>37.482899567528484</v>
      </c>
      <c r="U65" s="168">
        <v>31.862119172640636</v>
      </c>
      <c r="V65" s="168">
        <v>10.603711894790957</v>
      </c>
      <c r="W65" s="168">
        <v>12.156867198726676</v>
      </c>
      <c r="X65" s="168">
        <v>17.462926628763579</v>
      </c>
      <c r="Y65" s="168">
        <v>30.455269924731592</v>
      </c>
      <c r="Z65" s="168">
        <v>22.87373100664848</v>
      </c>
      <c r="AA65" s="168">
        <v>50.852742260684394</v>
      </c>
      <c r="AB65" s="168">
        <v>38.119333123106543</v>
      </c>
      <c r="AC65" s="168">
        <v>68.966886755799649</v>
      </c>
      <c r="AD65" s="168">
        <v>64.302987870663657</v>
      </c>
      <c r="AE65" s="168">
        <v>31.743098634261582</v>
      </c>
      <c r="AF65" s="168">
        <v>61.771578766846481</v>
      </c>
      <c r="AG65" s="168">
        <v>37.929018954384162</v>
      </c>
      <c r="AH65" s="168">
        <v>10.122988768607922</v>
      </c>
      <c r="AI65" s="168">
        <v>58.824043344084807</v>
      </c>
      <c r="AJ65" s="168">
        <v>27.065733771651001</v>
      </c>
      <c r="AK65" s="168">
        <v>63.152396661551478</v>
      </c>
      <c r="AL65" s="168">
        <v>40.463838344109398</v>
      </c>
      <c r="AM65" s="168">
        <v>66.59574767204505</v>
      </c>
      <c r="AN65" s="168">
        <v>25.638425366936978</v>
      </c>
      <c r="AO65" s="168">
        <v>10.766346847017818</v>
      </c>
      <c r="AP65" s="168">
        <v>49.557917378745863</v>
      </c>
      <c r="AQ65" s="168">
        <v>14.527384106195845</v>
      </c>
      <c r="AR65" s="168">
        <v>61.086881996786843</v>
      </c>
      <c r="AS65" s="168">
        <v>7.2218106717133699</v>
      </c>
      <c r="AT65" s="168">
        <v>15.914119404210942</v>
      </c>
      <c r="AU65" s="168">
        <v>64.980329505203457</v>
      </c>
      <c r="AV65" s="168">
        <v>37.474977018323301</v>
      </c>
      <c r="AW65" s="168">
        <v>43.068931748949652</v>
      </c>
      <c r="AX65" s="168">
        <v>4.6175123490740129</v>
      </c>
      <c r="AY65" s="168">
        <v>25.793620911150771</v>
      </c>
      <c r="AZ65" s="168">
        <v>33.83827285822219</v>
      </c>
      <c r="BA65" s="168">
        <v>36.642887208615392</v>
      </c>
      <c r="BB65" s="168">
        <v>51.623776662777637</v>
      </c>
      <c r="BC65" s="168">
        <v>15.188254209975716</v>
      </c>
      <c r="BD65" s="168">
        <v>21.722635693629933</v>
      </c>
      <c r="BE65" s="168">
        <v>24.81631362810414</v>
      </c>
      <c r="BF65" s="168">
        <v>12.29563244794196</v>
      </c>
      <c r="BG65" s="168">
        <v>20.259232183010965</v>
      </c>
      <c r="BH65" s="168">
        <v>66.695996703373893</v>
      </c>
      <c r="BI65" s="168">
        <v>60.383456717363394</v>
      </c>
      <c r="BJ65" s="168">
        <v>44.529899612202939</v>
      </c>
      <c r="BK65" s="168">
        <v>28.023687405806601</v>
      </c>
      <c r="BL65" s="168">
        <v>24.097041956903546</v>
      </c>
      <c r="BM65" s="168">
        <v>66.042824187016194</v>
      </c>
      <c r="BN65" s="168">
        <v>65.595970075710753</v>
      </c>
      <c r="BO65" s="168">
        <v>46.964438812250521</v>
      </c>
      <c r="BP65" s="168">
        <v>31.513322071544799</v>
      </c>
      <c r="BQ65" s="168">
        <v>6.8454231102268297</v>
      </c>
      <c r="BR65" s="168">
        <v>27.811362212378139</v>
      </c>
      <c r="BS65" s="168">
        <v>10.879267781392347</v>
      </c>
      <c r="BT65" s="168">
        <v>14.81907856747466</v>
      </c>
      <c r="BU65" s="168">
        <v>17.223152188094485</v>
      </c>
      <c r="BV65" s="168">
        <v>30.193515819571711</v>
      </c>
      <c r="BW65" s="168">
        <v>18.315820596178057</v>
      </c>
      <c r="BX65" s="168">
        <v>41.168118313792398</v>
      </c>
      <c r="BY65" s="168">
        <v>7.8651681229734534</v>
      </c>
      <c r="BZ65" s="168">
        <v>44.364165111744576</v>
      </c>
      <c r="CA65" s="168">
        <v>24.348503996056611</v>
      </c>
      <c r="CB65" s="168">
        <v>4.4843702348806183</v>
      </c>
      <c r="CC65" s="168">
        <v>6.712187513949778</v>
      </c>
      <c r="CD65" s="168">
        <v>14.723718128003791</v>
      </c>
      <c r="CE65" s="168">
        <v>12.206524075206454</v>
      </c>
      <c r="CF65" s="168">
        <v>11.990321060739888</v>
      </c>
      <c r="CG65" s="168">
        <v>39.319944857393807</v>
      </c>
      <c r="CH65" s="168">
        <v>28.353685068444396</v>
      </c>
      <c r="CI65" s="168">
        <v>10.219151716563893</v>
      </c>
      <c r="CJ65" s="168">
        <v>61.359690758753466</v>
      </c>
      <c r="CK65" s="168">
        <v>36.927701833148454</v>
      </c>
      <c r="CL65" s="168">
        <v>4.1966840876257878</v>
      </c>
      <c r="CM65" s="168">
        <v>9.2715539850210504</v>
      </c>
      <c r="CN65" s="168">
        <v>26.222239867211417</v>
      </c>
      <c r="CO65" s="168">
        <v>7.2268932528964722</v>
      </c>
      <c r="CP65" s="168">
        <v>21.241466040544104</v>
      </c>
      <c r="CQ65" s="168">
        <v>6.4674844482417218</v>
      </c>
      <c r="CR65" s="168">
        <v>8.423552400916007</v>
      </c>
      <c r="CS65" s="168">
        <v>48.628157529382207</v>
      </c>
      <c r="CT65" s="168">
        <v>17.273768066780338</v>
      </c>
      <c r="CU65" s="168">
        <v>28.022776748141489</v>
      </c>
      <c r="CV65" s="168">
        <v>6.3280105358498933</v>
      </c>
      <c r="CW65" s="168">
        <v>29.740209888790794</v>
      </c>
      <c r="CX65" s="168">
        <v>40.43867807737476</v>
      </c>
      <c r="CY65" s="168">
        <v>12.683454616041104</v>
      </c>
      <c r="CZ65" s="168">
        <v>19.246215658446683</v>
      </c>
      <c r="DA65" s="168">
        <v>10.310517828262414</v>
      </c>
      <c r="DC65">
        <v>61</v>
      </c>
      <c r="DD65" s="114">
        <v>76.883610228850117</v>
      </c>
      <c r="DE65" s="114">
        <v>-14.432183978192667</v>
      </c>
      <c r="DF65" s="114">
        <v>-5.6659381219181606</v>
      </c>
      <c r="DG65" s="114">
        <v>75.762905722813471</v>
      </c>
      <c r="DH65" s="114">
        <v>-9.5554423409785159</v>
      </c>
      <c r="DI65" s="114">
        <v>-6.7320849013954787</v>
      </c>
      <c r="DJ65" s="114">
        <v>5.1161759685705546</v>
      </c>
      <c r="DK65" s="114">
        <f t="shared" si="0"/>
        <v>26.175256541378854</v>
      </c>
      <c r="DL65" s="114">
        <f t="shared" si="1"/>
        <v>3.5156952442348479</v>
      </c>
      <c r="DM65" s="114">
        <f t="shared" si="2"/>
        <v>201.43449954887194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7.8415826140602896</v>
      </c>
      <c r="D66" s="112"/>
      <c r="E66" s="172" t="s">
        <v>55</v>
      </c>
      <c r="F66" s="168">
        <v>38.432085815977565</v>
      </c>
      <c r="G66" s="168">
        <v>23.250330256584146</v>
      </c>
      <c r="H66" s="168">
        <v>8.4986203459489733</v>
      </c>
      <c r="I66" s="168">
        <v>2.0400956922868181</v>
      </c>
      <c r="J66" s="168">
        <v>10.941651511932365</v>
      </c>
      <c r="K66" s="168">
        <v>3.6278107425754622</v>
      </c>
      <c r="L66" s="168">
        <v>4.8514554387033133</v>
      </c>
      <c r="M66" s="168">
        <v>2.2358446877070266</v>
      </c>
      <c r="N66" s="168">
        <v>2.3076526770471308</v>
      </c>
      <c r="O66" s="168">
        <v>1.8784557659010406</v>
      </c>
      <c r="P66" s="168">
        <v>7.4779901938869004</v>
      </c>
      <c r="Q66" s="168">
        <v>2.9979282536276322</v>
      </c>
      <c r="R66" s="168">
        <v>3.645398410774602</v>
      </c>
      <c r="S66" s="168">
        <v>2.0368928279885417</v>
      </c>
      <c r="T66" s="168">
        <v>13.888783042481306</v>
      </c>
      <c r="U66" s="168">
        <v>10.502472490506934</v>
      </c>
      <c r="V66" s="168">
        <v>2.3837222124327822</v>
      </c>
      <c r="W66" s="168">
        <v>2.5691850068243065</v>
      </c>
      <c r="X66" s="168">
        <v>4.7539366455137415</v>
      </c>
      <c r="Y66" s="168">
        <v>5.3632859750127126</v>
      </c>
      <c r="Z66" s="168">
        <v>2.9426035863238411</v>
      </c>
      <c r="AA66" s="168">
        <v>7.8319469447675267</v>
      </c>
      <c r="AB66" s="168">
        <v>5.1633413063522644</v>
      </c>
      <c r="AC66" s="168">
        <v>21.478418180882805</v>
      </c>
      <c r="AD66" s="168">
        <v>12.455399178607458</v>
      </c>
      <c r="AE66" s="168">
        <v>2.8165993821238082</v>
      </c>
      <c r="AF66" s="168">
        <v>9.4650094102778208</v>
      </c>
      <c r="AG66" s="168">
        <v>9.9702925120151455</v>
      </c>
      <c r="AH66" s="168">
        <v>2.0013711664297409</v>
      </c>
      <c r="AI66" s="168">
        <v>8.7483186437674281</v>
      </c>
      <c r="AJ66" s="168">
        <v>6.2920981527896798</v>
      </c>
      <c r="AK66" s="168">
        <v>9.5535495387167622</v>
      </c>
      <c r="AL66" s="168">
        <v>4.3151667934843205</v>
      </c>
      <c r="AM66" s="168">
        <v>16.006434602418189</v>
      </c>
      <c r="AN66" s="168">
        <v>2.7475923807600946</v>
      </c>
      <c r="AO66" s="168">
        <v>2.1605469987264452</v>
      </c>
      <c r="AP66" s="168">
        <v>17.542474585166627</v>
      </c>
      <c r="AQ66" s="168">
        <v>2.4591245940307149</v>
      </c>
      <c r="AR66" s="168">
        <v>16.238804321570136</v>
      </c>
      <c r="AS66" s="168">
        <v>2.2345948648198681</v>
      </c>
      <c r="AT66" s="168">
        <v>3.9297777635258782</v>
      </c>
      <c r="AU66" s="168">
        <v>22.353891143408063</v>
      </c>
      <c r="AV66" s="168">
        <v>4.1714283308946998</v>
      </c>
      <c r="AW66" s="168">
        <v>4.9121777737356886</v>
      </c>
      <c r="AX66" s="168">
        <v>1.8225255457441683</v>
      </c>
      <c r="AY66" s="168">
        <v>4.1483306909284421</v>
      </c>
      <c r="AZ66" s="168">
        <v>7.6299306185238898</v>
      </c>
      <c r="BA66" s="168">
        <v>10.669720159541452</v>
      </c>
      <c r="BB66" s="168">
        <v>12.600578558761638</v>
      </c>
      <c r="BC66" s="168">
        <v>3.1791313188844303</v>
      </c>
      <c r="BD66" s="168">
        <v>6.3045529373077747</v>
      </c>
      <c r="BE66" s="168">
        <v>7.8451864482951743</v>
      </c>
      <c r="BF66" s="168">
        <v>3.1029605958505586</v>
      </c>
      <c r="BG66" s="168">
        <v>5.5312002747242808</v>
      </c>
      <c r="BH66" s="168">
        <v>25.948815211685879</v>
      </c>
      <c r="BI66" s="168">
        <v>23.966392444331031</v>
      </c>
      <c r="BJ66" s="168">
        <v>16.681913501241684</v>
      </c>
      <c r="BK66" s="168">
        <v>10.310925906157996</v>
      </c>
      <c r="BL66" s="168">
        <v>9.532398362002068</v>
      </c>
      <c r="BM66" s="168">
        <v>26.995286141865982</v>
      </c>
      <c r="BN66" s="168">
        <v>27.673054637211045</v>
      </c>
      <c r="BO66" s="168">
        <v>20.221253293020506</v>
      </c>
      <c r="BP66" s="168">
        <v>13.739540575277802</v>
      </c>
      <c r="BQ66" s="168">
        <v>3.00480829879166</v>
      </c>
      <c r="BR66" s="168">
        <v>14.714520451333065</v>
      </c>
      <c r="BS66" s="168">
        <v>5.4827494614862822</v>
      </c>
      <c r="BT66" s="168">
        <v>9.1343963215026793</v>
      </c>
      <c r="BU66" s="168">
        <v>10.98219831593574</v>
      </c>
      <c r="BV66" s="168">
        <v>16.389704201516867</v>
      </c>
      <c r="BW66" s="168">
        <v>9.2740844617345619</v>
      </c>
      <c r="BX66" s="168">
        <v>25.487703317894407</v>
      </c>
      <c r="BY66" s="168">
        <v>6.2311648804828321</v>
      </c>
      <c r="BZ66" s="168">
        <v>20.541575812405711</v>
      </c>
      <c r="CA66" s="168">
        <v>19.294097953023492</v>
      </c>
      <c r="CB66" s="168">
        <v>2.0494883903390315</v>
      </c>
      <c r="CC66" s="168">
        <v>5.8925946116949159</v>
      </c>
      <c r="CD66" s="168">
        <v>16.215902821597929</v>
      </c>
      <c r="CE66" s="168">
        <v>10.014214649014882</v>
      </c>
      <c r="CF66" s="168">
        <v>13.801299716948879</v>
      </c>
      <c r="CG66" s="168">
        <v>24.003257323271907</v>
      </c>
      <c r="CH66" s="168">
        <v>20.388553833208277</v>
      </c>
      <c r="CI66" s="168">
        <v>11.438614222784199</v>
      </c>
      <c r="CJ66" s="168">
        <v>29.476943783840504</v>
      </c>
      <c r="CK66" s="168">
        <v>21.450448275019024</v>
      </c>
      <c r="CL66" s="168">
        <v>2.2528005151879515</v>
      </c>
      <c r="CM66" s="168">
        <v>5.8436999058780952</v>
      </c>
      <c r="CN66" s="168">
        <v>19.927668186075568</v>
      </c>
      <c r="CO66" s="168">
        <v>7.6726990462026201</v>
      </c>
      <c r="CP66" s="168">
        <v>16.270386041132902</v>
      </c>
      <c r="CQ66" s="168">
        <v>5.8441556150520562</v>
      </c>
      <c r="CR66" s="168">
        <v>7.745855834817422</v>
      </c>
      <c r="CS66" s="168">
        <v>21.16678500625606</v>
      </c>
      <c r="CT66" s="168">
        <v>10.436184619729241</v>
      </c>
      <c r="CU66" s="168">
        <v>14.895898007916255</v>
      </c>
      <c r="CV66" s="168">
        <v>4.9319834422990869</v>
      </c>
      <c r="CW66" s="168">
        <v>16.309655301128139</v>
      </c>
      <c r="CX66" s="168">
        <v>20.883748977772903</v>
      </c>
      <c r="CY66" s="168">
        <v>7.6210035171178703</v>
      </c>
      <c r="CZ66" s="168">
        <v>11.307433825377434</v>
      </c>
      <c r="DA66" s="168">
        <v>6.9425345627939405</v>
      </c>
      <c r="DC66">
        <v>62</v>
      </c>
      <c r="DD66" s="114">
        <v>67.316766473294095</v>
      </c>
      <c r="DE66" s="114">
        <v>-5.9288807002652826</v>
      </c>
      <c r="DF66" s="114">
        <v>-4.3656547303413626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4.5142605335468931</v>
      </c>
      <c r="DK66" s="114">
        <f t="shared" si="0"/>
        <v>20.37854816473908</v>
      </c>
      <c r="DL66" s="114">
        <f t="shared" si="1"/>
        <v>3.776291998677586</v>
      </c>
      <c r="DM66" s="114">
        <f t="shared" si="2"/>
        <v>216.36559373324795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7.9803403582829207</v>
      </c>
      <c r="D67" s="112"/>
      <c r="E67" s="172" t="s">
        <v>293</v>
      </c>
      <c r="F67" s="168">
        <f t="array" ref="F67:F69">MMULT($I$43:$K$45,F54:F56)</f>
        <v>117.58062685899085</v>
      </c>
      <c r="G67" s="168">
        <f t="array" ref="G67:G69">MMULT($I$43:$K$45,G54:G56)</f>
        <v>117.58062685899085</v>
      </c>
      <c r="H67" s="168">
        <f t="array" ref="H67:H69">MMULT($I$43:$K$45,H54:H56)</f>
        <v>117.58062685899085</v>
      </c>
      <c r="I67" s="168">
        <f t="array" ref="I67:I69">MMULT($I$43:$K$45,I54:I56)</f>
        <v>117.58062685899085</v>
      </c>
      <c r="J67" s="168">
        <f t="array" ref="J67:J69">MMULT($I$43:$K$45,J54:J56)</f>
        <v>117.58062685899085</v>
      </c>
      <c r="K67" s="168">
        <f t="array" ref="K67:K69">MMULT($I$43:$K$45,K54:K56)</f>
        <v>117.58062685899085</v>
      </c>
      <c r="L67" s="168">
        <f t="array" ref="L67:L69">MMULT($I$43:$K$45,L54:L56)</f>
        <v>117.58062685899085</v>
      </c>
      <c r="M67" s="168">
        <f t="array" ref="M67:M69">MMULT($I$43:$K$45,M54:M56)</f>
        <v>117.58062685899085</v>
      </c>
      <c r="N67" s="168">
        <f t="array" ref="N67:N69">MMULT($I$43:$K$45,N54:N56)</f>
        <v>117.58062685899085</v>
      </c>
      <c r="O67" s="168">
        <f t="array" ref="O67:O69">MMULT($I$43:$K$45,O54:O56)</f>
        <v>117.58062685899085</v>
      </c>
      <c r="P67" s="168">
        <f t="array" ref="P67:P69">MMULT($I$43:$K$45,P54:P56)</f>
        <v>117.58062685899085</v>
      </c>
      <c r="Q67" s="168">
        <f t="array" ref="Q67:Q69">MMULT($I$43:$K$45,Q54:Q56)</f>
        <v>117.58062685899085</v>
      </c>
      <c r="R67" s="168">
        <f t="array" ref="R67:R69">MMULT($I$43:$K$45,R54:R56)</f>
        <v>117.58062685899085</v>
      </c>
      <c r="S67" s="168">
        <f t="array" ref="S67:S69">MMULT($I$43:$K$45,S54:S56)</f>
        <v>117.58062685899085</v>
      </c>
      <c r="T67" s="168">
        <f t="array" ref="T67:T69">MMULT($I$43:$K$45,T54:T56)</f>
        <v>117.58062685899085</v>
      </c>
      <c r="U67" s="168">
        <f t="array" ref="U67:U69">MMULT($I$43:$K$45,U54:U56)</f>
        <v>117.58062685899085</v>
      </c>
      <c r="V67" s="168">
        <f t="array" ref="V67:V69">MMULT($I$43:$K$45,V54:V56)</f>
        <v>117.58062685899085</v>
      </c>
      <c r="W67" s="168">
        <f t="array" ref="W67:W69">MMULT($I$43:$K$45,W54:W56)</f>
        <v>117.58062685899085</v>
      </c>
      <c r="X67" s="168">
        <f t="array" ref="X67:X69">MMULT($I$43:$K$45,X54:X56)</f>
        <v>117.58062685899085</v>
      </c>
      <c r="Y67" s="168">
        <f t="array" ref="Y67:Y69">MMULT($I$43:$K$45,Y54:Y56)</f>
        <v>117.58062685899085</v>
      </c>
      <c r="Z67" s="168">
        <f t="array" ref="Z67:Z69">MMULT($I$43:$K$45,Z54:Z56)</f>
        <v>117.58062685899085</v>
      </c>
      <c r="AA67" s="168">
        <f t="array" ref="AA67:AA69">MMULT($I$43:$K$45,AA54:AA56)</f>
        <v>117.58062685899085</v>
      </c>
      <c r="AB67" s="168">
        <f t="array" ref="AB67:AB69">MMULT($I$43:$K$45,AB54:AB56)</f>
        <v>117.58062685899085</v>
      </c>
      <c r="AC67" s="168">
        <f t="array" ref="AC67:AC69">MMULT($I$43:$K$45,AC54:AC56)</f>
        <v>117.58062685899085</v>
      </c>
      <c r="AD67" s="168">
        <f t="array" ref="AD67:AD69">MMULT($I$43:$K$45,AD54:AD56)</f>
        <v>117.58062685899085</v>
      </c>
      <c r="AE67" s="168">
        <f t="array" ref="AE67:AE69">MMULT($I$43:$K$45,AE54:AE56)</f>
        <v>117.58062685899085</v>
      </c>
      <c r="AF67" s="168">
        <f t="array" ref="AF67:AF69">MMULT($I$43:$K$45,AF54:AF56)</f>
        <v>117.58062685899085</v>
      </c>
      <c r="AG67" s="168">
        <f t="array" ref="AG67:AG69">MMULT($I$43:$K$45,AG54:AG56)</f>
        <v>117.58062685899085</v>
      </c>
      <c r="AH67" s="168">
        <f t="array" ref="AH67:AH69">MMULT($I$43:$K$45,AH54:AH56)</f>
        <v>117.58062685899085</v>
      </c>
      <c r="AI67" s="168">
        <f t="array" ref="AI67:AI69">MMULT($I$43:$K$45,AI54:AI56)</f>
        <v>117.58062685899085</v>
      </c>
      <c r="AJ67" s="168">
        <f t="array" ref="AJ67:AJ69">MMULT($I$43:$K$45,AJ54:AJ56)</f>
        <v>117.58062685899085</v>
      </c>
      <c r="AK67" s="168">
        <f t="array" ref="AK67:AK69">MMULT($I$43:$K$45,AK54:AK56)</f>
        <v>117.58062685899085</v>
      </c>
      <c r="AL67" s="168">
        <f t="array" ref="AL67:AL69">MMULT($I$43:$K$45,AL54:AL56)</f>
        <v>117.58062685899085</v>
      </c>
      <c r="AM67" s="168">
        <f t="array" ref="AM67:AM69">MMULT($I$43:$K$45,AM54:AM56)</f>
        <v>117.58062685899085</v>
      </c>
      <c r="AN67" s="168">
        <f t="array" ref="AN67:AN69">MMULT($I$43:$K$45,AN54:AN56)</f>
        <v>117.58062685899085</v>
      </c>
      <c r="AO67" s="168">
        <f t="array" ref="AO67:AO69">MMULT($I$43:$K$45,AO54:AO56)</f>
        <v>117.58062685899085</v>
      </c>
      <c r="AP67" s="168">
        <f t="array" ref="AP67:AP69">MMULT($I$43:$K$45,AP54:AP56)</f>
        <v>117.58062685899085</v>
      </c>
      <c r="AQ67" s="168">
        <f t="array" ref="AQ67:AQ69">MMULT($I$43:$K$45,AQ54:AQ56)</f>
        <v>117.58062685899085</v>
      </c>
      <c r="AR67" s="168">
        <f t="array" ref="AR67:AR69">MMULT($I$43:$K$45,AR54:AR56)</f>
        <v>117.58062685899085</v>
      </c>
      <c r="AS67" s="168">
        <f t="array" ref="AS67:AS69">MMULT($I$43:$K$45,AS54:AS56)</f>
        <v>117.58062685899085</v>
      </c>
      <c r="AT67" s="168">
        <f t="array" ref="AT67:AT69">MMULT($I$43:$K$45,AT54:AT56)</f>
        <v>117.58062685899085</v>
      </c>
      <c r="AU67" s="168">
        <f t="array" ref="AU67:AU69">MMULT($I$43:$K$45,AU54:AU56)</f>
        <v>117.58062685899085</v>
      </c>
      <c r="AV67" s="168">
        <f t="array" ref="AV67:AV69">MMULT($I$43:$K$45,AV54:AV56)</f>
        <v>117.58062685899085</v>
      </c>
      <c r="AW67" s="168">
        <f t="array" ref="AW67:AW69">MMULT($I$43:$K$45,AW54:AW56)</f>
        <v>117.58062685899085</v>
      </c>
      <c r="AX67" s="168">
        <f t="array" ref="AX67:AX69">MMULT($I$43:$K$45,AX54:AX56)</f>
        <v>117.58062685899085</v>
      </c>
      <c r="AY67" s="168">
        <f t="array" ref="AY67:AY69">MMULT($I$43:$K$45,AY54:AY56)</f>
        <v>117.58062685899085</v>
      </c>
      <c r="AZ67" s="168">
        <f t="array" ref="AZ67:AZ69">MMULT($I$43:$K$45,AZ54:AZ56)</f>
        <v>117.58062685899085</v>
      </c>
      <c r="BA67" s="168">
        <f t="array" ref="BA67:BA69">MMULT($I$43:$K$45,BA54:BA56)</f>
        <v>117.58062685899085</v>
      </c>
      <c r="BB67" s="168">
        <f t="array" ref="BB67:BB69">MMULT($I$43:$K$45,BB54:BB56)</f>
        <v>117.58062685899085</v>
      </c>
      <c r="BC67" s="168">
        <f t="array" ref="BC67:BC69">MMULT($I$43:$K$45,BC54:BC56)</f>
        <v>117.58062685899085</v>
      </c>
      <c r="BD67" s="168">
        <f t="array" ref="BD67:BD69">MMULT($I$43:$K$45,BD54:BD56)</f>
        <v>117.58062685899085</v>
      </c>
      <c r="BE67" s="168">
        <f t="array" ref="BE67:BE69">MMULT($I$43:$K$45,BE54:BE56)</f>
        <v>117.58062685899085</v>
      </c>
      <c r="BF67" s="168">
        <f t="array" ref="BF67:BF69">MMULT($I$43:$K$45,BF54:BF56)</f>
        <v>117.58062685899085</v>
      </c>
      <c r="BG67" s="168">
        <f t="array" ref="BG67:BG69">MMULT($I$43:$K$45,BG54:BG56)</f>
        <v>117.58062685899085</v>
      </c>
      <c r="BH67" s="168">
        <f t="array" ref="BH67:BH69">MMULT($I$43:$K$45,BH54:BH56)</f>
        <v>117.58062685899085</v>
      </c>
      <c r="BI67" s="168">
        <f t="array" ref="BI67:BI69">MMULT($I$43:$K$45,BI54:BI56)</f>
        <v>117.58062685899085</v>
      </c>
      <c r="BJ67" s="168">
        <f t="array" ref="BJ67:BJ69">MMULT($I$43:$K$45,BJ54:BJ56)</f>
        <v>117.58062685899085</v>
      </c>
      <c r="BK67" s="168">
        <f t="array" ref="BK67:BK69">MMULT($I$43:$K$45,BK54:BK56)</f>
        <v>117.58062685899085</v>
      </c>
      <c r="BL67" s="168">
        <f t="array" ref="BL67:BL69">MMULT($I$43:$K$45,BL54:BL56)</f>
        <v>117.58062685899085</v>
      </c>
      <c r="BM67" s="168">
        <f t="array" ref="BM67:BM69">MMULT($I$43:$K$45,BM54:BM56)</f>
        <v>117.58062685899085</v>
      </c>
      <c r="BN67" s="168">
        <f t="array" ref="BN67:BN69">MMULT($I$43:$K$45,BN54:BN56)</f>
        <v>117.58062685899085</v>
      </c>
      <c r="BO67" s="168">
        <f t="array" ref="BO67:BO69">MMULT($I$43:$K$45,BO54:BO56)</f>
        <v>117.58062685899085</v>
      </c>
      <c r="BP67" s="168">
        <f t="array" ref="BP67:BP69">MMULT($I$43:$K$45,BP54:BP56)</f>
        <v>117.58062685899085</v>
      </c>
      <c r="BQ67" s="168">
        <f t="array" ref="BQ67:BQ69">MMULT($I$43:$K$45,BQ54:BQ56)</f>
        <v>117.58062685899085</v>
      </c>
      <c r="BR67" s="168">
        <f t="array" ref="BR67:BR69">MMULT($I$43:$K$45,BR54:BR56)</f>
        <v>117.58062685899085</v>
      </c>
      <c r="BS67" s="168">
        <f t="array" ref="BS67:BS69">MMULT($I$43:$K$45,BS54:BS56)</f>
        <v>117.58062685899085</v>
      </c>
      <c r="BT67" s="168">
        <f t="array" ref="BT67:BT69">MMULT($I$43:$K$45,BT54:BT56)</f>
        <v>117.58062685899085</v>
      </c>
      <c r="BU67" s="168">
        <f t="array" ref="BU67:BU69">MMULT($I$43:$K$45,BU54:BU56)</f>
        <v>117.58062685899085</v>
      </c>
      <c r="BV67" s="168">
        <f t="array" ref="BV67:BV69">MMULT($I$43:$K$45,BV54:BV56)</f>
        <v>117.58062685899085</v>
      </c>
      <c r="BW67" s="168">
        <f t="array" ref="BW67:BW69">MMULT($I$43:$K$45,BW54:BW56)</f>
        <v>117.58062685899085</v>
      </c>
      <c r="BX67" s="168">
        <f t="array" ref="BX67:BX69">MMULT($I$43:$K$45,BX54:BX56)</f>
        <v>117.58062685899085</v>
      </c>
      <c r="BY67" s="168">
        <f t="array" ref="BY67:BY69">MMULT($I$43:$K$45,BY54:BY56)</f>
        <v>117.58062685899085</v>
      </c>
      <c r="BZ67" s="168">
        <f t="array" ref="BZ67:BZ69">MMULT($I$43:$K$45,BZ54:BZ56)</f>
        <v>117.58062685899085</v>
      </c>
      <c r="CA67" s="168">
        <f t="array" ref="CA67:CA69">MMULT($I$43:$K$45,CA54:CA56)</f>
        <v>117.58062685899085</v>
      </c>
      <c r="CB67" s="168">
        <f t="array" ref="CB67:CB69">MMULT($I$43:$K$45,CB54:CB56)</f>
        <v>117.58062685899085</v>
      </c>
      <c r="CC67" s="168">
        <f t="array" ref="CC67:CC69">MMULT($I$43:$K$45,CC54:CC56)</f>
        <v>117.58062685899085</v>
      </c>
      <c r="CD67" s="168">
        <f t="array" ref="CD67:CD69">MMULT($I$43:$K$45,CD54:CD56)</f>
        <v>117.58062685899085</v>
      </c>
      <c r="CE67" s="168">
        <f t="array" ref="CE67:CE69">MMULT($I$43:$K$45,CE54:CE56)</f>
        <v>117.58062685899085</v>
      </c>
      <c r="CF67" s="168">
        <f t="array" ref="CF67:CF69">MMULT($I$43:$K$45,CF54:CF56)</f>
        <v>117.58062685899085</v>
      </c>
      <c r="CG67" s="168">
        <f t="array" ref="CG67:CG69">MMULT($I$43:$K$45,CG54:CG56)</f>
        <v>117.58062685899085</v>
      </c>
      <c r="CH67" s="168">
        <f t="array" ref="CH67:CH69">MMULT($I$43:$K$45,CH54:CH56)</f>
        <v>117.58062685899085</v>
      </c>
      <c r="CI67" s="168">
        <f t="array" ref="CI67:CI69">MMULT($I$43:$K$45,CI54:CI56)</f>
        <v>117.58062685899085</v>
      </c>
      <c r="CJ67" s="168">
        <f t="array" ref="CJ67:CJ69">MMULT($I$43:$K$45,CJ54:CJ56)</f>
        <v>117.58062685899085</v>
      </c>
      <c r="CK67" s="168">
        <f t="array" ref="CK67:CK69">MMULT($I$43:$K$45,CK54:CK56)</f>
        <v>117.58062685899085</v>
      </c>
      <c r="CL67" s="168">
        <f t="array" ref="CL67:CL69">MMULT($I$43:$K$45,CL54:CL56)</f>
        <v>117.58062685899085</v>
      </c>
      <c r="CM67" s="168">
        <f t="array" ref="CM67:CM69">MMULT($I$43:$K$45,CM54:CM56)</f>
        <v>117.58062685899085</v>
      </c>
      <c r="CN67" s="168">
        <f t="array" ref="CN67:CN69">MMULT($I$43:$K$45,CN54:CN56)</f>
        <v>117.58062685899085</v>
      </c>
      <c r="CO67" s="168">
        <f t="array" ref="CO67:CO69">MMULT($I$43:$K$45,CO54:CO56)</f>
        <v>117.58062685899085</v>
      </c>
      <c r="CP67" s="168">
        <f t="array" ref="CP67:CP69">MMULT($I$43:$K$45,CP54:CP56)</f>
        <v>117.58062685899085</v>
      </c>
      <c r="CQ67" s="168">
        <f t="array" ref="CQ67:CQ69">MMULT($I$43:$K$45,CQ54:CQ56)</f>
        <v>117.58062685899085</v>
      </c>
      <c r="CR67" s="168">
        <f t="array" ref="CR67:CR69">MMULT($I$43:$K$45,CR54:CR56)</f>
        <v>117.58062685899085</v>
      </c>
      <c r="CS67" s="168">
        <f t="array" ref="CS67:CS69">MMULT($I$43:$K$45,CS54:CS56)</f>
        <v>117.58062685899085</v>
      </c>
      <c r="CT67" s="168">
        <f t="array" ref="CT67:CT69">MMULT($I$43:$K$45,CT54:CT56)</f>
        <v>117.58062685899085</v>
      </c>
      <c r="CU67" s="168">
        <f t="array" ref="CU67:CU69">MMULT($I$43:$K$45,CU54:CU56)</f>
        <v>117.58062685899085</v>
      </c>
      <c r="CV67" s="168">
        <f t="array" ref="CV67:CV69">MMULT($I$43:$K$45,CV54:CV56)</f>
        <v>117.58062685899085</v>
      </c>
      <c r="CW67" s="168">
        <f t="array" ref="CW67:CW69">MMULT($I$43:$K$45,CW54:CW56)</f>
        <v>117.58062685899085</v>
      </c>
      <c r="CX67" s="168">
        <f t="array" ref="CX67:CX69">MMULT($I$43:$K$45,CX54:CX56)</f>
        <v>117.58062685899085</v>
      </c>
      <c r="CY67" s="168">
        <f t="array" ref="CY67:CY69">MMULT($I$43:$K$45,CY54:CY56)</f>
        <v>117.58062685899085</v>
      </c>
      <c r="CZ67" s="168">
        <f t="array" ref="CZ67:CZ69">MMULT($I$43:$K$45,CZ54:CZ56)</f>
        <v>117.58062685899085</v>
      </c>
      <c r="DA67" s="168">
        <f t="array" ref="DA67:DA69">MMULT($I$43:$K$45,DA54:DA56)</f>
        <v>117.58062685899085</v>
      </c>
      <c r="DC67">
        <v>63</v>
      </c>
      <c r="DD67" s="114">
        <v>34.796533365610131</v>
      </c>
      <c r="DE67" s="114">
        <v>-1.8655500581969815</v>
      </c>
      <c r="DF67" s="114">
        <v>-2.8380612906410523</v>
      </c>
      <c r="DG67" s="114">
        <v>34.45111144800422</v>
      </c>
      <c r="DH67" s="114">
        <v>1.9407180964471344</v>
      </c>
      <c r="DI67" s="114">
        <v>0.3659783502989602</v>
      </c>
      <c r="DJ67" s="114">
        <v>4.987270153795107</v>
      </c>
      <c r="DK67" s="114">
        <f t="shared" si="0"/>
        <v>24.87286358693547</v>
      </c>
      <c r="DL67" s="114">
        <f t="shared" si="1"/>
        <v>4.13087632766109</v>
      </c>
      <c r="DM67" s="114">
        <f t="shared" si="2"/>
        <v>236.68177926548103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8.1172154394654807</v>
      </c>
      <c r="D68" s="112"/>
      <c r="E68" s="172" t="s">
        <v>294</v>
      </c>
      <c r="F68" s="168">
        <v>92.504893989274905</v>
      </c>
      <c r="G68" s="168">
        <v>92.504893989274905</v>
      </c>
      <c r="H68" s="168">
        <v>92.504893989274905</v>
      </c>
      <c r="I68" s="168">
        <v>92.504893989274905</v>
      </c>
      <c r="J68" s="168">
        <v>92.504893989274905</v>
      </c>
      <c r="K68" s="168">
        <v>92.504893989274905</v>
      </c>
      <c r="L68" s="168">
        <v>92.504893989274905</v>
      </c>
      <c r="M68" s="168">
        <v>92.504893989274905</v>
      </c>
      <c r="N68" s="168">
        <v>92.504893989274905</v>
      </c>
      <c r="O68" s="168">
        <v>92.504893989274905</v>
      </c>
      <c r="P68" s="168">
        <v>92.504893989274905</v>
      </c>
      <c r="Q68" s="168">
        <v>92.504893989274905</v>
      </c>
      <c r="R68" s="168">
        <v>92.504893989274905</v>
      </c>
      <c r="S68" s="168">
        <v>92.504893989274905</v>
      </c>
      <c r="T68" s="168">
        <v>92.504893989274905</v>
      </c>
      <c r="U68" s="168">
        <v>92.504893989274905</v>
      </c>
      <c r="V68" s="168">
        <v>92.504893989274905</v>
      </c>
      <c r="W68" s="168">
        <v>92.504893989274905</v>
      </c>
      <c r="X68" s="168">
        <v>92.504893989274905</v>
      </c>
      <c r="Y68" s="168">
        <v>92.504893989274905</v>
      </c>
      <c r="Z68" s="168">
        <v>92.504893989274905</v>
      </c>
      <c r="AA68" s="168">
        <v>92.504893989274905</v>
      </c>
      <c r="AB68" s="168">
        <v>92.504893989274905</v>
      </c>
      <c r="AC68" s="168">
        <v>92.504893989274905</v>
      </c>
      <c r="AD68" s="168">
        <v>92.504893989274905</v>
      </c>
      <c r="AE68" s="168">
        <v>92.504893989274905</v>
      </c>
      <c r="AF68" s="168">
        <v>92.504893989274905</v>
      </c>
      <c r="AG68" s="168">
        <v>92.504893989274905</v>
      </c>
      <c r="AH68" s="168">
        <v>92.504893989274905</v>
      </c>
      <c r="AI68" s="168">
        <v>92.504893989274905</v>
      </c>
      <c r="AJ68" s="168">
        <v>92.504893989274905</v>
      </c>
      <c r="AK68" s="168">
        <v>92.504893989274905</v>
      </c>
      <c r="AL68" s="168">
        <v>92.504893989274905</v>
      </c>
      <c r="AM68" s="168">
        <v>92.504893989274905</v>
      </c>
      <c r="AN68" s="168">
        <v>92.504893989274905</v>
      </c>
      <c r="AO68" s="168">
        <v>92.504893989274905</v>
      </c>
      <c r="AP68" s="168">
        <v>92.504893989274905</v>
      </c>
      <c r="AQ68" s="168">
        <v>92.504893989274905</v>
      </c>
      <c r="AR68" s="168">
        <v>92.504893989274905</v>
      </c>
      <c r="AS68" s="168">
        <v>92.504893989274905</v>
      </c>
      <c r="AT68" s="168">
        <v>92.504893989274905</v>
      </c>
      <c r="AU68" s="168">
        <v>92.504893989274905</v>
      </c>
      <c r="AV68" s="168">
        <v>92.504893989274905</v>
      </c>
      <c r="AW68" s="168">
        <v>92.504893989274905</v>
      </c>
      <c r="AX68" s="168">
        <v>92.504893989274905</v>
      </c>
      <c r="AY68" s="168">
        <v>92.504893989274905</v>
      </c>
      <c r="AZ68" s="168">
        <v>92.504893989274905</v>
      </c>
      <c r="BA68" s="168">
        <v>92.504893989274905</v>
      </c>
      <c r="BB68" s="168">
        <v>92.504893989274905</v>
      </c>
      <c r="BC68" s="168">
        <v>92.504893989274905</v>
      </c>
      <c r="BD68" s="168">
        <v>92.504893989274905</v>
      </c>
      <c r="BE68" s="168">
        <v>92.504893989274905</v>
      </c>
      <c r="BF68" s="168">
        <v>92.504893989274905</v>
      </c>
      <c r="BG68" s="168">
        <v>92.504893989274905</v>
      </c>
      <c r="BH68" s="168">
        <v>92.504893989274905</v>
      </c>
      <c r="BI68" s="168">
        <v>92.504893989274905</v>
      </c>
      <c r="BJ68" s="168">
        <v>92.504893989274905</v>
      </c>
      <c r="BK68" s="168">
        <v>92.504893989274905</v>
      </c>
      <c r="BL68" s="168">
        <v>92.504893989274905</v>
      </c>
      <c r="BM68" s="168">
        <v>92.504893989274905</v>
      </c>
      <c r="BN68" s="168">
        <v>92.504893989274905</v>
      </c>
      <c r="BO68" s="168">
        <v>92.504893989274905</v>
      </c>
      <c r="BP68" s="168">
        <v>92.504893989274905</v>
      </c>
      <c r="BQ68" s="168">
        <v>92.504893989274905</v>
      </c>
      <c r="BR68" s="168">
        <v>92.504893989274905</v>
      </c>
      <c r="BS68" s="168">
        <v>92.504893989274905</v>
      </c>
      <c r="BT68" s="168">
        <v>92.504893989274905</v>
      </c>
      <c r="BU68" s="168">
        <v>92.504893989274905</v>
      </c>
      <c r="BV68" s="168">
        <v>92.504893989274905</v>
      </c>
      <c r="BW68" s="168">
        <v>92.504893989274905</v>
      </c>
      <c r="BX68" s="168">
        <v>92.504893989274905</v>
      </c>
      <c r="BY68" s="168">
        <v>92.504893989274905</v>
      </c>
      <c r="BZ68" s="168">
        <v>92.504893989274905</v>
      </c>
      <c r="CA68" s="168">
        <v>92.504893989274905</v>
      </c>
      <c r="CB68" s="168">
        <v>92.504893989274905</v>
      </c>
      <c r="CC68" s="168">
        <v>92.504893989274905</v>
      </c>
      <c r="CD68" s="168">
        <v>92.504893989274905</v>
      </c>
      <c r="CE68" s="168">
        <v>92.504893989274905</v>
      </c>
      <c r="CF68" s="168">
        <v>92.504893989274905</v>
      </c>
      <c r="CG68" s="168">
        <v>92.504893989274905</v>
      </c>
      <c r="CH68" s="168">
        <v>92.504893989274905</v>
      </c>
      <c r="CI68" s="168">
        <v>92.504893989274905</v>
      </c>
      <c r="CJ68" s="168">
        <v>92.504893989274905</v>
      </c>
      <c r="CK68" s="168">
        <v>92.504893989274905</v>
      </c>
      <c r="CL68" s="168">
        <v>92.504893989274905</v>
      </c>
      <c r="CM68" s="168">
        <v>92.504893989274905</v>
      </c>
      <c r="CN68" s="168">
        <v>92.504893989274905</v>
      </c>
      <c r="CO68" s="168">
        <v>92.504893989274905</v>
      </c>
      <c r="CP68" s="168">
        <v>92.504893989274905</v>
      </c>
      <c r="CQ68" s="168">
        <v>92.504893989274905</v>
      </c>
      <c r="CR68" s="168">
        <v>92.504893989274905</v>
      </c>
      <c r="CS68" s="168">
        <v>92.504893989274905</v>
      </c>
      <c r="CT68" s="168">
        <v>92.504893989274905</v>
      </c>
      <c r="CU68" s="168">
        <v>92.504893989274905</v>
      </c>
      <c r="CV68" s="168">
        <v>92.504893989274905</v>
      </c>
      <c r="CW68" s="168">
        <v>92.504893989274905</v>
      </c>
      <c r="CX68" s="168">
        <v>92.504893989274905</v>
      </c>
      <c r="CY68" s="168">
        <v>92.504893989274905</v>
      </c>
      <c r="CZ68" s="168">
        <v>92.504893989274905</v>
      </c>
      <c r="DA68" s="168">
        <v>92.504893989274905</v>
      </c>
      <c r="DC68">
        <v>64</v>
      </c>
      <c r="DD68" s="114">
        <v>58.228155134071443</v>
      </c>
      <c r="DE68" s="114">
        <v>-28.677687611559627</v>
      </c>
      <c r="DF68" s="114">
        <v>-14.970225016519469</v>
      </c>
      <c r="DG68" s="114">
        <v>55.252615928672761</v>
      </c>
      <c r="DH68" s="114">
        <v>-20.110413755978321</v>
      </c>
      <c r="DI68" s="114">
        <v>-16.767229721657692</v>
      </c>
      <c r="DJ68" s="114">
        <v>9.2456065668878917</v>
      </c>
      <c r="DK68" s="114">
        <f t="shared" si="0"/>
        <v>85.481240789680513</v>
      </c>
      <c r="DL68" s="114">
        <f t="shared" si="1"/>
        <v>3.6226979004259685</v>
      </c>
      <c r="DM68" s="114">
        <f t="shared" si="2"/>
        <v>207.56530014531256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8.2521426459722047</v>
      </c>
      <c r="D69" s="112"/>
      <c r="E69" s="172" t="s">
        <v>295</v>
      </c>
      <c r="F69" s="168">
        <v>38.432085815977565</v>
      </c>
      <c r="G69" s="168">
        <v>38.432085815977565</v>
      </c>
      <c r="H69" s="168">
        <v>38.432085815977565</v>
      </c>
      <c r="I69" s="168">
        <v>38.432085815977565</v>
      </c>
      <c r="J69" s="168">
        <v>38.432085815977565</v>
      </c>
      <c r="K69" s="168">
        <v>38.432085815977565</v>
      </c>
      <c r="L69" s="168">
        <v>38.432085815977565</v>
      </c>
      <c r="M69" s="168">
        <v>38.432085815977565</v>
      </c>
      <c r="N69" s="168">
        <v>38.432085815977565</v>
      </c>
      <c r="O69" s="168">
        <v>38.432085815977565</v>
      </c>
      <c r="P69" s="168">
        <v>38.432085815977565</v>
      </c>
      <c r="Q69" s="168">
        <v>38.432085815977565</v>
      </c>
      <c r="R69" s="168">
        <v>38.432085815977565</v>
      </c>
      <c r="S69" s="168">
        <v>38.432085815977565</v>
      </c>
      <c r="T69" s="168">
        <v>38.432085815977565</v>
      </c>
      <c r="U69" s="168">
        <v>38.432085815977565</v>
      </c>
      <c r="V69" s="168">
        <v>38.432085815977565</v>
      </c>
      <c r="W69" s="168">
        <v>38.432085815977565</v>
      </c>
      <c r="X69" s="168">
        <v>38.432085815977565</v>
      </c>
      <c r="Y69" s="168">
        <v>38.432085815977565</v>
      </c>
      <c r="Z69" s="168">
        <v>38.432085815977565</v>
      </c>
      <c r="AA69" s="168">
        <v>38.432085815977565</v>
      </c>
      <c r="AB69" s="168">
        <v>38.432085815977565</v>
      </c>
      <c r="AC69" s="168">
        <v>38.432085815977565</v>
      </c>
      <c r="AD69" s="168">
        <v>38.432085815977565</v>
      </c>
      <c r="AE69" s="168">
        <v>38.432085815977565</v>
      </c>
      <c r="AF69" s="168">
        <v>38.432085815977565</v>
      </c>
      <c r="AG69" s="168">
        <v>38.432085815977565</v>
      </c>
      <c r="AH69" s="168">
        <v>38.432085815977565</v>
      </c>
      <c r="AI69" s="168">
        <v>38.432085815977565</v>
      </c>
      <c r="AJ69" s="168">
        <v>38.432085815977565</v>
      </c>
      <c r="AK69" s="168">
        <v>38.432085815977565</v>
      </c>
      <c r="AL69" s="168">
        <v>38.432085815977565</v>
      </c>
      <c r="AM69" s="168">
        <v>38.432085815977565</v>
      </c>
      <c r="AN69" s="168">
        <v>38.432085815977565</v>
      </c>
      <c r="AO69" s="168">
        <v>38.432085815977565</v>
      </c>
      <c r="AP69" s="168">
        <v>38.432085815977565</v>
      </c>
      <c r="AQ69" s="168">
        <v>38.432085815977565</v>
      </c>
      <c r="AR69" s="168">
        <v>38.432085815977565</v>
      </c>
      <c r="AS69" s="168">
        <v>38.432085815977565</v>
      </c>
      <c r="AT69" s="168">
        <v>38.432085815977565</v>
      </c>
      <c r="AU69" s="168">
        <v>38.432085815977565</v>
      </c>
      <c r="AV69" s="168">
        <v>38.432085815977565</v>
      </c>
      <c r="AW69" s="168">
        <v>38.432085815977565</v>
      </c>
      <c r="AX69" s="168">
        <v>38.432085815977565</v>
      </c>
      <c r="AY69" s="168">
        <v>38.432085815977565</v>
      </c>
      <c r="AZ69" s="168">
        <v>38.432085815977565</v>
      </c>
      <c r="BA69" s="168">
        <v>38.432085815977565</v>
      </c>
      <c r="BB69" s="168">
        <v>38.432085815977565</v>
      </c>
      <c r="BC69" s="168">
        <v>38.432085815977565</v>
      </c>
      <c r="BD69" s="168">
        <v>38.432085815977565</v>
      </c>
      <c r="BE69" s="168">
        <v>38.432085815977565</v>
      </c>
      <c r="BF69" s="168">
        <v>38.432085815977565</v>
      </c>
      <c r="BG69" s="168">
        <v>38.432085815977565</v>
      </c>
      <c r="BH69" s="168">
        <v>38.432085815977565</v>
      </c>
      <c r="BI69" s="168">
        <v>38.432085815977565</v>
      </c>
      <c r="BJ69" s="168">
        <v>38.432085815977565</v>
      </c>
      <c r="BK69" s="168">
        <v>38.432085815977565</v>
      </c>
      <c r="BL69" s="168">
        <v>38.432085815977565</v>
      </c>
      <c r="BM69" s="168">
        <v>38.432085815977565</v>
      </c>
      <c r="BN69" s="168">
        <v>38.432085815977565</v>
      </c>
      <c r="BO69" s="168">
        <v>38.432085815977565</v>
      </c>
      <c r="BP69" s="168">
        <v>38.432085815977565</v>
      </c>
      <c r="BQ69" s="168">
        <v>38.432085815977565</v>
      </c>
      <c r="BR69" s="168">
        <v>38.432085815977565</v>
      </c>
      <c r="BS69" s="168">
        <v>38.432085815977565</v>
      </c>
      <c r="BT69" s="168">
        <v>38.432085815977565</v>
      </c>
      <c r="BU69" s="168">
        <v>38.432085815977565</v>
      </c>
      <c r="BV69" s="168">
        <v>38.432085815977565</v>
      </c>
      <c r="BW69" s="168">
        <v>38.432085815977565</v>
      </c>
      <c r="BX69" s="168">
        <v>38.432085815977565</v>
      </c>
      <c r="BY69" s="168">
        <v>38.432085815977565</v>
      </c>
      <c r="BZ69" s="168">
        <v>38.432085815977565</v>
      </c>
      <c r="CA69" s="168">
        <v>38.432085815977565</v>
      </c>
      <c r="CB69" s="168">
        <v>38.432085815977565</v>
      </c>
      <c r="CC69" s="168">
        <v>38.432085815977565</v>
      </c>
      <c r="CD69" s="168">
        <v>38.432085815977565</v>
      </c>
      <c r="CE69" s="168">
        <v>38.432085815977565</v>
      </c>
      <c r="CF69" s="168">
        <v>38.432085815977565</v>
      </c>
      <c r="CG69" s="168">
        <v>38.432085815977565</v>
      </c>
      <c r="CH69" s="168">
        <v>38.432085815977565</v>
      </c>
      <c r="CI69" s="168">
        <v>38.432085815977565</v>
      </c>
      <c r="CJ69" s="168">
        <v>38.432085815977565</v>
      </c>
      <c r="CK69" s="168">
        <v>38.432085815977565</v>
      </c>
      <c r="CL69" s="168">
        <v>38.432085815977565</v>
      </c>
      <c r="CM69" s="168">
        <v>38.432085815977565</v>
      </c>
      <c r="CN69" s="168">
        <v>38.432085815977565</v>
      </c>
      <c r="CO69" s="168">
        <v>38.432085815977565</v>
      </c>
      <c r="CP69" s="168">
        <v>38.432085815977565</v>
      </c>
      <c r="CQ69" s="168">
        <v>38.432085815977565</v>
      </c>
      <c r="CR69" s="168">
        <v>38.432085815977565</v>
      </c>
      <c r="CS69" s="168">
        <v>38.432085815977565</v>
      </c>
      <c r="CT69" s="168">
        <v>38.432085815977565</v>
      </c>
      <c r="CU69" s="168">
        <v>38.432085815977565</v>
      </c>
      <c r="CV69" s="168">
        <v>38.432085815977565</v>
      </c>
      <c r="CW69" s="168">
        <v>38.432085815977565</v>
      </c>
      <c r="CX69" s="168">
        <v>38.432085815977565</v>
      </c>
      <c r="CY69" s="168">
        <v>38.432085815977565</v>
      </c>
      <c r="CZ69" s="168">
        <v>38.432085815977565</v>
      </c>
      <c r="DA69" s="168">
        <v>38.432085815977565</v>
      </c>
      <c r="DC69">
        <v>65</v>
      </c>
      <c r="DD69" s="114">
        <v>40.008253194363292</v>
      </c>
      <c r="DE69" s="114">
        <v>-18.190539979936077</v>
      </c>
      <c r="DF69" s="114">
        <v>-10.490984092749278</v>
      </c>
      <c r="DG69" s="114">
        <v>40.017330344062245</v>
      </c>
      <c r="DH69" s="114">
        <v>-10.429252488185108</v>
      </c>
      <c r="DI69" s="114">
        <v>-9.1296108571967434</v>
      </c>
      <c r="DJ69" s="114">
        <v>7.8797844520478773</v>
      </c>
      <c r="DK69" s="114">
        <f t="shared" si="0"/>
        <v>62.091003010735463</v>
      </c>
      <c r="DL69" s="114">
        <f t="shared" si="1"/>
        <v>3.6647242035062355</v>
      </c>
      <c r="DM69" s="114">
        <f t="shared" si="2"/>
        <v>209.97322994034948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8.3850607945803048</v>
      </c>
      <c r="D70" s="112"/>
      <c r="E70" s="172" t="s">
        <v>296</v>
      </c>
      <c r="F70" s="168">
        <f>($F$49*(F55/F67)+1-$F$49)*F64</f>
        <v>99.999999999999986</v>
      </c>
      <c r="G70" s="168">
        <f t="shared" ref="G70:BR70" si="65">($F$49*(G55/G67)+1-$F$49)*G64</f>
        <v>69.512041161560177</v>
      </c>
      <c r="H70" s="168">
        <f t="shared" si="65"/>
        <v>35.961354498952929</v>
      </c>
      <c r="I70" s="168">
        <f t="shared" si="65"/>
        <v>7.128376666099288</v>
      </c>
      <c r="J70" s="168">
        <f t="shared" si="65"/>
        <v>42.151893994870626</v>
      </c>
      <c r="K70" s="168">
        <f t="shared" si="65"/>
        <v>23.913558601096913</v>
      </c>
      <c r="L70" s="168">
        <f t="shared" si="65"/>
        <v>20.270554040325717</v>
      </c>
      <c r="M70" s="168">
        <f t="shared" si="65"/>
        <v>16.905075840340356</v>
      </c>
      <c r="N70" s="168">
        <f t="shared" si="65"/>
        <v>15.778596598535684</v>
      </c>
      <c r="O70" s="168">
        <f t="shared" si="65"/>
        <v>5.1680237725958103</v>
      </c>
      <c r="P70" s="168">
        <f t="shared" si="65"/>
        <v>58.132491230983</v>
      </c>
      <c r="Q70" s="168">
        <f t="shared" si="65"/>
        <v>31.545037199027743</v>
      </c>
      <c r="R70" s="168">
        <f t="shared" si="65"/>
        <v>40.695880883703218</v>
      </c>
      <c r="S70" s="168">
        <f t="shared" si="65"/>
        <v>15.134113026094402</v>
      </c>
      <c r="T70" s="168">
        <f t="shared" si="65"/>
        <v>44.69646020329386</v>
      </c>
      <c r="U70" s="168">
        <f t="shared" si="65"/>
        <v>43.519921958153532</v>
      </c>
      <c r="V70" s="168">
        <f t="shared" si="65"/>
        <v>18.577791642324343</v>
      </c>
      <c r="W70" s="168">
        <f t="shared" si="65"/>
        <v>19.605589274356166</v>
      </c>
      <c r="X70" s="168">
        <f t="shared" si="65"/>
        <v>24.84417087201988</v>
      </c>
      <c r="Y70" s="168">
        <f t="shared" si="65"/>
        <v>45.85142955481902</v>
      </c>
      <c r="Z70" s="168">
        <f t="shared" si="65"/>
        <v>42.371416072433838</v>
      </c>
      <c r="AA70" s="168">
        <f t="shared" si="65"/>
        <v>75.907043472027027</v>
      </c>
      <c r="AB70" s="168">
        <f t="shared" si="65"/>
        <v>60.342372079825452</v>
      </c>
      <c r="AC70" s="168">
        <f t="shared" si="65"/>
        <v>80.0546249675415</v>
      </c>
      <c r="AD70" s="168">
        <f t="shared" si="65"/>
        <v>81.591097286521517</v>
      </c>
      <c r="AE70" s="168">
        <f t="shared" si="65"/>
        <v>45.801883170130644</v>
      </c>
      <c r="AF70" s="168">
        <f t="shared" si="65"/>
        <v>80.981265410274816</v>
      </c>
      <c r="AG70" s="168">
        <f t="shared" si="65"/>
        <v>43.549118732686161</v>
      </c>
      <c r="AH70" s="168">
        <f t="shared" si="65"/>
        <v>11.727886194751411</v>
      </c>
      <c r="AI70" s="168">
        <f t="shared" si="65"/>
        <v>71.858095083085402</v>
      </c>
      <c r="AJ70" s="168">
        <f t="shared" si="65"/>
        <v>31.853688420101236</v>
      </c>
      <c r="AK70" s="168">
        <f t="shared" si="65"/>
        <v>75.17149447344238</v>
      </c>
      <c r="AL70" s="168">
        <f t="shared" si="65"/>
        <v>48.841148035962959</v>
      </c>
      <c r="AM70" s="168">
        <f t="shared" si="65"/>
        <v>75.719719726296489</v>
      </c>
      <c r="AN70" s="168">
        <f t="shared" si="65"/>
        <v>29.340623999316943</v>
      </c>
      <c r="AO70" s="168">
        <f t="shared" si="65"/>
        <v>11.71299352750469</v>
      </c>
      <c r="AP70" s="168">
        <f t="shared" si="65"/>
        <v>54.327333583424036</v>
      </c>
      <c r="AQ70" s="168">
        <f t="shared" si="65"/>
        <v>15.318239816361721</v>
      </c>
      <c r="AR70" s="168">
        <f t="shared" si="65"/>
        <v>66.362857866421209</v>
      </c>
      <c r="AS70" s="168">
        <f t="shared" si="65"/>
        <v>7.7096110562976685</v>
      </c>
      <c r="AT70" s="168">
        <f t="shared" si="65"/>
        <v>16.772787387517962</v>
      </c>
      <c r="AU70" s="168">
        <f t="shared" si="65"/>
        <v>69.076793977660145</v>
      </c>
      <c r="AV70" s="168">
        <f t="shared" si="65"/>
        <v>34.028367461807335</v>
      </c>
      <c r="AW70" s="168">
        <f t="shared" si="65"/>
        <v>38.965463841447054</v>
      </c>
      <c r="AX70" s="168">
        <f t="shared" si="65"/>
        <v>4.9475601080942768</v>
      </c>
      <c r="AY70" s="168">
        <f t="shared" si="65"/>
        <v>21.942837672990287</v>
      </c>
      <c r="AZ70" s="168">
        <f t="shared" si="65"/>
        <v>30.991682022945785</v>
      </c>
      <c r="BA70" s="168">
        <f t="shared" si="65"/>
        <v>36.284961670193056</v>
      </c>
      <c r="BB70" s="168">
        <f t="shared" si="65"/>
        <v>44.424719263311836</v>
      </c>
      <c r="BC70" s="168">
        <f t="shared" si="65"/>
        <v>12.537720130466234</v>
      </c>
      <c r="BD70" s="168">
        <f t="shared" si="65"/>
        <v>18.232033389469262</v>
      </c>
      <c r="BE70" s="168">
        <f t="shared" si="65"/>
        <v>21.914700026924336</v>
      </c>
      <c r="BF70" s="168">
        <f t="shared" si="65"/>
        <v>9.1194650839806144</v>
      </c>
      <c r="BG70" s="168">
        <f t="shared" si="65"/>
        <v>12.252038703493257</v>
      </c>
      <c r="BH70" s="168">
        <f t="shared" si="65"/>
        <v>61.833884324614992</v>
      </c>
      <c r="BI70" s="168">
        <f t="shared" si="65"/>
        <v>54.3307013515835</v>
      </c>
      <c r="BJ70" s="168">
        <f t="shared" si="65"/>
        <v>30.677776515983421</v>
      </c>
      <c r="BK70" s="168">
        <f t="shared" si="65"/>
        <v>16.951867503151529</v>
      </c>
      <c r="BL70" s="168">
        <f t="shared" si="65"/>
        <v>14.163755294638433</v>
      </c>
      <c r="BM70" s="168">
        <f t="shared" si="65"/>
        <v>61.309722780992885</v>
      </c>
      <c r="BN70" s="168">
        <f t="shared" si="65"/>
        <v>67.417914819233033</v>
      </c>
      <c r="BO70" s="168">
        <f t="shared" si="65"/>
        <v>43.627994333851383</v>
      </c>
      <c r="BP70" s="168">
        <f t="shared" si="65"/>
        <v>32.152057017082463</v>
      </c>
      <c r="BQ70" s="168">
        <f t="shared" si="65"/>
        <v>7.2005540134956201</v>
      </c>
      <c r="BR70" s="168">
        <f t="shared" si="65"/>
        <v>17.333423950543544</v>
      </c>
      <c r="BS70" s="168">
        <f t="shared" ref="BS70:DA70" si="66">($F$49*(BS55/BS67)+1-$F$49)*BS64</f>
        <v>8.2145755100337272</v>
      </c>
      <c r="BT70" s="168">
        <f t="shared" si="66"/>
        <v>8.9439318723875552</v>
      </c>
      <c r="BU70" s="168">
        <f t="shared" si="66"/>
        <v>10.456689716768139</v>
      </c>
      <c r="BV70" s="168">
        <f t="shared" si="66"/>
        <v>25.350487413116163</v>
      </c>
      <c r="BW70" s="168">
        <f t="shared" si="66"/>
        <v>17.93102631114899</v>
      </c>
      <c r="BX70" s="168">
        <f t="shared" si="66"/>
        <v>34.144140279813733</v>
      </c>
      <c r="BY70" s="168">
        <f t="shared" si="66"/>
        <v>5.8914449088840222</v>
      </c>
      <c r="BZ70" s="168">
        <f t="shared" si="66"/>
        <v>45.177943216745959</v>
      </c>
      <c r="CA70" s="168">
        <f t="shared" si="66"/>
        <v>17.216925010967028</v>
      </c>
      <c r="CB70" s="168">
        <f t="shared" si="66"/>
        <v>4.7544531919616544</v>
      </c>
      <c r="CC70" s="168">
        <f t="shared" si="66"/>
        <v>5.318784516798102</v>
      </c>
      <c r="CD70" s="168">
        <f t="shared" si="66"/>
        <v>11.388104055121923</v>
      </c>
      <c r="CE70" s="168">
        <f t="shared" si="66"/>
        <v>11.021678267923257</v>
      </c>
      <c r="CF70" s="168">
        <f t="shared" si="66"/>
        <v>9.5872341670634587</v>
      </c>
      <c r="CG70" s="168">
        <f t="shared" si="66"/>
        <v>40.172692614641399</v>
      </c>
      <c r="CH70" s="168">
        <f t="shared" si="66"/>
        <v>30.355511276267016</v>
      </c>
      <c r="CI70" s="168">
        <f t="shared" si="66"/>
        <v>11.970197590515532</v>
      </c>
      <c r="CJ70" s="168">
        <f t="shared" si="66"/>
        <v>66.379631596610594</v>
      </c>
      <c r="CK70" s="168">
        <f t="shared" si="66"/>
        <v>40.647326088253067</v>
      </c>
      <c r="CL70" s="168">
        <f t="shared" si="66"/>
        <v>4.8539261112214733</v>
      </c>
      <c r="CM70" s="168">
        <f t="shared" si="66"/>
        <v>10.985825296403943</v>
      </c>
      <c r="CN70" s="168">
        <f t="shared" si="66"/>
        <v>32.264578521653853</v>
      </c>
      <c r="CO70" s="168">
        <f t="shared" si="66"/>
        <v>10.474027273968112</v>
      </c>
      <c r="CP70" s="168">
        <f t="shared" si="66"/>
        <v>30.132404667578218</v>
      </c>
      <c r="CQ70" s="168">
        <f t="shared" si="66"/>
        <v>10.304661477590864</v>
      </c>
      <c r="CR70" s="168">
        <f t="shared" si="66"/>
        <v>14.017929033698509</v>
      </c>
      <c r="CS70" s="168">
        <f t="shared" si="66"/>
        <v>54.267886518138262</v>
      </c>
      <c r="CT70" s="168">
        <f t="shared" si="66"/>
        <v>24.236315786935098</v>
      </c>
      <c r="CU70" s="168">
        <f t="shared" si="66"/>
        <v>36.246850290520904</v>
      </c>
      <c r="CV70" s="168">
        <f t="shared" si="66"/>
        <v>12.224791555287494</v>
      </c>
      <c r="CW70" s="168">
        <f t="shared" si="66"/>
        <v>41.791416357544463</v>
      </c>
      <c r="CX70" s="168">
        <f t="shared" si="66"/>
        <v>54.6559988458582</v>
      </c>
      <c r="CY70" s="168">
        <f t="shared" si="66"/>
        <v>21.802658225513504</v>
      </c>
      <c r="CZ70" s="168">
        <f t="shared" si="66"/>
        <v>38.299184586850572</v>
      </c>
      <c r="DA70" s="168">
        <f t="shared" si="66"/>
        <v>25.398298563052638</v>
      </c>
      <c r="DC70">
        <v>66</v>
      </c>
      <c r="DD70" s="114">
        <v>44.383259732951046</v>
      </c>
      <c r="DE70" s="114">
        <v>-24.986412894909925</v>
      </c>
      <c r="DF70" s="114">
        <v>-17.234987697266554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10.00335942032342</v>
      </c>
      <c r="DK70" s="114">
        <f t="shared" ref="DK70:DK103" si="67">DJ70^2</f>
        <v>100.06719969217332</v>
      </c>
      <c r="DL70" s="114">
        <f t="shared" ref="DL70:DL103" si="68">ATAN(DF70/DE70)+PI()*IF(AND((DE70&lt;0),(DF70&gt;0)),1,0)+PI()*IF(AND((DE70&lt;0),(DF70&lt;0)),1,0)+2*PI()*IF(AND((DE70&gt;0),(DF70&lt;0)),1,0)</f>
        <v>3.7454227733517742</v>
      </c>
      <c r="DM70" s="114">
        <f t="shared" ref="DM70:DM103" si="69">DL70*180/PI()</f>
        <v>214.59691740524056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8.5159126664731541</v>
      </c>
      <c r="D71" s="112"/>
      <c r="E71" s="172" t="s">
        <v>297</v>
      </c>
      <c r="F71" s="168">
        <f>($F$49*(F55/F68)+1-$F$49)*F65</f>
        <v>100.00000000000001</v>
      </c>
      <c r="G71" s="168">
        <f t="shared" ref="G71:BR71" si="71">($F$49*(G55/G68)+1-$F$49)*G65</f>
        <v>56.031245181199971</v>
      </c>
      <c r="H71" s="168">
        <f t="shared" si="71"/>
        <v>17.873042790558859</v>
      </c>
      <c r="I71" s="168">
        <f t="shared" si="71"/>
        <v>4.7746339959980464</v>
      </c>
      <c r="J71" s="168">
        <f t="shared" si="71"/>
        <v>29.446364542412727</v>
      </c>
      <c r="K71" s="168">
        <f t="shared" si="71"/>
        <v>8.9510318639852624</v>
      </c>
      <c r="L71" s="168">
        <f t="shared" si="71"/>
        <v>13.715488814707589</v>
      </c>
      <c r="M71" s="168">
        <f t="shared" si="71"/>
        <v>6.0847796684752131</v>
      </c>
      <c r="N71" s="168">
        <f t="shared" si="71"/>
        <v>6.2542888729185719</v>
      </c>
      <c r="O71" s="168">
        <f t="shared" si="71"/>
        <v>4.8247843464562603</v>
      </c>
      <c r="P71" s="168">
        <f t="shared" si="71"/>
        <v>30.300098808383552</v>
      </c>
      <c r="Q71" s="168">
        <f t="shared" si="71"/>
        <v>14.784718627229472</v>
      </c>
      <c r="R71" s="168">
        <f t="shared" si="71"/>
        <v>18.589456070370147</v>
      </c>
      <c r="S71" s="168">
        <f t="shared" si="71"/>
        <v>8.8953848669761744</v>
      </c>
      <c r="T71" s="168">
        <f t="shared" si="71"/>
        <v>40.519909759449369</v>
      </c>
      <c r="U71" s="168">
        <f t="shared" si="71"/>
        <v>34.443711893053745</v>
      </c>
      <c r="V71" s="168">
        <f t="shared" si="71"/>
        <v>11.462865841476843</v>
      </c>
      <c r="W71" s="168">
        <f t="shared" si="71"/>
        <v>13.141863824130382</v>
      </c>
      <c r="X71" s="168">
        <f t="shared" si="71"/>
        <v>18.877840810009737</v>
      </c>
      <c r="Y71" s="168">
        <f t="shared" si="71"/>
        <v>32.922874251672141</v>
      </c>
      <c r="Z71" s="168">
        <f t="shared" si="71"/>
        <v>24.727049586479701</v>
      </c>
      <c r="AA71" s="168">
        <f t="shared" si="71"/>
        <v>54.973029066527353</v>
      </c>
      <c r="AB71" s="168">
        <f t="shared" si="71"/>
        <v>41.207909635057945</v>
      </c>
      <c r="AC71" s="168">
        <f t="shared" si="71"/>
        <v>74.554851945234105</v>
      </c>
      <c r="AD71" s="168">
        <f t="shared" si="71"/>
        <v>69.513065847217788</v>
      </c>
      <c r="AE71" s="168">
        <f t="shared" si="71"/>
        <v>34.31504784810835</v>
      </c>
      <c r="AF71" s="168">
        <f t="shared" si="71"/>
        <v>66.776552140050384</v>
      </c>
      <c r="AG71" s="168">
        <f t="shared" si="71"/>
        <v>41.002175472771953</v>
      </c>
      <c r="AH71" s="168">
        <f t="shared" si="71"/>
        <v>10.943192659386856</v>
      </c>
      <c r="AI71" s="168">
        <f t="shared" si="71"/>
        <v>63.590195942395141</v>
      </c>
      <c r="AJ71" s="168">
        <f t="shared" si="71"/>
        <v>29.258704706789924</v>
      </c>
      <c r="AK71" s="168">
        <f t="shared" si="71"/>
        <v>68.269249266826293</v>
      </c>
      <c r="AL71" s="168">
        <f t="shared" si="71"/>
        <v>43.742375780464997</v>
      </c>
      <c r="AM71" s="168">
        <f t="shared" si="71"/>
        <v>71.991593958008565</v>
      </c>
      <c r="AN71" s="168">
        <f t="shared" si="71"/>
        <v>27.715750228209032</v>
      </c>
      <c r="AO71" s="168">
        <f t="shared" si="71"/>
        <v>11.638678109577727</v>
      </c>
      <c r="AP71" s="168">
        <f t="shared" si="71"/>
        <v>53.573292440604988</v>
      </c>
      <c r="AQ71" s="168">
        <f t="shared" si="71"/>
        <v>15.704449223929887</v>
      </c>
      <c r="AR71" s="168">
        <f t="shared" si="71"/>
        <v>66.036378576758679</v>
      </c>
      <c r="AS71" s="168">
        <f t="shared" si="71"/>
        <v>7.8069498382979328</v>
      </c>
      <c r="AT71" s="168">
        <f t="shared" si="71"/>
        <v>17.203543205028744</v>
      </c>
      <c r="AU71" s="168">
        <f t="shared" si="71"/>
        <v>70.245288333325746</v>
      </c>
      <c r="AV71" s="168">
        <f t="shared" si="71"/>
        <v>40.51134529451835</v>
      </c>
      <c r="AW71" s="168">
        <f t="shared" si="71"/>
        <v>46.558543977082024</v>
      </c>
      <c r="AX71" s="168">
        <f t="shared" si="71"/>
        <v>4.9916411445316307</v>
      </c>
      <c r="AY71" s="168">
        <f t="shared" si="71"/>
        <v>27.883520318548022</v>
      </c>
      <c r="AZ71" s="168">
        <f t="shared" si="71"/>
        <v>36.579981230123281</v>
      </c>
      <c r="BA71" s="168">
        <f t="shared" si="71"/>
        <v>39.611836334695766</v>
      </c>
      <c r="BB71" s="168">
        <f t="shared" si="71"/>
        <v>55.806535672332053</v>
      </c>
      <c r="BC71" s="168">
        <f t="shared" si="71"/>
        <v>16.418865591842803</v>
      </c>
      <c r="BD71" s="168">
        <f t="shared" si="71"/>
        <v>23.48268805772425</v>
      </c>
      <c r="BE71" s="168">
        <f t="shared" si="71"/>
        <v>26.827027801341377</v>
      </c>
      <c r="BF71" s="168">
        <f t="shared" si="71"/>
        <v>13.291872373117393</v>
      </c>
      <c r="BG71" s="168">
        <f t="shared" si="71"/>
        <v>21.900713907482388</v>
      </c>
      <c r="BH71" s="168">
        <f t="shared" si="71"/>
        <v>72.099965555451263</v>
      </c>
      <c r="BI71" s="168">
        <f t="shared" si="71"/>
        <v>65.275959047490304</v>
      </c>
      <c r="BJ71" s="168">
        <f t="shared" si="71"/>
        <v>48.137885134343037</v>
      </c>
      <c r="BK71" s="168">
        <f t="shared" si="71"/>
        <v>30.294275467258736</v>
      </c>
      <c r="BL71" s="168">
        <f t="shared" si="71"/>
        <v>26.049477944050594</v>
      </c>
      <c r="BM71" s="168">
        <f t="shared" si="71"/>
        <v>71.393870463408419</v>
      </c>
      <c r="BN71" s="168">
        <f t="shared" si="71"/>
        <v>70.910810495405812</v>
      </c>
      <c r="BO71" s="168">
        <f t="shared" si="71"/>
        <v>50.769680161674067</v>
      </c>
      <c r="BP71" s="168">
        <f t="shared" si="71"/>
        <v>34.066653895304704</v>
      </c>
      <c r="BQ71" s="168">
        <f t="shared" si="71"/>
        <v>7.4000658938331361</v>
      </c>
      <c r="BR71" s="168">
        <f t="shared" si="71"/>
        <v>30.064746861504016</v>
      </c>
      <c r="BS71" s="168">
        <f t="shared" ref="BS71:DA71" si="72">($F$49*(BS55/BS68)+1-$F$49)*BS65</f>
        <v>11.760748336897398</v>
      </c>
      <c r="BT71" s="168">
        <f t="shared" si="72"/>
        <v>16.019777904067215</v>
      </c>
      <c r="BU71" s="168">
        <f t="shared" si="72"/>
        <v>18.618638912327551</v>
      </c>
      <c r="BV71" s="168">
        <f t="shared" si="72"/>
        <v>32.639911811663048</v>
      </c>
      <c r="BW71" s="168">
        <f t="shared" si="72"/>
        <v>19.799839561247012</v>
      </c>
      <c r="BX71" s="168">
        <f t="shared" si="72"/>
        <v>44.503719250319314</v>
      </c>
      <c r="BY71" s="168">
        <f t="shared" si="72"/>
        <v>8.502434610524876</v>
      </c>
      <c r="BZ71" s="168">
        <f t="shared" si="72"/>
        <v>47.958722180567229</v>
      </c>
      <c r="CA71" s="168">
        <f t="shared" si="72"/>
        <v>26.321314414867174</v>
      </c>
      <c r="CB71" s="168">
        <f t="shared" si="72"/>
        <v>4.8477113388190478</v>
      </c>
      <c r="CC71" s="168">
        <f t="shared" si="72"/>
        <v>7.2560350317551805</v>
      </c>
      <c r="CD71" s="168">
        <f t="shared" si="72"/>
        <v>15.91669099119326</v>
      </c>
      <c r="CE71" s="168">
        <f t="shared" si="72"/>
        <v>13.195544093722967</v>
      </c>
      <c r="CF71" s="168">
        <f t="shared" si="72"/>
        <v>12.961823470799349</v>
      </c>
      <c r="CG71" s="168">
        <f t="shared" si="72"/>
        <v>42.505799597967865</v>
      </c>
      <c r="CH71" s="168">
        <f t="shared" si="72"/>
        <v>30.651010822986027</v>
      </c>
      <c r="CI71" s="168">
        <f t="shared" si="72"/>
        <v>11.047147103102148</v>
      </c>
      <c r="CJ71" s="168">
        <f t="shared" si="72"/>
        <v>66.331291364830463</v>
      </c>
      <c r="CK71" s="168">
        <f t="shared" si="72"/>
        <v>39.919727746977244</v>
      </c>
      <c r="CL71" s="168">
        <f t="shared" si="72"/>
        <v>4.5367157418853488</v>
      </c>
      <c r="CM71" s="168">
        <f t="shared" si="72"/>
        <v>10.022771320721695</v>
      </c>
      <c r="CN71" s="168">
        <f t="shared" si="72"/>
        <v>28.346867648161027</v>
      </c>
      <c r="CO71" s="168">
        <f t="shared" si="72"/>
        <v>7.8124442299608123</v>
      </c>
      <c r="CP71" s="168">
        <f t="shared" si="72"/>
        <v>22.962532169386478</v>
      </c>
      <c r="CQ71" s="168">
        <f t="shared" si="72"/>
        <v>6.9915051726793704</v>
      </c>
      <c r="CR71" s="168">
        <f t="shared" si="72"/>
        <v>9.1060613527027474</v>
      </c>
      <c r="CS71" s="168">
        <f t="shared" si="72"/>
        <v>52.568199834940849</v>
      </c>
      <c r="CT71" s="168">
        <f t="shared" si="72"/>
        <v>18.673355886211898</v>
      </c>
      <c r="CU71" s="168">
        <f t="shared" si="72"/>
        <v>30.293291024570525</v>
      </c>
      <c r="CV71" s="168">
        <f t="shared" si="72"/>
        <v>6.8407305418711895</v>
      </c>
      <c r="CW71" s="168">
        <f t="shared" si="72"/>
        <v>32.149877272697488</v>
      </c>
      <c r="CX71" s="168">
        <f t="shared" si="72"/>
        <v>43.71517693113973</v>
      </c>
      <c r="CY71" s="168">
        <f t="shared" si="72"/>
        <v>13.711117400460603</v>
      </c>
      <c r="CZ71" s="168">
        <f t="shared" si="72"/>
        <v>20.8056188472343</v>
      </c>
      <c r="DA71" s="168">
        <f t="shared" si="72"/>
        <v>11.145916052244573</v>
      </c>
      <c r="DC71">
        <v>67</v>
      </c>
      <c r="DD71" s="114">
        <v>47.611422112084362</v>
      </c>
      <c r="DE71" s="114">
        <v>-25.282527605781659</v>
      </c>
      <c r="DF71" s="114">
        <v>-18.625729584819439</v>
      </c>
      <c r="DG71" s="114">
        <v>44.039288858656633</v>
      </c>
      <c r="DH71" s="114">
        <v>-15.81485207181754</v>
      </c>
      <c r="DI71" s="114">
        <v>-20.791275575112298</v>
      </c>
      <c r="DJ71" s="114">
        <v>10.348265817649855</v>
      </c>
      <c r="DK71" s="114">
        <f t="shared" si="67"/>
        <v>107.08660543274043</v>
      </c>
      <c r="DL71" s="114">
        <f t="shared" si="68"/>
        <v>3.7765296280376388</v>
      </c>
      <c r="DM71" s="114">
        <f t="shared" si="69"/>
        <v>216.37920889266735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8.6446449373714369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60.497185523347703</v>
      </c>
      <c r="H72" s="168">
        <f t="shared" si="73"/>
        <v>22.113346610023957</v>
      </c>
      <c r="I72" s="168">
        <f t="shared" si="73"/>
        <v>5.3083137409072885</v>
      </c>
      <c r="J72" s="168">
        <f t="shared" si="73"/>
        <v>28.470095441407285</v>
      </c>
      <c r="K72" s="168">
        <f t="shared" si="73"/>
        <v>9.4395364330375582</v>
      </c>
      <c r="L72" s="168">
        <f t="shared" si="73"/>
        <v>12.62345078519364</v>
      </c>
      <c r="M72" s="168">
        <f t="shared" si="73"/>
        <v>5.8176511636990247</v>
      </c>
      <c r="N72" s="168">
        <f t="shared" si="73"/>
        <v>6.0044950151723446</v>
      </c>
      <c r="O72" s="168">
        <f t="shared" si="73"/>
        <v>4.8877278607660184</v>
      </c>
      <c r="P72" s="168">
        <f t="shared" si="73"/>
        <v>19.457674583922888</v>
      </c>
      <c r="Q72" s="168">
        <f t="shared" si="73"/>
        <v>7.8005869053854164</v>
      </c>
      <c r="R72" s="168">
        <f t="shared" si="73"/>
        <v>9.4852994142177991</v>
      </c>
      <c r="S72" s="168">
        <f t="shared" si="73"/>
        <v>5.2999799119456945</v>
      </c>
      <c r="T72" s="168">
        <f t="shared" si="73"/>
        <v>36.138509653065071</v>
      </c>
      <c r="U72" s="168">
        <f t="shared" si="73"/>
        <v>27.327354910673851</v>
      </c>
      <c r="V72" s="168">
        <f t="shared" si="73"/>
        <v>6.2024273775996441</v>
      </c>
      <c r="W72" s="168">
        <f t="shared" si="73"/>
        <v>6.6850001822076655</v>
      </c>
      <c r="X72" s="168">
        <f t="shared" si="73"/>
        <v>12.369707614301182</v>
      </c>
      <c r="Y72" s="168">
        <f t="shared" si="73"/>
        <v>13.955230014559882</v>
      </c>
      <c r="Z72" s="168">
        <f t="shared" si="73"/>
        <v>7.656632534632033</v>
      </c>
      <c r="AA72" s="168">
        <f t="shared" si="73"/>
        <v>20.378667403764776</v>
      </c>
      <c r="AB72" s="168">
        <f t="shared" si="73"/>
        <v>13.434975481361155</v>
      </c>
      <c r="AC72" s="168">
        <f t="shared" si="73"/>
        <v>55.886683548030256</v>
      </c>
      <c r="AD72" s="168">
        <f t="shared" si="73"/>
        <v>32.408855554306946</v>
      </c>
      <c r="AE72" s="168">
        <f t="shared" si="73"/>
        <v>7.3287705372286851</v>
      </c>
      <c r="AF72" s="168">
        <f t="shared" si="73"/>
        <v>24.627883731314121</v>
      </c>
      <c r="AG72" s="168">
        <f t="shared" si="73"/>
        <v>25.942626584868172</v>
      </c>
      <c r="AH72" s="168">
        <f t="shared" si="73"/>
        <v>5.207552814106438</v>
      </c>
      <c r="AI72" s="168">
        <f t="shared" si="73"/>
        <v>22.763059714366179</v>
      </c>
      <c r="AJ72" s="168">
        <f t="shared" si="73"/>
        <v>16.371992357942315</v>
      </c>
      <c r="AK72" s="168">
        <f t="shared" si="73"/>
        <v>24.858264483644071</v>
      </c>
      <c r="AL72" s="168">
        <f t="shared" si="73"/>
        <v>11.228031739277482</v>
      </c>
      <c r="AM72" s="168">
        <f t="shared" si="73"/>
        <v>41.648623181840819</v>
      </c>
      <c r="AN72" s="168">
        <f t="shared" si="73"/>
        <v>7.1492148355315761</v>
      </c>
      <c r="AO72" s="168">
        <f t="shared" si="73"/>
        <v>5.6217271398478976</v>
      </c>
      <c r="AP72" s="168">
        <f t="shared" si="73"/>
        <v>45.645387734520526</v>
      </c>
      <c r="AQ72" s="168">
        <f t="shared" si="73"/>
        <v>6.3986238108585054</v>
      </c>
      <c r="AR72" s="168">
        <f t="shared" si="73"/>
        <v>42.253247454029925</v>
      </c>
      <c r="AS72" s="168">
        <f t="shared" si="73"/>
        <v>5.8143991338894976</v>
      </c>
      <c r="AT72" s="168">
        <f t="shared" si="73"/>
        <v>10.225252364242307</v>
      </c>
      <c r="AU72" s="168">
        <f t="shared" si="73"/>
        <v>58.164657652056881</v>
      </c>
      <c r="AV72" s="168">
        <f t="shared" si="73"/>
        <v>10.85402533411416</v>
      </c>
      <c r="AW72" s="168">
        <f t="shared" si="73"/>
        <v>12.781449847027361</v>
      </c>
      <c r="AX72" s="168">
        <f t="shared" si="73"/>
        <v>4.7421978460156344</v>
      </c>
      <c r="AY72" s="168">
        <f t="shared" si="73"/>
        <v>10.793925447584829</v>
      </c>
      <c r="AZ72" s="168">
        <f t="shared" si="73"/>
        <v>19.853022433020953</v>
      </c>
      <c r="BA72" s="168">
        <f t="shared" si="73"/>
        <v>27.762532095267321</v>
      </c>
      <c r="BB72" s="168">
        <f t="shared" si="73"/>
        <v>32.786611216201898</v>
      </c>
      <c r="BC72" s="168">
        <f t="shared" si="73"/>
        <v>8.2720759266278332</v>
      </c>
      <c r="BD72" s="168">
        <f t="shared" si="73"/>
        <v>16.404399614154563</v>
      </c>
      <c r="BE72" s="168">
        <f t="shared" si="73"/>
        <v>20.413116492973835</v>
      </c>
      <c r="BF72" s="168">
        <f t="shared" si="73"/>
        <v>8.0738802746962772</v>
      </c>
      <c r="BG72" s="168">
        <f t="shared" si="73"/>
        <v>14.392141767191744</v>
      </c>
      <c r="BH72" s="168">
        <f t="shared" si="73"/>
        <v>67.51862320441127</v>
      </c>
      <c r="BI72" s="168">
        <f t="shared" si="73"/>
        <v>62.360373983051844</v>
      </c>
      <c r="BJ72" s="168">
        <f t="shared" si="73"/>
        <v>43.40621422714046</v>
      </c>
      <c r="BK72" s="168">
        <f t="shared" si="73"/>
        <v>26.828952130075081</v>
      </c>
      <c r="BL72" s="168">
        <f t="shared" si="73"/>
        <v>24.803229279944819</v>
      </c>
      <c r="BM72" s="168">
        <f t="shared" si="73"/>
        <v>70.241532742006669</v>
      </c>
      <c r="BN72" s="168">
        <f t="shared" si="73"/>
        <v>72.005081300339896</v>
      </c>
      <c r="BO72" s="168">
        <f t="shared" si="73"/>
        <v>52.615549907556208</v>
      </c>
      <c r="BP72" s="168">
        <f t="shared" si="73"/>
        <v>35.750181869040773</v>
      </c>
      <c r="BQ72" s="168">
        <f t="shared" si="73"/>
        <v>7.8184887314714926</v>
      </c>
      <c r="BR72" s="168">
        <f t="shared" si="73"/>
        <v>38.28707221822377</v>
      </c>
      <c r="BS72" s="168">
        <f t="shared" ref="BS72:DA72" si="74">($F$49*(BS55/BS69)+1-$F$49)*BS66</f>
        <v>14.266073113333107</v>
      </c>
      <c r="BT72" s="168">
        <f t="shared" si="74"/>
        <v>23.767630945768733</v>
      </c>
      <c r="BU72" s="168">
        <f t="shared" si="74"/>
        <v>28.575597922322643</v>
      </c>
      <c r="BV72" s="168">
        <f t="shared" si="74"/>
        <v>42.645887813622366</v>
      </c>
      <c r="BW72" s="168">
        <f t="shared" si="74"/>
        <v>24.131098442434784</v>
      </c>
      <c r="BX72" s="168">
        <f t="shared" si="74"/>
        <v>66.318813503737218</v>
      </c>
      <c r="BY72" s="168">
        <f t="shared" si="74"/>
        <v>16.213444438897245</v>
      </c>
      <c r="BZ72" s="168">
        <f t="shared" si="74"/>
        <v>53.449026708474555</v>
      </c>
      <c r="CA72" s="168">
        <f t="shared" si="74"/>
        <v>50.203098643691774</v>
      </c>
      <c r="CB72" s="168">
        <f t="shared" si="74"/>
        <v>5.3327534710254714</v>
      </c>
      <c r="CC72" s="168">
        <f t="shared" si="74"/>
        <v>15.332487130441299</v>
      </c>
      <c r="CD72" s="168">
        <f t="shared" si="74"/>
        <v>42.193657922298897</v>
      </c>
      <c r="CE72" s="168">
        <f t="shared" si="74"/>
        <v>26.056911657008275</v>
      </c>
      <c r="CF72" s="168">
        <f t="shared" si="74"/>
        <v>35.910878693997908</v>
      </c>
      <c r="CG72" s="168">
        <f t="shared" si="74"/>
        <v>62.456296122478243</v>
      </c>
      <c r="CH72" s="168">
        <f t="shared" si="74"/>
        <v>53.050864662495215</v>
      </c>
      <c r="CI72" s="168">
        <f t="shared" si="74"/>
        <v>29.763188700075098</v>
      </c>
      <c r="CJ72" s="168">
        <f t="shared" si="74"/>
        <v>76.698787375172614</v>
      </c>
      <c r="CK72" s="168">
        <f t="shared" si="74"/>
        <v>55.813906062057448</v>
      </c>
      <c r="CL72" s="168">
        <f t="shared" si="74"/>
        <v>5.8617701000536986</v>
      </c>
      <c r="CM72" s="168">
        <f t="shared" si="74"/>
        <v>15.205263471410818</v>
      </c>
      <c r="CN72" s="168">
        <f t="shared" si="74"/>
        <v>51.851643653935994</v>
      </c>
      <c r="CO72" s="168">
        <f t="shared" si="74"/>
        <v>19.964305562132175</v>
      </c>
      <c r="CP72" s="168">
        <f t="shared" si="74"/>
        <v>42.33542285224793</v>
      </c>
      <c r="CQ72" s="168">
        <f t="shared" si="74"/>
        <v>15.20644922327488</v>
      </c>
      <c r="CR72" s="168">
        <f t="shared" si="74"/>
        <v>20.154658979235517</v>
      </c>
      <c r="CS72" s="168">
        <f t="shared" si="74"/>
        <v>55.075816357217555</v>
      </c>
      <c r="CT72" s="168">
        <f t="shared" si="74"/>
        <v>27.154874366435124</v>
      </c>
      <c r="CU72" s="168">
        <f t="shared" si="74"/>
        <v>38.759015264593074</v>
      </c>
      <c r="CV72" s="168">
        <f t="shared" si="74"/>
        <v>12.83298404857508</v>
      </c>
      <c r="CW72" s="168">
        <f t="shared" si="74"/>
        <v>42.437601173204193</v>
      </c>
      <c r="CX72" s="168">
        <f t="shared" si="74"/>
        <v>54.339358726896876</v>
      </c>
      <c r="CY72" s="168">
        <f t="shared" si="74"/>
        <v>19.829794181895668</v>
      </c>
      <c r="CZ72" s="168">
        <f t="shared" si="74"/>
        <v>29.421858286641669</v>
      </c>
      <c r="DA72" s="168">
        <f t="shared" si="74"/>
        <v>18.064423034535601</v>
      </c>
      <c r="DC72">
        <v>68</v>
      </c>
      <c r="DD72" s="114">
        <v>63.950798660051554</v>
      </c>
      <c r="DE72" s="114">
        <v>-16.852876318995982</v>
      </c>
      <c r="DF72" s="114">
        <v>-15.302391746875179</v>
      </c>
      <c r="DG72" s="114">
        <v>61.737070690141231</v>
      </c>
      <c r="DH72" s="114">
        <v>-8.8727427040847537</v>
      </c>
      <c r="DI72" s="114">
        <v>-18.073820706176164</v>
      </c>
      <c r="DJ72" s="114">
        <v>8.7329229077698596</v>
      </c>
      <c r="DK72" s="114">
        <f t="shared" si="67"/>
        <v>76.263942513051575</v>
      </c>
      <c r="DL72" s="114">
        <f t="shared" si="68"/>
        <v>3.8788094553601669</v>
      </c>
      <c r="DM72" s="114">
        <f t="shared" si="69"/>
        <v>222.23941132757506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8.7712081024278774</v>
      </c>
      <c r="D73" s="112"/>
      <c r="E73" s="172" t="s">
        <v>299</v>
      </c>
      <c r="F73" s="168">
        <f>($F$49*(F55/F67)+1-$F$49)*F67</f>
        <v>99.999999999999986</v>
      </c>
      <c r="G73" s="168">
        <f t="shared" ref="G73:BR73" si="75">($F$49*(G55/G67)+1-$F$49)*G67</f>
        <v>99.999999999999986</v>
      </c>
      <c r="H73" s="168">
        <f t="shared" si="75"/>
        <v>99.999999999999986</v>
      </c>
      <c r="I73" s="168">
        <f t="shared" si="75"/>
        <v>99.999999999999986</v>
      </c>
      <c r="J73" s="168">
        <f t="shared" si="75"/>
        <v>99.999999999999986</v>
      </c>
      <c r="K73" s="168">
        <f t="shared" si="75"/>
        <v>99.999999999999986</v>
      </c>
      <c r="L73" s="168">
        <f t="shared" si="75"/>
        <v>99.999999999999986</v>
      </c>
      <c r="M73" s="168">
        <f t="shared" si="75"/>
        <v>99.999999999999986</v>
      </c>
      <c r="N73" s="168">
        <f t="shared" si="75"/>
        <v>99.999999999999986</v>
      </c>
      <c r="O73" s="168">
        <f t="shared" si="75"/>
        <v>99.999999999999986</v>
      </c>
      <c r="P73" s="168">
        <f t="shared" si="75"/>
        <v>99.999999999999986</v>
      </c>
      <c r="Q73" s="168">
        <f t="shared" si="75"/>
        <v>99.999999999999986</v>
      </c>
      <c r="R73" s="168">
        <f t="shared" si="75"/>
        <v>99.999999999999986</v>
      </c>
      <c r="S73" s="168">
        <f t="shared" si="75"/>
        <v>99.999999999999986</v>
      </c>
      <c r="T73" s="168">
        <f t="shared" si="75"/>
        <v>99.999999999999986</v>
      </c>
      <c r="U73" s="168">
        <f t="shared" si="75"/>
        <v>99.999999999999986</v>
      </c>
      <c r="V73" s="168">
        <f t="shared" si="75"/>
        <v>99.999999999999986</v>
      </c>
      <c r="W73" s="168">
        <f t="shared" si="75"/>
        <v>99.999999999999986</v>
      </c>
      <c r="X73" s="168">
        <f t="shared" si="75"/>
        <v>99.999999999999986</v>
      </c>
      <c r="Y73" s="168">
        <f t="shared" si="75"/>
        <v>99.999999999999986</v>
      </c>
      <c r="Z73" s="168">
        <f t="shared" si="75"/>
        <v>99.999999999999986</v>
      </c>
      <c r="AA73" s="168">
        <f t="shared" si="75"/>
        <v>99.999999999999986</v>
      </c>
      <c r="AB73" s="168">
        <f t="shared" si="75"/>
        <v>99.999999999999986</v>
      </c>
      <c r="AC73" s="168">
        <f t="shared" si="75"/>
        <v>99.999999999999986</v>
      </c>
      <c r="AD73" s="168">
        <f t="shared" si="75"/>
        <v>99.999999999999986</v>
      </c>
      <c r="AE73" s="168">
        <f t="shared" si="75"/>
        <v>99.999999999999986</v>
      </c>
      <c r="AF73" s="168">
        <f t="shared" si="75"/>
        <v>99.999999999999986</v>
      </c>
      <c r="AG73" s="168">
        <f t="shared" si="75"/>
        <v>99.999999999999986</v>
      </c>
      <c r="AH73" s="168">
        <f t="shared" si="75"/>
        <v>99.999999999999986</v>
      </c>
      <c r="AI73" s="168">
        <f t="shared" si="75"/>
        <v>99.999999999999986</v>
      </c>
      <c r="AJ73" s="168">
        <f t="shared" si="75"/>
        <v>99.999999999999986</v>
      </c>
      <c r="AK73" s="168">
        <f t="shared" si="75"/>
        <v>99.999999999999986</v>
      </c>
      <c r="AL73" s="168">
        <f t="shared" si="75"/>
        <v>99.999999999999986</v>
      </c>
      <c r="AM73" s="168">
        <f t="shared" si="75"/>
        <v>99.999999999999986</v>
      </c>
      <c r="AN73" s="168">
        <f t="shared" si="75"/>
        <v>99.999999999999986</v>
      </c>
      <c r="AO73" s="168">
        <f t="shared" si="75"/>
        <v>99.999999999999986</v>
      </c>
      <c r="AP73" s="168">
        <f t="shared" si="75"/>
        <v>99.999999999999986</v>
      </c>
      <c r="AQ73" s="168">
        <f t="shared" si="75"/>
        <v>99.999999999999986</v>
      </c>
      <c r="AR73" s="168">
        <f t="shared" si="75"/>
        <v>99.999999999999986</v>
      </c>
      <c r="AS73" s="168">
        <f t="shared" si="75"/>
        <v>99.999999999999986</v>
      </c>
      <c r="AT73" s="168">
        <f t="shared" si="75"/>
        <v>99.999999999999986</v>
      </c>
      <c r="AU73" s="168">
        <f t="shared" si="75"/>
        <v>99.999999999999986</v>
      </c>
      <c r="AV73" s="168">
        <f t="shared" si="75"/>
        <v>99.999999999999986</v>
      </c>
      <c r="AW73" s="168">
        <f t="shared" si="75"/>
        <v>99.999999999999986</v>
      </c>
      <c r="AX73" s="168">
        <f t="shared" si="75"/>
        <v>99.999999999999986</v>
      </c>
      <c r="AY73" s="168">
        <f t="shared" si="75"/>
        <v>99.999999999999986</v>
      </c>
      <c r="AZ73" s="168">
        <f t="shared" si="75"/>
        <v>99.999999999999986</v>
      </c>
      <c r="BA73" s="168">
        <f t="shared" si="75"/>
        <v>99.999999999999986</v>
      </c>
      <c r="BB73" s="168">
        <f t="shared" si="75"/>
        <v>99.999999999999986</v>
      </c>
      <c r="BC73" s="168">
        <f t="shared" si="75"/>
        <v>99.999999999999986</v>
      </c>
      <c r="BD73" s="168">
        <f t="shared" si="75"/>
        <v>99.999999999999986</v>
      </c>
      <c r="BE73" s="168">
        <f t="shared" si="75"/>
        <v>99.999999999999986</v>
      </c>
      <c r="BF73" s="168">
        <f t="shared" si="75"/>
        <v>99.999999999999986</v>
      </c>
      <c r="BG73" s="168">
        <f t="shared" si="75"/>
        <v>99.999999999999986</v>
      </c>
      <c r="BH73" s="168">
        <f t="shared" si="75"/>
        <v>99.999999999999986</v>
      </c>
      <c r="BI73" s="168">
        <f t="shared" si="75"/>
        <v>99.999999999999986</v>
      </c>
      <c r="BJ73" s="168">
        <f t="shared" si="75"/>
        <v>99.999999999999986</v>
      </c>
      <c r="BK73" s="168">
        <f t="shared" si="75"/>
        <v>99.999999999999986</v>
      </c>
      <c r="BL73" s="168">
        <f t="shared" si="75"/>
        <v>99.999999999999986</v>
      </c>
      <c r="BM73" s="168">
        <f t="shared" si="75"/>
        <v>99.999999999999986</v>
      </c>
      <c r="BN73" s="168">
        <f t="shared" si="75"/>
        <v>99.999999999999986</v>
      </c>
      <c r="BO73" s="168">
        <f t="shared" si="75"/>
        <v>99.999999999999986</v>
      </c>
      <c r="BP73" s="168">
        <f t="shared" si="75"/>
        <v>99.999999999999986</v>
      </c>
      <c r="BQ73" s="168">
        <f t="shared" si="75"/>
        <v>99.999999999999986</v>
      </c>
      <c r="BR73" s="168">
        <f t="shared" si="75"/>
        <v>99.999999999999986</v>
      </c>
      <c r="BS73" s="168">
        <f t="shared" ref="BS73:DA73" si="76">($F$49*(BS55/BS67)+1-$F$49)*BS67</f>
        <v>99.999999999999986</v>
      </c>
      <c r="BT73" s="168">
        <f t="shared" si="76"/>
        <v>99.999999999999986</v>
      </c>
      <c r="BU73" s="168">
        <f t="shared" si="76"/>
        <v>99.999999999999986</v>
      </c>
      <c r="BV73" s="168">
        <f t="shared" si="76"/>
        <v>99.999999999999986</v>
      </c>
      <c r="BW73" s="168">
        <f t="shared" si="76"/>
        <v>99.999999999999986</v>
      </c>
      <c r="BX73" s="168">
        <f t="shared" si="76"/>
        <v>99.999999999999986</v>
      </c>
      <c r="BY73" s="168">
        <f t="shared" si="76"/>
        <v>99.999999999999986</v>
      </c>
      <c r="BZ73" s="168">
        <f t="shared" si="76"/>
        <v>99.999999999999986</v>
      </c>
      <c r="CA73" s="168">
        <f t="shared" si="76"/>
        <v>99.999999999999986</v>
      </c>
      <c r="CB73" s="168">
        <f t="shared" si="76"/>
        <v>99.999999999999986</v>
      </c>
      <c r="CC73" s="168">
        <f t="shared" si="76"/>
        <v>99.999999999999986</v>
      </c>
      <c r="CD73" s="168">
        <f t="shared" si="76"/>
        <v>99.999999999999986</v>
      </c>
      <c r="CE73" s="168">
        <f t="shared" si="76"/>
        <v>99.999999999999986</v>
      </c>
      <c r="CF73" s="168">
        <f t="shared" si="76"/>
        <v>99.999999999999986</v>
      </c>
      <c r="CG73" s="168">
        <f t="shared" si="76"/>
        <v>99.999999999999986</v>
      </c>
      <c r="CH73" s="168">
        <f t="shared" si="76"/>
        <v>99.999999999999986</v>
      </c>
      <c r="CI73" s="168">
        <f t="shared" si="76"/>
        <v>99.999999999999986</v>
      </c>
      <c r="CJ73" s="168">
        <f t="shared" si="76"/>
        <v>99.999999999999986</v>
      </c>
      <c r="CK73" s="168">
        <f t="shared" si="76"/>
        <v>99.999999999999986</v>
      </c>
      <c r="CL73" s="168">
        <f t="shared" si="76"/>
        <v>99.999999999999986</v>
      </c>
      <c r="CM73" s="168">
        <f t="shared" si="76"/>
        <v>99.999999999999986</v>
      </c>
      <c r="CN73" s="168">
        <f t="shared" si="76"/>
        <v>99.999999999999986</v>
      </c>
      <c r="CO73" s="168">
        <f t="shared" si="76"/>
        <v>99.999999999999986</v>
      </c>
      <c r="CP73" s="168">
        <f t="shared" si="76"/>
        <v>99.999999999999986</v>
      </c>
      <c r="CQ73" s="168">
        <f t="shared" si="76"/>
        <v>99.999999999999986</v>
      </c>
      <c r="CR73" s="168">
        <f t="shared" si="76"/>
        <v>99.999999999999986</v>
      </c>
      <c r="CS73" s="168">
        <f t="shared" si="76"/>
        <v>99.999999999999986</v>
      </c>
      <c r="CT73" s="168">
        <f t="shared" si="76"/>
        <v>99.999999999999986</v>
      </c>
      <c r="CU73" s="168">
        <f t="shared" si="76"/>
        <v>99.999999999999986</v>
      </c>
      <c r="CV73" s="168">
        <f t="shared" si="76"/>
        <v>99.999999999999986</v>
      </c>
      <c r="CW73" s="168">
        <f t="shared" si="76"/>
        <v>99.999999999999986</v>
      </c>
      <c r="CX73" s="168">
        <f t="shared" si="76"/>
        <v>99.999999999999986</v>
      </c>
      <c r="CY73" s="168">
        <f t="shared" si="76"/>
        <v>99.999999999999986</v>
      </c>
      <c r="CZ73" s="168">
        <f t="shared" si="76"/>
        <v>99.999999999999986</v>
      </c>
      <c r="DA73" s="168">
        <f t="shared" si="76"/>
        <v>99.999999999999986</v>
      </c>
      <c r="DC73">
        <v>69</v>
      </c>
      <c r="DD73" s="114">
        <v>53.593605483678864</v>
      </c>
      <c r="DE73" s="114">
        <v>-6.8268905137257185</v>
      </c>
      <c r="DF73" s="114">
        <v>-10.529097012740223</v>
      </c>
      <c r="DG73" s="114">
        <v>51.52889828882217</v>
      </c>
      <c r="DH73" s="114">
        <v>-1.2878631862672829</v>
      </c>
      <c r="DI73" s="114">
        <v>-12.387535358811713</v>
      </c>
      <c r="DJ73" s="114">
        <v>6.1965823339138542</v>
      </c>
      <c r="DK73" s="114">
        <f t="shared" si="67"/>
        <v>38.397632620973269</v>
      </c>
      <c r="DL73" s="114">
        <f t="shared" si="68"/>
        <v>4.1371511299835646</v>
      </c>
      <c r="DM73" s="114">
        <f t="shared" si="69"/>
        <v>237.04129895583773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8.8955563964798205</v>
      </c>
      <c r="D74" s="112"/>
      <c r="E74" s="172" t="s">
        <v>300</v>
      </c>
      <c r="F74" s="168">
        <f>($F$49*(F55/F68)+1-$F$49)*F68</f>
        <v>100.00000000000001</v>
      </c>
      <c r="G74" s="168">
        <f t="shared" ref="G74:BR74" si="77">($F$49*(G55/G68)+1-$F$49)*G68</f>
        <v>100.00000000000001</v>
      </c>
      <c r="H74" s="168">
        <f t="shared" si="77"/>
        <v>100.00000000000001</v>
      </c>
      <c r="I74" s="168">
        <f t="shared" si="77"/>
        <v>100.00000000000001</v>
      </c>
      <c r="J74" s="168">
        <f t="shared" si="77"/>
        <v>100.00000000000001</v>
      </c>
      <c r="K74" s="168">
        <f t="shared" si="77"/>
        <v>100.00000000000001</v>
      </c>
      <c r="L74" s="168">
        <f t="shared" si="77"/>
        <v>100.00000000000001</v>
      </c>
      <c r="M74" s="168">
        <f t="shared" si="77"/>
        <v>100.00000000000001</v>
      </c>
      <c r="N74" s="168">
        <f t="shared" si="77"/>
        <v>100.00000000000001</v>
      </c>
      <c r="O74" s="168">
        <f t="shared" si="77"/>
        <v>100.00000000000001</v>
      </c>
      <c r="P74" s="168">
        <f t="shared" si="77"/>
        <v>100.00000000000001</v>
      </c>
      <c r="Q74" s="168">
        <f t="shared" si="77"/>
        <v>100.00000000000001</v>
      </c>
      <c r="R74" s="168">
        <f t="shared" si="77"/>
        <v>100.00000000000001</v>
      </c>
      <c r="S74" s="168">
        <f t="shared" si="77"/>
        <v>100.00000000000001</v>
      </c>
      <c r="T74" s="168">
        <f t="shared" si="77"/>
        <v>100.00000000000001</v>
      </c>
      <c r="U74" s="168">
        <f t="shared" si="77"/>
        <v>100.00000000000001</v>
      </c>
      <c r="V74" s="168">
        <f t="shared" si="77"/>
        <v>100.00000000000001</v>
      </c>
      <c r="W74" s="168">
        <f t="shared" si="77"/>
        <v>100.00000000000001</v>
      </c>
      <c r="X74" s="168">
        <f t="shared" si="77"/>
        <v>100.00000000000001</v>
      </c>
      <c r="Y74" s="168">
        <f t="shared" si="77"/>
        <v>100.00000000000001</v>
      </c>
      <c r="Z74" s="168">
        <f t="shared" si="77"/>
        <v>100.00000000000001</v>
      </c>
      <c r="AA74" s="168">
        <f t="shared" si="77"/>
        <v>100.00000000000001</v>
      </c>
      <c r="AB74" s="168">
        <f t="shared" si="77"/>
        <v>100.00000000000001</v>
      </c>
      <c r="AC74" s="168">
        <f t="shared" si="77"/>
        <v>100.00000000000001</v>
      </c>
      <c r="AD74" s="168">
        <f t="shared" si="77"/>
        <v>100.00000000000001</v>
      </c>
      <c r="AE74" s="168">
        <f t="shared" si="77"/>
        <v>100.00000000000001</v>
      </c>
      <c r="AF74" s="168">
        <f t="shared" si="77"/>
        <v>100.00000000000001</v>
      </c>
      <c r="AG74" s="168">
        <f t="shared" si="77"/>
        <v>100.00000000000001</v>
      </c>
      <c r="AH74" s="168">
        <f t="shared" si="77"/>
        <v>100.00000000000001</v>
      </c>
      <c r="AI74" s="168">
        <f t="shared" si="77"/>
        <v>100.00000000000001</v>
      </c>
      <c r="AJ74" s="168">
        <f t="shared" si="77"/>
        <v>100.00000000000001</v>
      </c>
      <c r="AK74" s="168">
        <f t="shared" si="77"/>
        <v>100.00000000000001</v>
      </c>
      <c r="AL74" s="168">
        <f t="shared" si="77"/>
        <v>100.00000000000001</v>
      </c>
      <c r="AM74" s="168">
        <f t="shared" si="77"/>
        <v>100.00000000000001</v>
      </c>
      <c r="AN74" s="168">
        <f t="shared" si="77"/>
        <v>100.00000000000001</v>
      </c>
      <c r="AO74" s="168">
        <f t="shared" si="77"/>
        <v>100.00000000000001</v>
      </c>
      <c r="AP74" s="168">
        <f t="shared" si="77"/>
        <v>100.00000000000001</v>
      </c>
      <c r="AQ74" s="168">
        <f t="shared" si="77"/>
        <v>100.00000000000001</v>
      </c>
      <c r="AR74" s="168">
        <f t="shared" si="77"/>
        <v>100.00000000000001</v>
      </c>
      <c r="AS74" s="168">
        <f t="shared" si="77"/>
        <v>100.00000000000001</v>
      </c>
      <c r="AT74" s="168">
        <f t="shared" si="77"/>
        <v>100.00000000000001</v>
      </c>
      <c r="AU74" s="168">
        <f t="shared" si="77"/>
        <v>100.00000000000001</v>
      </c>
      <c r="AV74" s="168">
        <f t="shared" si="77"/>
        <v>100.00000000000001</v>
      </c>
      <c r="AW74" s="168">
        <f t="shared" si="77"/>
        <v>100.00000000000001</v>
      </c>
      <c r="AX74" s="168">
        <f t="shared" si="77"/>
        <v>100.00000000000001</v>
      </c>
      <c r="AY74" s="168">
        <f t="shared" si="77"/>
        <v>100.00000000000001</v>
      </c>
      <c r="AZ74" s="168">
        <f t="shared" si="77"/>
        <v>100.00000000000001</v>
      </c>
      <c r="BA74" s="168">
        <f t="shared" si="77"/>
        <v>100.00000000000001</v>
      </c>
      <c r="BB74" s="168">
        <f t="shared" si="77"/>
        <v>100.00000000000001</v>
      </c>
      <c r="BC74" s="168">
        <f t="shared" si="77"/>
        <v>100.00000000000001</v>
      </c>
      <c r="BD74" s="168">
        <f t="shared" si="77"/>
        <v>100.00000000000001</v>
      </c>
      <c r="BE74" s="168">
        <f t="shared" si="77"/>
        <v>100.00000000000001</v>
      </c>
      <c r="BF74" s="168">
        <f t="shared" si="77"/>
        <v>100.00000000000001</v>
      </c>
      <c r="BG74" s="168">
        <f t="shared" si="77"/>
        <v>100.00000000000001</v>
      </c>
      <c r="BH74" s="168">
        <f t="shared" si="77"/>
        <v>100.00000000000001</v>
      </c>
      <c r="BI74" s="168">
        <f t="shared" si="77"/>
        <v>100.00000000000001</v>
      </c>
      <c r="BJ74" s="168">
        <f t="shared" si="77"/>
        <v>100.00000000000001</v>
      </c>
      <c r="BK74" s="168">
        <f t="shared" si="77"/>
        <v>100.00000000000001</v>
      </c>
      <c r="BL74" s="168">
        <f t="shared" si="77"/>
        <v>100.00000000000001</v>
      </c>
      <c r="BM74" s="168">
        <f t="shared" si="77"/>
        <v>100.00000000000001</v>
      </c>
      <c r="BN74" s="168">
        <f t="shared" si="77"/>
        <v>100.00000000000001</v>
      </c>
      <c r="BO74" s="168">
        <f t="shared" si="77"/>
        <v>100.00000000000001</v>
      </c>
      <c r="BP74" s="168">
        <f t="shared" si="77"/>
        <v>100.00000000000001</v>
      </c>
      <c r="BQ74" s="168">
        <f t="shared" si="77"/>
        <v>100.00000000000001</v>
      </c>
      <c r="BR74" s="168">
        <f t="shared" si="77"/>
        <v>100.00000000000001</v>
      </c>
      <c r="BS74" s="168">
        <f t="shared" ref="BS74:DA74" si="78">($F$49*(BS55/BS68)+1-$F$49)*BS68</f>
        <v>100.00000000000001</v>
      </c>
      <c r="BT74" s="168">
        <f t="shared" si="78"/>
        <v>100.00000000000001</v>
      </c>
      <c r="BU74" s="168">
        <f t="shared" si="78"/>
        <v>100.00000000000001</v>
      </c>
      <c r="BV74" s="168">
        <f t="shared" si="78"/>
        <v>100.00000000000001</v>
      </c>
      <c r="BW74" s="168">
        <f t="shared" si="78"/>
        <v>100.00000000000001</v>
      </c>
      <c r="BX74" s="168">
        <f t="shared" si="78"/>
        <v>100.00000000000001</v>
      </c>
      <c r="BY74" s="168">
        <f t="shared" si="78"/>
        <v>100.00000000000001</v>
      </c>
      <c r="BZ74" s="168">
        <f t="shared" si="78"/>
        <v>100.00000000000001</v>
      </c>
      <c r="CA74" s="168">
        <f t="shared" si="78"/>
        <v>100.00000000000001</v>
      </c>
      <c r="CB74" s="168">
        <f t="shared" si="78"/>
        <v>100.00000000000001</v>
      </c>
      <c r="CC74" s="168">
        <f t="shared" si="78"/>
        <v>100.00000000000001</v>
      </c>
      <c r="CD74" s="168">
        <f t="shared" si="78"/>
        <v>100.00000000000001</v>
      </c>
      <c r="CE74" s="168">
        <f t="shared" si="78"/>
        <v>100.00000000000001</v>
      </c>
      <c r="CF74" s="168">
        <f t="shared" si="78"/>
        <v>100.00000000000001</v>
      </c>
      <c r="CG74" s="168">
        <f t="shared" si="78"/>
        <v>100.00000000000001</v>
      </c>
      <c r="CH74" s="168">
        <f t="shared" si="78"/>
        <v>100.00000000000001</v>
      </c>
      <c r="CI74" s="168">
        <f t="shared" si="78"/>
        <v>100.00000000000001</v>
      </c>
      <c r="CJ74" s="168">
        <f t="shared" si="78"/>
        <v>100.00000000000001</v>
      </c>
      <c r="CK74" s="168">
        <f t="shared" si="78"/>
        <v>100.00000000000001</v>
      </c>
      <c r="CL74" s="168">
        <f t="shared" si="78"/>
        <v>100.00000000000001</v>
      </c>
      <c r="CM74" s="168">
        <f t="shared" si="78"/>
        <v>100.00000000000001</v>
      </c>
      <c r="CN74" s="168">
        <f t="shared" si="78"/>
        <v>100.00000000000001</v>
      </c>
      <c r="CO74" s="168">
        <f t="shared" si="78"/>
        <v>100.00000000000001</v>
      </c>
      <c r="CP74" s="168">
        <f t="shared" si="78"/>
        <v>100.00000000000001</v>
      </c>
      <c r="CQ74" s="168">
        <f t="shared" si="78"/>
        <v>100.00000000000001</v>
      </c>
      <c r="CR74" s="168">
        <f t="shared" si="78"/>
        <v>100.00000000000001</v>
      </c>
      <c r="CS74" s="168">
        <f t="shared" si="78"/>
        <v>100.00000000000001</v>
      </c>
      <c r="CT74" s="168">
        <f t="shared" si="78"/>
        <v>100.00000000000001</v>
      </c>
      <c r="CU74" s="168">
        <f t="shared" si="78"/>
        <v>100.00000000000001</v>
      </c>
      <c r="CV74" s="168">
        <f t="shared" si="78"/>
        <v>100.00000000000001</v>
      </c>
      <c r="CW74" s="168">
        <f t="shared" si="78"/>
        <v>100.00000000000001</v>
      </c>
      <c r="CX74" s="168">
        <f t="shared" si="78"/>
        <v>100.00000000000001</v>
      </c>
      <c r="CY74" s="168">
        <f t="shared" si="78"/>
        <v>100.00000000000001</v>
      </c>
      <c r="CZ74" s="168">
        <f t="shared" si="78"/>
        <v>100.00000000000001</v>
      </c>
      <c r="DA74" s="168">
        <f t="shared" si="78"/>
        <v>100.00000000000001</v>
      </c>
      <c r="DC74">
        <v>70</v>
      </c>
      <c r="DD74" s="114">
        <v>72.469549551414389</v>
      </c>
      <c r="DE74" s="114">
        <v>-17.091399706049554</v>
      </c>
      <c r="DF74" s="114">
        <v>-21.083543260056761</v>
      </c>
      <c r="DG74" s="114">
        <v>70.365646618036322</v>
      </c>
      <c r="DH74" s="114">
        <v>-8.3076467327226293</v>
      </c>
      <c r="DI74" s="114">
        <v>-23.744786406213478</v>
      </c>
      <c r="DJ74" s="114">
        <v>9.4160999852631413</v>
      </c>
      <c r="DK74" s="114">
        <f t="shared" si="67"/>
        <v>88.662938932472528</v>
      </c>
      <c r="DL74" s="114">
        <f t="shared" si="68"/>
        <v>4.0311870619428474</v>
      </c>
      <c r="DM74" s="114">
        <f t="shared" si="69"/>
        <v>230.97000507706753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9.0176477102233026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35.211913529811582</v>
      </c>
      <c r="DE75" s="114">
        <v>-13.850526780415587</v>
      </c>
      <c r="DF75" s="114">
        <v>-20.550068012543694</v>
      </c>
      <c r="DG75" s="114">
        <v>32.609387704694853</v>
      </c>
      <c r="DH75" s="114">
        <v>-5.6500438088158464</v>
      </c>
      <c r="DI75" s="114">
        <v>-20.853136341604202</v>
      </c>
      <c r="DJ75" s="114">
        <v>8.6088856450748814</v>
      </c>
      <c r="DK75" s="114">
        <f t="shared" si="67"/>
        <v>74.112912049976359</v>
      </c>
      <c r="DL75" s="114">
        <f t="shared" si="68"/>
        <v>4.1193339524286934</v>
      </c>
      <c r="DM75" s="114">
        <f t="shared" si="69"/>
        <v>236.02044987910838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9.1374435028411014</v>
      </c>
      <c r="D76" s="112"/>
      <c r="E76" s="172" t="s">
        <v>302</v>
      </c>
      <c r="F76" s="168">
        <f t="array" ref="F76:F78">MMULT($M$43:$O$45,F70:F72)</f>
        <v>100</v>
      </c>
      <c r="G76" s="168">
        <f t="array" ref="G76:G78">MMULT($M$43:$O$45,G70:G72)</f>
        <v>71.623995848034994</v>
      </c>
      <c r="H76" s="168">
        <f t="array" ref="H76:H78">MMULT($M$43:$O$45,H70:H72)</f>
        <v>38.474967214953139</v>
      </c>
      <c r="I76" s="168">
        <f t="array" ref="I76:I78">MMULT($M$43:$O$45,I70:I72)</f>
        <v>7.4521548055293962</v>
      </c>
      <c r="J76" s="168">
        <f t="array" ref="J76:J78">MMULT($M$43:$O$45,J70:J72)</f>
        <v>43.194789559589942</v>
      </c>
      <c r="K76" s="168">
        <f t="array" ref="K76:K78">MMULT($M$43:$O$45,K70:K72)</f>
        <v>25.441085695522389</v>
      </c>
      <c r="L76" s="168">
        <f t="array" ref="L76:L78">MMULT($M$43:$O$45,L70:L72)</f>
        <v>20.701087270041803</v>
      </c>
      <c r="M76" s="168">
        <f t="array" ref="M76:M78">MMULT($M$43:$O$45,M70:M72)</f>
        <v>17.896347604428342</v>
      </c>
      <c r="N76" s="168">
        <f t="array" ref="N76:N78">MMULT($M$43:$O$45,N70:N72)</f>
        <v>16.648460824592657</v>
      </c>
      <c r="O76" s="168">
        <f t="array" ref="O76:O78">MMULT($M$43:$O$45,O70:O72)</f>
        <v>5.2125198815112519</v>
      </c>
      <c r="P76" s="168">
        <f t="array" ref="P76:P78">MMULT($M$43:$O$45,P70:P72)</f>
        <v>58.82644637379348</v>
      </c>
      <c r="Q76" s="168">
        <f t="array" ref="Q76:Q78">MMULT($M$43:$O$45,Q70:Q72)</f>
        <v>31.879786654228113</v>
      </c>
      <c r="R76" s="168">
        <f t="array" ref="R76:R78">MMULT($M$43:$O$45,R70:R72)</f>
        <v>41.15709416051638</v>
      </c>
      <c r="S76" s="168">
        <f t="array" ref="S76:S78">MMULT($M$43:$O$45,S70:S72)</f>
        <v>15.076760490442204</v>
      </c>
      <c r="T76" s="168">
        <f t="array" ref="T76:T78">MMULT($M$43:$O$45,T70:T72)</f>
        <v>44.297246441479551</v>
      </c>
      <c r="U76" s="168">
        <f t="array" ref="U76:U78">MMULT($M$43:$O$45,U70:U72)</f>
        <v>43.091882015019813</v>
      </c>
      <c r="V76" s="168">
        <f t="array" ref="V76:V78">MMULT($M$43:$O$45,V70:V72)</f>
        <v>18.300385724549706</v>
      </c>
      <c r="W76" s="168">
        <f t="array" ref="W76:W78">MMULT($M$43:$O$45,W70:W72)</f>
        <v>19.046946556970351</v>
      </c>
      <c r="X76" s="168">
        <f t="array" ref="X76:X78">MMULT($M$43:$O$45,X70:X72)</f>
        <v>24.228347345649347</v>
      </c>
      <c r="Y76" s="168">
        <f t="array" ref="Y76:Y78">MMULT($M$43:$O$45,Y70:Y72)</f>
        <v>43.627926139861046</v>
      </c>
      <c r="Z76" s="168">
        <f t="array" ref="Z76:Z78">MMULT($M$43:$O$45,Z70:Z72)</f>
        <v>40.947923569007195</v>
      </c>
      <c r="AA76" s="168">
        <f t="array" ref="AA76:AA78">MMULT($M$43:$O$45,AA70:AA72)</f>
        <v>71.597348094415281</v>
      </c>
      <c r="AB76" s="168">
        <f t="array" ref="AB76:AB78">MMULT($M$43:$O$45,AB70:AB72)</f>
        <v>57.106279885746893</v>
      </c>
      <c r="AC76" s="168">
        <f t="array" ref="AC76:AC78">MMULT($M$43:$O$45,AC70:AC72)</f>
        <v>77.171766381678935</v>
      </c>
      <c r="AD76" s="168">
        <f t="array" ref="AD76:AD78">MMULT($M$43:$O$45,AD70:AD72)</f>
        <v>75.971468250804719</v>
      </c>
      <c r="AE76" s="168">
        <f t="array" ref="AE76:AE78">MMULT($M$43:$O$45,AE70:AE72)</f>
        <v>41.974429582541809</v>
      </c>
      <c r="AF76" s="168">
        <f t="array" ref="AF76:AF78">MMULT($M$43:$O$45,AF70:AF72)</f>
        <v>74.644210754582204</v>
      </c>
      <c r="AG76" s="168">
        <f t="array" ref="AG76:AG78">MMULT($M$43:$O$45,AG70:AG72)</f>
        <v>41.041880687336757</v>
      </c>
      <c r="AH76" s="168">
        <f t="array" ref="AH76:AH78">MMULT($M$43:$O$45,AH70:AH72)</f>
        <v>10.75515340315483</v>
      </c>
      <c r="AI76" s="168">
        <f t="array" ref="AI76:AI78">MMULT($M$43:$O$45,AI70:AI72)</f>
        <v>65.191874805095139</v>
      </c>
      <c r="AJ76" s="168">
        <f t="array" ref="AJ76:AJ78">MMULT($M$43:$O$45,AJ70:AJ72)</f>
        <v>29.748143609786297</v>
      </c>
      <c r="AK76" s="168">
        <f t="array" ref="AK76:AK78">MMULT($M$43:$O$45,AK70:AK72)</f>
        <v>67.901816453660459</v>
      </c>
      <c r="AL76" s="168">
        <f t="array" ref="AL76:AL78">MMULT($M$43:$O$45,AL70:AL72)</f>
        <v>43.389421872411518</v>
      </c>
      <c r="AM76" s="168">
        <f t="array" ref="AM76:AM78">MMULT($M$43:$O$45,AM70:AM72)</f>
        <v>70.533049782202639</v>
      </c>
      <c r="AN76" s="168">
        <f t="array" ref="AN76:AN78">MMULT($M$43:$O$45,AN70:AN72)</f>
        <v>25.738377874954253</v>
      </c>
      <c r="AO76" s="168">
        <f t="array" ref="AO76:AO78">MMULT($M$43:$O$45,AO70:AO72)</f>
        <v>10.62056822512219</v>
      </c>
      <c r="AP76" s="168">
        <f t="array" ref="AP76:AP78">MMULT($M$43:$O$45,AP70:AP72)</f>
        <v>52.951028531496043</v>
      </c>
      <c r="AQ76" s="168">
        <f t="array" ref="AQ76:AQ78">MMULT($M$43:$O$45,AQ70:AQ72)</f>
        <v>13.580521158047151</v>
      </c>
      <c r="AR76" s="168">
        <f t="array" ref="AR76:AR78">MMULT($M$43:$O$45,AR70:AR72)</f>
        <v>62.047987739860154</v>
      </c>
      <c r="AS76" s="168">
        <f t="array" ref="AS76:AS78">MMULT($M$43:$O$45,AS70:AS72)</f>
        <v>7.3361254447499373</v>
      </c>
      <c r="AT76" s="168">
        <f t="array" ref="AT76:AT78">MMULT($M$43:$O$45,AT70:AT72)</f>
        <v>15.456132481007019</v>
      </c>
      <c r="AU76" s="168">
        <f t="array" ref="AU76:AU78">MMULT($M$43:$O$45,AU70:AU72)</f>
        <v>66.756796814663318</v>
      </c>
      <c r="AV76" s="168">
        <f t="array" ref="AV76:AV78">MMULT($M$43:$O$45,AV70:AV72)</f>
        <v>27.985466605958852</v>
      </c>
      <c r="AW76" s="168">
        <f t="array" ref="AW76:AW78">MMULT($M$43:$O$45,AW70:AW72)</f>
        <v>32.062986841073929</v>
      </c>
      <c r="AX76" s="168">
        <f t="array" ref="AX76:AX78">MMULT($M$43:$O$45,AX70:AX72)</f>
        <v>4.897738310112393</v>
      </c>
      <c r="AY76" s="168">
        <f t="array" ref="AY76:AY78">MMULT($M$43:$O$45,AY70:AY72)</f>
        <v>18.24875547845496</v>
      </c>
      <c r="AZ76" s="168">
        <f t="array" ref="AZ76:AZ78">MMULT($M$43:$O$45,AZ70:AZ72)</f>
        <v>27.397742265275092</v>
      </c>
      <c r="BA76" s="168">
        <f t="array" ref="BA76:BA78">MMULT($M$43:$O$45,BA70:BA72)</f>
        <v>33.799766537204782</v>
      </c>
      <c r="BB76" s="168">
        <f t="array" ref="BB76:BB78">MMULT($M$43:$O$45,BB70:BB72)</f>
        <v>39.123875357915068</v>
      </c>
      <c r="BC76" s="168">
        <f t="array" ref="BC76:BC78">MMULT($M$43:$O$45,BC70:BC72)</f>
        <v>10.675863060736873</v>
      </c>
      <c r="BD76" s="168">
        <f t="array" ref="BD76:BD78">MMULT($M$43:$O$45,BD70:BD72)</f>
        <v>16.433797309525609</v>
      </c>
      <c r="BE76" s="168">
        <f t="array" ref="BE76:BE78">MMULT($M$43:$O$45,BE70:BE72)</f>
        <v>20.270396939458127</v>
      </c>
      <c r="BF76" s="168">
        <f t="array" ref="BF76:BF78">MMULT($M$43:$O$45,BF70:BF72)</f>
        <v>7.7648344512229768</v>
      </c>
      <c r="BG76" s="168">
        <f t="array" ref="BG76:BG78">MMULT($M$43:$O$45,BG70:BG72)</f>
        <v>9.952415814199032</v>
      </c>
      <c r="BH76" s="168">
        <f t="array" ref="BH76:BH78">MMULT($M$43:$O$45,BH70:BH72)</f>
        <v>60.009851141944544</v>
      </c>
      <c r="BI76" s="168">
        <f t="array" ref="BI76:BI78">MMULT($M$43:$O$45,BI70:BI72)</f>
        <v>52.745792246217079</v>
      </c>
      <c r="BJ76" s="168">
        <f t="array" ref="BJ76:BJ78">MMULT($M$43:$O$45,BJ70:BJ72)</f>
        <v>28.13475411466662</v>
      </c>
      <c r="BK76" s="168">
        <f t="array" ref="BK76:BK78">MMULT($M$43:$O$45,BK70:BK72)</f>
        <v>15.036073135622411</v>
      </c>
      <c r="BL76" s="168">
        <f t="array" ref="BL76:BL78">MMULT($M$43:$O$45,BL70:BL72)</f>
        <v>12.793508284508174</v>
      </c>
      <c r="BM76" s="168">
        <f t="array" ref="BM76:BM78">MMULT($M$43:$O$45,BM70:BM72)</f>
        <v>60.129811812282412</v>
      </c>
      <c r="BN76" s="168">
        <f t="array" ref="BN76:BN78">MMULT($M$43:$O$45,BN70:BN72)</f>
        <v>67.282137055600458</v>
      </c>
      <c r="BO76" s="168">
        <f t="array" ref="BO76:BO78">MMULT($M$43:$O$45,BO70:BO72)</f>
        <v>43.278832002702686</v>
      </c>
      <c r="BP76" s="168">
        <f t="array" ref="BP76:BP78">MMULT($M$43:$O$45,BP70:BP72)</f>
        <v>32.275675271344305</v>
      </c>
      <c r="BQ76" s="168">
        <f t="array" ref="BQ76:BQ78">MMULT($M$43:$O$45,BQ70:BQ72)</f>
        <v>7.25784092577757</v>
      </c>
      <c r="BR76" s="168">
        <f t="array" ref="BR76:BR78">MMULT($M$43:$O$45,BR70:BR72)</f>
        <v>17.612230870308579</v>
      </c>
      <c r="BS76" s="168">
        <f t="array" ref="BS76:BS78">MMULT($M$43:$O$45,BS70:BS72)</f>
        <v>8.3315398542543644</v>
      </c>
      <c r="BT76" s="168">
        <f t="array" ref="BT76:BT78">MMULT($M$43:$O$45,BT70:BT72)</f>
        <v>9.6796573101158039</v>
      </c>
      <c r="BU76" s="168">
        <f t="array" ref="BU76:BU78">MMULT($M$43:$O$45,BU70:BU72)</f>
        <v>11.491718235014087</v>
      </c>
      <c r="BV76" s="168">
        <f t="array" ref="BV76:BV78">MMULT($M$43:$O$45,BV70:BV72)</f>
        <v>26.478343967613991</v>
      </c>
      <c r="BW76" s="168">
        <f t="array" ref="BW76:BW78">MMULT($M$43:$O$45,BW70:BW72)</f>
        <v>18.542905522317419</v>
      </c>
      <c r="BX76" s="168">
        <f t="array" ref="BX76:BX78">MMULT($M$43:$O$45,BX70:BX72)</f>
        <v>37.13494127951445</v>
      </c>
      <c r="BY76" s="168">
        <f t="array" ref="BY76:BY78">MMULT($M$43:$O$45,BY70:BY72)</f>
        <v>7.0496164769083585</v>
      </c>
      <c r="BZ76" s="168">
        <f t="array" ref="BZ76:BZ78">MMULT($M$43:$O$45,BZ70:BZ72)</f>
        <v>45.913970803662906</v>
      </c>
      <c r="CA76" s="168">
        <f t="array" ref="CA76:CA78">MMULT($M$43:$O$45,CA70:CA72)</f>
        <v>20.706057257967011</v>
      </c>
      <c r="CB76" s="168">
        <f t="array" ref="CB76:CB78">MMULT($M$43:$O$45,CB70:CB72)</f>
        <v>4.8341279740199479</v>
      </c>
      <c r="CC76" s="168">
        <f t="array" ref="CC76:CC78">MMULT($M$43:$O$45,CC70:CC72)</f>
        <v>6.6085012829356282</v>
      </c>
      <c r="CD76" s="168">
        <f t="array" ref="CD76:CD78">MMULT($M$43:$O$45,CD70:CD72)</f>
        <v>15.754788011301047</v>
      </c>
      <c r="CE76" s="168">
        <f t="array" ref="CE76:CE78">MMULT($M$43:$O$45,CE70:CE72)</f>
        <v>13.163070901223989</v>
      </c>
      <c r="CF76" s="168">
        <f t="array" ref="CF76:CF78">MMULT($M$43:$O$45,CF70:CF72)</f>
        <v>13.456684962866293</v>
      </c>
      <c r="CG76" s="168">
        <f t="array" ref="CG76:CG78">MMULT($M$43:$O$45,CG70:CG72)</f>
        <v>43.594282523133074</v>
      </c>
      <c r="CH76" s="168">
        <f t="array" ref="CH76:CH78">MMULT($M$43:$O$45,CH70:CH72)</f>
        <v>34.420572038830223</v>
      </c>
      <c r="CI76" s="168">
        <f t="array" ref="CI76:CI78">MMULT($M$43:$O$45,CI70:CI72)</f>
        <v>15.479191109164052</v>
      </c>
      <c r="CJ76" s="168">
        <f t="array" ref="CJ76:CJ78">MMULT($M$43:$O$45,CJ70:CJ72)</f>
        <v>68.278888162549535</v>
      </c>
      <c r="CK76" s="168">
        <f t="array" ref="CK76:CK78">MMULT($M$43:$O$45,CK70:CK72)</f>
        <v>43.621850088181191</v>
      </c>
      <c r="CL76" s="168">
        <f t="array" ref="CL76:CL78">MMULT($M$43:$O$45,CL70:CL72)</f>
        <v>5.1265648803061064</v>
      </c>
      <c r="CM76" s="168">
        <f t="array" ref="CM76:CM78">MMULT($M$43:$O$45,CM70:CM72)</f>
        <v>12.02547318194485</v>
      </c>
      <c r="CN76" s="168">
        <f t="array" ref="CN76:CN78">MMULT($M$43:$O$45,CN70:CN72)</f>
        <v>36.936548367270071</v>
      </c>
      <c r="CO76" s="168">
        <f t="array" ref="CO76:CO78">MMULT($M$43:$O$45,CO70:CO72)</f>
        <v>12.950562884611351</v>
      </c>
      <c r="CP76" s="168">
        <f t="array" ref="CP76:CP78">MMULT($M$43:$O$45,CP70:CP72)</f>
        <v>34.361902590010246</v>
      </c>
      <c r="CQ76" s="168">
        <f t="array" ref="CQ76:CQ78">MMULT($M$43:$O$45,CQ70:CQ72)</f>
        <v>12.12437614478975</v>
      </c>
      <c r="CR76" s="168">
        <f t="array" ref="CR76:CR78">MMULT($M$43:$O$45,CR70:CR72)</f>
        <v>16.50915447782311</v>
      </c>
      <c r="CS76" s="168">
        <f t="array" ref="CS76:CS78">MMULT($M$43:$O$45,CS70:CS72)</f>
        <v>54.889521727537101</v>
      </c>
      <c r="CT76" s="168">
        <f t="array" ref="CT76:CT78">MMULT($M$43:$O$45,CT70:CT72)</f>
        <v>26.321005363854063</v>
      </c>
      <c r="CU76" s="168">
        <f t="array" ref="CU76:CU78">MMULT($M$43:$O$45,CU70:CU72)</f>
        <v>38.366199449582751</v>
      </c>
      <c r="CV76" s="168">
        <f t="array" ref="CV76:CV78">MMULT($M$43:$O$45,CV70:CV72)</f>
        <v>13.837383513498253</v>
      </c>
      <c r="CW76" s="168">
        <f t="array" ref="CW76:CW78">MMULT($M$43:$O$45,CW70:CW72)</f>
        <v>44.598229882753444</v>
      </c>
      <c r="CX76" s="168">
        <f t="array" ref="CX76:CX78">MMULT($M$43:$O$45,CX70:CX72)</f>
        <v>57.649190459442693</v>
      </c>
      <c r="CY76" s="168">
        <f t="array" ref="CY76:CY78">MMULT($M$43:$O$45,CY70:CY72)</f>
        <v>23.698606732072697</v>
      </c>
      <c r="CZ76" s="168">
        <f t="array" ref="CZ76:CZ78">MMULT($M$43:$O$45,CZ70:CZ72)</f>
        <v>41.555309187739162</v>
      </c>
      <c r="DA76" s="168">
        <f t="array" ref="DA76:DA78">MMULT($M$43:$O$45,DA70:DA72)</f>
        <v>28.032615825540507</v>
      </c>
      <c r="DC76">
        <v>72</v>
      </c>
      <c r="DD76" s="114">
        <v>76.87940576828862</v>
      </c>
      <c r="DE76" s="114">
        <v>-5.8816081770824598</v>
      </c>
      <c r="DF76" s="114">
        <v>-8.164388062397661</v>
      </c>
      <c r="DG76" s="114">
        <v>76.288046675860173</v>
      </c>
      <c r="DH76" s="114">
        <v>-2.5623602788219935</v>
      </c>
      <c r="DI76" s="114">
        <v>-8.8461123937232955</v>
      </c>
      <c r="DJ76" s="114">
        <v>3.4397471200984677</v>
      </c>
      <c r="DK76" s="114">
        <f t="shared" si="67"/>
        <v>11.831860250225702</v>
      </c>
      <c r="DL76" s="114">
        <f t="shared" si="68"/>
        <v>4.0881039116130609</v>
      </c>
      <c r="DM76" s="114">
        <f t="shared" si="69"/>
        <v>234.23110034635133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9.2549087115871647</v>
      </c>
      <c r="D77" s="112"/>
      <c r="E77" s="172" t="s">
        <v>303</v>
      </c>
      <c r="F77" s="168">
        <v>100.00000000000001</v>
      </c>
      <c r="G77" s="168">
        <v>62.478486026062534</v>
      </c>
      <c r="H77" s="168">
        <v>26.397528244930758</v>
      </c>
      <c r="I77" s="168">
        <v>5.8825789355647986</v>
      </c>
      <c r="J77" s="168">
        <v>35.14897692949625</v>
      </c>
      <c r="K77" s="168">
        <v>15.784760909591881</v>
      </c>
      <c r="L77" s="168">
        <v>16.615173977854042</v>
      </c>
      <c r="M77" s="168">
        <v>10.981927895470593</v>
      </c>
      <c r="N77" s="168">
        <v>10.563829861160174</v>
      </c>
      <c r="O77" s="168">
        <v>4.9852798048194371</v>
      </c>
      <c r="P77" s="168">
        <v>42.164561315768211</v>
      </c>
      <c r="Q77" s="168">
        <v>21.896547961882483</v>
      </c>
      <c r="R77" s="168">
        <v>27.977541434698423</v>
      </c>
      <c r="S77" s="168">
        <v>11.470849003047679</v>
      </c>
      <c r="T77" s="168">
        <v>42.101715658504013</v>
      </c>
      <c r="U77" s="168">
        <v>38.054587056202891</v>
      </c>
      <c r="V77" s="168">
        <v>14.316401801498507</v>
      </c>
      <c r="W77" s="168">
        <v>15.613254877056962</v>
      </c>
      <c r="X77" s="168">
        <v>21.119534374684292</v>
      </c>
      <c r="Y77" s="168">
        <v>37.429684047702892</v>
      </c>
      <c r="Z77" s="168">
        <v>31.513363904989465</v>
      </c>
      <c r="AA77" s="168">
        <v>61.990619639767914</v>
      </c>
      <c r="AB77" s="168">
        <v>47.899649449535687</v>
      </c>
      <c r="AC77" s="168">
        <v>75.707844603600051</v>
      </c>
      <c r="AD77" s="168">
        <v>72.325817350461421</v>
      </c>
      <c r="AE77" s="168">
        <v>37.588658884085824</v>
      </c>
      <c r="AF77" s="168">
        <v>70.191907678301291</v>
      </c>
      <c r="AG77" s="168">
        <v>41.073667241954666</v>
      </c>
      <c r="AH77" s="168">
        <v>10.886206073536961</v>
      </c>
      <c r="AI77" s="168">
        <v>64.403326499994463</v>
      </c>
      <c r="AJ77" s="168">
        <v>29.508681313061238</v>
      </c>
      <c r="AK77" s="168">
        <v>68.275579148765971</v>
      </c>
      <c r="AL77" s="168">
        <v>43.714887250770154</v>
      </c>
      <c r="AM77" s="168">
        <v>71.497877340491442</v>
      </c>
      <c r="AN77" s="168">
        <v>26.971240535033516</v>
      </c>
      <c r="AO77" s="168">
        <v>11.238635784833427</v>
      </c>
      <c r="AP77" s="168">
        <v>53.344320874889512</v>
      </c>
      <c r="AQ77" s="168">
        <v>14.858038051352844</v>
      </c>
      <c r="AR77" s="168">
        <v>64.470009139359817</v>
      </c>
      <c r="AS77" s="168">
        <v>7.6190635795903585</v>
      </c>
      <c r="AT77" s="168">
        <v>16.504701653580298</v>
      </c>
      <c r="AU77" s="168">
        <v>68.84337373274991</v>
      </c>
      <c r="AV77" s="168">
        <v>35.427453234237674</v>
      </c>
      <c r="AW77" s="168">
        <v>40.673229127484383</v>
      </c>
      <c r="AX77" s="168">
        <v>4.9536277722613251</v>
      </c>
      <c r="AY77" s="168">
        <v>23.952135779592645</v>
      </c>
      <c r="AZ77" s="168">
        <v>32.83485408094672</v>
      </c>
      <c r="BA77" s="168">
        <v>37.245898669373531</v>
      </c>
      <c r="BB77" s="168">
        <v>48.9753046596026</v>
      </c>
      <c r="BC77" s="168">
        <v>14.0680276045819</v>
      </c>
      <c r="BD77" s="168">
        <v>20.586624075507366</v>
      </c>
      <c r="BE77" s="168">
        <v>24.13258921804016</v>
      </c>
      <c r="BF77" s="168">
        <v>11.019853900311292</v>
      </c>
      <c r="BG77" s="168">
        <v>16.975303038347114</v>
      </c>
      <c r="BH77" s="168">
        <v>67.105071340168266</v>
      </c>
      <c r="BI77" s="168">
        <v>60.092565514330936</v>
      </c>
      <c r="BJ77" s="168">
        <v>39.863409228311255</v>
      </c>
      <c r="BK77" s="168">
        <v>23.982056141181946</v>
      </c>
      <c r="BL77" s="168">
        <v>20.559121739084809</v>
      </c>
      <c r="BM77" s="168">
        <v>66.728864922957655</v>
      </c>
      <c r="BN77" s="168">
        <v>69.402641355010942</v>
      </c>
      <c r="BO77" s="168">
        <v>47.657802368623457</v>
      </c>
      <c r="BP77" s="168">
        <v>33.318099015380739</v>
      </c>
      <c r="BQ77" s="168">
        <v>7.3395812395203324</v>
      </c>
      <c r="BR77" s="168">
        <v>24.872839467039945</v>
      </c>
      <c r="BS77" s="168">
        <v>10.330105600855674</v>
      </c>
      <c r="BT77" s="168">
        <v>13.363335709318315</v>
      </c>
      <c r="BU77" s="168">
        <v>15.62797675201279</v>
      </c>
      <c r="BV77" s="168">
        <v>30.049231924932062</v>
      </c>
      <c r="BW77" s="168">
        <v>19.262982927833498</v>
      </c>
      <c r="BX77" s="168">
        <v>41.369467661778401</v>
      </c>
      <c r="BY77" s="168">
        <v>7.8720285942504091</v>
      </c>
      <c r="BZ77" s="168">
        <v>47.091061205031409</v>
      </c>
      <c r="CA77" s="168">
        <v>23.906385915393468</v>
      </c>
      <c r="CB77" s="168">
        <v>4.8403081964174621</v>
      </c>
      <c r="CC77" s="168">
        <v>6.9581028293505378</v>
      </c>
      <c r="CD77" s="168">
        <v>15.753552887631376</v>
      </c>
      <c r="CE77" s="168">
        <v>13.135083115184262</v>
      </c>
      <c r="CF77" s="168">
        <v>13.0830910407786</v>
      </c>
      <c r="CG77" s="168">
        <v>42.884094995613218</v>
      </c>
      <c r="CH77" s="168">
        <v>32.131725242454714</v>
      </c>
      <c r="CI77" s="168">
        <v>12.815938162185105</v>
      </c>
      <c r="CJ77" s="168">
        <v>67.100729362026073</v>
      </c>
      <c r="CK77" s="168">
        <v>41.396261256652892</v>
      </c>
      <c r="CL77" s="168">
        <v>4.7763798225351355</v>
      </c>
      <c r="CM77" s="168">
        <v>10.833999534869465</v>
      </c>
      <c r="CN77" s="168">
        <v>31.821596911368211</v>
      </c>
      <c r="CO77" s="168">
        <v>9.8979076809301461</v>
      </c>
      <c r="CP77" s="168">
        <v>27.617043137363616</v>
      </c>
      <c r="CQ77" s="168">
        <v>9.0891802525644803</v>
      </c>
      <c r="CR77" s="168">
        <v>12.134441588254926</v>
      </c>
      <c r="CS77" s="168">
        <v>53.52127848866472</v>
      </c>
      <c r="CT77" s="168">
        <v>21.812491501462024</v>
      </c>
      <c r="CU77" s="168">
        <v>33.608764169165255</v>
      </c>
      <c r="CV77" s="168">
        <v>9.719109503624253</v>
      </c>
      <c r="CW77" s="168">
        <v>37.27241644832317</v>
      </c>
      <c r="CX77" s="168">
        <v>49.452327876720034</v>
      </c>
      <c r="CY77" s="168">
        <v>17.828806210841471</v>
      </c>
      <c r="CZ77" s="168">
        <v>29.375365492959752</v>
      </c>
      <c r="DA77" s="168">
        <v>18.120566597972296</v>
      </c>
      <c r="DC77">
        <v>73</v>
      </c>
      <c r="DD77" s="114">
        <v>57.655075671282262</v>
      </c>
      <c r="DE77" s="114">
        <v>-19.758576965888569</v>
      </c>
      <c r="DF77" s="114">
        <v>-25.793693569358418</v>
      </c>
      <c r="DG77" s="114">
        <v>54.622271776110139</v>
      </c>
      <c r="DH77" s="114">
        <v>-10.204273014426132</v>
      </c>
      <c r="DI77" s="114">
        <v>-29.33099244961867</v>
      </c>
      <c r="DJ77" s="114">
        <v>10.629915654970757</v>
      </c>
      <c r="DK77" s="114">
        <f t="shared" si="67"/>
        <v>112.99510683179238</v>
      </c>
      <c r="DL77" s="114">
        <f t="shared" si="68"/>
        <v>4.0587114176383494</v>
      </c>
      <c r="DM77" s="114">
        <f t="shared" si="69"/>
        <v>232.54703449223663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9.3700116588001841</v>
      </c>
      <c r="D78" s="112"/>
      <c r="E78" s="172" t="s">
        <v>304</v>
      </c>
      <c r="F78" s="168">
        <v>99.999999999999986</v>
      </c>
      <c r="G78" s="168">
        <v>60.435841087908422</v>
      </c>
      <c r="H78" s="168">
        <v>22.004184791791783</v>
      </c>
      <c r="I78" s="168">
        <v>5.2938318110301195</v>
      </c>
      <c r="J78" s="168">
        <v>28.332809626283673</v>
      </c>
      <c r="K78" s="168">
        <v>9.302969725015803</v>
      </c>
      <c r="L78" s="168">
        <v>12.543605000289505</v>
      </c>
      <c r="M78" s="168">
        <v>5.709383670436587</v>
      </c>
      <c r="N78" s="168">
        <v>5.9089704561590271</v>
      </c>
      <c r="O78" s="168">
        <v>4.8853879355053289</v>
      </c>
      <c r="P78" s="168">
        <v>19.023548109525176</v>
      </c>
      <c r="Q78" s="168">
        <v>7.5321888276806277</v>
      </c>
      <c r="R78" s="168">
        <v>9.1329403785075769</v>
      </c>
      <c r="S78" s="168">
        <v>5.1848139963727062</v>
      </c>
      <c r="T78" s="168">
        <v>36.031151698988182</v>
      </c>
      <c r="U78" s="168">
        <v>27.130909986439324</v>
      </c>
      <c r="V78" s="168">
        <v>6.053308069885718</v>
      </c>
      <c r="W78" s="168">
        <v>6.5238143951685776</v>
      </c>
      <c r="X78" s="168">
        <v>12.212524816726182</v>
      </c>
      <c r="Y78" s="168">
        <v>13.540067656184197</v>
      </c>
      <c r="Z78" s="168">
        <v>7.2251444120573058</v>
      </c>
      <c r="AA78" s="168">
        <v>19.646942172443243</v>
      </c>
      <c r="AB78" s="168">
        <v>12.825118374201981</v>
      </c>
      <c r="AC78" s="168">
        <v>55.547632257754991</v>
      </c>
      <c r="AD78" s="168">
        <v>31.723927225532087</v>
      </c>
      <c r="AE78" s="168">
        <v>6.804597811325495</v>
      </c>
      <c r="AF78" s="168">
        <v>23.845170993111122</v>
      </c>
      <c r="AG78" s="168">
        <v>25.687308387548889</v>
      </c>
      <c r="AH78" s="168">
        <v>5.112095740590676</v>
      </c>
      <c r="AI78" s="168">
        <v>22.057757626144973</v>
      </c>
      <c r="AJ78" s="168">
        <v>16.149511756411755</v>
      </c>
      <c r="AK78" s="168">
        <v>24.126511244518884</v>
      </c>
      <c r="AL78" s="168">
        <v>10.680639624821815</v>
      </c>
      <c r="AM78" s="168">
        <v>41.147704800349324</v>
      </c>
      <c r="AN78" s="168">
        <v>6.8183758700734769</v>
      </c>
      <c r="AO78" s="168">
        <v>5.5287980358946474</v>
      </c>
      <c r="AP78" s="168">
        <v>45.516627908305409</v>
      </c>
      <c r="AQ78" s="168">
        <v>6.2597243541651055</v>
      </c>
      <c r="AR78" s="168">
        <v>41.885612534589228</v>
      </c>
      <c r="AS78" s="168">
        <v>5.7847991589107366</v>
      </c>
      <c r="AT78" s="168">
        <v>10.122452739791125</v>
      </c>
      <c r="AU78" s="168">
        <v>57.990764062281357</v>
      </c>
      <c r="AV78" s="168">
        <v>10.461923500417583</v>
      </c>
      <c r="AW78" s="168">
        <v>12.336897468344876</v>
      </c>
      <c r="AX78" s="168">
        <v>4.7387993628051071</v>
      </c>
      <c r="AY78" s="168">
        <v>10.589211037774053</v>
      </c>
      <c r="AZ78" s="168">
        <v>19.650473043242069</v>
      </c>
      <c r="BA78" s="168">
        <v>27.612963772373629</v>
      </c>
      <c r="BB78" s="168">
        <v>32.543395817325155</v>
      </c>
      <c r="BC78" s="168">
        <v>8.1845873113924217</v>
      </c>
      <c r="BD78" s="168">
        <v>16.346471562740579</v>
      </c>
      <c r="BE78" s="168">
        <v>20.362113167368427</v>
      </c>
      <c r="BF78" s="168">
        <v>8.0340815113874058</v>
      </c>
      <c r="BG78" s="168">
        <v>14.369961763705129</v>
      </c>
      <c r="BH78" s="168">
        <v>67.547249014398147</v>
      </c>
      <c r="BI78" s="168">
        <v>62.421067434734887</v>
      </c>
      <c r="BJ78" s="168">
        <v>43.501797436741334</v>
      </c>
      <c r="BK78" s="168">
        <v>26.904299315790258</v>
      </c>
      <c r="BL78" s="168">
        <v>24.898560808866932</v>
      </c>
      <c r="BM78" s="168">
        <v>70.320958657329257</v>
      </c>
      <c r="BN78" s="168">
        <v>72.055479933643426</v>
      </c>
      <c r="BO78" s="168">
        <v>52.712596399567644</v>
      </c>
      <c r="BP78" s="168">
        <v>35.794416002254991</v>
      </c>
      <c r="BQ78" s="168">
        <v>7.8268221515524532</v>
      </c>
      <c r="BR78" s="168">
        <v>38.53565681193929</v>
      </c>
      <c r="BS78" s="168">
        <v>14.338609983321849</v>
      </c>
      <c r="BT78" s="168">
        <v>23.954495228992936</v>
      </c>
      <c r="BU78" s="168">
        <v>28.806774744549752</v>
      </c>
      <c r="BV78" s="168">
        <v>42.869415525259761</v>
      </c>
      <c r="BW78" s="168">
        <v>24.215469959374918</v>
      </c>
      <c r="BX78" s="168">
        <v>66.752881756862408</v>
      </c>
      <c r="BY78" s="168">
        <v>16.356758186480285</v>
      </c>
      <c r="BZ78" s="168">
        <v>53.559941390761779</v>
      </c>
      <c r="CA78" s="168">
        <v>50.656755769237868</v>
      </c>
      <c r="CB78" s="168">
        <v>5.3410849050560651</v>
      </c>
      <c r="CC78" s="168">
        <v>15.4749150174022</v>
      </c>
      <c r="CD78" s="168">
        <v>42.639968719740907</v>
      </c>
      <c r="CE78" s="168">
        <v>26.274949475226862</v>
      </c>
      <c r="CF78" s="168">
        <v>36.295076877114823</v>
      </c>
      <c r="CG78" s="168">
        <v>62.784512490307613</v>
      </c>
      <c r="CH78" s="168">
        <v>53.397001711492109</v>
      </c>
      <c r="CI78" s="168">
        <v>30.041137246025919</v>
      </c>
      <c r="CJ78" s="168">
        <v>76.857210485419373</v>
      </c>
      <c r="CK78" s="168">
        <v>56.050489484139135</v>
      </c>
      <c r="CL78" s="168">
        <v>5.8790234287434426</v>
      </c>
      <c r="CM78" s="168">
        <v>15.275416573307666</v>
      </c>
      <c r="CN78" s="168">
        <v>52.174151200772393</v>
      </c>
      <c r="CO78" s="168">
        <v>20.124915933514025</v>
      </c>
      <c r="CP78" s="168">
        <v>42.563296072615167</v>
      </c>
      <c r="CQ78" s="168">
        <v>15.300450725448071</v>
      </c>
      <c r="CR78" s="168">
        <v>20.27669626825481</v>
      </c>
      <c r="CS78" s="168">
        <v>55.097883266818286</v>
      </c>
      <c r="CT78" s="168">
        <v>27.231301063579089</v>
      </c>
      <c r="CU78" s="168">
        <v>38.831439367036481</v>
      </c>
      <c r="CV78" s="168">
        <v>12.872983535474164</v>
      </c>
      <c r="CW78" s="168">
        <v>42.502442159709922</v>
      </c>
      <c r="CX78" s="168">
        <v>54.396847159238511</v>
      </c>
      <c r="CY78" s="168">
        <v>19.845664630091523</v>
      </c>
      <c r="CZ78" s="168">
        <v>29.385486463671139</v>
      </c>
      <c r="DA78" s="168">
        <v>18.03323721916469</v>
      </c>
      <c r="DC78">
        <v>74</v>
      </c>
      <c r="DD78" s="114">
        <v>28.495843994690745</v>
      </c>
      <c r="DE78" s="114">
        <v>-0.82602367673037358</v>
      </c>
      <c r="DF78" s="114">
        <v>-3.7054392614178302</v>
      </c>
      <c r="DG78" s="114">
        <v>28.124556395451343</v>
      </c>
      <c r="DH78" s="114">
        <v>-1.1467573130477735</v>
      </c>
      <c r="DI78" s="114">
        <v>-2.2229382260474742</v>
      </c>
      <c r="DJ78" s="114">
        <v>1.5615805668259701</v>
      </c>
      <c r="DK78" s="114">
        <f t="shared" si="67"/>
        <v>2.4385338666885183</v>
      </c>
      <c r="DL78" s="114">
        <f t="shared" si="68"/>
        <v>4.4930533517356919</v>
      </c>
      <c r="DM78" s="114">
        <f t="shared" si="69"/>
        <v>257.43299418156369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9.4827239567895774</v>
      </c>
      <c r="D79" s="112"/>
      <c r="E79" s="172" t="s">
        <v>305</v>
      </c>
      <c r="F79" s="168">
        <f t="array" ref="F79:F81">MMULT($M$43:$O$45,F73:F75)</f>
        <v>100</v>
      </c>
      <c r="G79" s="168">
        <f t="array" ref="G79:G81">MMULT($M$43:$O$45,G73:G75)</f>
        <v>100</v>
      </c>
      <c r="H79" s="168">
        <f t="array" ref="H79:H81">MMULT($M$43:$O$45,H73:H75)</f>
        <v>100</v>
      </c>
      <c r="I79" s="168">
        <f t="array" ref="I79:I81">MMULT($M$43:$O$45,I73:I75)</f>
        <v>100</v>
      </c>
      <c r="J79" s="168">
        <f t="array" ref="J79:J81">MMULT($M$43:$O$45,J73:J75)</f>
        <v>100</v>
      </c>
      <c r="K79" s="168">
        <f t="array" ref="K79:K81">MMULT($M$43:$O$45,K73:K75)</f>
        <v>100</v>
      </c>
      <c r="L79" s="168">
        <f t="array" ref="L79:L81">MMULT($M$43:$O$45,L73:L75)</f>
        <v>100</v>
      </c>
      <c r="M79" s="168">
        <f t="array" ref="M79:M81">MMULT($M$43:$O$45,M73:M75)</f>
        <v>100</v>
      </c>
      <c r="N79" s="168">
        <f t="array" ref="N79:N81">MMULT($M$43:$O$45,N73:N75)</f>
        <v>100</v>
      </c>
      <c r="O79" s="168">
        <f t="array" ref="O79:O81">MMULT($M$43:$O$45,O73:O75)</f>
        <v>100</v>
      </c>
      <c r="P79" s="168">
        <f t="array" ref="P79:P81">MMULT($M$43:$O$45,P73:P75)</f>
        <v>100</v>
      </c>
      <c r="Q79" s="168">
        <f t="array" ref="Q79:Q81">MMULT($M$43:$O$45,Q73:Q75)</f>
        <v>100</v>
      </c>
      <c r="R79" s="168">
        <f t="array" ref="R79:R81">MMULT($M$43:$O$45,R73:R75)</f>
        <v>100</v>
      </c>
      <c r="S79" s="168">
        <f t="array" ref="S79:S81">MMULT($M$43:$O$45,S73:S75)</f>
        <v>100</v>
      </c>
      <c r="T79" s="168">
        <f t="array" ref="T79:T81">MMULT($M$43:$O$45,T73:T75)</f>
        <v>100</v>
      </c>
      <c r="U79" s="168">
        <f t="array" ref="U79:U81">MMULT($M$43:$O$45,U73:U75)</f>
        <v>100</v>
      </c>
      <c r="V79" s="168">
        <f t="array" ref="V79:V81">MMULT($M$43:$O$45,V73:V75)</f>
        <v>100</v>
      </c>
      <c r="W79" s="168">
        <f t="array" ref="W79:W81">MMULT($M$43:$O$45,W73:W75)</f>
        <v>100</v>
      </c>
      <c r="X79" s="168">
        <f t="array" ref="X79:X81">MMULT($M$43:$O$45,X73:X75)</f>
        <v>100</v>
      </c>
      <c r="Y79" s="168">
        <f t="array" ref="Y79:Y81">MMULT($M$43:$O$45,Y73:Y75)</f>
        <v>100</v>
      </c>
      <c r="Z79" s="168">
        <f t="array" ref="Z79:Z81">MMULT($M$43:$O$45,Z73:Z75)</f>
        <v>100</v>
      </c>
      <c r="AA79" s="168">
        <f t="array" ref="AA79:AA81">MMULT($M$43:$O$45,AA73:AA75)</f>
        <v>100</v>
      </c>
      <c r="AB79" s="168">
        <f t="array" ref="AB79:AB81">MMULT($M$43:$O$45,AB73:AB75)</f>
        <v>100</v>
      </c>
      <c r="AC79" s="168">
        <f t="array" ref="AC79:AC81">MMULT($M$43:$O$45,AC73:AC75)</f>
        <v>100</v>
      </c>
      <c r="AD79" s="168">
        <f t="array" ref="AD79:AD81">MMULT($M$43:$O$45,AD73:AD75)</f>
        <v>100</v>
      </c>
      <c r="AE79" s="168">
        <f t="array" ref="AE79:AE81">MMULT($M$43:$O$45,AE73:AE75)</f>
        <v>100</v>
      </c>
      <c r="AF79" s="168">
        <f t="array" ref="AF79:AF81">MMULT($M$43:$O$45,AF73:AF75)</f>
        <v>100</v>
      </c>
      <c r="AG79" s="168">
        <f t="array" ref="AG79:AG81">MMULT($M$43:$O$45,AG73:AG75)</f>
        <v>100</v>
      </c>
      <c r="AH79" s="168">
        <f t="array" ref="AH79:AH81">MMULT($M$43:$O$45,AH73:AH75)</f>
        <v>100</v>
      </c>
      <c r="AI79" s="168">
        <f t="array" ref="AI79:AI81">MMULT($M$43:$O$45,AI73:AI75)</f>
        <v>100</v>
      </c>
      <c r="AJ79" s="168">
        <f t="array" ref="AJ79:AJ81">MMULT($M$43:$O$45,AJ73:AJ75)</f>
        <v>100</v>
      </c>
      <c r="AK79" s="168">
        <f t="array" ref="AK79:AK81">MMULT($M$43:$O$45,AK73:AK75)</f>
        <v>100</v>
      </c>
      <c r="AL79" s="168">
        <f t="array" ref="AL79:AL81">MMULT($M$43:$O$45,AL73:AL75)</f>
        <v>100</v>
      </c>
      <c r="AM79" s="168">
        <f t="array" ref="AM79:AM81">MMULT($M$43:$O$45,AM73:AM75)</f>
        <v>100</v>
      </c>
      <c r="AN79" s="168">
        <f t="array" ref="AN79:AN81">MMULT($M$43:$O$45,AN73:AN75)</f>
        <v>100</v>
      </c>
      <c r="AO79" s="168">
        <f t="array" ref="AO79:AO81">MMULT($M$43:$O$45,AO73:AO75)</f>
        <v>100</v>
      </c>
      <c r="AP79" s="168">
        <f t="array" ref="AP79:AP81">MMULT($M$43:$O$45,AP73:AP75)</f>
        <v>100</v>
      </c>
      <c r="AQ79" s="168">
        <f t="array" ref="AQ79:AQ81">MMULT($M$43:$O$45,AQ73:AQ75)</f>
        <v>100</v>
      </c>
      <c r="AR79" s="168">
        <f t="array" ref="AR79:AR81">MMULT($M$43:$O$45,AR73:AR75)</f>
        <v>100</v>
      </c>
      <c r="AS79" s="168">
        <f t="array" ref="AS79:AS81">MMULT($M$43:$O$45,AS73:AS75)</f>
        <v>100</v>
      </c>
      <c r="AT79" s="168">
        <f t="array" ref="AT79:AT81">MMULT($M$43:$O$45,AT73:AT75)</f>
        <v>100</v>
      </c>
      <c r="AU79" s="168">
        <f t="array" ref="AU79:AU81">MMULT($M$43:$O$45,AU73:AU75)</f>
        <v>100</v>
      </c>
      <c r="AV79" s="168">
        <f t="array" ref="AV79:AV81">MMULT($M$43:$O$45,AV73:AV75)</f>
        <v>100</v>
      </c>
      <c r="AW79" s="168">
        <f t="array" ref="AW79:AW81">MMULT($M$43:$O$45,AW73:AW75)</f>
        <v>100</v>
      </c>
      <c r="AX79" s="168">
        <f t="array" ref="AX79:AX81">MMULT($M$43:$O$45,AX73:AX75)</f>
        <v>100</v>
      </c>
      <c r="AY79" s="168">
        <f t="array" ref="AY79:AY81">MMULT($M$43:$O$45,AY73:AY75)</f>
        <v>100</v>
      </c>
      <c r="AZ79" s="168">
        <f t="array" ref="AZ79:AZ81">MMULT($M$43:$O$45,AZ73:AZ75)</f>
        <v>100</v>
      </c>
      <c r="BA79" s="168">
        <f t="array" ref="BA79:BA81">MMULT($M$43:$O$45,BA73:BA75)</f>
        <v>100</v>
      </c>
      <c r="BB79" s="168">
        <f t="array" ref="BB79:BB81">MMULT($M$43:$O$45,BB73:BB75)</f>
        <v>100</v>
      </c>
      <c r="BC79" s="168">
        <f t="array" ref="BC79:BC81">MMULT($M$43:$O$45,BC73:BC75)</f>
        <v>100</v>
      </c>
      <c r="BD79" s="168">
        <f t="array" ref="BD79:BD81">MMULT($M$43:$O$45,BD73:BD75)</f>
        <v>100</v>
      </c>
      <c r="BE79" s="168">
        <f t="array" ref="BE79:BE81">MMULT($M$43:$O$45,BE73:BE75)</f>
        <v>100</v>
      </c>
      <c r="BF79" s="168">
        <f t="array" ref="BF79:BF81">MMULT($M$43:$O$45,BF73:BF75)</f>
        <v>100</v>
      </c>
      <c r="BG79" s="168">
        <f t="array" ref="BG79:BG81">MMULT($M$43:$O$45,BG73:BG75)</f>
        <v>100</v>
      </c>
      <c r="BH79" s="168">
        <f t="array" ref="BH79:BH81">MMULT($M$43:$O$45,BH73:BH75)</f>
        <v>100</v>
      </c>
      <c r="BI79" s="168">
        <f t="array" ref="BI79:BI81">MMULT($M$43:$O$45,BI73:BI75)</f>
        <v>100</v>
      </c>
      <c r="BJ79" s="168">
        <f t="array" ref="BJ79:BJ81">MMULT($M$43:$O$45,BJ73:BJ75)</f>
        <v>100</v>
      </c>
      <c r="BK79" s="168">
        <f t="array" ref="BK79:BK81">MMULT($M$43:$O$45,BK73:BK75)</f>
        <v>100</v>
      </c>
      <c r="BL79" s="168">
        <f t="array" ref="BL79:BL81">MMULT($M$43:$O$45,BL73:BL75)</f>
        <v>100</v>
      </c>
      <c r="BM79" s="168">
        <f t="array" ref="BM79:BM81">MMULT($M$43:$O$45,BM73:BM75)</f>
        <v>100</v>
      </c>
      <c r="BN79" s="168">
        <f t="array" ref="BN79:BN81">MMULT($M$43:$O$45,BN73:BN75)</f>
        <v>100</v>
      </c>
      <c r="BO79" s="168">
        <f t="array" ref="BO79:BO81">MMULT($M$43:$O$45,BO73:BO75)</f>
        <v>100</v>
      </c>
      <c r="BP79" s="168">
        <f t="array" ref="BP79:BP81">MMULT($M$43:$O$45,BP73:BP75)</f>
        <v>100</v>
      </c>
      <c r="BQ79" s="168">
        <f t="array" ref="BQ79:BQ81">MMULT($M$43:$O$45,BQ73:BQ75)</f>
        <v>100</v>
      </c>
      <c r="BR79" s="168">
        <f t="array" ref="BR79:BR81">MMULT($M$43:$O$45,BR73:BR75)</f>
        <v>100</v>
      </c>
      <c r="BS79" s="168">
        <f t="array" ref="BS79:BS81">MMULT($M$43:$O$45,BS73:BS75)</f>
        <v>100</v>
      </c>
      <c r="BT79" s="168">
        <f t="array" ref="BT79:BT81">MMULT($M$43:$O$45,BT73:BT75)</f>
        <v>100</v>
      </c>
      <c r="BU79" s="168">
        <f t="array" ref="BU79:BU81">MMULT($M$43:$O$45,BU73:BU75)</f>
        <v>100</v>
      </c>
      <c r="BV79" s="168">
        <f t="array" ref="BV79:BV81">MMULT($M$43:$O$45,BV73:BV75)</f>
        <v>100</v>
      </c>
      <c r="BW79" s="168">
        <f t="array" ref="BW79:BW81">MMULT($M$43:$O$45,BW73:BW75)</f>
        <v>100</v>
      </c>
      <c r="BX79" s="168">
        <f t="array" ref="BX79:BX81">MMULT($M$43:$O$45,BX73:BX75)</f>
        <v>100</v>
      </c>
      <c r="BY79" s="168">
        <f t="array" ref="BY79:BY81">MMULT($M$43:$O$45,BY73:BY75)</f>
        <v>100</v>
      </c>
      <c r="BZ79" s="168">
        <f t="array" ref="BZ79:BZ81">MMULT($M$43:$O$45,BZ73:BZ75)</f>
        <v>100</v>
      </c>
      <c r="CA79" s="168">
        <f t="array" ref="CA79:CA81">MMULT($M$43:$O$45,CA73:CA75)</f>
        <v>100</v>
      </c>
      <c r="CB79" s="168">
        <f t="array" ref="CB79:CB81">MMULT($M$43:$O$45,CB73:CB75)</f>
        <v>100</v>
      </c>
      <c r="CC79" s="168">
        <f t="array" ref="CC79:CC81">MMULT($M$43:$O$45,CC73:CC75)</f>
        <v>100</v>
      </c>
      <c r="CD79" s="168">
        <f t="array" ref="CD79:CD81">MMULT($M$43:$O$45,CD73:CD75)</f>
        <v>100</v>
      </c>
      <c r="CE79" s="168">
        <f t="array" ref="CE79:CE81">MMULT($M$43:$O$45,CE73:CE75)</f>
        <v>100</v>
      </c>
      <c r="CF79" s="168">
        <f t="array" ref="CF79:CF81">MMULT($M$43:$O$45,CF73:CF75)</f>
        <v>100</v>
      </c>
      <c r="CG79" s="168">
        <f t="array" ref="CG79:CG81">MMULT($M$43:$O$45,CG73:CG75)</f>
        <v>100</v>
      </c>
      <c r="CH79" s="168">
        <f t="array" ref="CH79:CH81">MMULT($M$43:$O$45,CH73:CH75)</f>
        <v>100</v>
      </c>
      <c r="CI79" s="168">
        <f t="array" ref="CI79:CI81">MMULT($M$43:$O$45,CI73:CI75)</f>
        <v>100</v>
      </c>
      <c r="CJ79" s="168">
        <f t="array" ref="CJ79:CJ81">MMULT($M$43:$O$45,CJ73:CJ75)</f>
        <v>100</v>
      </c>
      <c r="CK79" s="168">
        <f t="array" ref="CK79:CK81">MMULT($M$43:$O$45,CK73:CK75)</f>
        <v>100</v>
      </c>
      <c r="CL79" s="168">
        <f t="array" ref="CL79:CL81">MMULT($M$43:$O$45,CL73:CL75)</f>
        <v>100</v>
      </c>
      <c r="CM79" s="168">
        <f t="array" ref="CM79:CM81">MMULT($M$43:$O$45,CM73:CM75)</f>
        <v>100</v>
      </c>
      <c r="CN79" s="168">
        <f t="array" ref="CN79:CN81">MMULT($M$43:$O$45,CN73:CN75)</f>
        <v>100</v>
      </c>
      <c r="CO79" s="168">
        <f t="array" ref="CO79:CO81">MMULT($M$43:$O$45,CO73:CO75)</f>
        <v>100</v>
      </c>
      <c r="CP79" s="168">
        <f t="array" ref="CP79:CP81">MMULT($M$43:$O$45,CP73:CP75)</f>
        <v>100</v>
      </c>
      <c r="CQ79" s="168">
        <f t="array" ref="CQ79:CQ81">MMULT($M$43:$O$45,CQ73:CQ75)</f>
        <v>100</v>
      </c>
      <c r="CR79" s="168">
        <f t="array" ref="CR79:CR81">MMULT($M$43:$O$45,CR73:CR75)</f>
        <v>100</v>
      </c>
      <c r="CS79" s="168">
        <f t="array" ref="CS79:CS81">MMULT($M$43:$O$45,CS73:CS75)</f>
        <v>100</v>
      </c>
      <c r="CT79" s="168">
        <f t="array" ref="CT79:CT81">MMULT($M$43:$O$45,CT73:CT75)</f>
        <v>100</v>
      </c>
      <c r="CU79" s="168">
        <f t="array" ref="CU79:CU81">MMULT($M$43:$O$45,CU73:CU75)</f>
        <v>100</v>
      </c>
      <c r="CV79" s="168">
        <f t="array" ref="CV79:CV81">MMULT($M$43:$O$45,CV73:CV75)</f>
        <v>100</v>
      </c>
      <c r="CW79" s="168">
        <f t="array" ref="CW79:CW81">MMULT($M$43:$O$45,CW73:CW75)</f>
        <v>100</v>
      </c>
      <c r="CX79" s="168">
        <f t="array" ref="CX79:CX81">MMULT($M$43:$O$45,CX73:CX75)</f>
        <v>100</v>
      </c>
      <c r="CY79" s="168">
        <f t="array" ref="CY79:CY81">MMULT($M$43:$O$45,CY73:CY75)</f>
        <v>100</v>
      </c>
      <c r="CZ79" s="168">
        <f t="array" ref="CZ79:CZ81">MMULT($M$43:$O$45,CZ73:CZ75)</f>
        <v>100</v>
      </c>
      <c r="DA79" s="168">
        <f t="array" ref="DA79:DA81">MMULT($M$43:$O$45,DA73:DA75)</f>
        <v>100</v>
      </c>
      <c r="DC79">
        <v>75</v>
      </c>
      <c r="DD79" s="114">
        <v>33.314559246782167</v>
      </c>
      <c r="DE79" s="114">
        <v>-10.827816224348979</v>
      </c>
      <c r="DF79" s="114">
        <v>-21.817852996045271</v>
      </c>
      <c r="DG79" s="114">
        <v>31.419257671692783</v>
      </c>
      <c r="DH79" s="114">
        <v>-3.5321738721799836</v>
      </c>
      <c r="DI79" s="114">
        <v>-21.683977277247145</v>
      </c>
      <c r="DJ79" s="114">
        <v>7.5389978179716941</v>
      </c>
      <c r="DK79" s="114">
        <f t="shared" si="67"/>
        <v>56.836488099381967</v>
      </c>
      <c r="DL79" s="114">
        <f t="shared" si="68"/>
        <v>4.2517198799531322</v>
      </c>
      <c r="DM79" s="114">
        <f t="shared" si="69"/>
        <v>243.60560479318352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9.593020411009153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48.383532883747975</v>
      </c>
      <c r="DE80" s="114">
        <v>-12.217318510020331</v>
      </c>
      <c r="DF80" s="114">
        <v>-30.24179191698969</v>
      </c>
      <c r="DG80" s="114">
        <v>44.455554113215825</v>
      </c>
      <c r="DH80" s="114">
        <v>-3.5200586289156313</v>
      </c>
      <c r="DI80" s="114">
        <v>-33.544518028352272</v>
      </c>
      <c r="DJ80" s="114">
        <v>10.098482382412755</v>
      </c>
      <c r="DK80" s="114">
        <f t="shared" si="67"/>
        <v>101.97934642790078</v>
      </c>
      <c r="DL80" s="114">
        <f t="shared" si="68"/>
        <v>4.3284494787025345</v>
      </c>
      <c r="DM80" s="114">
        <f t="shared" si="69"/>
        <v>248.00188696525652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9.7008789219059004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45.07261197323583</v>
      </c>
      <c r="DE81" s="114">
        <v>-7.1097643710027025</v>
      </c>
      <c r="DF81" s="114">
        <v>-22.934435378873133</v>
      </c>
      <c r="DG81" s="114">
        <v>42.152197503167159</v>
      </c>
      <c r="DH81" s="114">
        <v>-3.7306566242816865</v>
      </c>
      <c r="DI81" s="114">
        <v>-25.390328894985412</v>
      </c>
      <c r="DJ81" s="114">
        <v>5.0969209139851088</v>
      </c>
      <c r="DK81" s="114">
        <f t="shared" si="67"/>
        <v>25.978602803418799</v>
      </c>
      <c r="DL81" s="114">
        <f t="shared" si="68"/>
        <v>4.4117797538975587</v>
      </c>
      <c r="DM81" s="114">
        <f t="shared" si="69"/>
        <v>252.77636003959512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9.8062803858049481</v>
      </c>
      <c r="D82" s="112"/>
      <c r="E82" s="172" t="s">
        <v>308</v>
      </c>
      <c r="F82" s="168">
        <f t="array" ref="F82:F84">MMULT($Q$43:$S$45,F76:F78)</f>
        <v>100.00100000000002</v>
      </c>
      <c r="G82" s="168">
        <f t="array" ref="G82:G84">MMULT($Q$43:$S$45,G76:G78)</f>
        <v>66.203922747377646</v>
      </c>
      <c r="H82" s="168">
        <f t="array" ref="H82:H84">MMULT($Q$43:$S$45,H76:H78)</f>
        <v>31.450159224113605</v>
      </c>
      <c r="I82" s="168">
        <f t="array" ref="I82:I84">MMULT($Q$43:$S$45,I76:I78)</f>
        <v>6.5406397973964463</v>
      </c>
      <c r="J82" s="168">
        <f t="array" ref="J82:J84">MMULT($Q$43:$S$45,J76:J78)</f>
        <v>38.821158102756129</v>
      </c>
      <c r="K82" s="168">
        <f t="array" ref="K82:K84">MMULT($Q$43:$S$45,K76:K78)</f>
        <v>20.058072419928401</v>
      </c>
      <c r="L82" s="168">
        <f t="array" ref="L82:L84">MMULT($Q$43:$S$45,L76:L78)</f>
        <v>18.528012445847089</v>
      </c>
      <c r="M82" s="168">
        <f t="array" ref="M82:M84">MMULT($Q$43:$S$45,M76:M78)</f>
        <v>14.091499999153147</v>
      </c>
      <c r="N82" s="168">
        <f t="array" ref="N82:N84">MMULT($Q$43:$S$45,N76:N78)</f>
        <v>13.301421370203549</v>
      </c>
      <c r="O82" s="168">
        <f t="array" ref="O82:O84">MMULT($Q$43:$S$45,O76:O78)</f>
        <v>5.0817468801826857</v>
      </c>
      <c r="P82" s="168">
        <f t="array" ref="P82:P84">MMULT($Q$43:$S$45,P76:P78)</f>
        <v>50.479021106411601</v>
      </c>
      <c r="Q82" s="168">
        <f t="array" ref="Q82:Q84">MMULT($Q$43:$S$45,Q76:Q78)</f>
        <v>26.917522654835121</v>
      </c>
      <c r="R82" s="168">
        <f t="array" ref="R82:R84">MMULT($Q$43:$S$45,R76:R78)</f>
        <v>34.596717913992386</v>
      </c>
      <c r="S82" s="168">
        <f t="array" ref="S82:S84">MMULT($Q$43:$S$45,S76:S78)</f>
        <v>13.370808711615418</v>
      </c>
      <c r="T82" s="168">
        <f t="array" ref="T82:T84">MMULT($Q$43:$S$45,T76:T78)</f>
        <v>43.435388949428699</v>
      </c>
      <c r="U82" s="168">
        <f t="array" ref="U82:U84">MMULT($Q$43:$S$45,U76:U78)</f>
        <v>40.877526732322998</v>
      </c>
      <c r="V82" s="168">
        <f t="array" ref="V82:V84">MMULT($Q$43:$S$45,V76:V78)</f>
        <v>16.519283554972102</v>
      </c>
      <c r="W82" s="168">
        <f t="array" ref="W82:W84">MMULT($Q$43:$S$45,W76:W78)</f>
        <v>17.666712171299761</v>
      </c>
      <c r="X82" s="168">
        <f t="array" ref="X82:X84">MMULT($Q$43:$S$45,X76:X78)</f>
        <v>23.032084584962977</v>
      </c>
      <c r="Y82" s="168">
        <f t="array" ref="Y82:Y84">MMULT($Q$43:$S$45,Y76:Y78)</f>
        <v>41.725210287963016</v>
      </c>
      <c r="Z82" s="168">
        <f t="array" ref="Z82:Z84">MMULT($Q$43:$S$45,Z76:Z78)</f>
        <v>37.10141839499677</v>
      </c>
      <c r="AA82" s="168">
        <f t="array" ref="AA82:AA84">MMULT($Q$43:$S$45,AA76:AA78)</f>
        <v>69.066678235154043</v>
      </c>
      <c r="AB82" s="168">
        <f t="array" ref="AB82:AB84">MMULT($Q$43:$S$45,AB76:AB78)</f>
        <v>54.247708498333317</v>
      </c>
      <c r="AC82" s="168">
        <f t="array" ref="AC82:AC84">MMULT($Q$43:$S$45,AC76:AC78)</f>
        <v>77.865312145552295</v>
      </c>
      <c r="AD82" s="168">
        <f t="array" ref="AD82:AD84">MMULT($Q$43:$S$45,AD76:AD78)</f>
        <v>76.941843936037159</v>
      </c>
      <c r="AE82" s="168">
        <f t="array" ref="AE82:AE84">MMULT($Q$43:$S$45,AE76:AE78)</f>
        <v>41.720303394774731</v>
      </c>
      <c r="AF82" s="168">
        <f t="array" ref="AF82:AF84">MMULT($Q$43:$S$45,AF76:AF78)</f>
        <v>75.574277871626265</v>
      </c>
      <c r="AG82" s="168">
        <f t="array" ref="AG82:AG84">MMULT($Q$43:$S$45,AG76:AG78)</f>
        <v>42.272289155091592</v>
      </c>
      <c r="AH82" s="168">
        <f t="array" ref="AH82:AH84">MMULT($Q$43:$S$45,AH76:AH78)</f>
        <v>11.28954940041929</v>
      </c>
      <c r="AI82" s="168">
        <f t="array" ref="AI82:AI84">MMULT($Q$43:$S$45,AI76:AI78)</f>
        <v>68.043025052234725</v>
      </c>
      <c r="AJ82" s="168">
        <f t="array" ref="AJ82:AJ84">MMULT($Q$43:$S$45,AJ76:AJ78)</f>
        <v>30.653396712248277</v>
      </c>
      <c r="AK82" s="168">
        <f t="array" ref="AK82:AK84">MMULT($Q$43:$S$45,AK76:AK78)</f>
        <v>71.60425150735405</v>
      </c>
      <c r="AL82" s="168">
        <f t="array" ref="AL82:AL84">MMULT($Q$43:$S$45,AL76:AL78)</f>
        <v>46.187621890252139</v>
      </c>
      <c r="AM82" s="168">
        <f t="array" ref="AM82:AM84">MMULT($Q$43:$S$45,AM76:AM78)</f>
        <v>73.510540946982502</v>
      </c>
      <c r="AN82" s="168">
        <f t="array" ref="AN82:AN84">MMULT($Q$43:$S$45,AN76:AN78)</f>
        <v>28.076678732018433</v>
      </c>
      <c r="AO82" s="168">
        <f t="array" ref="AO82:AO84">MMULT($Q$43:$S$45,AO76:AO78)</f>
        <v>11.447131096582714</v>
      </c>
      <c r="AP82" s="168">
        <f t="array" ref="AP82:AP84">MMULT($Q$43:$S$45,AP76:AP78)</f>
        <v>53.807467241565227</v>
      </c>
      <c r="AQ82" s="168">
        <f t="array" ref="AQ82:AQ84">MMULT($Q$43:$S$45,AQ76:AQ78)</f>
        <v>15.036840844937927</v>
      </c>
      <c r="AR82" s="168">
        <f t="array" ref="AR82:AR84">MMULT($Q$43:$S$45,AR76:AR78)</f>
        <v>65.303708204715548</v>
      </c>
      <c r="AS82" s="168">
        <f t="array" ref="AS82:AS84">MMULT($Q$43:$S$45,AS76:AS78)</f>
        <v>7.6531958743165669</v>
      </c>
      <c r="AT82" s="168">
        <f t="array" ref="AT82:AT84">MMULT($Q$43:$S$45,AT76:AT78)</f>
        <v>16.598384152890237</v>
      </c>
      <c r="AU82" s="168">
        <f t="array" ref="AU82:AU84">MMULT($Q$43:$S$45,AU76:AU78)</f>
        <v>68.884785604612176</v>
      </c>
      <c r="AV82" s="168">
        <f t="array" ref="AV82:AV84">MMULT($Q$43:$S$45,AV76:AV78)</f>
        <v>34.491878779320444</v>
      </c>
      <c r="AW82" s="168">
        <f t="array" ref="AW82:AW84">MMULT($Q$43:$S$45,AW76:AW78)</f>
        <v>39.547640913279743</v>
      </c>
      <c r="AX82" s="168">
        <f t="array" ref="AX82:AX84">MMULT($Q$43:$S$45,AX76:AX78)</f>
        <v>4.9487993255010032</v>
      </c>
      <c r="AY82" s="168">
        <f t="array" ref="AY82:AY84">MMULT($Q$43:$S$45,AY76:AY78)</f>
        <v>22.781105882480361</v>
      </c>
      <c r="AZ82" s="168">
        <f t="array" ref="AZ82:AZ84">MMULT($Q$43:$S$45,AZ76:AZ78)</f>
        <v>31.753632683848739</v>
      </c>
      <c r="BA82" s="168">
        <f t="array" ref="BA82:BA84">MMULT($Q$43:$S$45,BA76:BA78)</f>
        <v>36.661198292828693</v>
      </c>
      <c r="BB82" s="168">
        <f t="array" ref="BB82:BB84">MMULT($Q$43:$S$45,BB76:BB78)</f>
        <v>46.429456487198941</v>
      </c>
      <c r="BC82" s="168">
        <f t="array" ref="BC82:BC84">MMULT($Q$43:$S$45,BC76:BC78)</f>
        <v>13.209116922744251</v>
      </c>
      <c r="BD82" s="168">
        <f t="array" ref="BD82:BD84">MMULT($Q$43:$S$45,BD76:BD78)</f>
        <v>19.302047022481862</v>
      </c>
      <c r="BE82" s="168">
        <f t="array" ref="BE82:BE84">MMULT($Q$43:$S$45,BE76:BE78)</f>
        <v>22.92435664671299</v>
      </c>
      <c r="BF82" s="168">
        <f t="array" ref="BF82:BF84">MMULT($Q$43:$S$45,BF76:BF78)</f>
        <v>9.9863710409066186</v>
      </c>
      <c r="BG82" s="168">
        <f t="array" ref="BG82:BG84">MMULT($Q$43:$S$45,BG76:BG78)</f>
        <v>14.44357166274358</v>
      </c>
      <c r="BH82" s="168">
        <f t="array" ref="BH82:BH84">MMULT($Q$43:$S$45,BH76:BH78)</f>
        <v>64.305873588023502</v>
      </c>
      <c r="BI82" s="168">
        <f t="array" ref="BI82:BI84">MMULT($Q$43:$S$45,BI76:BI78)</f>
        <v>57.046848898572044</v>
      </c>
      <c r="BJ82" s="168">
        <f t="array" ref="BJ82:BJ84">MMULT($Q$43:$S$45,BJ76:BJ78)</f>
        <v>35.006765293825808</v>
      </c>
      <c r="BK82" s="168">
        <f t="array" ref="BK82:BK84">MMULT($Q$43:$S$45,BK76:BK78)</f>
        <v>20.26603483166857</v>
      </c>
      <c r="BL82" s="168">
        <f t="array" ref="BL82:BL84">MMULT($Q$43:$S$45,BL76:BL78)</f>
        <v>17.191563044908683</v>
      </c>
      <c r="BM82" s="168">
        <f t="array" ref="BM82:BM84">MMULT($Q$43:$S$45,BM76:BM78)</f>
        <v>63.875189288825283</v>
      </c>
      <c r="BN82" s="168">
        <f t="array" ref="BN82:BN84">MMULT($Q$43:$S$45,BN76:BN78)</f>
        <v>68.368228311534438</v>
      </c>
      <c r="BO82" s="168">
        <f t="array" ref="BO82:BO84">MMULT($Q$43:$S$45,BO76:BO78)</f>
        <v>45.554039210989473</v>
      </c>
      <c r="BP82" s="168">
        <f t="array" ref="BP82:BP84">MMULT($Q$43:$S$45,BP76:BP78)</f>
        <v>32.717352618555189</v>
      </c>
      <c r="BQ82" s="168">
        <f t="array" ref="BQ82:BQ84">MMULT($Q$43:$S$45,BQ76:BQ78)</f>
        <v>7.2694635027053485</v>
      </c>
      <c r="BR82" s="168">
        <f t="array" ref="BR82:BR84">MMULT($Q$43:$S$45,BR76:BR78)</f>
        <v>20.968565950505756</v>
      </c>
      <c r="BS82" s="168">
        <f t="array" ref="BS82:BS84">MMULT($Q$43:$S$45,BS76:BS78)</f>
        <v>9.235958719991249</v>
      </c>
      <c r="BT82" s="168">
        <f t="array" ref="BT82:BT84">MMULT($Q$43:$S$45,BT76:BT78)</f>
        <v>11.094590602714201</v>
      </c>
      <c r="BU82" s="168">
        <f t="array" ref="BU82:BU84">MMULT($Q$43:$S$45,BU76:BU78)</f>
        <v>12.979283899067941</v>
      </c>
      <c r="BV82" s="168">
        <f t="array" ref="BV82:BV84">MMULT($Q$43:$S$45,BV76:BV78)</f>
        <v>27.649229625731106</v>
      </c>
      <c r="BW82" s="168">
        <f t="array" ref="BW82:BW84">MMULT($Q$43:$S$45,BW76:BW78)</f>
        <v>18.592892512317427</v>
      </c>
      <c r="BX82" s="168">
        <f t="array" ref="BX82:BX84">MMULT($Q$43:$S$45,BX76:BX78)</f>
        <v>37.722477059021728</v>
      </c>
      <c r="BY82" s="168">
        <f t="array" ref="BY82:BY84">MMULT($Q$43:$S$45,BY76:BY78)</f>
        <v>6.8840265639703349</v>
      </c>
      <c r="BZ82" s="168">
        <f t="array" ref="BZ82:BZ84">MMULT($Q$43:$S$45,BZ76:BZ78)</f>
        <v>46.123836722312873</v>
      </c>
      <c r="CA82" s="168">
        <f t="array" ref="CA82:CA84">MMULT($Q$43:$S$45,CA76:CA78)</f>
        <v>20.554705798066482</v>
      </c>
      <c r="CB82" s="168">
        <f t="array" ref="CB82:CB84">MMULT($Q$43:$S$45,CB76:CB78)</f>
        <v>4.7985469935932059</v>
      </c>
      <c r="CC82" s="168">
        <f t="array" ref="CC82:CC84">MMULT($Q$43:$S$45,CC76:CC78)</f>
        <v>6.1518264087695718</v>
      </c>
      <c r="CD82" s="168">
        <f t="array" ref="CD82:CD84">MMULT($Q$43:$S$45,CD76:CD78)</f>
        <v>13.638768565535184</v>
      </c>
      <c r="CE82" s="168">
        <f t="array" ref="CE82:CE84">MMULT($Q$43:$S$45,CE76:CE78)</f>
        <v>12.112276900904806</v>
      </c>
      <c r="CF82" s="168">
        <f t="array" ref="CF82:CF84">MMULT($Q$43:$S$45,CF76:CF78)</f>
        <v>11.402496113462869</v>
      </c>
      <c r="CG82" s="168">
        <f t="array" ref="CG82:CG84">MMULT($Q$43:$S$45,CG76:CG78)</f>
        <v>41.595526169430386</v>
      </c>
      <c r="CH82" s="168">
        <f t="array" ref="CH82:CH84">MMULT($Q$43:$S$45,CH76:CH78)</f>
        <v>31.350881092138781</v>
      </c>
      <c r="CI82" s="168">
        <f t="array" ref="CI82:CI84">MMULT($Q$43:$S$45,CI76:CI78)</f>
        <v>12.498683963617296</v>
      </c>
      <c r="CJ82" s="168">
        <f t="array" ref="CJ82:CJ84">MMULT($Q$43:$S$45,CJ76:CJ78)</f>
        <v>66.792900700683106</v>
      </c>
      <c r="CK82" s="168">
        <f t="array" ref="CK82:CK84">MMULT($Q$43:$S$45,CK76:CK78)</f>
        <v>41.111014765861732</v>
      </c>
      <c r="CL82" s="168">
        <f t="array" ref="CL82:CL84">MMULT($Q$43:$S$45,CL76:CL78)</f>
        <v>4.8261422062608172</v>
      </c>
      <c r="CM82" s="168">
        <f t="array" ref="CM82:CM84">MMULT($Q$43:$S$45,CM76:CM78)</f>
        <v>10.948986377282244</v>
      </c>
      <c r="CN82" s="168">
        <f t="array" ref="CN82:CN84">MMULT($Q$43:$S$45,CN76:CN78)</f>
        <v>32.213923887726516</v>
      </c>
      <c r="CO82" s="168">
        <f t="array" ref="CO82:CO84">MMULT($Q$43:$S$45,CO76:CO78)</f>
        <v>10.28299591012026</v>
      </c>
      <c r="CP82" s="168">
        <f t="array" ref="CP82:CP84">MMULT($Q$43:$S$45,CP76:CP78)</f>
        <v>29.06988730414032</v>
      </c>
      <c r="CQ82" s="168">
        <f t="array" ref="CQ82:CQ84">MMULT($Q$43:$S$45,CQ76:CQ78)</f>
        <v>9.7834145747196359</v>
      </c>
      <c r="CR82" s="168">
        <f t="array" ref="CR82:CR84">MMULT($Q$43:$S$45,CR76:CR78)</f>
        <v>13.198799694642034</v>
      </c>
      <c r="CS82" s="168">
        <f t="array" ref="CS82:CS84">MMULT($Q$43:$S$45,CS76:CS78)</f>
        <v>53.930984510125441</v>
      </c>
      <c r="CT82" s="168">
        <f t="array" ref="CT82:CT84">MMULT($Q$43:$S$45,CT76:CT78)</f>
        <v>23.14337062734247</v>
      </c>
      <c r="CU82" s="168">
        <f t="array" ref="CU82:CU84">MMULT($Q$43:$S$45,CU76:CU78)</f>
        <v>35.052200275369948</v>
      </c>
      <c r="CV82" s="168">
        <f t="array" ref="CV82:CV84">MMULT($Q$43:$S$45,CV76:CV78)</f>
        <v>11.075992450281335</v>
      </c>
      <c r="CW82" s="168">
        <f t="array" ref="CW82:CW84">MMULT($Q$43:$S$45,CW76:CW78)</f>
        <v>39.716233503047569</v>
      </c>
      <c r="CX82" s="168">
        <f t="array" ref="CX82:CX84">MMULT($Q$43:$S$45,CX76:CX78)</f>
        <v>52.258186939963096</v>
      </c>
      <c r="CY82" s="168">
        <f t="array" ref="CY82:CY84">MMULT($Q$43:$S$45,CY76:CY78)</f>
        <v>19.957818039606003</v>
      </c>
      <c r="CZ82" s="168">
        <f t="array" ref="CZ82:CZ84">MMULT($Q$43:$S$45,CZ76:CZ78)</f>
        <v>34.121508785931596</v>
      </c>
      <c r="DA82" s="168">
        <f t="array" ref="DA82:DA84">MMULT($Q$43:$S$45,DA76:DA78)</f>
        <v>21.990443583638466</v>
      </c>
      <c r="DC82">
        <v>78</v>
      </c>
      <c r="DD82" s="114">
        <v>44.618306447770543</v>
      </c>
      <c r="DE82" s="114">
        <v>-10.329487290944845</v>
      </c>
      <c r="DF82" s="114">
        <v>-29.814588420225721</v>
      </c>
      <c r="DG82" s="114">
        <v>41.897342372400715</v>
      </c>
      <c r="DH82" s="114">
        <v>-3.0097622409385831</v>
      </c>
      <c r="DI82" s="114">
        <v>-32.244027531820464</v>
      </c>
      <c r="DJ82" s="114">
        <v>8.1782757781875155</v>
      </c>
      <c r="DK82" s="114">
        <f t="shared" si="67"/>
        <v>66.884194704088614</v>
      </c>
      <c r="DL82" s="114">
        <f t="shared" si="68"/>
        <v>4.3788735565201424</v>
      </c>
      <c r="DM82" s="114">
        <f t="shared" si="69"/>
        <v>250.89097381004473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9.9092085951654774</v>
      </c>
      <c r="D83" s="112"/>
      <c r="E83" s="172" t="s">
        <v>309</v>
      </c>
      <c r="F83" s="168">
        <v>100.00000000000003</v>
      </c>
      <c r="G83" s="168">
        <v>60.281957262295307</v>
      </c>
      <c r="H83" s="168">
        <v>23.418116925569738</v>
      </c>
      <c r="I83" s="168">
        <v>5.4945509508385797</v>
      </c>
      <c r="J83" s="168">
        <v>32.983630404432326</v>
      </c>
      <c r="K83" s="168">
        <v>13.264820981661016</v>
      </c>
      <c r="L83" s="168">
        <v>15.487228727927601</v>
      </c>
      <c r="M83" s="168">
        <v>9.1482263246711835</v>
      </c>
      <c r="N83" s="168">
        <v>8.9494887944676531</v>
      </c>
      <c r="O83" s="168">
        <v>4.9284217811400239</v>
      </c>
      <c r="P83" s="168">
        <v>37.261519087681684</v>
      </c>
      <c r="Q83" s="168">
        <v>18.935649970576229</v>
      </c>
      <c r="R83" s="168">
        <v>24.074170487760384</v>
      </c>
      <c r="S83" s="168">
        <v>10.350439599469757</v>
      </c>
      <c r="T83" s="168">
        <v>41.315425855907279</v>
      </c>
      <c r="U83" s="168">
        <v>36.389998448909445</v>
      </c>
      <c r="V83" s="168">
        <v>13.017352276057961</v>
      </c>
      <c r="W83" s="168">
        <v>14.402317259331626</v>
      </c>
      <c r="X83" s="168">
        <v>19.991723752241974</v>
      </c>
      <c r="Y83" s="168">
        <v>34.896548935773637</v>
      </c>
      <c r="Z83" s="168">
        <v>28.217991481934568</v>
      </c>
      <c r="AA83" s="168">
        <v>57.817727302346867</v>
      </c>
      <c r="AB83" s="168">
        <v>44.15606472178375</v>
      </c>
      <c r="AC83" s="168">
        <v>74.435785284809072</v>
      </c>
      <c r="AD83" s="168">
        <v>69.603676596355555</v>
      </c>
      <c r="AE83" s="168">
        <v>35.152076645486844</v>
      </c>
      <c r="AF83" s="168">
        <v>67.017771858781501</v>
      </c>
      <c r="AG83" s="168">
        <v>40.366891195638438</v>
      </c>
      <c r="AH83" s="168">
        <v>10.648346827165442</v>
      </c>
      <c r="AI83" s="168">
        <v>62.256852362563926</v>
      </c>
      <c r="AJ83" s="168">
        <v>28.833651423526753</v>
      </c>
      <c r="AK83" s="168">
        <v>66.312515312292064</v>
      </c>
      <c r="AL83" s="168">
        <v>42.256563017050496</v>
      </c>
      <c r="AM83" s="168">
        <v>70.311052854073793</v>
      </c>
      <c r="AN83" s="168">
        <v>26.319270253845538</v>
      </c>
      <c r="AO83" s="168">
        <v>11.115680320802419</v>
      </c>
      <c r="AP83" s="168">
        <v>53.0714201577456</v>
      </c>
      <c r="AQ83" s="168">
        <v>14.752576469916942</v>
      </c>
      <c r="AR83" s="168">
        <v>63.978472030751426</v>
      </c>
      <c r="AS83" s="168">
        <v>7.5989573805942943</v>
      </c>
      <c r="AT83" s="168">
        <v>16.449473163040409</v>
      </c>
      <c r="AU83" s="168">
        <v>68.819220359488952</v>
      </c>
      <c r="AV83" s="168">
        <v>35.979045946335845</v>
      </c>
      <c r="AW83" s="168">
        <v>41.33685975502371</v>
      </c>
      <c r="AX83" s="168">
        <v>4.9565015430749089</v>
      </c>
      <c r="AY83" s="168">
        <v>24.642656269329294</v>
      </c>
      <c r="AZ83" s="168">
        <v>33.472469623346342</v>
      </c>
      <c r="BA83" s="168">
        <v>37.590789786097467</v>
      </c>
      <c r="BB83" s="168">
        <v>50.476656738053315</v>
      </c>
      <c r="BC83" s="168">
        <v>14.574530474396004</v>
      </c>
      <c r="BD83" s="168">
        <v>21.344199716480126</v>
      </c>
      <c r="BE83" s="168">
        <v>24.845171832069422</v>
      </c>
      <c r="BF83" s="168">
        <v>11.629320223336322</v>
      </c>
      <c r="BG83" s="168">
        <v>18.468318862772453</v>
      </c>
      <c r="BH83" s="168">
        <v>68.756145359783076</v>
      </c>
      <c r="BI83" s="168">
        <v>61.888993253202131</v>
      </c>
      <c r="BJ83" s="168">
        <v>42.727629056731168</v>
      </c>
      <c r="BK83" s="168">
        <v>26.173553801423154</v>
      </c>
      <c r="BL83" s="168">
        <v>22.545130734309652</v>
      </c>
      <c r="BM83" s="168">
        <v>68.412102388534123</v>
      </c>
      <c r="BN83" s="168">
        <v>70.013072686492805</v>
      </c>
      <c r="BO83" s="168">
        <v>48.898726539391831</v>
      </c>
      <c r="BP83" s="168">
        <v>33.672584287358582</v>
      </c>
      <c r="BQ83" s="168">
        <v>7.3809788317489673</v>
      </c>
      <c r="BR83" s="168">
        <v>27.175491281631558</v>
      </c>
      <c r="BS83" s="168">
        <v>10.975430683472377</v>
      </c>
      <c r="BT83" s="168">
        <v>14.701417555547144</v>
      </c>
      <c r="BU83" s="168">
        <v>17.190158336637904</v>
      </c>
      <c r="BV83" s="168">
        <v>31.464842407294537</v>
      </c>
      <c r="BW83" s="168">
        <v>19.658308839528988</v>
      </c>
      <c r="BX83" s="168">
        <v>43.520648417839325</v>
      </c>
      <c r="BY83" s="168">
        <v>8.4548034233121747</v>
      </c>
      <c r="BZ83" s="168">
        <v>47.661789079589646</v>
      </c>
      <c r="CA83" s="168">
        <v>25.883338109073563</v>
      </c>
      <c r="CB83" s="168">
        <v>4.8649695203745527</v>
      </c>
      <c r="CC83" s="168">
        <v>7.433710014379626</v>
      </c>
      <c r="CD83" s="168">
        <v>17.001067602629053</v>
      </c>
      <c r="CE83" s="168">
        <v>13.738472439844049</v>
      </c>
      <c r="CF83" s="168">
        <v>14.074503684207992</v>
      </c>
      <c r="CG83" s="168">
        <v>43.644465175842647</v>
      </c>
      <c r="CH83" s="168">
        <v>32.592646841107687</v>
      </c>
      <c r="CI83" s="168">
        <v>13.003317491920926</v>
      </c>
      <c r="CJ83" s="168">
        <v>67.282774977014455</v>
      </c>
      <c r="CK83" s="168">
        <v>41.56490141931701</v>
      </c>
      <c r="CL83" s="168">
        <v>4.747077484172916</v>
      </c>
      <c r="CM83" s="168">
        <v>10.766313140788988</v>
      </c>
      <c r="CN83" s="168">
        <v>31.590691961858653</v>
      </c>
      <c r="CO83" s="168">
        <v>9.6710124415745842</v>
      </c>
      <c r="CP83" s="168">
        <v>26.76066258527592</v>
      </c>
      <c r="CQ83" s="168">
        <v>8.6799269472187195</v>
      </c>
      <c r="CR83" s="168">
        <v>11.506970858802058</v>
      </c>
      <c r="CS83" s="168">
        <v>53.280012737693568</v>
      </c>
      <c r="CT83" s="168">
        <v>21.027876882523564</v>
      </c>
      <c r="CU83" s="168">
        <v>32.757842323305709</v>
      </c>
      <c r="CV83" s="168">
        <v>8.9190602472332632</v>
      </c>
      <c r="CW83" s="168">
        <v>35.831596756222204</v>
      </c>
      <c r="CX83" s="168">
        <v>47.79808202648622</v>
      </c>
      <c r="CY83" s="168">
        <v>16.57346975229472</v>
      </c>
      <c r="CZ83" s="168">
        <v>26.57676234671321</v>
      </c>
      <c r="DA83" s="168">
        <v>15.838625608514384</v>
      </c>
      <c r="DC83">
        <v>79</v>
      </c>
      <c r="DD83" s="114">
        <v>74.224781635860907</v>
      </c>
      <c r="DE83" s="114">
        <v>-2.5020599543801976</v>
      </c>
      <c r="DF83" s="114">
        <v>-19.168002165556121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3.9607738581885927</v>
      </c>
      <c r="DK83" s="114">
        <f t="shared" si="67"/>
        <v>15.687729555710151</v>
      </c>
      <c r="DL83" s="114">
        <f t="shared" si="68"/>
        <v>4.5825897096566743</v>
      </c>
      <c r="DM83" s="114">
        <f t="shared" si="69"/>
        <v>262.56304960340873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10.009650138518269</v>
      </c>
      <c r="D84" s="112"/>
      <c r="E84" s="172" t="s">
        <v>310</v>
      </c>
      <c r="F84" s="168">
        <v>99.999999999999986</v>
      </c>
      <c r="G84" s="168">
        <v>60.435841087908422</v>
      </c>
      <c r="H84" s="168">
        <v>22.004184791791783</v>
      </c>
      <c r="I84" s="168">
        <v>5.2938318110301195</v>
      </c>
      <c r="J84" s="168">
        <v>28.332809626283673</v>
      </c>
      <c r="K84" s="168">
        <v>9.302969725015803</v>
      </c>
      <c r="L84" s="168">
        <v>12.543605000289505</v>
      </c>
      <c r="M84" s="168">
        <v>5.709383670436587</v>
      </c>
      <c r="N84" s="168">
        <v>5.9089704561590271</v>
      </c>
      <c r="O84" s="168">
        <v>4.8853879355053289</v>
      </c>
      <c r="P84" s="168">
        <v>19.023548109525176</v>
      </c>
      <c r="Q84" s="168">
        <v>7.5321888276806277</v>
      </c>
      <c r="R84" s="168">
        <v>9.1329403785075769</v>
      </c>
      <c r="S84" s="168">
        <v>5.1848139963727062</v>
      </c>
      <c r="T84" s="168">
        <v>36.031151698988182</v>
      </c>
      <c r="U84" s="168">
        <v>27.130909986439324</v>
      </c>
      <c r="V84" s="168">
        <v>6.053308069885718</v>
      </c>
      <c r="W84" s="168">
        <v>6.5238143951685776</v>
      </c>
      <c r="X84" s="168">
        <v>12.212524816726182</v>
      </c>
      <c r="Y84" s="168">
        <v>13.540067656184197</v>
      </c>
      <c r="Z84" s="168">
        <v>7.2251444120573058</v>
      </c>
      <c r="AA84" s="168">
        <v>19.646942172443243</v>
      </c>
      <c r="AB84" s="168">
        <v>12.825118374201981</v>
      </c>
      <c r="AC84" s="168">
        <v>55.547632257754991</v>
      </c>
      <c r="AD84" s="168">
        <v>31.723927225532087</v>
      </c>
      <c r="AE84" s="168">
        <v>6.804597811325495</v>
      </c>
      <c r="AF84" s="168">
        <v>23.845170993111122</v>
      </c>
      <c r="AG84" s="168">
        <v>25.687308387548889</v>
      </c>
      <c r="AH84" s="168">
        <v>5.112095740590676</v>
      </c>
      <c r="AI84" s="168">
        <v>22.057757626144973</v>
      </c>
      <c r="AJ84" s="168">
        <v>16.149511756411755</v>
      </c>
      <c r="AK84" s="168">
        <v>24.126511244518884</v>
      </c>
      <c r="AL84" s="168">
        <v>10.680639624821815</v>
      </c>
      <c r="AM84" s="168">
        <v>41.147704800349324</v>
      </c>
      <c r="AN84" s="168">
        <v>6.8183758700734769</v>
      </c>
      <c r="AO84" s="168">
        <v>5.5287980358946474</v>
      </c>
      <c r="AP84" s="168">
        <v>45.516627908305409</v>
      </c>
      <c r="AQ84" s="168">
        <v>6.2597243541651055</v>
      </c>
      <c r="AR84" s="168">
        <v>41.885612534589228</v>
      </c>
      <c r="AS84" s="168">
        <v>5.7847991589107366</v>
      </c>
      <c r="AT84" s="168">
        <v>10.122452739791125</v>
      </c>
      <c r="AU84" s="168">
        <v>57.990764062281357</v>
      </c>
      <c r="AV84" s="168">
        <v>10.461923500417583</v>
      </c>
      <c r="AW84" s="168">
        <v>12.336897468344876</v>
      </c>
      <c r="AX84" s="168">
        <v>4.7387993628051071</v>
      </c>
      <c r="AY84" s="168">
        <v>10.589211037774053</v>
      </c>
      <c r="AZ84" s="168">
        <v>19.650473043242069</v>
      </c>
      <c r="BA84" s="168">
        <v>27.612963772373629</v>
      </c>
      <c r="BB84" s="168">
        <v>32.543395817325155</v>
      </c>
      <c r="BC84" s="168">
        <v>8.1845873113924217</v>
      </c>
      <c r="BD84" s="168">
        <v>16.346471562740579</v>
      </c>
      <c r="BE84" s="168">
        <v>20.362113167368427</v>
      </c>
      <c r="BF84" s="168">
        <v>8.0340815113874058</v>
      </c>
      <c r="BG84" s="168">
        <v>14.369961763705129</v>
      </c>
      <c r="BH84" s="168">
        <v>67.547249014398147</v>
      </c>
      <c r="BI84" s="168">
        <v>62.421067434734887</v>
      </c>
      <c r="BJ84" s="168">
        <v>43.501797436741334</v>
      </c>
      <c r="BK84" s="168">
        <v>26.904299315790258</v>
      </c>
      <c r="BL84" s="168">
        <v>24.898560808866932</v>
      </c>
      <c r="BM84" s="168">
        <v>70.320958657329257</v>
      </c>
      <c r="BN84" s="168">
        <v>72.055479933643426</v>
      </c>
      <c r="BO84" s="168">
        <v>52.712596399567644</v>
      </c>
      <c r="BP84" s="168">
        <v>35.794416002254991</v>
      </c>
      <c r="BQ84" s="168">
        <v>7.8268221515524532</v>
      </c>
      <c r="BR84" s="168">
        <v>38.53565681193929</v>
      </c>
      <c r="BS84" s="168">
        <v>14.338609983321849</v>
      </c>
      <c r="BT84" s="168">
        <v>23.954495228992936</v>
      </c>
      <c r="BU84" s="168">
        <v>28.806774744549752</v>
      </c>
      <c r="BV84" s="168">
        <v>42.869415525259761</v>
      </c>
      <c r="BW84" s="168">
        <v>24.215469959374918</v>
      </c>
      <c r="BX84" s="168">
        <v>66.752881756862408</v>
      </c>
      <c r="BY84" s="168">
        <v>16.356758186480285</v>
      </c>
      <c r="BZ84" s="168">
        <v>53.559941390761779</v>
      </c>
      <c r="CA84" s="168">
        <v>50.656755769237868</v>
      </c>
      <c r="CB84" s="168">
        <v>5.3410849050560651</v>
      </c>
      <c r="CC84" s="168">
        <v>15.4749150174022</v>
      </c>
      <c r="CD84" s="168">
        <v>42.639968719740907</v>
      </c>
      <c r="CE84" s="168">
        <v>26.274949475226862</v>
      </c>
      <c r="CF84" s="168">
        <v>36.295076877114823</v>
      </c>
      <c r="CG84" s="168">
        <v>62.784512490307613</v>
      </c>
      <c r="CH84" s="168">
        <v>53.397001711492109</v>
      </c>
      <c r="CI84" s="168">
        <v>30.041137246025919</v>
      </c>
      <c r="CJ84" s="168">
        <v>76.857210485419373</v>
      </c>
      <c r="CK84" s="168">
        <v>56.050489484139135</v>
      </c>
      <c r="CL84" s="168">
        <v>5.8790234287434426</v>
      </c>
      <c r="CM84" s="168">
        <v>15.275416573307666</v>
      </c>
      <c r="CN84" s="168">
        <v>52.174151200772393</v>
      </c>
      <c r="CO84" s="168">
        <v>20.124915933514025</v>
      </c>
      <c r="CP84" s="168">
        <v>42.563296072615167</v>
      </c>
      <c r="CQ84" s="168">
        <v>15.300450725448071</v>
      </c>
      <c r="CR84" s="168">
        <v>20.27669626825481</v>
      </c>
      <c r="CS84" s="168">
        <v>55.097883266818286</v>
      </c>
      <c r="CT84" s="168">
        <v>27.231301063579089</v>
      </c>
      <c r="CU84" s="168">
        <v>38.831439367036481</v>
      </c>
      <c r="CV84" s="168">
        <v>12.872983535474164</v>
      </c>
      <c r="CW84" s="168">
        <v>42.502442159709922</v>
      </c>
      <c r="CX84" s="168">
        <v>54.396847159238511</v>
      </c>
      <c r="CY84" s="168">
        <v>19.845664630091523</v>
      </c>
      <c r="CZ84" s="168">
        <v>29.385486463671139</v>
      </c>
      <c r="DA84" s="168">
        <v>18.03323721916469</v>
      </c>
      <c r="DC84">
        <v>80</v>
      </c>
      <c r="DD84" s="114">
        <v>66.490402729537436</v>
      </c>
      <c r="DE84" s="114">
        <v>1.9343369391532599</v>
      </c>
      <c r="DF84" s="114">
        <v>-21.901273127886444</v>
      </c>
      <c r="DG84" s="114">
        <v>64.801115255986474</v>
      </c>
      <c r="DH84" s="114">
        <v>3.8230482184404808</v>
      </c>
      <c r="DI84" s="114">
        <v>-23.917987643809727</v>
      </c>
      <c r="DJ84" s="114">
        <v>3.2385274282517114</v>
      </c>
      <c r="DK84" s="114">
        <f t="shared" si="67"/>
        <v>10.488059903538643</v>
      </c>
      <c r="DL84" s="114">
        <f t="shared" si="68"/>
        <v>4.8004811521819928</v>
      </c>
      <c r="DM84" s="114">
        <f t="shared" si="69"/>
        <v>275.04730965212684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10.107594300371147</v>
      </c>
      <c r="D85" s="112"/>
      <c r="E85" s="172" t="s">
        <v>311</v>
      </c>
      <c r="F85" s="168">
        <f t="array" ref="F85:F87">MMULT($Q$43:$S$45,F79:F81)</f>
        <v>100.00100000000002</v>
      </c>
      <c r="G85" s="168">
        <f t="array" ref="G85:G87">MMULT($Q$43:$S$45,G79:G81)</f>
        <v>100.00100000000002</v>
      </c>
      <c r="H85" s="168">
        <f t="array" ref="H85:H87">MMULT($Q$43:$S$45,H79:H81)</f>
        <v>100.00100000000002</v>
      </c>
      <c r="I85" s="168">
        <f t="array" ref="I85:I87">MMULT($Q$43:$S$45,I79:I81)</f>
        <v>100.00100000000002</v>
      </c>
      <c r="J85" s="168">
        <f t="array" ref="J85:J87">MMULT($Q$43:$S$45,J79:J81)</f>
        <v>100.00100000000002</v>
      </c>
      <c r="K85" s="168">
        <f t="array" ref="K85:K87">MMULT($Q$43:$S$45,K79:K81)</f>
        <v>100.00100000000002</v>
      </c>
      <c r="L85" s="168">
        <f t="array" ref="L85:L87">MMULT($Q$43:$S$45,L79:L81)</f>
        <v>100.00100000000002</v>
      </c>
      <c r="M85" s="168">
        <f t="array" ref="M85:M87">MMULT($Q$43:$S$45,M79:M81)</f>
        <v>100.00100000000002</v>
      </c>
      <c r="N85" s="168">
        <f t="array" ref="N85:N87">MMULT($Q$43:$S$45,N79:N81)</f>
        <v>100.00100000000002</v>
      </c>
      <c r="O85" s="168">
        <f t="array" ref="O85:O87">MMULT($Q$43:$S$45,O79:O81)</f>
        <v>100.00100000000002</v>
      </c>
      <c r="P85" s="168">
        <f t="array" ref="P85:P87">MMULT($Q$43:$S$45,P79:P81)</f>
        <v>100.00100000000002</v>
      </c>
      <c r="Q85" s="168">
        <f t="array" ref="Q85:Q87">MMULT($Q$43:$S$45,Q79:Q81)</f>
        <v>100.00100000000002</v>
      </c>
      <c r="R85" s="168">
        <f t="array" ref="R85:R87">MMULT($Q$43:$S$45,R79:R81)</f>
        <v>100.00100000000002</v>
      </c>
      <c r="S85" s="168">
        <f t="array" ref="S85:S87">MMULT($Q$43:$S$45,S79:S81)</f>
        <v>100.00100000000002</v>
      </c>
      <c r="T85" s="168">
        <f t="array" ref="T85:T87">MMULT($Q$43:$S$45,T79:T81)</f>
        <v>100.00100000000002</v>
      </c>
      <c r="U85" s="168">
        <f t="array" ref="U85:U87">MMULT($Q$43:$S$45,U79:U81)</f>
        <v>100.00100000000002</v>
      </c>
      <c r="V85" s="168">
        <f t="array" ref="V85:V87">MMULT($Q$43:$S$45,V79:V81)</f>
        <v>100.00100000000002</v>
      </c>
      <c r="W85" s="168">
        <f t="array" ref="W85:W87">MMULT($Q$43:$S$45,W79:W81)</f>
        <v>100.00100000000002</v>
      </c>
      <c r="X85" s="168">
        <f t="array" ref="X85:X87">MMULT($Q$43:$S$45,X79:X81)</f>
        <v>100.00100000000002</v>
      </c>
      <c r="Y85" s="168">
        <f t="array" ref="Y85:Y87">MMULT($Q$43:$S$45,Y79:Y81)</f>
        <v>100.00100000000002</v>
      </c>
      <c r="Z85" s="168">
        <f t="array" ref="Z85:Z87">MMULT($Q$43:$S$45,Z79:Z81)</f>
        <v>100.00100000000002</v>
      </c>
      <c r="AA85" s="168">
        <f t="array" ref="AA85:AA87">MMULT($Q$43:$S$45,AA79:AA81)</f>
        <v>100.00100000000002</v>
      </c>
      <c r="AB85" s="168">
        <f t="array" ref="AB85:AB87">MMULT($Q$43:$S$45,AB79:AB81)</f>
        <v>100.00100000000002</v>
      </c>
      <c r="AC85" s="168">
        <f t="array" ref="AC85:AC87">MMULT($Q$43:$S$45,AC79:AC81)</f>
        <v>100.00100000000002</v>
      </c>
      <c r="AD85" s="168">
        <f t="array" ref="AD85:AD87">MMULT($Q$43:$S$45,AD79:AD81)</f>
        <v>100.00100000000002</v>
      </c>
      <c r="AE85" s="168">
        <f t="array" ref="AE85:AE87">MMULT($Q$43:$S$45,AE79:AE81)</f>
        <v>100.00100000000002</v>
      </c>
      <c r="AF85" s="168">
        <f t="array" ref="AF85:AF87">MMULT($Q$43:$S$45,AF79:AF81)</f>
        <v>100.00100000000002</v>
      </c>
      <c r="AG85" s="168">
        <f t="array" ref="AG85:AG87">MMULT($Q$43:$S$45,AG79:AG81)</f>
        <v>100.00100000000002</v>
      </c>
      <c r="AH85" s="168">
        <f t="array" ref="AH85:AH87">MMULT($Q$43:$S$45,AH79:AH81)</f>
        <v>100.00100000000002</v>
      </c>
      <c r="AI85" s="168">
        <f t="array" ref="AI85:AI87">MMULT($Q$43:$S$45,AI79:AI81)</f>
        <v>100.00100000000002</v>
      </c>
      <c r="AJ85" s="168">
        <f t="array" ref="AJ85:AJ87">MMULT($Q$43:$S$45,AJ79:AJ81)</f>
        <v>100.00100000000002</v>
      </c>
      <c r="AK85" s="168">
        <f t="array" ref="AK85:AK87">MMULT($Q$43:$S$45,AK79:AK81)</f>
        <v>100.00100000000002</v>
      </c>
      <c r="AL85" s="168">
        <f t="array" ref="AL85:AL87">MMULT($Q$43:$S$45,AL79:AL81)</f>
        <v>100.00100000000002</v>
      </c>
      <c r="AM85" s="168">
        <f t="array" ref="AM85:AM87">MMULT($Q$43:$S$45,AM79:AM81)</f>
        <v>100.00100000000002</v>
      </c>
      <c r="AN85" s="168">
        <f t="array" ref="AN85:AN87">MMULT($Q$43:$S$45,AN79:AN81)</f>
        <v>100.00100000000002</v>
      </c>
      <c r="AO85" s="168">
        <f t="array" ref="AO85:AO87">MMULT($Q$43:$S$45,AO79:AO81)</f>
        <v>100.00100000000002</v>
      </c>
      <c r="AP85" s="168">
        <f t="array" ref="AP85:AP87">MMULT($Q$43:$S$45,AP79:AP81)</f>
        <v>100.00100000000002</v>
      </c>
      <c r="AQ85" s="168">
        <f t="array" ref="AQ85:AQ87">MMULT($Q$43:$S$45,AQ79:AQ81)</f>
        <v>100.00100000000002</v>
      </c>
      <c r="AR85" s="168">
        <f t="array" ref="AR85:AR87">MMULT($Q$43:$S$45,AR79:AR81)</f>
        <v>100.00100000000002</v>
      </c>
      <c r="AS85" s="168">
        <f t="array" ref="AS85:AS87">MMULT($Q$43:$S$45,AS79:AS81)</f>
        <v>100.00100000000002</v>
      </c>
      <c r="AT85" s="168">
        <f t="array" ref="AT85:AT87">MMULT($Q$43:$S$45,AT79:AT81)</f>
        <v>100.00100000000002</v>
      </c>
      <c r="AU85" s="168">
        <f t="array" ref="AU85:AU87">MMULT($Q$43:$S$45,AU79:AU81)</f>
        <v>100.00100000000002</v>
      </c>
      <c r="AV85" s="168">
        <f t="array" ref="AV85:AV87">MMULT($Q$43:$S$45,AV79:AV81)</f>
        <v>100.00100000000002</v>
      </c>
      <c r="AW85" s="168">
        <f t="array" ref="AW85:AW87">MMULT($Q$43:$S$45,AW79:AW81)</f>
        <v>100.00100000000002</v>
      </c>
      <c r="AX85" s="168">
        <f t="array" ref="AX85:AX87">MMULT($Q$43:$S$45,AX79:AX81)</f>
        <v>100.00100000000002</v>
      </c>
      <c r="AY85" s="168">
        <f t="array" ref="AY85:AY87">MMULT($Q$43:$S$45,AY79:AY81)</f>
        <v>100.00100000000002</v>
      </c>
      <c r="AZ85" s="168">
        <f t="array" ref="AZ85:AZ87">MMULT($Q$43:$S$45,AZ79:AZ81)</f>
        <v>100.00100000000002</v>
      </c>
      <c r="BA85" s="168">
        <f t="array" ref="BA85:BA87">MMULT($Q$43:$S$45,BA79:BA81)</f>
        <v>100.00100000000002</v>
      </c>
      <c r="BB85" s="168">
        <f t="array" ref="BB85:BB87">MMULT($Q$43:$S$45,BB79:BB81)</f>
        <v>100.00100000000002</v>
      </c>
      <c r="BC85" s="168">
        <f t="array" ref="BC85:BC87">MMULT($Q$43:$S$45,BC79:BC81)</f>
        <v>100.00100000000002</v>
      </c>
      <c r="BD85" s="168">
        <f t="array" ref="BD85:BD87">MMULT($Q$43:$S$45,BD79:BD81)</f>
        <v>100.00100000000002</v>
      </c>
      <c r="BE85" s="168">
        <f t="array" ref="BE85:BE87">MMULT($Q$43:$S$45,BE79:BE81)</f>
        <v>100.00100000000002</v>
      </c>
      <c r="BF85" s="168">
        <f t="array" ref="BF85:BF87">MMULT($Q$43:$S$45,BF79:BF81)</f>
        <v>100.00100000000002</v>
      </c>
      <c r="BG85" s="168">
        <f t="array" ref="BG85:BG87">MMULT($Q$43:$S$45,BG79:BG81)</f>
        <v>100.00100000000002</v>
      </c>
      <c r="BH85" s="168">
        <f t="array" ref="BH85:BH87">MMULT($Q$43:$S$45,BH79:BH81)</f>
        <v>100.00100000000002</v>
      </c>
      <c r="BI85" s="168">
        <f t="array" ref="BI85:BI87">MMULT($Q$43:$S$45,BI79:BI81)</f>
        <v>100.00100000000002</v>
      </c>
      <c r="BJ85" s="168">
        <f t="array" ref="BJ85:BJ87">MMULT($Q$43:$S$45,BJ79:BJ81)</f>
        <v>100.00100000000002</v>
      </c>
      <c r="BK85" s="168">
        <f t="array" ref="BK85:BK87">MMULT($Q$43:$S$45,BK79:BK81)</f>
        <v>100.00100000000002</v>
      </c>
      <c r="BL85" s="168">
        <f t="array" ref="BL85:BL87">MMULT($Q$43:$S$45,BL79:BL81)</f>
        <v>100.00100000000002</v>
      </c>
      <c r="BM85" s="168">
        <f t="array" ref="BM85:BM87">MMULT($Q$43:$S$45,BM79:BM81)</f>
        <v>100.00100000000002</v>
      </c>
      <c r="BN85" s="168">
        <f t="array" ref="BN85:BN87">MMULT($Q$43:$S$45,BN79:BN81)</f>
        <v>100.00100000000002</v>
      </c>
      <c r="BO85" s="168">
        <f t="array" ref="BO85:BO87">MMULT($Q$43:$S$45,BO79:BO81)</f>
        <v>100.00100000000002</v>
      </c>
      <c r="BP85" s="168">
        <f t="array" ref="BP85:BP87">MMULT($Q$43:$S$45,BP79:BP81)</f>
        <v>100.00100000000002</v>
      </c>
      <c r="BQ85" s="168">
        <f t="array" ref="BQ85:BQ87">MMULT($Q$43:$S$45,BQ79:BQ81)</f>
        <v>100.00100000000002</v>
      </c>
      <c r="BR85" s="168">
        <f t="array" ref="BR85:BR87">MMULT($Q$43:$S$45,BR79:BR81)</f>
        <v>100.00100000000002</v>
      </c>
      <c r="BS85" s="168">
        <f t="array" ref="BS85:BS87">MMULT($Q$43:$S$45,BS79:BS81)</f>
        <v>100.00100000000002</v>
      </c>
      <c r="BT85" s="168">
        <f t="array" ref="BT85:BT87">MMULT($Q$43:$S$45,BT79:BT81)</f>
        <v>100.00100000000002</v>
      </c>
      <c r="BU85" s="168">
        <f t="array" ref="BU85:BU87">MMULT($Q$43:$S$45,BU79:BU81)</f>
        <v>100.00100000000002</v>
      </c>
      <c r="BV85" s="168">
        <f t="array" ref="BV85:BV87">MMULT($Q$43:$S$45,BV79:BV81)</f>
        <v>100.00100000000002</v>
      </c>
      <c r="BW85" s="168">
        <f t="array" ref="BW85:BW87">MMULT($Q$43:$S$45,BW79:BW81)</f>
        <v>100.00100000000002</v>
      </c>
      <c r="BX85" s="168">
        <f t="array" ref="BX85:BX87">MMULT($Q$43:$S$45,BX79:BX81)</f>
        <v>100.00100000000002</v>
      </c>
      <c r="BY85" s="168">
        <f t="array" ref="BY85:BY87">MMULT($Q$43:$S$45,BY79:BY81)</f>
        <v>100.00100000000002</v>
      </c>
      <c r="BZ85" s="168">
        <f t="array" ref="BZ85:BZ87">MMULT($Q$43:$S$45,BZ79:BZ81)</f>
        <v>100.00100000000002</v>
      </c>
      <c r="CA85" s="168">
        <f t="array" ref="CA85:CA87">MMULT($Q$43:$S$45,CA79:CA81)</f>
        <v>100.00100000000002</v>
      </c>
      <c r="CB85" s="168">
        <f t="array" ref="CB85:CB87">MMULT($Q$43:$S$45,CB79:CB81)</f>
        <v>100.00100000000002</v>
      </c>
      <c r="CC85" s="168">
        <f t="array" ref="CC85:CC87">MMULT($Q$43:$S$45,CC79:CC81)</f>
        <v>100.00100000000002</v>
      </c>
      <c r="CD85" s="168">
        <f t="array" ref="CD85:CD87">MMULT($Q$43:$S$45,CD79:CD81)</f>
        <v>100.00100000000002</v>
      </c>
      <c r="CE85" s="168">
        <f t="array" ref="CE85:CE87">MMULT($Q$43:$S$45,CE79:CE81)</f>
        <v>100.00100000000002</v>
      </c>
      <c r="CF85" s="168">
        <f t="array" ref="CF85:CF87">MMULT($Q$43:$S$45,CF79:CF81)</f>
        <v>100.00100000000002</v>
      </c>
      <c r="CG85" s="168">
        <f t="array" ref="CG85:CG87">MMULT($Q$43:$S$45,CG79:CG81)</f>
        <v>100.00100000000002</v>
      </c>
      <c r="CH85" s="168">
        <f t="array" ref="CH85:CH87">MMULT($Q$43:$S$45,CH79:CH81)</f>
        <v>100.00100000000002</v>
      </c>
      <c r="CI85" s="168">
        <f t="array" ref="CI85:CI87">MMULT($Q$43:$S$45,CI79:CI81)</f>
        <v>100.00100000000002</v>
      </c>
      <c r="CJ85" s="168">
        <f t="array" ref="CJ85:CJ87">MMULT($Q$43:$S$45,CJ79:CJ81)</f>
        <v>100.00100000000002</v>
      </c>
      <c r="CK85" s="168">
        <f t="array" ref="CK85:CK87">MMULT($Q$43:$S$45,CK79:CK81)</f>
        <v>100.00100000000002</v>
      </c>
      <c r="CL85" s="168">
        <f t="array" ref="CL85:CL87">MMULT($Q$43:$S$45,CL79:CL81)</f>
        <v>100.00100000000002</v>
      </c>
      <c r="CM85" s="168">
        <f t="array" ref="CM85:CM87">MMULT($Q$43:$S$45,CM79:CM81)</f>
        <v>100.00100000000002</v>
      </c>
      <c r="CN85" s="168">
        <f t="array" ref="CN85:CN87">MMULT($Q$43:$S$45,CN79:CN81)</f>
        <v>100.00100000000002</v>
      </c>
      <c r="CO85" s="168">
        <f t="array" ref="CO85:CO87">MMULT($Q$43:$S$45,CO79:CO81)</f>
        <v>100.00100000000002</v>
      </c>
      <c r="CP85" s="168">
        <f t="array" ref="CP85:CP87">MMULT($Q$43:$S$45,CP79:CP81)</f>
        <v>100.00100000000002</v>
      </c>
      <c r="CQ85" s="168">
        <f t="array" ref="CQ85:CQ87">MMULT($Q$43:$S$45,CQ79:CQ81)</f>
        <v>100.00100000000002</v>
      </c>
      <c r="CR85" s="168">
        <f t="array" ref="CR85:CR87">MMULT($Q$43:$S$45,CR79:CR81)</f>
        <v>100.00100000000002</v>
      </c>
      <c r="CS85" s="168">
        <f t="array" ref="CS85:CS87">MMULT($Q$43:$S$45,CS79:CS81)</f>
        <v>100.00100000000002</v>
      </c>
      <c r="CT85" s="168">
        <f t="array" ref="CT85:CT87">MMULT($Q$43:$S$45,CT79:CT81)</f>
        <v>100.00100000000002</v>
      </c>
      <c r="CU85" s="168">
        <f t="array" ref="CU85:CU87">MMULT($Q$43:$S$45,CU79:CU81)</f>
        <v>100.00100000000002</v>
      </c>
      <c r="CV85" s="168">
        <f t="array" ref="CV85:CV87">MMULT($Q$43:$S$45,CV79:CV81)</f>
        <v>100.00100000000002</v>
      </c>
      <c r="CW85" s="168">
        <f t="array" ref="CW85:CW87">MMULT($Q$43:$S$45,CW79:CW81)</f>
        <v>100.00100000000002</v>
      </c>
      <c r="CX85" s="168">
        <f t="array" ref="CX85:CX87">MMULT($Q$43:$S$45,CX79:CX81)</f>
        <v>100.00100000000002</v>
      </c>
      <c r="CY85" s="168">
        <f t="array" ref="CY85:CY87">MMULT($Q$43:$S$45,CY79:CY81)</f>
        <v>100.00100000000002</v>
      </c>
      <c r="CZ85" s="168">
        <f t="array" ref="CZ85:CZ87">MMULT($Q$43:$S$45,CZ79:CZ81)</f>
        <v>100.00100000000002</v>
      </c>
      <c r="DA85" s="168">
        <f t="array" ref="DA85:DA87">MMULT($Q$43:$S$45,DA79:DA81)</f>
        <v>100.00100000000002</v>
      </c>
      <c r="DC85">
        <v>81</v>
      </c>
      <c r="DD85" s="114">
        <v>45.172252823571917</v>
      </c>
      <c r="DE85" s="114">
        <v>5.8327280734882319</v>
      </c>
      <c r="DF85" s="114">
        <v>-25.637462093234323</v>
      </c>
      <c r="DG85" s="114">
        <v>41.924407844675329</v>
      </c>
      <c r="DH85" s="114">
        <v>4.3525333761436462</v>
      </c>
      <c r="DI85" s="114">
        <v>-29.813411666236927</v>
      </c>
      <c r="DJ85" s="114">
        <v>5.4934532113463428</v>
      </c>
      <c r="DK85" s="114">
        <f t="shared" si="67"/>
        <v>30.178028185251446</v>
      </c>
      <c r="DL85" s="114">
        <f t="shared" si="68"/>
        <v>4.9360893001299866</v>
      </c>
      <c r="DM85" s="114">
        <f t="shared" si="69"/>
        <v>282.81708419713254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10.203032961346086</v>
      </c>
      <c r="D86" s="112"/>
      <c r="E86" s="172" t="s">
        <v>312</v>
      </c>
      <c r="F86" s="168">
        <v>100.00000000000003</v>
      </c>
      <c r="G86" s="168">
        <v>100.00000000000003</v>
      </c>
      <c r="H86" s="168">
        <v>100.00000000000003</v>
      </c>
      <c r="I86" s="168">
        <v>100.00000000000003</v>
      </c>
      <c r="J86" s="168">
        <v>100.00000000000003</v>
      </c>
      <c r="K86" s="168">
        <v>100.00000000000003</v>
      </c>
      <c r="L86" s="168">
        <v>100.00000000000003</v>
      </c>
      <c r="M86" s="168">
        <v>100.00000000000003</v>
      </c>
      <c r="N86" s="168">
        <v>100.00000000000003</v>
      </c>
      <c r="O86" s="168">
        <v>100.00000000000003</v>
      </c>
      <c r="P86" s="168">
        <v>100.00000000000003</v>
      </c>
      <c r="Q86" s="168">
        <v>100.00000000000003</v>
      </c>
      <c r="R86" s="168">
        <v>100.00000000000003</v>
      </c>
      <c r="S86" s="168">
        <v>100.00000000000003</v>
      </c>
      <c r="T86" s="168">
        <v>100.00000000000003</v>
      </c>
      <c r="U86" s="168">
        <v>100.00000000000003</v>
      </c>
      <c r="V86" s="168">
        <v>100.00000000000003</v>
      </c>
      <c r="W86" s="168">
        <v>100.00000000000003</v>
      </c>
      <c r="X86" s="168">
        <v>100.00000000000003</v>
      </c>
      <c r="Y86" s="168">
        <v>100.00000000000003</v>
      </c>
      <c r="Z86" s="168">
        <v>100.00000000000003</v>
      </c>
      <c r="AA86" s="168">
        <v>100.00000000000003</v>
      </c>
      <c r="AB86" s="168">
        <v>100.00000000000003</v>
      </c>
      <c r="AC86" s="168">
        <v>100.00000000000003</v>
      </c>
      <c r="AD86" s="168">
        <v>100.00000000000003</v>
      </c>
      <c r="AE86" s="168">
        <v>100.00000000000003</v>
      </c>
      <c r="AF86" s="168">
        <v>100.00000000000003</v>
      </c>
      <c r="AG86" s="168">
        <v>100.00000000000003</v>
      </c>
      <c r="AH86" s="168">
        <v>100.00000000000003</v>
      </c>
      <c r="AI86" s="168">
        <v>100.00000000000003</v>
      </c>
      <c r="AJ86" s="168">
        <v>100.00000000000003</v>
      </c>
      <c r="AK86" s="168">
        <v>100.00000000000003</v>
      </c>
      <c r="AL86" s="168">
        <v>100.00000000000003</v>
      </c>
      <c r="AM86" s="168">
        <v>100.00000000000003</v>
      </c>
      <c r="AN86" s="168">
        <v>100.00000000000003</v>
      </c>
      <c r="AO86" s="168">
        <v>100.00000000000003</v>
      </c>
      <c r="AP86" s="168">
        <v>100.00000000000003</v>
      </c>
      <c r="AQ86" s="168">
        <v>100.00000000000003</v>
      </c>
      <c r="AR86" s="168">
        <v>100.00000000000003</v>
      </c>
      <c r="AS86" s="168">
        <v>100.00000000000003</v>
      </c>
      <c r="AT86" s="168">
        <v>100.00000000000003</v>
      </c>
      <c r="AU86" s="168">
        <v>100.00000000000003</v>
      </c>
      <c r="AV86" s="168">
        <v>100.00000000000003</v>
      </c>
      <c r="AW86" s="168">
        <v>100.00000000000003</v>
      </c>
      <c r="AX86" s="168">
        <v>100.00000000000003</v>
      </c>
      <c r="AY86" s="168">
        <v>100.00000000000003</v>
      </c>
      <c r="AZ86" s="168">
        <v>100.00000000000003</v>
      </c>
      <c r="BA86" s="168">
        <v>100.00000000000003</v>
      </c>
      <c r="BB86" s="168">
        <v>100.00000000000003</v>
      </c>
      <c r="BC86" s="168">
        <v>100.00000000000003</v>
      </c>
      <c r="BD86" s="168">
        <v>100.00000000000003</v>
      </c>
      <c r="BE86" s="168">
        <v>100.00000000000003</v>
      </c>
      <c r="BF86" s="168">
        <v>100.00000000000003</v>
      </c>
      <c r="BG86" s="168">
        <v>100.00000000000003</v>
      </c>
      <c r="BH86" s="168">
        <v>100.00000000000003</v>
      </c>
      <c r="BI86" s="168">
        <v>100.00000000000003</v>
      </c>
      <c r="BJ86" s="168">
        <v>100.00000000000003</v>
      </c>
      <c r="BK86" s="168">
        <v>100.00000000000003</v>
      </c>
      <c r="BL86" s="168">
        <v>100.00000000000003</v>
      </c>
      <c r="BM86" s="168">
        <v>100.00000000000003</v>
      </c>
      <c r="BN86" s="168">
        <v>100.00000000000003</v>
      </c>
      <c r="BO86" s="168">
        <v>100.00000000000003</v>
      </c>
      <c r="BP86" s="168">
        <v>100.00000000000003</v>
      </c>
      <c r="BQ86" s="168">
        <v>100.00000000000003</v>
      </c>
      <c r="BR86" s="168">
        <v>100.00000000000003</v>
      </c>
      <c r="BS86" s="168">
        <v>100.00000000000003</v>
      </c>
      <c r="BT86" s="168">
        <v>100.00000000000003</v>
      </c>
      <c r="BU86" s="168">
        <v>100.00000000000003</v>
      </c>
      <c r="BV86" s="168">
        <v>100.00000000000003</v>
      </c>
      <c r="BW86" s="168">
        <v>100.00000000000003</v>
      </c>
      <c r="BX86" s="168">
        <v>100.00000000000003</v>
      </c>
      <c r="BY86" s="168">
        <v>100.00000000000003</v>
      </c>
      <c r="BZ86" s="168">
        <v>100.00000000000003</v>
      </c>
      <c r="CA86" s="168">
        <v>100.00000000000003</v>
      </c>
      <c r="CB86" s="168">
        <v>100.00000000000003</v>
      </c>
      <c r="CC86" s="168">
        <v>100.00000000000003</v>
      </c>
      <c r="CD86" s="168">
        <v>100.00000000000003</v>
      </c>
      <c r="CE86" s="168">
        <v>100.00000000000003</v>
      </c>
      <c r="CF86" s="168">
        <v>100.00000000000003</v>
      </c>
      <c r="CG86" s="168">
        <v>100.00000000000003</v>
      </c>
      <c r="CH86" s="168">
        <v>100.00000000000003</v>
      </c>
      <c r="CI86" s="168">
        <v>100.00000000000003</v>
      </c>
      <c r="CJ86" s="168">
        <v>100.00000000000003</v>
      </c>
      <c r="CK86" s="168">
        <v>100.00000000000003</v>
      </c>
      <c r="CL86" s="168">
        <v>100.00000000000003</v>
      </c>
      <c r="CM86" s="168">
        <v>100.00000000000003</v>
      </c>
      <c r="CN86" s="168">
        <v>100.00000000000003</v>
      </c>
      <c r="CO86" s="168">
        <v>100.00000000000003</v>
      </c>
      <c r="CP86" s="168">
        <v>100.00000000000003</v>
      </c>
      <c r="CQ86" s="168">
        <v>100.00000000000003</v>
      </c>
      <c r="CR86" s="168">
        <v>100.00000000000003</v>
      </c>
      <c r="CS86" s="168">
        <v>100.00000000000003</v>
      </c>
      <c r="CT86" s="168">
        <v>100.00000000000003</v>
      </c>
      <c r="CU86" s="168">
        <v>100.00000000000003</v>
      </c>
      <c r="CV86" s="168">
        <v>100.00000000000003</v>
      </c>
      <c r="CW86" s="168">
        <v>100.00000000000003</v>
      </c>
      <c r="CX86" s="168">
        <v>100.00000000000003</v>
      </c>
      <c r="CY86" s="168">
        <v>100.00000000000003</v>
      </c>
      <c r="CZ86" s="168">
        <v>100.00000000000003</v>
      </c>
      <c r="DA86" s="168">
        <v>100.00000000000003</v>
      </c>
      <c r="DC86">
        <v>82</v>
      </c>
      <c r="DD86" s="114">
        <v>87.574167663250208</v>
      </c>
      <c r="DE86" s="114">
        <v>1.5130811652898335</v>
      </c>
      <c r="DF86" s="114">
        <v>-9.2064507141103977</v>
      </c>
      <c r="DG86" s="114">
        <v>87.200504392384119</v>
      </c>
      <c r="DH86" s="114">
        <v>2.3076159964989511</v>
      </c>
      <c r="DI86" s="114">
        <v>-10.17937219638257</v>
      </c>
      <c r="DJ86" s="114">
        <v>1.3105289194312064</v>
      </c>
      <c r="DK86" s="114">
        <f t="shared" si="67"/>
        <v>1.7174860486655255</v>
      </c>
      <c r="DL86" s="114">
        <f t="shared" si="68"/>
        <v>4.8752828652056195</v>
      </c>
      <c r="DM86" s="114">
        <f t="shared" si="69"/>
        <v>279.33313210872944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10.295960498789814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73.499260346241996</v>
      </c>
      <c r="DE87" s="114">
        <v>3.8346917230244508</v>
      </c>
      <c r="DF87" s="114">
        <v>-15.365460885849668</v>
      </c>
      <c r="DG87" s="114">
        <v>73.085797012957812</v>
      </c>
      <c r="DH87" s="114">
        <v>4.5381843486036644</v>
      </c>
      <c r="DI87" s="114">
        <v>-17.585643191076343</v>
      </c>
      <c r="DJ87" s="114">
        <v>2.3653886088033058</v>
      </c>
      <c r="DK87" s="114">
        <f t="shared" si="67"/>
        <v>5.5950632706564383</v>
      </c>
      <c r="DL87" s="114">
        <f t="shared" si="68"/>
        <v>4.9569588317399056</v>
      </c>
      <c r="DM87" s="114">
        <f t="shared" si="69"/>
        <v>284.0128202787958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10.386373688079253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11.044323634007622</v>
      </c>
      <c r="H88" s="168">
        <f t="shared" si="81"/>
        <v>8.1653144276928877</v>
      </c>
      <c r="I88" s="168">
        <f t="shared" si="81"/>
        <v>4.3114315968594648</v>
      </c>
      <c r="J88" s="168">
        <f t="shared" si="81"/>
        <v>8.8946697383263995</v>
      </c>
      <c r="K88" s="168">
        <f t="shared" si="81"/>
        <v>6.8002520030015932</v>
      </c>
      <c r="L88" s="168">
        <f t="shared" si="81"/>
        <v>6.5841983825682497</v>
      </c>
      <c r="M88" s="168">
        <f t="shared" si="81"/>
        <v>5.8902248763811453</v>
      </c>
      <c r="N88" s="168">
        <f t="shared" si="81"/>
        <v>5.7535485494576015</v>
      </c>
      <c r="O88" s="168">
        <f t="shared" si="81"/>
        <v>3.8918823036541701</v>
      </c>
      <c r="P88" s="168">
        <f t="shared" si="81"/>
        <v>9.8950216756255482</v>
      </c>
      <c r="Q88" s="168">
        <f t="shared" si="81"/>
        <v>7.6646504437762539</v>
      </c>
      <c r="R88" s="168">
        <f t="shared" si="81"/>
        <v>8.487966623201455</v>
      </c>
      <c r="S88" s="168">
        <f t="shared" si="81"/>
        <v>5.7657412929097687</v>
      </c>
      <c r="T88" s="168">
        <f t="shared" si="81"/>
        <v>9.3096722216906134</v>
      </c>
      <c r="U88" s="168">
        <f t="shared" si="81"/>
        <v>9.0830765030387504</v>
      </c>
      <c r="V88" s="168">
        <f t="shared" si="81"/>
        <v>6.2838064049062412</v>
      </c>
      <c r="W88" s="168">
        <f t="shared" si="81"/>
        <v>6.4578893740893939</v>
      </c>
      <c r="X88" s="168">
        <f t="shared" si="81"/>
        <v>7.1937344246379418</v>
      </c>
      <c r="Y88" s="168">
        <f t="shared" si="81"/>
        <v>9.1590887112432782</v>
      </c>
      <c r="Z88" s="168">
        <f t="shared" si="81"/>
        <v>8.7324648720645008</v>
      </c>
      <c r="AA88" s="168">
        <f t="shared" si="81"/>
        <v>11.235185468961989</v>
      </c>
      <c r="AB88" s="168">
        <f t="shared" si="81"/>
        <v>10.188174847662255</v>
      </c>
      <c r="AC88" s="168">
        <f t="shared" si="81"/>
        <v>11.793516722776408</v>
      </c>
      <c r="AD88" s="168">
        <f t="shared" si="81"/>
        <v>11.736768670203714</v>
      </c>
      <c r="AE88" s="168">
        <f t="shared" si="81"/>
        <v>9.1586513822195634</v>
      </c>
      <c r="AF88" s="168">
        <f t="shared" si="81"/>
        <v>11.651968983874717</v>
      </c>
      <c r="AG88" s="168">
        <f t="shared" si="81"/>
        <v>9.2076554850465158</v>
      </c>
      <c r="AH88" s="168">
        <f t="shared" si="81"/>
        <v>5.3822246448311866</v>
      </c>
      <c r="AI88" s="168">
        <f t="shared" si="81"/>
        <v>11.167495770362583</v>
      </c>
      <c r="AJ88" s="168">
        <f t="shared" si="81"/>
        <v>8.0805826649301906</v>
      </c>
      <c r="AK88" s="168">
        <f t="shared" si="81"/>
        <v>11.400414775831482</v>
      </c>
      <c r="AL88" s="168">
        <f t="shared" si="81"/>
        <v>9.544723954023457</v>
      </c>
      <c r="AM88" s="168">
        <f t="shared" si="81"/>
        <v>11.522227385482527</v>
      </c>
      <c r="AN88" s="168">
        <f t="shared" si="81"/>
        <v>7.7971974197683256</v>
      </c>
      <c r="AO88" s="168">
        <f t="shared" si="81"/>
        <v>5.4126573003613485</v>
      </c>
      <c r="AP88" s="168">
        <f t="shared" si="81"/>
        <v>10.154574764855171</v>
      </c>
      <c r="AQ88" s="168">
        <f t="shared" si="81"/>
        <v>6.0479238607194121</v>
      </c>
      <c r="AR88" s="168">
        <f t="shared" si="81"/>
        <v>10.983279781844665</v>
      </c>
      <c r="AS88" s="168">
        <f t="shared" si="81"/>
        <v>4.5954326799281908</v>
      </c>
      <c r="AT88" s="168">
        <f t="shared" si="81"/>
        <v>6.2960331780272876</v>
      </c>
      <c r="AU88" s="168">
        <f t="shared" si="81"/>
        <v>11.223202143851239</v>
      </c>
      <c r="AV88" s="168">
        <f t="shared" si="81"/>
        <v>8.4775053571675922</v>
      </c>
      <c r="AW88" s="168">
        <f t="shared" si="81"/>
        <v>8.9618985729059428</v>
      </c>
      <c r="AX88" s="168">
        <f t="shared" si="81"/>
        <v>3.8502904018325492</v>
      </c>
      <c r="AY88" s="168">
        <f t="shared" si="81"/>
        <v>7.1617402932220857</v>
      </c>
      <c r="AZ88" s="168">
        <f t="shared" si="81"/>
        <v>8.197250091020333</v>
      </c>
      <c r="BA88" s="168">
        <f t="shared" si="81"/>
        <v>8.6902236630354199</v>
      </c>
      <c r="BB88" s="168">
        <f t="shared" si="81"/>
        <v>9.5649715406224214</v>
      </c>
      <c r="BC88" s="168">
        <f t="shared" si="81"/>
        <v>5.7372703195028629</v>
      </c>
      <c r="BD88" s="168">
        <f t="shared" si="81"/>
        <v>6.6947684748300373</v>
      </c>
      <c r="BE88" s="168">
        <f t="shared" si="81"/>
        <v>7.1800270724989561</v>
      </c>
      <c r="BF88" s="168">
        <f t="shared" si="81"/>
        <v>5.1203267764465128</v>
      </c>
      <c r="BG88" s="168">
        <f t="shared" si="81"/>
        <v>5.9496682376392078</v>
      </c>
      <c r="BH88" s="168">
        <f t="shared" si="81"/>
        <v>10.915020511526228</v>
      </c>
      <c r="BI88" s="168">
        <f t="shared" si="81"/>
        <v>10.398070498648272</v>
      </c>
      <c r="BJ88" s="168">
        <f t="shared" si="81"/>
        <v>8.5287018333718283</v>
      </c>
      <c r="BK88" s="168">
        <f t="shared" si="81"/>
        <v>6.8288520999832558</v>
      </c>
      <c r="BL88" s="168">
        <f t="shared" si="81"/>
        <v>6.3866402960637192</v>
      </c>
      <c r="BM88" s="168">
        <f t="shared" si="81"/>
        <v>10.885361280624133</v>
      </c>
      <c r="BN88" s="168">
        <f t="shared" si="81"/>
        <v>11.189066222462852</v>
      </c>
      <c r="BO88" s="168">
        <f t="shared" si="81"/>
        <v>9.4913738985929701</v>
      </c>
      <c r="BP88" s="168">
        <f t="shared" si="81"/>
        <v>8.2974742943567499</v>
      </c>
      <c r="BQ88" s="168">
        <f t="shared" si="81"/>
        <v>4.5004068781910531</v>
      </c>
      <c r="BR88" s="168">
        <f t="shared" ref="BR88:DA88" si="82">((400*(BR59*BR82/100)^0.42)/(((BR59*BR82/100)^0.42)+27.13))+0.1</f>
        <v>6.9241985553553205</v>
      </c>
      <c r="BS88" s="168">
        <f t="shared" si="82"/>
        <v>4.9602561017826163</v>
      </c>
      <c r="BT88" s="168">
        <f t="shared" si="82"/>
        <v>5.3442240572906732</v>
      </c>
      <c r="BU88" s="168">
        <f t="shared" si="82"/>
        <v>5.6964436717491838</v>
      </c>
      <c r="BV88" s="168">
        <f t="shared" si="82"/>
        <v>7.7487060592546664</v>
      </c>
      <c r="BW88" s="168">
        <f t="shared" si="82"/>
        <v>6.5935705370675191</v>
      </c>
      <c r="BX88" s="168">
        <f t="shared" si="82"/>
        <v>8.79155168121172</v>
      </c>
      <c r="BY88" s="168">
        <f t="shared" si="82"/>
        <v>4.4019345624862689</v>
      </c>
      <c r="BZ88" s="168">
        <f t="shared" si="82"/>
        <v>9.5393729515531529</v>
      </c>
      <c r="CA88" s="168">
        <f t="shared" si="82"/>
        <v>6.8682641352643987</v>
      </c>
      <c r="CB88" s="168">
        <f t="shared" si="82"/>
        <v>3.8024862208492873</v>
      </c>
      <c r="CC88" s="168">
        <f t="shared" si="82"/>
        <v>4.2055105664436248</v>
      </c>
      <c r="CD88" s="168">
        <f t="shared" si="82"/>
        <v>5.8124788694871059</v>
      </c>
      <c r="CE88" s="168">
        <f t="shared" si="82"/>
        <v>5.538455685175701</v>
      </c>
      <c r="CF88" s="168">
        <f t="shared" si="82"/>
        <v>5.4040625295909379</v>
      </c>
      <c r="CG88" s="168">
        <f t="shared" si="82"/>
        <v>9.1475201871840657</v>
      </c>
      <c r="CH88" s="168">
        <f t="shared" si="82"/>
        <v>8.1548271028596151</v>
      </c>
      <c r="CI88" s="168">
        <f t="shared" si="82"/>
        <v>5.6096672717123184</v>
      </c>
      <c r="CJ88" s="168">
        <f t="shared" si="82"/>
        <v>11.083992002291547</v>
      </c>
      <c r="CK88" s="168">
        <f t="shared" si="82"/>
        <v>9.1041069637107945</v>
      </c>
      <c r="CL88" s="168">
        <f t="shared" si="82"/>
        <v>3.8113311773735745</v>
      </c>
      <c r="CM88" s="168">
        <f t="shared" si="82"/>
        <v>5.315585280203762</v>
      </c>
      <c r="CN88" s="168">
        <f t="shared" si="82"/>
        <v>8.2453423831090333</v>
      </c>
      <c r="CO88" s="168">
        <f t="shared" si="82"/>
        <v>5.1816364830126869</v>
      </c>
      <c r="CP88" s="168">
        <f t="shared" si="82"/>
        <v>7.9081963632669758</v>
      </c>
      <c r="CQ88" s="168">
        <f t="shared" si="82"/>
        <v>5.0777553944312448</v>
      </c>
      <c r="CR88" s="168">
        <f t="shared" si="82"/>
        <v>5.7354466603048735</v>
      </c>
      <c r="CS88" s="168">
        <f t="shared" si="82"/>
        <v>10.164018473676862</v>
      </c>
      <c r="CT88" s="168">
        <f t="shared" si="82"/>
        <v>7.2078545190509633</v>
      </c>
      <c r="CU88" s="168">
        <f t="shared" si="82"/>
        <v>8.5331978803956652</v>
      </c>
      <c r="CV88" s="168">
        <f t="shared" si="82"/>
        <v>5.3405784253210085</v>
      </c>
      <c r="CW88" s="168">
        <f t="shared" si="82"/>
        <v>8.9773942605920478</v>
      </c>
      <c r="CX88" s="168">
        <f t="shared" si="82"/>
        <v>10.034998687792683</v>
      </c>
      <c r="CY88" s="168">
        <f t="shared" si="82"/>
        <v>6.7864015408266418</v>
      </c>
      <c r="CZ88" s="168">
        <f t="shared" si="82"/>
        <v>8.4403954642550936</v>
      </c>
      <c r="DA88" s="168">
        <f t="shared" si="82"/>
        <v>7.0595558575452602</v>
      </c>
      <c r="DC88">
        <v>84</v>
      </c>
      <c r="DD88" s="114">
        <v>28.459665529475359</v>
      </c>
      <c r="DE88" s="114">
        <v>4.6395434403674329</v>
      </c>
      <c r="DF88" s="114">
        <v>-6.015226315407924</v>
      </c>
      <c r="DG88" s="114">
        <v>27.157132713783319</v>
      </c>
      <c r="DH88" s="114">
        <v>5.7295616943660654</v>
      </c>
      <c r="DI88" s="114">
        <v>-7.907805479902219</v>
      </c>
      <c r="DJ88" s="114">
        <v>2.5429485688630793</v>
      </c>
      <c r="DK88" s="114">
        <f t="shared" si="67"/>
        <v>6.4665874238827827</v>
      </c>
      <c r="DL88" s="114">
        <f t="shared" si="68"/>
        <v>5.3693832429123622</v>
      </c>
      <c r="DM88" s="114">
        <f t="shared" si="69"/>
        <v>307.64299840714568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10.474271604822833</v>
      </c>
      <c r="D89" s="112"/>
      <c r="E89" s="172" t="s">
        <v>315</v>
      </c>
      <c r="F89" s="168">
        <f t="shared" ref="F89:BQ89" si="83">((400*(F59*F83/100)^0.42)/(((F59*F83/100)^0.42)+27.13))+0.1</f>
        <v>13.047210500554206</v>
      </c>
      <c r="G89" s="168">
        <f t="shared" si="83"/>
        <v>10.633077292697426</v>
      </c>
      <c r="H89" s="168">
        <f t="shared" si="83"/>
        <v>7.2425425493764894</v>
      </c>
      <c r="I89" s="168">
        <f t="shared" si="83"/>
        <v>4.0170907791186501</v>
      </c>
      <c r="J89" s="168">
        <f t="shared" si="83"/>
        <v>8.3248547807505453</v>
      </c>
      <c r="K89" s="168">
        <f t="shared" si="83"/>
        <v>5.7471019598484174</v>
      </c>
      <c r="L89" s="168">
        <f t="shared" si="83"/>
        <v>6.120991980907875</v>
      </c>
      <c r="M89" s="168">
        <f t="shared" si="83"/>
        <v>4.9410473564400617</v>
      </c>
      <c r="N89" s="168">
        <f t="shared" si="83"/>
        <v>4.8971285291778957</v>
      </c>
      <c r="O89" s="168">
        <f t="shared" si="83"/>
        <v>3.8438575784508457</v>
      </c>
      <c r="P89" s="168">
        <f t="shared" si="83"/>
        <v>8.7477529208383</v>
      </c>
      <c r="Q89" s="168">
        <f t="shared" si="83"/>
        <v>6.6427636987246208</v>
      </c>
      <c r="R89" s="168">
        <f t="shared" si="83"/>
        <v>7.3244046277635375</v>
      </c>
      <c r="S89" s="168">
        <f t="shared" si="83"/>
        <v>5.1954302448676888</v>
      </c>
      <c r="T89" s="168">
        <f t="shared" si="83"/>
        <v>9.1224597908708382</v>
      </c>
      <c r="U89" s="168">
        <f t="shared" si="83"/>
        <v>8.6640495738651531</v>
      </c>
      <c r="V89" s="168">
        <f t="shared" si="83"/>
        <v>5.7032353862705172</v>
      </c>
      <c r="W89" s="168">
        <f t="shared" si="83"/>
        <v>5.9427476034918971</v>
      </c>
      <c r="X89" s="168">
        <f t="shared" si="83"/>
        <v>6.791090338896872</v>
      </c>
      <c r="Y89" s="168">
        <f t="shared" si="83"/>
        <v>8.5177807924516138</v>
      </c>
      <c r="Z89" s="168">
        <f t="shared" si="83"/>
        <v>7.8131315597760018</v>
      </c>
      <c r="AA89" s="168">
        <f t="shared" si="83"/>
        <v>10.454782572652851</v>
      </c>
      <c r="AB89" s="168">
        <f t="shared" si="83"/>
        <v>9.3720640310141441</v>
      </c>
      <c r="AC89" s="168">
        <f t="shared" si="83"/>
        <v>11.580663576424028</v>
      </c>
      <c r="AD89" s="168">
        <f t="shared" si="83"/>
        <v>11.270452919308829</v>
      </c>
      <c r="AE89" s="168">
        <f t="shared" si="83"/>
        <v>8.5430689791613439</v>
      </c>
      <c r="AF89" s="168">
        <f t="shared" si="83"/>
        <v>11.099081685072621</v>
      </c>
      <c r="AG89" s="168">
        <f t="shared" si="83"/>
        <v>9.0368310987222795</v>
      </c>
      <c r="AH89" s="168">
        <f t="shared" si="83"/>
        <v>5.2557323478186904</v>
      </c>
      <c r="AI89" s="168">
        <f t="shared" si="83"/>
        <v>10.77282366560873</v>
      </c>
      <c r="AJ89" s="168">
        <f t="shared" si="83"/>
        <v>7.8820026699547929</v>
      </c>
      <c r="AK89" s="168">
        <f t="shared" si="83"/>
        <v>11.051653427045965</v>
      </c>
      <c r="AL89" s="168">
        <f t="shared" si="83"/>
        <v>9.2062646751213695</v>
      </c>
      <c r="AM89" s="168">
        <f t="shared" si="83"/>
        <v>11.316660261662298</v>
      </c>
      <c r="AN89" s="168">
        <f t="shared" si="83"/>
        <v>7.5949081778669774</v>
      </c>
      <c r="AO89" s="168">
        <f t="shared" si="83"/>
        <v>5.3483537215447461</v>
      </c>
      <c r="AP89" s="168">
        <f t="shared" si="83"/>
        <v>10.098027088494367</v>
      </c>
      <c r="AQ89" s="168">
        <f t="shared" si="83"/>
        <v>6.0011369880670236</v>
      </c>
      <c r="AR89" s="168">
        <f t="shared" si="83"/>
        <v>10.892484843325743</v>
      </c>
      <c r="AS89" s="168">
        <f t="shared" si="83"/>
        <v>4.5821744161808233</v>
      </c>
      <c r="AT89" s="168">
        <f t="shared" si="83"/>
        <v>6.2729867686900924</v>
      </c>
      <c r="AU89" s="168">
        <f t="shared" si="83"/>
        <v>11.218877938719118</v>
      </c>
      <c r="AV89" s="168">
        <f t="shared" si="83"/>
        <v>8.6241643994264603</v>
      </c>
      <c r="AW89" s="168">
        <f t="shared" si="83"/>
        <v>9.1243810571174411</v>
      </c>
      <c r="AX89" s="168">
        <f t="shared" si="83"/>
        <v>3.8527177972643432</v>
      </c>
      <c r="AY89" s="168">
        <f t="shared" si="83"/>
        <v>7.3942727801474302</v>
      </c>
      <c r="AZ89" s="168">
        <f t="shared" si="83"/>
        <v>8.3747789141908164</v>
      </c>
      <c r="BA89" s="168">
        <f t="shared" si="83"/>
        <v>8.7790719983874457</v>
      </c>
      <c r="BB89" s="168">
        <f t="shared" si="83"/>
        <v>9.894833701605668</v>
      </c>
      <c r="BC89" s="168">
        <f t="shared" si="83"/>
        <v>5.9715599850323704</v>
      </c>
      <c r="BD89" s="168">
        <f t="shared" si="83"/>
        <v>6.9744012745944746</v>
      </c>
      <c r="BE89" s="168">
        <f t="shared" si="83"/>
        <v>7.4189303543933445</v>
      </c>
      <c r="BF89" s="168">
        <f t="shared" si="83"/>
        <v>5.4475351159760619</v>
      </c>
      <c r="BG89" s="168">
        <f t="shared" si="83"/>
        <v>6.575558210543778</v>
      </c>
      <c r="BH89" s="168">
        <f t="shared" si="83"/>
        <v>11.214715625546043</v>
      </c>
      <c r="BI89" s="168">
        <f t="shared" si="83"/>
        <v>10.746997949185992</v>
      </c>
      <c r="BJ89" s="168">
        <f t="shared" si="83"/>
        <v>9.2477917834684131</v>
      </c>
      <c r="BK89" s="168">
        <f t="shared" si="83"/>
        <v>7.5777783348221526</v>
      </c>
      <c r="BL89" s="168">
        <f t="shared" si="83"/>
        <v>7.1314669727510394</v>
      </c>
      <c r="BM89" s="168">
        <f t="shared" si="83"/>
        <v>11.191971609861731</v>
      </c>
      <c r="BN89" s="168">
        <f t="shared" si="83"/>
        <v>11.297229912732698</v>
      </c>
      <c r="BO89" s="168">
        <f t="shared" si="83"/>
        <v>9.7681844959888604</v>
      </c>
      <c r="BP89" s="168">
        <f t="shared" si="83"/>
        <v>8.3950905368876132</v>
      </c>
      <c r="BQ89" s="168">
        <f t="shared" si="83"/>
        <v>4.5283206623989063</v>
      </c>
      <c r="BR89" s="168">
        <f t="shared" ref="BR89:DA89" si="84">((400*(BR59*BR83/100)^0.42)/(((BR59*BR83/100)^0.42)+27.13))+0.1</f>
        <v>7.6944385225961387</v>
      </c>
      <c r="BS89" s="168">
        <f t="shared" si="84"/>
        <v>5.3208032428263232</v>
      </c>
      <c r="BT89" s="168">
        <f t="shared" si="84"/>
        <v>5.9926602200884602</v>
      </c>
      <c r="BU89" s="168">
        <f t="shared" si="84"/>
        <v>6.3864279377033233</v>
      </c>
      <c r="BV89" s="168">
        <f t="shared" si="84"/>
        <v>8.1668638191725371</v>
      </c>
      <c r="BW89" s="168">
        <f t="shared" si="84"/>
        <v>6.7447755313161579</v>
      </c>
      <c r="BX89" s="168">
        <f t="shared" si="84"/>
        <v>9.3170856810678515</v>
      </c>
      <c r="BY89" s="168">
        <f t="shared" si="84"/>
        <v>4.7852471537960568</v>
      </c>
      <c r="BZ89" s="168">
        <f t="shared" si="84"/>
        <v>9.6671783389419552</v>
      </c>
      <c r="CA89" s="168">
        <f t="shared" si="84"/>
        <v>7.543491711900848</v>
      </c>
      <c r="CB89" s="168">
        <f t="shared" si="84"/>
        <v>3.8237261095526733</v>
      </c>
      <c r="CC89" s="168">
        <f t="shared" si="84"/>
        <v>4.5414334604039235</v>
      </c>
      <c r="CD89" s="168">
        <f t="shared" si="84"/>
        <v>6.3577474271904126</v>
      </c>
      <c r="CE89" s="168">
        <f t="shared" si="84"/>
        <v>5.8297303616916532</v>
      </c>
      <c r="CF89" s="168">
        <f t="shared" si="84"/>
        <v>5.887333099191304</v>
      </c>
      <c r="CG89" s="168">
        <f t="shared" si="84"/>
        <v>9.3278362806563422</v>
      </c>
      <c r="CH89" s="168">
        <f t="shared" si="84"/>
        <v>8.2846054356617245</v>
      </c>
      <c r="CI89" s="168">
        <f t="shared" si="84"/>
        <v>5.7007328338110979</v>
      </c>
      <c r="CJ89" s="168">
        <f t="shared" si="84"/>
        <v>11.116825225338967</v>
      </c>
      <c r="CK89" s="168">
        <f t="shared" si="84"/>
        <v>9.1447851416868264</v>
      </c>
      <c r="CL89" s="168">
        <f t="shared" si="84"/>
        <v>3.7859087221388332</v>
      </c>
      <c r="CM89" s="168">
        <f t="shared" si="84"/>
        <v>5.2793352796143669</v>
      </c>
      <c r="CN89" s="168">
        <f t="shared" si="84"/>
        <v>8.180125985128166</v>
      </c>
      <c r="CO89" s="168">
        <f t="shared" si="84"/>
        <v>5.0539536906618077</v>
      </c>
      <c r="CP89" s="168">
        <f t="shared" si="84"/>
        <v>7.6464543019639901</v>
      </c>
      <c r="CQ89" s="168">
        <f t="shared" si="84"/>
        <v>4.836628538753093</v>
      </c>
      <c r="CR89" s="168">
        <f t="shared" si="84"/>
        <v>5.4241488286217869</v>
      </c>
      <c r="CS89" s="168">
        <f t="shared" si="84"/>
        <v>10.114100067719884</v>
      </c>
      <c r="CT89" s="168">
        <f t="shared" si="84"/>
        <v>6.9321606822991342</v>
      </c>
      <c r="CU89" s="168">
        <f t="shared" si="84"/>
        <v>8.3016462783460465</v>
      </c>
      <c r="CV89" s="168">
        <f t="shared" si="84"/>
        <v>4.8903535189545835</v>
      </c>
      <c r="CW89" s="168">
        <f t="shared" si="84"/>
        <v>8.6097872849138426</v>
      </c>
      <c r="CX89" s="168">
        <f t="shared" si="84"/>
        <v>9.6783843308697115</v>
      </c>
      <c r="CY89" s="168">
        <f t="shared" si="84"/>
        <v>6.2921858328810369</v>
      </c>
      <c r="CZ89" s="168">
        <f t="shared" si="84"/>
        <v>7.6250403211269564</v>
      </c>
      <c r="DA89" s="168">
        <f t="shared" si="84"/>
        <v>6.1771303167108638</v>
      </c>
      <c r="DC89">
        <v>85</v>
      </c>
      <c r="DD89" s="114">
        <v>41.978005809815151</v>
      </c>
      <c r="DE89" s="114">
        <v>7.1838881385564166</v>
      </c>
      <c r="DF89" s="114">
        <v>-11.491501510986431</v>
      </c>
      <c r="DG89" s="114">
        <v>40.329263264681408</v>
      </c>
      <c r="DH89" s="114">
        <v>5.1695902959214859</v>
      </c>
      <c r="DI89" s="114">
        <v>-13.438050300337933</v>
      </c>
      <c r="DJ89" s="114">
        <v>3.2503538220174777</v>
      </c>
      <c r="DK89" s="114">
        <f t="shared" si="67"/>
        <v>10.564799968303625</v>
      </c>
      <c r="DL89" s="114">
        <f t="shared" si="68"/>
        <v>5.2710946500415758</v>
      </c>
      <c r="DM89" s="114">
        <f t="shared" si="69"/>
        <v>302.01147686136994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10.55965552814056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10.644064500403289</v>
      </c>
      <c r="H90" s="168">
        <f t="shared" si="85"/>
        <v>7.0613502537028703</v>
      </c>
      <c r="I90" s="168">
        <f t="shared" si="85"/>
        <v>3.9569279927414742</v>
      </c>
      <c r="J90" s="168">
        <f t="shared" si="85"/>
        <v>7.8260432252623824</v>
      </c>
      <c r="K90" s="168">
        <f t="shared" si="85"/>
        <v>4.9748555351137336</v>
      </c>
      <c r="L90" s="168">
        <f t="shared" si="85"/>
        <v>5.6178608850191942</v>
      </c>
      <c r="M90" s="168">
        <f t="shared" si="85"/>
        <v>4.0800683261763284</v>
      </c>
      <c r="N90" s="168">
        <f t="shared" si="85"/>
        <v>4.1373388914698035</v>
      </c>
      <c r="O90" s="168">
        <f t="shared" si="85"/>
        <v>3.8302210045700549</v>
      </c>
      <c r="P90" s="168">
        <f t="shared" si="85"/>
        <v>6.6552936708834549</v>
      </c>
      <c r="Q90" s="168">
        <f t="shared" si="85"/>
        <v>4.5657764333532489</v>
      </c>
      <c r="R90" s="168">
        <f t="shared" si="85"/>
        <v>4.9376894379456049</v>
      </c>
      <c r="S90" s="168">
        <f t="shared" si="85"/>
        <v>3.9236879990732083</v>
      </c>
      <c r="T90" s="168">
        <f t="shared" si="85"/>
        <v>8.6292365738863133</v>
      </c>
      <c r="U90" s="168">
        <f t="shared" si="85"/>
        <v>7.6893027258498092</v>
      </c>
      <c r="V90" s="168">
        <f t="shared" si="85"/>
        <v>4.178050065673756</v>
      </c>
      <c r="W90" s="168">
        <f t="shared" si="85"/>
        <v>4.3069259539546172</v>
      </c>
      <c r="X90" s="168">
        <f t="shared" si="85"/>
        <v>5.5570581125139045</v>
      </c>
      <c r="Y90" s="168">
        <f t="shared" si="85"/>
        <v>5.7953272239951445</v>
      </c>
      <c r="Z90" s="168">
        <f t="shared" si="85"/>
        <v>4.4892431735204683</v>
      </c>
      <c r="AA90" s="168">
        <f t="shared" si="85"/>
        <v>6.7431883881099388</v>
      </c>
      <c r="AB90" s="168">
        <f t="shared" si="85"/>
        <v>5.6688180542455351</v>
      </c>
      <c r="AC90" s="168">
        <f t="shared" si="85"/>
        <v>10.286441138433824</v>
      </c>
      <c r="AD90" s="168">
        <f t="shared" si="85"/>
        <v>8.1941321397558067</v>
      </c>
      <c r="AE90" s="168">
        <f t="shared" si="85"/>
        <v>4.3812410336165772</v>
      </c>
      <c r="AF90" s="168">
        <f t="shared" si="85"/>
        <v>7.2959827432165163</v>
      </c>
      <c r="AG90" s="168">
        <f t="shared" si="85"/>
        <v>7.5202026379607316</v>
      </c>
      <c r="AH90" s="168">
        <f t="shared" si="85"/>
        <v>3.9012868123771294</v>
      </c>
      <c r="AI90" s="168">
        <f t="shared" si="85"/>
        <v>7.0683397086612931</v>
      </c>
      <c r="AJ90" s="168">
        <f t="shared" si="85"/>
        <v>6.2261843875540972</v>
      </c>
      <c r="AK90" s="168">
        <f t="shared" si="85"/>
        <v>7.3308781965626091</v>
      </c>
      <c r="AL90" s="168">
        <f t="shared" si="85"/>
        <v>5.2622088475443762</v>
      </c>
      <c r="AM90" s="168">
        <f t="shared" si="85"/>
        <v>9.1074051564910636</v>
      </c>
      <c r="AN90" s="168">
        <f t="shared" si="85"/>
        <v>4.3848407842575421</v>
      </c>
      <c r="AO90" s="168">
        <f t="shared" si="85"/>
        <v>4.027226069281185</v>
      </c>
      <c r="AP90" s="168">
        <f t="shared" si="85"/>
        <v>9.4882098497200431</v>
      </c>
      <c r="AQ90" s="168">
        <f t="shared" si="85"/>
        <v>4.2352901094037874</v>
      </c>
      <c r="AR90" s="168">
        <f t="shared" si="85"/>
        <v>9.1733677024253844</v>
      </c>
      <c r="AS90" s="168">
        <f t="shared" si="85"/>
        <v>4.1018448731460042</v>
      </c>
      <c r="AT90" s="168">
        <f t="shared" si="85"/>
        <v>5.1485853097077516</v>
      </c>
      <c r="AU90" s="168">
        <f t="shared" si="85"/>
        <v>10.467449940225773</v>
      </c>
      <c r="AV90" s="168">
        <f t="shared" si="85"/>
        <v>5.2181152940604774</v>
      </c>
      <c r="AW90" s="168">
        <f t="shared" si="85"/>
        <v>5.5800121268815417</v>
      </c>
      <c r="AX90" s="168">
        <f t="shared" si="85"/>
        <v>3.7832326269003511</v>
      </c>
      <c r="AY90" s="168">
        <f t="shared" si="85"/>
        <v>5.2438421873597036</v>
      </c>
      <c r="AZ90" s="168">
        <f t="shared" si="85"/>
        <v>6.7436814667898579</v>
      </c>
      <c r="BA90" s="168">
        <f t="shared" si="85"/>
        <v>7.7445714251764901</v>
      </c>
      <c r="BB90" s="168">
        <f t="shared" si="85"/>
        <v>8.2795149379855957</v>
      </c>
      <c r="BC90" s="168">
        <f t="shared" si="85"/>
        <v>4.7224967228973833</v>
      </c>
      <c r="BD90" s="168">
        <f t="shared" si="85"/>
        <v>6.2569731195794107</v>
      </c>
      <c r="BE90" s="168">
        <f t="shared" si="85"/>
        <v>6.8420064234228555</v>
      </c>
      <c r="BF90" s="168">
        <f t="shared" si="85"/>
        <v>4.6870149170664126</v>
      </c>
      <c r="BG90" s="168">
        <f t="shared" si="85"/>
        <v>5.9373115865068185</v>
      </c>
      <c r="BH90" s="168">
        <f t="shared" si="85"/>
        <v>11.134491365752224</v>
      </c>
      <c r="BI90" s="168">
        <f t="shared" si="85"/>
        <v>10.784322783043217</v>
      </c>
      <c r="BJ90" s="168">
        <f t="shared" si="85"/>
        <v>9.3154473054551623</v>
      </c>
      <c r="BK90" s="168">
        <f t="shared" si="85"/>
        <v>7.6631189476317703</v>
      </c>
      <c r="BL90" s="168">
        <f t="shared" si="85"/>
        <v>7.4254108599340949</v>
      </c>
      <c r="BM90" s="168">
        <f t="shared" si="85"/>
        <v>11.317305333592483</v>
      </c>
      <c r="BN90" s="168">
        <f t="shared" si="85"/>
        <v>11.429423673223067</v>
      </c>
      <c r="BO90" s="168">
        <f t="shared" si="85"/>
        <v>10.070289064344077</v>
      </c>
      <c r="BP90" s="168">
        <f t="shared" si="85"/>
        <v>8.6061563730237101</v>
      </c>
      <c r="BQ90" s="168">
        <f t="shared" si="85"/>
        <v>4.6375059103145464</v>
      </c>
      <c r="BR90" s="168">
        <f t="shared" ref="BR90:DA90" si="86">((400*(BR59*BR84/100)^0.42)/(((BR59*BR84/100)^0.42)+27.13))+0.1</f>
        <v>8.868043391037185</v>
      </c>
      <c r="BS90" s="168">
        <f t="shared" si="86"/>
        <v>5.9320372831523311</v>
      </c>
      <c r="BT90" s="168">
        <f t="shared" si="86"/>
        <v>7.3095715053721877</v>
      </c>
      <c r="BU90" s="168">
        <f t="shared" si="86"/>
        <v>7.8790145027134022</v>
      </c>
      <c r="BV90" s="168">
        <f t="shared" si="86"/>
        <v>9.2602372991316599</v>
      </c>
      <c r="BW90" s="168">
        <f t="shared" si="86"/>
        <v>7.3418615707850794</v>
      </c>
      <c r="BX90" s="168">
        <f t="shared" si="86"/>
        <v>11.08130337392137</v>
      </c>
      <c r="BY90" s="168">
        <f t="shared" si="86"/>
        <v>6.2585750643728506</v>
      </c>
      <c r="BZ90" s="168">
        <f t="shared" si="86"/>
        <v>10.135610484596777</v>
      </c>
      <c r="CA90" s="168">
        <f t="shared" si="86"/>
        <v>9.9091369768977469</v>
      </c>
      <c r="CB90" s="168">
        <f t="shared" si="86"/>
        <v>3.9712105824809436</v>
      </c>
      <c r="CC90" s="168">
        <f t="shared" si="86"/>
        <v>6.1190111472388775</v>
      </c>
      <c r="CD90" s="168">
        <f t="shared" si="86"/>
        <v>9.2400848849975166</v>
      </c>
      <c r="CE90" s="168">
        <f t="shared" si="86"/>
        <v>7.5897039964085176</v>
      </c>
      <c r="CF90" s="168">
        <f t="shared" si="86"/>
        <v>8.6548609365437681</v>
      </c>
      <c r="CG90" s="168">
        <f t="shared" si="86"/>
        <v>10.809708285076365</v>
      </c>
      <c r="CH90" s="168">
        <f t="shared" si="86"/>
        <v>10.123098035020137</v>
      </c>
      <c r="CI90" s="168">
        <f t="shared" si="86"/>
        <v>8.0145746787637879</v>
      </c>
      <c r="CJ90" s="168">
        <f t="shared" si="86"/>
        <v>11.7315473094963</v>
      </c>
      <c r="CK90" s="168">
        <f t="shared" si="86"/>
        <v>10.32408287889028</v>
      </c>
      <c r="CL90" s="168">
        <f t="shared" si="86"/>
        <v>4.1288190890744181</v>
      </c>
      <c r="CM90" s="168">
        <f t="shared" si="86"/>
        <v>6.0867879838498515</v>
      </c>
      <c r="CN90" s="168">
        <f t="shared" si="86"/>
        <v>10.028452119105184</v>
      </c>
      <c r="CO90" s="168">
        <f t="shared" si="86"/>
        <v>6.8094638099406719</v>
      </c>
      <c r="CP90" s="168">
        <f t="shared" si="86"/>
        <v>9.2333362123403262</v>
      </c>
      <c r="CQ90" s="168">
        <f t="shared" si="86"/>
        <v>6.0908451522838085</v>
      </c>
      <c r="CR90" s="168">
        <f t="shared" si="86"/>
        <v>6.8303136088469127</v>
      </c>
      <c r="CS90" s="168">
        <f t="shared" si="86"/>
        <v>10.252600857018077</v>
      </c>
      <c r="CT90" s="168">
        <f t="shared" si="86"/>
        <v>7.700860776751786</v>
      </c>
      <c r="CU90" s="168">
        <f t="shared" si="86"/>
        <v>8.8956263974552421</v>
      </c>
      <c r="CV90" s="168">
        <f t="shared" si="86"/>
        <v>5.677416161690358</v>
      </c>
      <c r="CW90" s="168">
        <f t="shared" si="86"/>
        <v>9.2279747068429216</v>
      </c>
      <c r="CX90" s="168">
        <f t="shared" si="86"/>
        <v>10.199520216588713</v>
      </c>
      <c r="CY90" s="168">
        <f t="shared" si="86"/>
        <v>6.770858121068362</v>
      </c>
      <c r="CZ90" s="168">
        <f t="shared" si="86"/>
        <v>7.9429924810370585</v>
      </c>
      <c r="DA90" s="168">
        <f t="shared" si="86"/>
        <v>6.5120769174672315</v>
      </c>
      <c r="DC90">
        <v>86</v>
      </c>
      <c r="DD90" s="114">
        <v>66.676277246087764</v>
      </c>
      <c r="DE90" s="114">
        <v>11.280934137846254</v>
      </c>
      <c r="DF90" s="114">
        <v>-19.514914012450443</v>
      </c>
      <c r="DG90" s="114">
        <v>63.854573329077624</v>
      </c>
      <c r="DH90" s="114">
        <v>7.2929531685868429</v>
      </c>
      <c r="DI90" s="114">
        <v>-24.960569559126981</v>
      </c>
      <c r="DJ90" s="114">
        <v>7.3158163959666549</v>
      </c>
      <c r="DK90" s="114">
        <f t="shared" si="67"/>
        <v>53.521169539494537</v>
      </c>
      <c r="DL90" s="114">
        <f t="shared" si="68"/>
        <v>5.2365253807467429</v>
      </c>
      <c r="DM90" s="114">
        <f t="shared" si="69"/>
        <v>300.03080362992483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10.642528845187499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40.648895014612421</v>
      </c>
      <c r="DE91" s="114">
        <v>14.442277337248333</v>
      </c>
      <c r="DF91" s="114">
        <v>-18.899104468025552</v>
      </c>
      <c r="DG91" s="114">
        <v>38.057060758353863</v>
      </c>
      <c r="DH91" s="114">
        <v>13.55222157595909</v>
      </c>
      <c r="DI91" s="114">
        <v>-22.630543449446549</v>
      </c>
      <c r="DJ91" s="114">
        <v>4.6296264365699846</v>
      </c>
      <c r="DK91" s="114">
        <f t="shared" si="67"/>
        <v>21.433440942187694</v>
      </c>
      <c r="DL91" s="114">
        <f t="shared" si="68"/>
        <v>5.3649023464820607</v>
      </c>
      <c r="DM91" s="114">
        <f t="shared" si="69"/>
        <v>307.38626195325412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10.722896957068821</v>
      </c>
      <c r="D92" s="112"/>
      <c r="E92" s="172" t="s">
        <v>318</v>
      </c>
      <c r="F92" s="168">
        <f t="shared" ref="F92:BQ92" si="90">((400*(F59*F86/100)^0.42)/(((F59*F86/100)^0.42)+27.13))+0.1</f>
        <v>13.047210500554206</v>
      </c>
      <c r="G92" s="168">
        <f t="shared" si="90"/>
        <v>13.047210500554206</v>
      </c>
      <c r="H92" s="168">
        <f t="shared" si="90"/>
        <v>13.047210500554206</v>
      </c>
      <c r="I92" s="168">
        <f t="shared" si="90"/>
        <v>13.047210500554206</v>
      </c>
      <c r="J92" s="168">
        <f t="shared" si="90"/>
        <v>13.047210500554206</v>
      </c>
      <c r="K92" s="168">
        <f t="shared" si="90"/>
        <v>13.047210500554206</v>
      </c>
      <c r="L92" s="168">
        <f t="shared" si="90"/>
        <v>13.047210500554206</v>
      </c>
      <c r="M92" s="168">
        <f t="shared" si="90"/>
        <v>13.047210500554206</v>
      </c>
      <c r="N92" s="168">
        <f t="shared" si="90"/>
        <v>13.047210500554206</v>
      </c>
      <c r="O92" s="168">
        <f t="shared" si="90"/>
        <v>13.047210500554206</v>
      </c>
      <c r="P92" s="168">
        <f t="shared" si="90"/>
        <v>13.047210500554206</v>
      </c>
      <c r="Q92" s="168">
        <f t="shared" si="90"/>
        <v>13.047210500554206</v>
      </c>
      <c r="R92" s="168">
        <f t="shared" si="90"/>
        <v>13.047210500554206</v>
      </c>
      <c r="S92" s="168">
        <f t="shared" si="90"/>
        <v>13.047210500554206</v>
      </c>
      <c r="T92" s="168">
        <f t="shared" si="90"/>
        <v>13.047210500554206</v>
      </c>
      <c r="U92" s="168">
        <f t="shared" si="90"/>
        <v>13.047210500554206</v>
      </c>
      <c r="V92" s="168">
        <f t="shared" si="90"/>
        <v>13.047210500554206</v>
      </c>
      <c r="W92" s="168">
        <f t="shared" si="90"/>
        <v>13.047210500554206</v>
      </c>
      <c r="X92" s="168">
        <f t="shared" si="90"/>
        <v>13.047210500554206</v>
      </c>
      <c r="Y92" s="168">
        <f t="shared" si="90"/>
        <v>13.047210500554206</v>
      </c>
      <c r="Z92" s="168">
        <f t="shared" si="90"/>
        <v>13.047210500554206</v>
      </c>
      <c r="AA92" s="168">
        <f t="shared" si="90"/>
        <v>13.047210500554206</v>
      </c>
      <c r="AB92" s="168">
        <f t="shared" si="90"/>
        <v>13.047210500554206</v>
      </c>
      <c r="AC92" s="168">
        <f t="shared" si="90"/>
        <v>13.047210500554206</v>
      </c>
      <c r="AD92" s="168">
        <f t="shared" si="90"/>
        <v>13.047210500554206</v>
      </c>
      <c r="AE92" s="168">
        <f t="shared" si="90"/>
        <v>13.047210500554206</v>
      </c>
      <c r="AF92" s="168">
        <f t="shared" si="90"/>
        <v>13.047210500554206</v>
      </c>
      <c r="AG92" s="168">
        <f t="shared" si="90"/>
        <v>13.047210500554206</v>
      </c>
      <c r="AH92" s="168">
        <f t="shared" si="90"/>
        <v>13.047210500554206</v>
      </c>
      <c r="AI92" s="168">
        <f t="shared" si="90"/>
        <v>13.047210500554206</v>
      </c>
      <c r="AJ92" s="168">
        <f t="shared" si="90"/>
        <v>13.047210500554206</v>
      </c>
      <c r="AK92" s="168">
        <f t="shared" si="90"/>
        <v>13.047210500554206</v>
      </c>
      <c r="AL92" s="168">
        <f t="shared" si="90"/>
        <v>13.047210500554206</v>
      </c>
      <c r="AM92" s="168">
        <f t="shared" si="90"/>
        <v>13.047210500554206</v>
      </c>
      <c r="AN92" s="168">
        <f t="shared" si="90"/>
        <v>13.047210500554206</v>
      </c>
      <c r="AO92" s="168">
        <f t="shared" si="90"/>
        <v>13.047210500554206</v>
      </c>
      <c r="AP92" s="168">
        <f t="shared" si="90"/>
        <v>13.047210500554206</v>
      </c>
      <c r="AQ92" s="168">
        <f t="shared" si="90"/>
        <v>13.047210500554206</v>
      </c>
      <c r="AR92" s="168">
        <f t="shared" si="90"/>
        <v>13.047210500554206</v>
      </c>
      <c r="AS92" s="168">
        <f t="shared" si="90"/>
        <v>13.047210500554206</v>
      </c>
      <c r="AT92" s="168">
        <f t="shared" si="90"/>
        <v>13.047210500554206</v>
      </c>
      <c r="AU92" s="168">
        <f t="shared" si="90"/>
        <v>13.047210500554206</v>
      </c>
      <c r="AV92" s="168">
        <f t="shared" si="90"/>
        <v>13.047210500554206</v>
      </c>
      <c r="AW92" s="168">
        <f t="shared" si="90"/>
        <v>13.047210500554206</v>
      </c>
      <c r="AX92" s="168">
        <f t="shared" si="90"/>
        <v>13.047210500554206</v>
      </c>
      <c r="AY92" s="168">
        <f t="shared" si="90"/>
        <v>13.047210500554206</v>
      </c>
      <c r="AZ92" s="168">
        <f t="shared" si="90"/>
        <v>13.047210500554206</v>
      </c>
      <c r="BA92" s="168">
        <f t="shared" si="90"/>
        <v>13.047210500554206</v>
      </c>
      <c r="BB92" s="168">
        <f t="shared" si="90"/>
        <v>13.047210500554206</v>
      </c>
      <c r="BC92" s="168">
        <f t="shared" si="90"/>
        <v>13.047210500554206</v>
      </c>
      <c r="BD92" s="168">
        <f t="shared" si="90"/>
        <v>13.047210500554206</v>
      </c>
      <c r="BE92" s="168">
        <f t="shared" si="90"/>
        <v>13.047210500554206</v>
      </c>
      <c r="BF92" s="168">
        <f t="shared" si="90"/>
        <v>13.047210500554206</v>
      </c>
      <c r="BG92" s="168">
        <f t="shared" si="90"/>
        <v>13.047210500554206</v>
      </c>
      <c r="BH92" s="168">
        <f t="shared" si="90"/>
        <v>13.047210500554206</v>
      </c>
      <c r="BI92" s="168">
        <f t="shared" si="90"/>
        <v>13.047210500554206</v>
      </c>
      <c r="BJ92" s="168">
        <f t="shared" si="90"/>
        <v>13.047210500554206</v>
      </c>
      <c r="BK92" s="168">
        <f t="shared" si="90"/>
        <v>13.047210500554206</v>
      </c>
      <c r="BL92" s="168">
        <f t="shared" si="90"/>
        <v>13.047210500554206</v>
      </c>
      <c r="BM92" s="168">
        <f t="shared" si="90"/>
        <v>13.047210500554206</v>
      </c>
      <c r="BN92" s="168">
        <f t="shared" si="90"/>
        <v>13.047210500554206</v>
      </c>
      <c r="BO92" s="168">
        <f t="shared" si="90"/>
        <v>13.047210500554206</v>
      </c>
      <c r="BP92" s="168">
        <f t="shared" si="90"/>
        <v>13.047210500554206</v>
      </c>
      <c r="BQ92" s="168">
        <f t="shared" si="90"/>
        <v>13.047210500554206</v>
      </c>
      <c r="BR92" s="168">
        <f t="shared" ref="BR92:DA92" si="91">((400*(BR59*BR86/100)^0.42)/(((BR59*BR86/100)^0.42)+27.13))+0.1</f>
        <v>13.047210500554206</v>
      </c>
      <c r="BS92" s="168">
        <f t="shared" si="91"/>
        <v>13.047210500554206</v>
      </c>
      <c r="BT92" s="168">
        <f t="shared" si="91"/>
        <v>13.047210500554206</v>
      </c>
      <c r="BU92" s="168">
        <f t="shared" si="91"/>
        <v>13.047210500554206</v>
      </c>
      <c r="BV92" s="168">
        <f t="shared" si="91"/>
        <v>13.047210500554206</v>
      </c>
      <c r="BW92" s="168">
        <f t="shared" si="91"/>
        <v>13.047210500554206</v>
      </c>
      <c r="BX92" s="168">
        <f t="shared" si="91"/>
        <v>13.047210500554206</v>
      </c>
      <c r="BY92" s="168">
        <f t="shared" si="91"/>
        <v>13.047210500554206</v>
      </c>
      <c r="BZ92" s="168">
        <f t="shared" si="91"/>
        <v>13.047210500554206</v>
      </c>
      <c r="CA92" s="168">
        <f t="shared" si="91"/>
        <v>13.047210500554206</v>
      </c>
      <c r="CB92" s="168">
        <f t="shared" si="91"/>
        <v>13.047210500554206</v>
      </c>
      <c r="CC92" s="168">
        <f t="shared" si="91"/>
        <v>13.047210500554206</v>
      </c>
      <c r="CD92" s="168">
        <f t="shared" si="91"/>
        <v>13.047210500554206</v>
      </c>
      <c r="CE92" s="168">
        <f t="shared" si="91"/>
        <v>13.047210500554206</v>
      </c>
      <c r="CF92" s="168">
        <f t="shared" si="91"/>
        <v>13.047210500554206</v>
      </c>
      <c r="CG92" s="168">
        <f t="shared" si="91"/>
        <v>13.047210500554206</v>
      </c>
      <c r="CH92" s="168">
        <f t="shared" si="91"/>
        <v>13.047210500554206</v>
      </c>
      <c r="CI92" s="168">
        <f t="shared" si="91"/>
        <v>13.047210500554206</v>
      </c>
      <c r="CJ92" s="168">
        <f t="shared" si="91"/>
        <v>13.047210500554206</v>
      </c>
      <c r="CK92" s="168">
        <f t="shared" si="91"/>
        <v>13.047210500554206</v>
      </c>
      <c r="CL92" s="168">
        <f t="shared" si="91"/>
        <v>13.047210500554206</v>
      </c>
      <c r="CM92" s="168">
        <f t="shared" si="91"/>
        <v>13.047210500554206</v>
      </c>
      <c r="CN92" s="168">
        <f t="shared" si="91"/>
        <v>13.047210500554206</v>
      </c>
      <c r="CO92" s="168">
        <f t="shared" si="91"/>
        <v>13.047210500554206</v>
      </c>
      <c r="CP92" s="168">
        <f t="shared" si="91"/>
        <v>13.047210500554206</v>
      </c>
      <c r="CQ92" s="168">
        <f t="shared" si="91"/>
        <v>13.047210500554206</v>
      </c>
      <c r="CR92" s="168">
        <f t="shared" si="91"/>
        <v>13.047210500554206</v>
      </c>
      <c r="CS92" s="168">
        <f t="shared" si="91"/>
        <v>13.047210500554206</v>
      </c>
      <c r="CT92" s="168">
        <f t="shared" si="91"/>
        <v>13.047210500554206</v>
      </c>
      <c r="CU92" s="168">
        <f t="shared" si="91"/>
        <v>13.047210500554206</v>
      </c>
      <c r="CV92" s="168">
        <f t="shared" si="91"/>
        <v>13.047210500554206</v>
      </c>
      <c r="CW92" s="168">
        <f t="shared" si="91"/>
        <v>13.047210500554206</v>
      </c>
      <c r="CX92" s="168">
        <f t="shared" si="91"/>
        <v>13.047210500554206</v>
      </c>
      <c r="CY92" s="168">
        <f t="shared" si="91"/>
        <v>13.047210500554206</v>
      </c>
      <c r="CZ92" s="168">
        <f t="shared" si="91"/>
        <v>13.047210500554206</v>
      </c>
      <c r="DA92" s="168">
        <f t="shared" si="91"/>
        <v>13.047210500554206</v>
      </c>
      <c r="DC92">
        <v>88</v>
      </c>
      <c r="DD92" s="114">
        <v>63.416711761944846</v>
      </c>
      <c r="DE92" s="114">
        <v>18.32010456532884</v>
      </c>
      <c r="DF92" s="114">
        <v>-14.599893417871408</v>
      </c>
      <c r="DG92" s="114">
        <v>61.535956793694645</v>
      </c>
      <c r="DH92" s="114">
        <v>15.884654174971946</v>
      </c>
      <c r="DI92" s="114">
        <v>-19.755497211044087</v>
      </c>
      <c r="DJ92" s="114">
        <v>6.004074310554782</v>
      </c>
      <c r="DK92" s="114">
        <f t="shared" si="67"/>
        <v>36.048908326663884</v>
      </c>
      <c r="DL92" s="114">
        <f t="shared" si="68"/>
        <v>5.6103173693738846</v>
      </c>
      <c r="DM92" s="114">
        <f t="shared" si="69"/>
        <v>321.44750699406211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10.800767186278412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39.303925811161236</v>
      </c>
      <c r="DE93" s="114">
        <v>17.958295966312075</v>
      </c>
      <c r="DF93" s="114">
        <v>-12.73870341188824</v>
      </c>
      <c r="DG93" s="114">
        <v>37.771723550449181</v>
      </c>
      <c r="DH93" s="114">
        <v>13.498718056760131</v>
      </c>
      <c r="DI93" s="114">
        <v>-17.383594357829235</v>
      </c>
      <c r="DJ93" s="114">
        <v>6.6189493727312536</v>
      </c>
      <c r="DK93" s="114">
        <f t="shared" si="67"/>
        <v>43.810490798779455</v>
      </c>
      <c r="DL93" s="114">
        <f t="shared" si="68"/>
        <v>5.6662122125496204</v>
      </c>
      <c r="DM93" s="114">
        <f t="shared" si="69"/>
        <v>324.65004560457737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10.876148685778604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0.4122451783743657</v>
      </c>
      <c r="H94" s="168">
        <f t="shared" si="94"/>
        <v>0.90629985143697733</v>
      </c>
      <c r="I94" s="168">
        <f t="shared" si="94"/>
        <v>0.28887147352470738</v>
      </c>
      <c r="J94" s="168">
        <f t="shared" si="94"/>
        <v>0.52446845253147545</v>
      </c>
      <c r="K94" s="168">
        <f t="shared" si="94"/>
        <v>0.98294582272275</v>
      </c>
      <c r="L94" s="168">
        <f t="shared" si="94"/>
        <v>0.41746721112504004</v>
      </c>
      <c r="M94" s="168">
        <f t="shared" si="94"/>
        <v>0.87090669900801743</v>
      </c>
      <c r="N94" s="168">
        <f t="shared" si="94"/>
        <v>0.78734823503351548</v>
      </c>
      <c r="O94" s="168">
        <f t="shared" si="94"/>
        <v>4.6785036668707258E-2</v>
      </c>
      <c r="P94" s="168">
        <f t="shared" si="94"/>
        <v>0.95704518660953553</v>
      </c>
      <c r="Q94" s="168">
        <f t="shared" si="94"/>
        <v>0.83306972092696352</v>
      </c>
      <c r="R94" s="168">
        <f t="shared" si="94"/>
        <v>0.94658788727265142</v>
      </c>
      <c r="S94" s="168">
        <f t="shared" si="94"/>
        <v>0.45469811660621834</v>
      </c>
      <c r="T94" s="168">
        <f t="shared" si="94"/>
        <v>0.14237395654845397</v>
      </c>
      <c r="U94" s="168">
        <f t="shared" si="94"/>
        <v>0.33041357935401994</v>
      </c>
      <c r="V94" s="168">
        <f t="shared" si="94"/>
        <v>0.44191780767238237</v>
      </c>
      <c r="W94" s="168">
        <f t="shared" si="94"/>
        <v>0.36643071154865259</v>
      </c>
      <c r="X94" s="168">
        <f t="shared" si="94"/>
        <v>0.29045933788807266</v>
      </c>
      <c r="Y94" s="168">
        <f t="shared" si="94"/>
        <v>0.3938121398410771</v>
      </c>
      <c r="Z94" s="168">
        <f t="shared" si="94"/>
        <v>0.61716164081072389</v>
      </c>
      <c r="AA94" s="168">
        <f t="shared" si="94"/>
        <v>0.44298524316887267</v>
      </c>
      <c r="AB94" s="168">
        <f t="shared" si="94"/>
        <v>0.47945209148732759</v>
      </c>
      <c r="AC94" s="168">
        <f t="shared" si="94"/>
        <v>9.5196561080543307E-2</v>
      </c>
      <c r="AD94" s="168">
        <f t="shared" si="94"/>
        <v>0.18665022548097465</v>
      </c>
      <c r="AE94" s="168">
        <f t="shared" si="94"/>
        <v>0.2372344080086945</v>
      </c>
      <c r="AF94" s="168">
        <f t="shared" si="94"/>
        <v>0.20715103136063062</v>
      </c>
      <c r="AG94" s="168">
        <f t="shared" si="94"/>
        <v>3.2949071709551081E-2</v>
      </c>
      <c r="AH94" s="168">
        <f t="shared" si="94"/>
        <v>3.3608846996267538E-3</v>
      </c>
      <c r="AI94" s="168">
        <f t="shared" si="94"/>
        <v>5.7900835940448925E-2</v>
      </c>
      <c r="AJ94" s="168">
        <f t="shared" si="94"/>
        <v>4.8051060211698582E-2</v>
      </c>
      <c r="AK94" s="168">
        <f t="shared" si="94"/>
        <v>1.0509055105212384E-2</v>
      </c>
      <c r="AL94" s="168">
        <f t="shared" si="94"/>
        <v>-2.0091250877639188E-2</v>
      </c>
      <c r="AM94" s="168">
        <f t="shared" si="94"/>
        <v>4.7257506228448598E-3</v>
      </c>
      <c r="AN94" s="168">
        <f t="shared" si="94"/>
        <v>-8.9535066608600944E-2</v>
      </c>
      <c r="AO94" s="168">
        <f t="shared" si="94"/>
        <v>-5.5798935025539509E-2</v>
      </c>
      <c r="AP94" s="168">
        <f t="shared" si="94"/>
        <v>1.1097455631393638E-3</v>
      </c>
      <c r="AQ94" s="168">
        <f t="shared" si="94"/>
        <v>-0.11374466177154202</v>
      </c>
      <c r="AR94" s="168">
        <f t="shared" si="94"/>
        <v>-6.5488437926563225E-2</v>
      </c>
      <c r="AS94" s="168">
        <f t="shared" si="94"/>
        <v>-3.0408058346707234E-2</v>
      </c>
      <c r="AT94" s="168">
        <f t="shared" si="94"/>
        <v>-7.9171905115744512E-2</v>
      </c>
      <c r="AU94" s="168">
        <f t="shared" si="94"/>
        <v>-6.3987431094545966E-2</v>
      </c>
      <c r="AV94" s="168">
        <f t="shared" si="94"/>
        <v>-0.4562998700194108</v>
      </c>
      <c r="AW94" s="168">
        <f t="shared" si="94"/>
        <v>-0.48469784150567219</v>
      </c>
      <c r="AX94" s="168">
        <f t="shared" si="94"/>
        <v>-8.7442291012480022E-3</v>
      </c>
      <c r="AY94" s="168">
        <f t="shared" si="94"/>
        <v>-0.42802617717877428</v>
      </c>
      <c r="AZ94" s="168">
        <f t="shared" si="94"/>
        <v>-0.32581040929784288</v>
      </c>
      <c r="BA94" s="168">
        <f t="shared" si="94"/>
        <v>-0.18289384200756864</v>
      </c>
      <c r="BB94" s="168">
        <f t="shared" si="94"/>
        <v>-0.47670932131234423</v>
      </c>
      <c r="BC94" s="168">
        <f t="shared" si="94"/>
        <v>-0.34784087117814211</v>
      </c>
      <c r="BD94" s="168">
        <f t="shared" si="94"/>
        <v>-0.34485354112944377</v>
      </c>
      <c r="BE94" s="168">
        <f t="shared" si="94"/>
        <v>-0.29135091198261398</v>
      </c>
      <c r="BF94" s="168">
        <f t="shared" si="94"/>
        <v>-0.39634653943042564</v>
      </c>
      <c r="BG94" s="168">
        <f t="shared" si="94"/>
        <v>-0.6839123932715665</v>
      </c>
      <c r="BH94" s="168">
        <f t="shared" si="94"/>
        <v>-0.30698822854652774</v>
      </c>
      <c r="BI94" s="168">
        <f t="shared" si="94"/>
        <v>-0.34553428382342621</v>
      </c>
      <c r="BJ94" s="168">
        <f t="shared" si="94"/>
        <v>-0.71293944809778909</v>
      </c>
      <c r="BK94" s="168">
        <f t="shared" si="94"/>
        <v>-0.74116799731074989</v>
      </c>
      <c r="BL94" s="168">
        <f t="shared" si="94"/>
        <v>-0.71810450512522417</v>
      </c>
      <c r="BM94" s="168">
        <f t="shared" si="94"/>
        <v>-0.29521635435298466</v>
      </c>
      <c r="BN94" s="168">
        <f t="shared" si="94"/>
        <v>-9.6146075679813148E-2</v>
      </c>
      <c r="BO94" s="168">
        <f t="shared" si="94"/>
        <v>-0.2493465457272328</v>
      </c>
      <c r="BP94" s="168">
        <f t="shared" si="94"/>
        <v>-7.8428439245762482E-2</v>
      </c>
      <c r="BQ94" s="168">
        <f t="shared" si="94"/>
        <v>-1.7987852579158525E-2</v>
      </c>
      <c r="BR94" s="168">
        <f t="shared" si="94"/>
        <v>-0.66354861556435929</v>
      </c>
      <c r="BS94" s="168">
        <f t="shared" ref="BS94:DA94" si="95">BS88-12*BS89/11+BS90/11</f>
        <v>-0.30498041010497923</v>
      </c>
      <c r="BT94" s="168">
        <f t="shared" si="95"/>
        <v>-0.52871695504472094</v>
      </c>
      <c r="BU94" s="168">
        <f t="shared" si="95"/>
        <v>-0.55429457822595019</v>
      </c>
      <c r="BV94" s="168">
        <f t="shared" si="95"/>
        <v>-0.31876017083067765</v>
      </c>
      <c r="BW94" s="168">
        <f t="shared" si="95"/>
        <v>-9.6924445206009291E-2</v>
      </c>
      <c r="BX94" s="168">
        <f t="shared" si="95"/>
        <v>-0.36515057323308353</v>
      </c>
      <c r="BY94" s="168">
        <f t="shared" si="95"/>
        <v>-0.24937369034826107</v>
      </c>
      <c r="BZ94" s="168">
        <f t="shared" si="95"/>
        <v>-8.5220646874728079E-2</v>
      </c>
      <c r="CA94" s="168">
        <f t="shared" si="95"/>
        <v>-0.46016891618218603</v>
      </c>
      <c r="CB94" s="168">
        <f t="shared" si="95"/>
        <v>-7.8322093462701026E-3</v>
      </c>
      <c r="CC94" s="168">
        <f t="shared" si="95"/>
        <v>-0.19250674061166695</v>
      </c>
      <c r="CD94" s="168">
        <f t="shared" si="95"/>
        <v>-0.28323787972084347</v>
      </c>
      <c r="CE94" s="168">
        <f t="shared" si="95"/>
        <v>-0.13127707335987426</v>
      </c>
      <c r="CF94" s="168">
        <f t="shared" si="95"/>
        <v>-0.2316771298410516</v>
      </c>
      <c r="CG94" s="168">
        <f t="shared" si="95"/>
        <v>-4.5600456706820336E-2</v>
      </c>
      <c r="CH94" s="168">
        <f t="shared" si="95"/>
        <v>3.7357358048655365E-2</v>
      </c>
      <c r="CI94" s="168">
        <f t="shared" si="95"/>
        <v>0.1192836965332833</v>
      </c>
      <c r="CJ94" s="168">
        <f t="shared" si="95"/>
        <v>2.3050602785065211E-2</v>
      </c>
      <c r="CK94" s="168">
        <f t="shared" si="95"/>
        <v>6.6530707224281116E-2</v>
      </c>
      <c r="CL94" s="168">
        <f t="shared" si="95"/>
        <v>5.6596124956158345E-2</v>
      </c>
      <c r="CM94" s="168">
        <f t="shared" si="95"/>
        <v>0.10965479188353011</v>
      </c>
      <c r="CN94" s="168">
        <f t="shared" si="95"/>
        <v>0.23324604652423264</v>
      </c>
      <c r="CO94" s="168">
        <f t="shared" si="95"/>
        <v>0.28727462137623061</v>
      </c>
      <c r="CP94" s="168">
        <f t="shared" si="95"/>
        <v>0.40600405315538102</v>
      </c>
      <c r="CQ94" s="168">
        <f t="shared" si="95"/>
        <v>0.35514654781730792</v>
      </c>
      <c r="CR94" s="168">
        <f t="shared" si="95"/>
        <v>0.43913099352173479</v>
      </c>
      <c r="CS94" s="168">
        <f t="shared" si="95"/>
        <v>6.2509386802268363E-2</v>
      </c>
      <c r="CT94" s="168">
        <f t="shared" si="95"/>
        <v>0.34557566352025215</v>
      </c>
      <c r="CU94" s="168">
        <f t="shared" si="95"/>
        <v>0.28554979469590902</v>
      </c>
      <c r="CV94" s="168">
        <f t="shared" si="95"/>
        <v>0.52177605570604113</v>
      </c>
      <c r="CW94" s="168">
        <f t="shared" si="95"/>
        <v>0.42380583221721235</v>
      </c>
      <c r="CX94" s="168">
        <f t="shared" si="95"/>
        <v>0.40399034653379029</v>
      </c>
      <c r="CY94" s="168">
        <f t="shared" si="95"/>
        <v>0.53773137050809006</v>
      </c>
      <c r="CZ94" s="168">
        <f t="shared" si="95"/>
        <v>0.84425988493814663</v>
      </c>
      <c r="DA94" s="168">
        <f t="shared" si="95"/>
        <v>0.91287523181224905</v>
      </c>
      <c r="DC94">
        <v>90</v>
      </c>
      <c r="DD94" s="114">
        <v>44.930090183819836</v>
      </c>
      <c r="DE94" s="114">
        <v>20.473429431015216</v>
      </c>
      <c r="DF94" s="114">
        <v>-12.95606736411488</v>
      </c>
      <c r="DG94" s="114">
        <v>43.589343089034671</v>
      </c>
      <c r="DH94" s="114">
        <v>17.327792230914341</v>
      </c>
      <c r="DI94" s="114">
        <v>-18.704207512107072</v>
      </c>
      <c r="DJ94" s="114">
        <v>6.6883294870836787</v>
      </c>
      <c r="DK94" s="114">
        <f t="shared" si="67"/>
        <v>44.733751327793023</v>
      </c>
      <c r="DL94" s="114">
        <f t="shared" si="68"/>
        <v>5.7189798719487435</v>
      </c>
      <c r="DM94" s="114">
        <f t="shared" si="69"/>
        <v>327.673409782931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10.949052349823821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4.3252436210941089E-2</v>
      </c>
      <c r="H95" s="168">
        <f t="shared" si="96"/>
        <v>0.14279516329595962</v>
      </c>
      <c r="I95" s="168">
        <f t="shared" si="96"/>
        <v>4.6074043388351721E-2</v>
      </c>
      <c r="J95" s="168">
        <f t="shared" si="96"/>
        <v>0.17415978539468666</v>
      </c>
      <c r="K95" s="168">
        <f t="shared" si="96"/>
        <v>0.28862698806917148</v>
      </c>
      <c r="L95" s="168">
        <f t="shared" si="96"/>
        <v>0.16327428815974837</v>
      </c>
      <c r="M95" s="168">
        <f t="shared" si="96"/>
        <v>0.29679284227428321</v>
      </c>
      <c r="N95" s="168">
        <f t="shared" si="96"/>
        <v>0.26399992174398768</v>
      </c>
      <c r="O95" s="168">
        <f t="shared" si="96"/>
        <v>8.3664303294339604E-3</v>
      </c>
      <c r="P95" s="168">
        <f t="shared" si="96"/>
        <v>0.59246525052188204</v>
      </c>
      <c r="Q95" s="168">
        <f t="shared" si="96"/>
        <v>0.57509569731048626</v>
      </c>
      <c r="R95" s="168">
        <f t="shared" si="96"/>
        <v>0.65966581945264258</v>
      </c>
      <c r="S95" s="168">
        <f t="shared" si="96"/>
        <v>0.34597728218122664</v>
      </c>
      <c r="T95" s="168">
        <f t="shared" si="96"/>
        <v>0.13040654053209186</v>
      </c>
      <c r="U95" s="168">
        <f t="shared" si="96"/>
        <v>0.26316895835603166</v>
      </c>
      <c r="V95" s="168">
        <f t="shared" si="96"/>
        <v>0.40343796220324946</v>
      </c>
      <c r="W95" s="168">
        <f t="shared" si="96"/>
        <v>0.4207538966302285</v>
      </c>
      <c r="X95" s="168">
        <f t="shared" si="96"/>
        <v>0.31896761538966717</v>
      </c>
      <c r="Y95" s="168">
        <f t="shared" si="96"/>
        <v>0.67624611730051143</v>
      </c>
      <c r="Z95" s="168">
        <f t="shared" si="96"/>
        <v>0.84079000942217375</v>
      </c>
      <c r="AA95" s="168">
        <f t="shared" si="96"/>
        <v>0.91151014059944024</v>
      </c>
      <c r="AB95" s="168">
        <f t="shared" si="96"/>
        <v>0.91362253002059224</v>
      </c>
      <c r="AC95" s="168">
        <f t="shared" si="96"/>
        <v>0.31125533581475412</v>
      </c>
      <c r="AD95" s="168">
        <f t="shared" si="96"/>
        <v>0.73543970111121437</v>
      </c>
      <c r="AE95" s="168">
        <f t="shared" si="96"/>
        <v>0.99324869934975024</v>
      </c>
      <c r="AF95" s="168">
        <f t="shared" si="96"/>
        <v>0.90656502027936703</v>
      </c>
      <c r="AG95" s="168">
        <f t="shared" si="96"/>
        <v>0.35600903420525931</v>
      </c>
      <c r="AH95" s="168">
        <f t="shared" si="96"/>
        <v>0.31504259643284632</v>
      </c>
      <c r="AI95" s="168">
        <f t="shared" si="96"/>
        <v>0.86707111318319163</v>
      </c>
      <c r="AJ95" s="168">
        <f t="shared" si="96"/>
        <v>0.39002406219742108</v>
      </c>
      <c r="AK95" s="168">
        <f t="shared" si="96"/>
        <v>0.86559020108358109</v>
      </c>
      <c r="AL95" s="168">
        <f t="shared" si="96"/>
        <v>0.91406343711734173</v>
      </c>
      <c r="AM95" s="168">
        <f t="shared" si="96"/>
        <v>0.51378637046252174</v>
      </c>
      <c r="AN95" s="168">
        <f t="shared" si="96"/>
        <v>0.73582489212446878</v>
      </c>
      <c r="AO95" s="168">
        <f t="shared" si="96"/>
        <v>0.30072876481596938</v>
      </c>
      <c r="AP95" s="168">
        <f t="shared" si="96"/>
        <v>0.14179801710105028</v>
      </c>
      <c r="AQ95" s="168">
        <f t="shared" si="96"/>
        <v>0.39760895888654008</v>
      </c>
      <c r="AR95" s="168">
        <f t="shared" si="96"/>
        <v>0.39211435781329324</v>
      </c>
      <c r="AS95" s="168">
        <f t="shared" si="96"/>
        <v>0.10821303886855618</v>
      </c>
      <c r="AT95" s="168">
        <f t="shared" si="96"/>
        <v>0.25242770303354173</v>
      </c>
      <c r="AU95" s="168">
        <f t="shared" si="96"/>
        <v>0.16746446690209005</v>
      </c>
      <c r="AV95" s="168">
        <f t="shared" si="96"/>
        <v>0.74060435205256636</v>
      </c>
      <c r="AW95" s="168">
        <f t="shared" si="96"/>
        <v>0.76958393069558895</v>
      </c>
      <c r="AX95" s="168">
        <f t="shared" si="96"/>
        <v>1.5171438366243351E-2</v>
      </c>
      <c r="AY95" s="168">
        <f t="shared" si="96"/>
        <v>0.45203652207223438</v>
      </c>
      <c r="AZ95" s="168">
        <f t="shared" si="96"/>
        <v>0.34274067462571484</v>
      </c>
      <c r="BA95" s="168">
        <f t="shared" si="96"/>
        <v>0.22001697900776504</v>
      </c>
      <c r="BB95" s="168">
        <f t="shared" si="96"/>
        <v>0.32230837402854423</v>
      </c>
      <c r="BC95" s="168">
        <f t="shared" si="96"/>
        <v>0.25153742874894075</v>
      </c>
      <c r="BD95" s="168">
        <f t="shared" si="96"/>
        <v>0.12835816780729895</v>
      </c>
      <c r="BE95" s="168">
        <f t="shared" si="96"/>
        <v>0.10166050889406561</v>
      </c>
      <c r="BF95" s="168">
        <f t="shared" si="96"/>
        <v>0.13264800647663871</v>
      </c>
      <c r="BG95" s="168">
        <f t="shared" si="96"/>
        <v>7.2289252796594317E-2</v>
      </c>
      <c r="BH95" s="168">
        <f t="shared" si="96"/>
        <v>-1.5471843825797372E-2</v>
      </c>
      <c r="BI95" s="168">
        <f t="shared" si="96"/>
        <v>-4.7064124250241375E-2</v>
      </c>
      <c r="BJ95" s="168">
        <f t="shared" si="96"/>
        <v>-9.49334437855648E-2</v>
      </c>
      <c r="BK95" s="168">
        <f t="shared" si="96"/>
        <v>-0.10217860671757033</v>
      </c>
      <c r="BL95" s="168">
        <f t="shared" si="96"/>
        <v>-0.14807938345038113</v>
      </c>
      <c r="BM95" s="168">
        <f t="shared" si="96"/>
        <v>-6.1919752966566932E-2</v>
      </c>
      <c r="BN95" s="168">
        <f t="shared" si="96"/>
        <v>-4.139457902784234E-2</v>
      </c>
      <c r="BO95" s="168">
        <f t="shared" si="96"/>
        <v>-9.7891081567369365E-2</v>
      </c>
      <c r="BP95" s="168">
        <f t="shared" si="96"/>
        <v>-5.7749768311450976E-2</v>
      </c>
      <c r="BQ95" s="168">
        <f t="shared" si="96"/>
        <v>-2.7364920004348252E-2</v>
      </c>
      <c r="BR95" s="168">
        <f t="shared" si="96"/>
        <v>-0.34638330045810128</v>
      </c>
      <c r="BS95" s="168">
        <f t="shared" ref="BS95:DA95" si="97">(1/9)*(BS88+BS89-2*BS90)</f>
        <v>-0.17589058018841364</v>
      </c>
      <c r="BT95" s="168">
        <f t="shared" si="97"/>
        <v>-0.3646954148183601</v>
      </c>
      <c r="BU95" s="168">
        <f t="shared" si="97"/>
        <v>-0.40835082177492188</v>
      </c>
      <c r="BV95" s="168">
        <f t="shared" si="97"/>
        <v>-0.28943385775956859</v>
      </c>
      <c r="BW95" s="168">
        <f t="shared" si="97"/>
        <v>-0.14948634146516462</v>
      </c>
      <c r="BX95" s="168">
        <f t="shared" si="97"/>
        <v>-0.45044104284035191</v>
      </c>
      <c r="BY95" s="168">
        <f t="shared" si="97"/>
        <v>-0.36999649027370846</v>
      </c>
      <c r="BZ95" s="168">
        <f t="shared" si="97"/>
        <v>-0.11829663096649412</v>
      </c>
      <c r="CA95" s="168">
        <f t="shared" si="97"/>
        <v>-0.60072423407002751</v>
      </c>
      <c r="CB95" s="168">
        <f t="shared" si="97"/>
        <v>-3.5134314951102946E-2</v>
      </c>
      <c r="CC95" s="168">
        <f t="shared" si="97"/>
        <v>-0.38789758529224527</v>
      </c>
      <c r="CD95" s="168">
        <f t="shared" si="97"/>
        <v>-0.7011048303686126</v>
      </c>
      <c r="CE95" s="168">
        <f t="shared" si="97"/>
        <v>-0.4234691051055201</v>
      </c>
      <c r="CF95" s="168">
        <f t="shared" si="97"/>
        <v>-0.66870291603392151</v>
      </c>
      <c r="CG95" s="168">
        <f t="shared" si="97"/>
        <v>-0.34934001136803594</v>
      </c>
      <c r="CH95" s="168">
        <f t="shared" si="97"/>
        <v>-0.42297372572432618</v>
      </c>
      <c r="CI95" s="168">
        <f t="shared" si="97"/>
        <v>-0.52430547244490655</v>
      </c>
      <c r="CJ95" s="168">
        <f t="shared" si="97"/>
        <v>-0.1402530434846759</v>
      </c>
      <c r="CK95" s="168">
        <f t="shared" si="97"/>
        <v>-0.26658596137588197</v>
      </c>
      <c r="CL95" s="168">
        <f t="shared" si="97"/>
        <v>-7.3377586515158702E-2</v>
      </c>
      <c r="CM95" s="168">
        <f t="shared" si="97"/>
        <v>-0.17540615643128613</v>
      </c>
      <c r="CN95" s="168">
        <f t="shared" si="97"/>
        <v>-0.40349287444146337</v>
      </c>
      <c r="CO95" s="168">
        <f t="shared" si="97"/>
        <v>-0.37592638291187203</v>
      </c>
      <c r="CP95" s="168">
        <f t="shared" si="97"/>
        <v>-0.32355797327218738</v>
      </c>
      <c r="CQ95" s="168">
        <f t="shared" si="97"/>
        <v>-0.25192293015369771</v>
      </c>
      <c r="CR95" s="168">
        <f t="shared" si="97"/>
        <v>-0.27789241430746275</v>
      </c>
      <c r="CS95" s="168">
        <f t="shared" si="97"/>
        <v>-2.5231463626601187E-2</v>
      </c>
      <c r="CT95" s="168">
        <f t="shared" si="97"/>
        <v>-0.14018959468371939</v>
      </c>
      <c r="CU95" s="168">
        <f t="shared" si="97"/>
        <v>-0.10626762624097491</v>
      </c>
      <c r="CV95" s="168">
        <f t="shared" si="97"/>
        <v>-0.12487781990056923</v>
      </c>
      <c r="CW95" s="168">
        <f t="shared" si="97"/>
        <v>-9.6529763131105673E-2</v>
      </c>
      <c r="CX95" s="168">
        <f t="shared" si="97"/>
        <v>-7.6184157168336791E-2</v>
      </c>
      <c r="CY95" s="168">
        <f t="shared" si="97"/>
        <v>-5.1458763158782811E-2</v>
      </c>
      <c r="CZ95" s="168">
        <f t="shared" si="97"/>
        <v>1.9938980367548115E-2</v>
      </c>
      <c r="DA95" s="168">
        <f t="shared" si="97"/>
        <v>2.3614704369073536E-2</v>
      </c>
      <c r="DC95">
        <v>91</v>
      </c>
      <c r="DD95" s="114">
        <v>80.925789896692919</v>
      </c>
      <c r="DE95" s="114">
        <v>4.0198976289620241</v>
      </c>
      <c r="DF95" s="114">
        <v>-1.6226027161113561</v>
      </c>
      <c r="DG95" s="114">
        <v>80.217741238100174</v>
      </c>
      <c r="DH95" s="114">
        <v>2.3981695648773202</v>
      </c>
      <c r="DI95" s="114">
        <v>0.34173182795898432</v>
      </c>
      <c r="DJ95" s="114">
        <v>2.6438504151715803</v>
      </c>
      <c r="DK95" s="114">
        <f t="shared" si="67"/>
        <v>6.9899450178029374</v>
      </c>
      <c r="DL95" s="114">
        <f t="shared" si="68"/>
        <v>5.8995425392506373</v>
      </c>
      <c r="DM95" s="114">
        <f t="shared" si="69"/>
        <v>338.01888855695438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11.019490726618717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5.989514155454807</v>
      </c>
      <c r="H96" s="168">
        <f t="shared" si="98"/>
        <v>8.9538242479024763</v>
      </c>
      <c r="I96" s="168">
        <f t="shared" si="98"/>
        <v>9.0621568983577934</v>
      </c>
      <c r="J96" s="168">
        <f t="shared" si="98"/>
        <v>18.369734214474637</v>
      </c>
      <c r="K96" s="168">
        <f t="shared" si="98"/>
        <v>16.364068533689718</v>
      </c>
      <c r="L96" s="168">
        <f t="shared" si="98"/>
        <v>21.360808675026799</v>
      </c>
      <c r="M96" s="168">
        <f t="shared" si="98"/>
        <v>18.818393378944233</v>
      </c>
      <c r="N96" s="168">
        <f t="shared" si="98"/>
        <v>18.536437109600072</v>
      </c>
      <c r="O96" s="168">
        <f t="shared" si="98"/>
        <v>10.1388647418218</v>
      </c>
      <c r="P96" s="168">
        <f t="shared" si="98"/>
        <v>31.759856907724625</v>
      </c>
      <c r="Q96" s="168">
        <f t="shared" si="98"/>
        <v>34.618607425790479</v>
      </c>
      <c r="R96" s="168">
        <f t="shared" si="98"/>
        <v>34.872180988996533</v>
      </c>
      <c r="S96" s="168">
        <f t="shared" si="98"/>
        <v>37.267305611301403</v>
      </c>
      <c r="T96" s="168">
        <f t="shared" si="98"/>
        <v>42.487932525003416</v>
      </c>
      <c r="U96" s="168">
        <f t="shared" si="98"/>
        <v>38.536742699186171</v>
      </c>
      <c r="V96" s="168">
        <f t="shared" si="98"/>
        <v>42.393745943897819</v>
      </c>
      <c r="W96" s="168">
        <f t="shared" si="98"/>
        <v>48.947692063231841</v>
      </c>
      <c r="X96" s="168">
        <f t="shared" si="98"/>
        <v>47.678276860508127</v>
      </c>
      <c r="Y96" s="168">
        <f t="shared" si="98"/>
        <v>59.785604020035514</v>
      </c>
      <c r="Z96" s="168">
        <f t="shared" si="98"/>
        <v>53.720366683390381</v>
      </c>
      <c r="AA96" s="168">
        <f t="shared" si="98"/>
        <v>64.080689720964429</v>
      </c>
      <c r="AB96" s="168">
        <f t="shared" si="98"/>
        <v>62.310347608580287</v>
      </c>
      <c r="AC96" s="168">
        <f t="shared" si="98"/>
        <v>72.993896849627944</v>
      </c>
      <c r="AD96" s="168">
        <f t="shared" si="98"/>
        <v>75.759343687865709</v>
      </c>
      <c r="AE96" s="168">
        <f t="shared" si="98"/>
        <v>76.566750641157952</v>
      </c>
      <c r="AF96" s="168">
        <f t="shared" si="98"/>
        <v>77.128832343846327</v>
      </c>
      <c r="AG96" s="168">
        <f t="shared" si="98"/>
        <v>84.712268926738503</v>
      </c>
      <c r="AH96" s="168">
        <f t="shared" si="98"/>
        <v>89.388789940344992</v>
      </c>
      <c r="AI96" s="168">
        <f t="shared" si="98"/>
        <v>86.179603378599296</v>
      </c>
      <c r="AJ96" s="168">
        <f t="shared" si="98"/>
        <v>82.976537941221622</v>
      </c>
      <c r="AK96" s="168">
        <f t="shared" si="98"/>
        <v>89.304411115879205</v>
      </c>
      <c r="AL96" s="168">
        <f t="shared" si="98"/>
        <v>91.25916703866092</v>
      </c>
      <c r="AM96" s="168">
        <f t="shared" si="98"/>
        <v>89.473014571857306</v>
      </c>
      <c r="AN96" s="168">
        <f t="shared" si="98"/>
        <v>96.937636804166971</v>
      </c>
      <c r="AO96" s="168">
        <f t="shared" si="98"/>
        <v>100.51144789698776</v>
      </c>
      <c r="AP96" s="168">
        <f t="shared" si="98"/>
        <v>89.551598532337664</v>
      </c>
      <c r="AQ96" s="168">
        <f t="shared" si="98"/>
        <v>105.96432570558213</v>
      </c>
      <c r="AR96" s="168">
        <f t="shared" si="98"/>
        <v>99.48166275105855</v>
      </c>
      <c r="AS96" s="168">
        <f t="shared" si="98"/>
        <v>105.69545841873135</v>
      </c>
      <c r="AT96" s="168">
        <f t="shared" si="98"/>
        <v>107.41361062081428</v>
      </c>
      <c r="AU96" s="168">
        <f t="shared" si="98"/>
        <v>110.91163525227938</v>
      </c>
      <c r="AV96" s="168">
        <f t="shared" si="98"/>
        <v>121.63798127610954</v>
      </c>
      <c r="AW96" s="168">
        <f t="shared" si="98"/>
        <v>122.20346369945693</v>
      </c>
      <c r="AX96" s="168">
        <f t="shared" si="98"/>
        <v>119.95748160372175</v>
      </c>
      <c r="AY96" s="168">
        <f t="shared" si="98"/>
        <v>133.43721333196373</v>
      </c>
      <c r="AZ96" s="168">
        <f t="shared" si="98"/>
        <v>133.54936220564815</v>
      </c>
      <c r="BA96" s="168">
        <f t="shared" si="98"/>
        <v>129.73578139526052</v>
      </c>
      <c r="BB96" s="168">
        <f t="shared" si="98"/>
        <v>145.93694521779346</v>
      </c>
      <c r="BC96" s="168">
        <f t="shared" si="98"/>
        <v>144.12782699795002</v>
      </c>
      <c r="BD96" s="168">
        <f t="shared" si="98"/>
        <v>159.58419646803796</v>
      </c>
      <c r="BE96" s="168">
        <f t="shared" si="98"/>
        <v>160.7646870333088</v>
      </c>
      <c r="BF96" s="168">
        <f t="shared" si="98"/>
        <v>161.49579970226546</v>
      </c>
      <c r="BG96" s="168">
        <f t="shared" si="98"/>
        <v>173.96626404604976</v>
      </c>
      <c r="BH96" s="168">
        <f t="shared" si="98"/>
        <v>182.88519836959259</v>
      </c>
      <c r="BI96" s="168">
        <f t="shared" si="98"/>
        <v>187.75634465739645</v>
      </c>
      <c r="BJ96" s="168">
        <f t="shared" si="98"/>
        <v>187.58476112829209</v>
      </c>
      <c r="BK96" s="168">
        <f t="shared" si="98"/>
        <v>187.84940929261094</v>
      </c>
      <c r="BL96" s="168">
        <f t="shared" si="98"/>
        <v>191.65156980902194</v>
      </c>
      <c r="BM96" s="168">
        <f t="shared" si="98"/>
        <v>191.84571048670958</v>
      </c>
      <c r="BN96" s="168">
        <f t="shared" si="98"/>
        <v>203.2937347504064</v>
      </c>
      <c r="BO96" s="168">
        <f t="shared" si="98"/>
        <v>201.43449954887194</v>
      </c>
      <c r="BP96" s="168">
        <f t="shared" si="98"/>
        <v>216.36559373324792</v>
      </c>
      <c r="BQ96" s="168">
        <f t="shared" si="98"/>
        <v>236.68177926548103</v>
      </c>
      <c r="BR96" s="168">
        <f t="shared" si="98"/>
        <v>207.56530014531253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209.97322994034954</v>
      </c>
      <c r="BT96" s="168">
        <f t="shared" si="99"/>
        <v>214.59691740524056</v>
      </c>
      <c r="BU96" s="168">
        <f t="shared" si="99"/>
        <v>216.37920889266735</v>
      </c>
      <c r="BV96" s="168">
        <f t="shared" si="99"/>
        <v>222.23941132757506</v>
      </c>
      <c r="BW96" s="168">
        <f t="shared" si="99"/>
        <v>237.0412989558377</v>
      </c>
      <c r="BX96" s="168">
        <f t="shared" si="99"/>
        <v>230.97000507706753</v>
      </c>
      <c r="BY96" s="168">
        <f t="shared" si="99"/>
        <v>236.02044987910836</v>
      </c>
      <c r="BZ96" s="168">
        <f t="shared" si="99"/>
        <v>234.23110034635135</v>
      </c>
      <c r="CA96" s="168">
        <f t="shared" si="99"/>
        <v>232.54703449223666</v>
      </c>
      <c r="CB96" s="168">
        <f t="shared" si="99"/>
        <v>257.43299418156374</v>
      </c>
      <c r="CC96" s="168">
        <f t="shared" si="99"/>
        <v>243.60560479318349</v>
      </c>
      <c r="CD96" s="168">
        <f t="shared" si="99"/>
        <v>248.00188696525657</v>
      </c>
      <c r="CE96" s="168">
        <f t="shared" si="99"/>
        <v>252.77636003959512</v>
      </c>
      <c r="CF96" s="168">
        <f t="shared" si="99"/>
        <v>250.89097381004473</v>
      </c>
      <c r="CG96" s="168">
        <f t="shared" si="99"/>
        <v>262.56304960340879</v>
      </c>
      <c r="CH96" s="168">
        <f t="shared" si="99"/>
        <v>275.04730965212684</v>
      </c>
      <c r="CI96" s="168">
        <f t="shared" si="99"/>
        <v>282.81708419713254</v>
      </c>
      <c r="CJ96" s="168">
        <f t="shared" si="99"/>
        <v>279.33313210872939</v>
      </c>
      <c r="CK96" s="168">
        <f t="shared" si="99"/>
        <v>284.01282027879574</v>
      </c>
      <c r="CL96" s="168">
        <f t="shared" si="99"/>
        <v>307.64299840714568</v>
      </c>
      <c r="CM96" s="168">
        <f t="shared" si="99"/>
        <v>302.01147686136994</v>
      </c>
      <c r="CN96" s="168">
        <f t="shared" si="99"/>
        <v>300.03080362992483</v>
      </c>
      <c r="CO96" s="168">
        <f t="shared" si="99"/>
        <v>307.38626195325412</v>
      </c>
      <c r="CP96" s="168">
        <f t="shared" si="99"/>
        <v>321.44750699406217</v>
      </c>
      <c r="CQ96" s="168">
        <f t="shared" si="99"/>
        <v>324.65004560457737</v>
      </c>
      <c r="CR96" s="168">
        <f t="shared" si="99"/>
        <v>327.673409782931</v>
      </c>
      <c r="CS96" s="168">
        <f t="shared" si="99"/>
        <v>338.01888855695438</v>
      </c>
      <c r="CT96" s="168">
        <f t="shared" si="99"/>
        <v>337.91909346879436</v>
      </c>
      <c r="CU96" s="168">
        <f t="shared" si="99"/>
        <v>339.58720209787003</v>
      </c>
      <c r="CV96" s="168">
        <f t="shared" si="99"/>
        <v>346.54044956067617</v>
      </c>
      <c r="CW96" s="168">
        <f t="shared" si="99"/>
        <v>347.16870775293177</v>
      </c>
      <c r="CX96" s="168">
        <f t="shared" si="99"/>
        <v>349.32062545174199</v>
      </c>
      <c r="CY96" s="168">
        <f t="shared" si="99"/>
        <v>354.53366659833245</v>
      </c>
      <c r="CZ96" s="168">
        <f t="shared" si="99"/>
        <v>1.3529093501021456</v>
      </c>
      <c r="DA96" s="168">
        <f t="shared" si="99"/>
        <v>1.4818248584549221</v>
      </c>
      <c r="DC96">
        <v>92</v>
      </c>
      <c r="DD96" s="114">
        <v>57.539133170356337</v>
      </c>
      <c r="DE96" s="114">
        <v>16.90894110576669</v>
      </c>
      <c r="DF96" s="114">
        <v>-6.8594459922360791</v>
      </c>
      <c r="DG96" s="114">
        <v>54.331393241897537</v>
      </c>
      <c r="DH96" s="114">
        <v>11.554061588416904</v>
      </c>
      <c r="DI96" s="114">
        <v>-11.283627787199958</v>
      </c>
      <c r="DJ96" s="114">
        <v>7.6509943568696324</v>
      </c>
      <c r="DK96" s="114">
        <f t="shared" si="67"/>
        <v>58.537714648850958</v>
      </c>
      <c r="DL96" s="114">
        <f t="shared" si="68"/>
        <v>5.897800786384928</v>
      </c>
      <c r="DM96" s="114">
        <f t="shared" si="69"/>
        <v>337.91909346879436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11.087477932888135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389.89668789986422</v>
      </c>
      <c r="H97" s="168">
        <f t="shared" si="100"/>
        <v>391.93396869389022</v>
      </c>
      <c r="I97" s="168">
        <f t="shared" si="100"/>
        <v>392.00918810121101</v>
      </c>
      <c r="J97" s="168">
        <f t="shared" si="100"/>
        <v>398.68199234181441</v>
      </c>
      <c r="K97" s="168">
        <f t="shared" si="100"/>
        <v>397.20806714332429</v>
      </c>
      <c r="L97" s="168">
        <f t="shared" si="100"/>
        <v>1.5324163679403338</v>
      </c>
      <c r="M97" s="168">
        <f t="shared" si="100"/>
        <v>399.01450306145296</v>
      </c>
      <c r="N97" s="168">
        <f t="shared" si="100"/>
        <v>398.80541895140385</v>
      </c>
      <c r="O97" s="168">
        <f t="shared" si="100"/>
        <v>392.7597623669671</v>
      </c>
      <c r="P97" s="168">
        <f t="shared" si="100"/>
        <v>14.862949436527398</v>
      </c>
      <c r="Q97" s="168">
        <f t="shared" si="100"/>
        <v>18.616824527449733</v>
      </c>
      <c r="R97" s="168">
        <f t="shared" si="100"/>
        <v>18.951700865108197</v>
      </c>
      <c r="S97" s="168">
        <f t="shared" si="100"/>
        <v>22.130234057145248</v>
      </c>
      <c r="T97" s="168">
        <f t="shared" si="100"/>
        <v>29.15678990283542</v>
      </c>
      <c r="U97" s="168">
        <f t="shared" si="100"/>
        <v>23.826306764324126</v>
      </c>
      <c r="V97" s="168">
        <f t="shared" si="100"/>
        <v>29.028811100807403</v>
      </c>
      <c r="W97" s="168">
        <f t="shared" si="100"/>
        <v>38.042705008969826</v>
      </c>
      <c r="X97" s="168">
        <f t="shared" si="100"/>
        <v>36.279465667511673</v>
      </c>
      <c r="Y97" s="168">
        <f t="shared" si="100"/>
        <v>53.447774317123077</v>
      </c>
      <c r="Z97" s="168">
        <f t="shared" si="100"/>
        <v>44.748283051257197</v>
      </c>
      <c r="AA97" s="168">
        <f t="shared" si="100"/>
        <v>59.732248423620398</v>
      </c>
      <c r="AB97" s="168">
        <f t="shared" si="100"/>
        <v>57.129266289851842</v>
      </c>
      <c r="AC97" s="168">
        <f t="shared" si="100"/>
        <v>73.114267355779504</v>
      </c>
      <c r="AD97" s="168">
        <f t="shared" si="100"/>
        <v>77.362575621962549</v>
      </c>
      <c r="AE97" s="168">
        <f t="shared" si="100"/>
        <v>78.611742483928822</v>
      </c>
      <c r="AF97" s="168">
        <f t="shared" si="100"/>
        <v>79.483731158270984</v>
      </c>
      <c r="AG97" s="168">
        <f t="shared" si="100"/>
        <v>91.442203727171247</v>
      </c>
      <c r="AH97" s="168">
        <f t="shared" si="100"/>
        <v>99.001354411896173</v>
      </c>
      <c r="AI97" s="168">
        <f t="shared" si="100"/>
        <v>93.798565787072803</v>
      </c>
      <c r="AJ97" s="168">
        <f t="shared" si="100"/>
        <v>88.672827933861768</v>
      </c>
      <c r="AK97" s="168">
        <f t="shared" si="100"/>
        <v>98.863685126780155</v>
      </c>
      <c r="AL97" s="168">
        <f t="shared" si="100"/>
        <v>102.40515930104303</v>
      </c>
      <c r="AM97" s="168">
        <f t="shared" si="100"/>
        <v>99.138819449280348</v>
      </c>
      <c r="AN97" s="168">
        <f t="shared" si="100"/>
        <v>112.83409695806338</v>
      </c>
      <c r="AO97" s="168">
        <f t="shared" si="100"/>
        <v>119.06719829301052</v>
      </c>
      <c r="AP97" s="168">
        <f t="shared" si="100"/>
        <v>99.267120874290868</v>
      </c>
      <c r="AQ97" s="168">
        <f t="shared" si="100"/>
        <v>128.12388481695029</v>
      </c>
      <c r="AR97" s="168">
        <f t="shared" si="100"/>
        <v>117.29615000909054</v>
      </c>
      <c r="AS97" s="168">
        <f t="shared" si="100"/>
        <v>127.68957516468036</v>
      </c>
      <c r="AT97" s="168">
        <f t="shared" si="100"/>
        <v>130.4438631719224</v>
      </c>
      <c r="AU97" s="168">
        <f t="shared" si="100"/>
        <v>135.90073329901716</v>
      </c>
      <c r="AV97" s="168">
        <f t="shared" si="100"/>
        <v>151.47199798162524</v>
      </c>
      <c r="AW97" s="168">
        <f t="shared" si="100"/>
        <v>152.24778257095576</v>
      </c>
      <c r="AX97" s="168">
        <f t="shared" si="100"/>
        <v>149.14104107994461</v>
      </c>
      <c r="AY97" s="168">
        <f t="shared" si="100"/>
        <v>166.82014544380482</v>
      </c>
      <c r="AZ97" s="168">
        <f t="shared" si="100"/>
        <v>166.95801095014104</v>
      </c>
      <c r="BA97" s="168">
        <f t="shared" si="100"/>
        <v>162.18847276244321</v>
      </c>
      <c r="BB97" s="168">
        <f t="shared" si="100"/>
        <v>181.35563039252708</v>
      </c>
      <c r="BC97" s="168">
        <f t="shared" si="100"/>
        <v>179.35078471604595</v>
      </c>
      <c r="BD97" s="168">
        <f t="shared" si="100"/>
        <v>195.51674555467957</v>
      </c>
      <c r="BE97" s="168">
        <f t="shared" si="100"/>
        <v>196.66725104904469</v>
      </c>
      <c r="BF97" s="168">
        <f t="shared" si="100"/>
        <v>197.37422772149779</v>
      </c>
      <c r="BG97" s="168">
        <f t="shared" si="100"/>
        <v>215.49988390535563</v>
      </c>
      <c r="BH97" s="168">
        <f t="shared" si="100"/>
        <v>229.03921269821902</v>
      </c>
      <c r="BI97" s="168">
        <f t="shared" si="100"/>
        <v>236.1722936486982</v>
      </c>
      <c r="BJ97" s="168">
        <f t="shared" si="100"/>
        <v>235.92406444947946</v>
      </c>
      <c r="BK97" s="168">
        <f t="shared" si="100"/>
        <v>236.30683851867784</v>
      </c>
      <c r="BL97" s="168">
        <f t="shared" si="100"/>
        <v>241.74930509643821</v>
      </c>
      <c r="BM97" s="168">
        <f t="shared" si="100"/>
        <v>242.02438212226238</v>
      </c>
      <c r="BN97" s="168">
        <f t="shared" si="100"/>
        <v>257.77926464855886</v>
      </c>
      <c r="BO97" s="168">
        <f t="shared" si="100"/>
        <v>255.28135930458711</v>
      </c>
      <c r="BP97" s="168">
        <f t="shared" si="100"/>
        <v>274.71491315537241</v>
      </c>
      <c r="BQ97" s="168">
        <f t="shared" si="100"/>
        <v>299.03354682295486</v>
      </c>
      <c r="BR97" s="168">
        <f t="shared" si="100"/>
        <v>263.43229085652894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266.5673176641377</v>
      </c>
      <c r="BT97" s="168">
        <f t="shared" si="101"/>
        <v>272.48560020845991</v>
      </c>
      <c r="BU97" s="168">
        <f t="shared" si="101"/>
        <v>274.73200118661634</v>
      </c>
      <c r="BV97" s="168">
        <f t="shared" si="101"/>
        <v>281.98519064767316</v>
      </c>
      <c r="BW97" s="168">
        <f t="shared" si="101"/>
        <v>299.44363533006668</v>
      </c>
      <c r="BX97" s="168">
        <f t="shared" si="101"/>
        <v>292.42704695461339</v>
      </c>
      <c r="BY97" s="168">
        <f t="shared" si="101"/>
        <v>298.27743961133376</v>
      </c>
      <c r="BZ97" s="168">
        <f t="shared" si="101"/>
        <v>296.2201620887908</v>
      </c>
      <c r="CA97" s="168">
        <f t="shared" si="101"/>
        <v>294.26846158085266</v>
      </c>
      <c r="CB97" s="168">
        <f t="shared" si="101"/>
        <v>310.44463740185779</v>
      </c>
      <c r="CC97" s="168">
        <f t="shared" si="101"/>
        <v>303.08365666375335</v>
      </c>
      <c r="CD97" s="168">
        <f t="shared" si="101"/>
        <v>305.37104536074639</v>
      </c>
      <c r="CE97" s="168">
        <f t="shared" si="101"/>
        <v>307.91050570248217</v>
      </c>
      <c r="CF97" s="168">
        <f t="shared" si="101"/>
        <v>306.90070069257314</v>
      </c>
      <c r="CG97" s="168">
        <f t="shared" si="101"/>
        <v>313.30433789440752</v>
      </c>
      <c r="CH97" s="168">
        <f t="shared" si="101"/>
        <v>320.57812178130803</v>
      </c>
      <c r="CI97" s="168">
        <f t="shared" si="101"/>
        <v>325.34514028285264</v>
      </c>
      <c r="CJ97" s="168">
        <f t="shared" si="101"/>
        <v>323.18384916324811</v>
      </c>
      <c r="CK97" s="168">
        <f t="shared" si="101"/>
        <v>326.09603983586049</v>
      </c>
      <c r="CL97" s="168">
        <f t="shared" si="101"/>
        <v>341.96696180805259</v>
      </c>
      <c r="CM97" s="168">
        <f t="shared" si="101"/>
        <v>337.99694389315647</v>
      </c>
      <c r="CN97" s="168">
        <f t="shared" si="101"/>
        <v>336.62978398174596</v>
      </c>
      <c r="CO97" s="168">
        <f t="shared" si="101"/>
        <v>341.78324984564341</v>
      </c>
      <c r="CP97" s="168">
        <f t="shared" si="101"/>
        <v>352.24959462759557</v>
      </c>
      <c r="CQ97" s="168">
        <f t="shared" si="101"/>
        <v>354.75437404617958</v>
      </c>
      <c r="CR97" s="168">
        <f t="shared" si="101"/>
        <v>357.16269252638966</v>
      </c>
      <c r="CS97" s="168">
        <f t="shared" si="101"/>
        <v>365.74077236636589</v>
      </c>
      <c r="CT97" s="168">
        <f t="shared" si="101"/>
        <v>365.65543208071563</v>
      </c>
      <c r="CU97" s="168">
        <f t="shared" si="101"/>
        <v>367.08880398415437</v>
      </c>
      <c r="CV97" s="168">
        <f t="shared" si="101"/>
        <v>373.22546479529007</v>
      </c>
      <c r="CW97" s="168">
        <f t="shared" si="101"/>
        <v>373.79317735759622</v>
      </c>
      <c r="CX97" s="168">
        <f t="shared" si="101"/>
        <v>375.75485239445669</v>
      </c>
      <c r="CY97" s="168">
        <f t="shared" si="101"/>
        <v>380.61985169096636</v>
      </c>
      <c r="CZ97" s="168">
        <f t="shared" si="101"/>
        <v>386.78911378113884</v>
      </c>
      <c r="DA97" s="168">
        <f t="shared" si="101"/>
        <v>386.87424508558024</v>
      </c>
      <c r="DC97">
        <v>93</v>
      </c>
      <c r="DD97" s="114">
        <v>68.324662397120932</v>
      </c>
      <c r="DE97" s="114">
        <v>14.23891615587713</v>
      </c>
      <c r="DF97" s="114">
        <v>-5.2990261181616871</v>
      </c>
      <c r="DG97" s="114">
        <v>66.665854417745635</v>
      </c>
      <c r="DH97" s="114">
        <v>10.200066319856068</v>
      </c>
      <c r="DI97" s="114">
        <v>-7.8273498878697012</v>
      </c>
      <c r="DJ97" s="114">
        <v>5.0454309027908657</v>
      </c>
      <c r="DK97" s="114">
        <f t="shared" si="67"/>
        <v>25.45637299483705</v>
      </c>
      <c r="DL97" s="114">
        <f t="shared" si="68"/>
        <v>5.9269147742432278</v>
      </c>
      <c r="DM97" s="114">
        <f t="shared" si="69"/>
        <v>339.58720209787003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11.153029570425463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89.896687899864219</v>
      </c>
      <c r="H98" s="168">
        <f t="shared" si="102"/>
        <v>91.933968693890222</v>
      </c>
      <c r="I98" s="168">
        <f t="shared" si="102"/>
        <v>92.009188101211009</v>
      </c>
      <c r="J98" s="168">
        <f t="shared" si="102"/>
        <v>98.681992341814407</v>
      </c>
      <c r="K98" s="168">
        <f t="shared" si="102"/>
        <v>97.208067143324286</v>
      </c>
      <c r="L98" s="168">
        <f t="shared" si="102"/>
        <v>98.467583632059672</v>
      </c>
      <c r="M98" s="168">
        <f t="shared" si="102"/>
        <v>99.014503061452956</v>
      </c>
      <c r="N98" s="168">
        <f t="shared" si="102"/>
        <v>98.805418951403851</v>
      </c>
      <c r="O98" s="168">
        <f t="shared" si="102"/>
        <v>92.759762366967095</v>
      </c>
      <c r="P98" s="168">
        <f t="shared" si="102"/>
        <v>85.137050563472599</v>
      </c>
      <c r="Q98" s="168">
        <f t="shared" si="102"/>
        <v>81.383175472550263</v>
      </c>
      <c r="R98" s="168">
        <f t="shared" si="102"/>
        <v>81.048299134891806</v>
      </c>
      <c r="S98" s="168">
        <f t="shared" si="102"/>
        <v>77.869765942854755</v>
      </c>
      <c r="T98" s="168">
        <f t="shared" si="102"/>
        <v>70.843210097164587</v>
      </c>
      <c r="U98" s="168">
        <f t="shared" si="102"/>
        <v>76.17369323567587</v>
      </c>
      <c r="V98" s="168">
        <f t="shared" si="102"/>
        <v>70.971188899192597</v>
      </c>
      <c r="W98" s="168">
        <f t="shared" si="102"/>
        <v>61.957294991030174</v>
      </c>
      <c r="X98" s="168">
        <f t="shared" si="102"/>
        <v>63.720534332488327</v>
      </c>
      <c r="Y98" s="168">
        <f t="shared" si="102"/>
        <v>46.552225682876923</v>
      </c>
      <c r="Z98" s="168">
        <f t="shared" si="102"/>
        <v>55.251716948742803</v>
      </c>
      <c r="AA98" s="168">
        <f t="shared" si="102"/>
        <v>40.267751576379602</v>
      </c>
      <c r="AB98" s="168">
        <f t="shared" si="102"/>
        <v>42.870733710148158</v>
      </c>
      <c r="AC98" s="168">
        <f t="shared" si="102"/>
        <v>26.885732644220496</v>
      </c>
      <c r="AD98" s="168">
        <f t="shared" si="102"/>
        <v>22.637424378037451</v>
      </c>
      <c r="AE98" s="168">
        <f t="shared" si="102"/>
        <v>21.388257516071178</v>
      </c>
      <c r="AF98" s="168">
        <f t="shared" si="102"/>
        <v>20.516268841729016</v>
      </c>
      <c r="AG98" s="168">
        <f t="shared" si="102"/>
        <v>8.5577962728287531</v>
      </c>
      <c r="AH98" s="168">
        <f t="shared" si="102"/>
        <v>0.99864558810382675</v>
      </c>
      <c r="AI98" s="168">
        <f t="shared" si="102"/>
        <v>6.2014342129271967</v>
      </c>
      <c r="AJ98" s="168">
        <f t="shared" si="102"/>
        <v>11.327172066138232</v>
      </c>
      <c r="AK98" s="168">
        <f t="shared" si="102"/>
        <v>1.1363148732198454</v>
      </c>
      <c r="AL98" s="168">
        <f t="shared" si="102"/>
        <v>0</v>
      </c>
      <c r="AM98" s="168">
        <f t="shared" si="102"/>
        <v>0.86118055071965216</v>
      </c>
      <c r="AN98" s="168">
        <f t="shared" si="102"/>
        <v>0</v>
      </c>
      <c r="AO98" s="168">
        <f t="shared" si="102"/>
        <v>0</v>
      </c>
      <c r="AP98" s="168">
        <f t="shared" si="102"/>
        <v>0.7328791257091325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10.44463740185779</v>
      </c>
      <c r="CC98" s="168">
        <f t="shared" si="103"/>
        <v>3.0836566637533451</v>
      </c>
      <c r="CD98" s="168">
        <f t="shared" si="103"/>
        <v>5.3710453607463933</v>
      </c>
      <c r="CE98" s="168">
        <f t="shared" si="103"/>
        <v>7.910505702482169</v>
      </c>
      <c r="CF98" s="168">
        <f t="shared" si="103"/>
        <v>6.9007006925731389</v>
      </c>
      <c r="CG98" s="168">
        <f t="shared" si="103"/>
        <v>13.304337894407524</v>
      </c>
      <c r="CH98" s="168">
        <f t="shared" si="103"/>
        <v>20.578121781308027</v>
      </c>
      <c r="CI98" s="168">
        <f t="shared" si="103"/>
        <v>25.34514028285264</v>
      </c>
      <c r="CJ98" s="168">
        <f t="shared" si="103"/>
        <v>23.183849163248112</v>
      </c>
      <c r="CK98" s="168">
        <f t="shared" si="103"/>
        <v>26.096039835860495</v>
      </c>
      <c r="CL98" s="168">
        <f t="shared" si="103"/>
        <v>41.966961808052588</v>
      </c>
      <c r="CM98" s="168">
        <f t="shared" si="103"/>
        <v>37.99694389315647</v>
      </c>
      <c r="CN98" s="168">
        <f t="shared" si="103"/>
        <v>36.629783981745959</v>
      </c>
      <c r="CO98" s="168">
        <f t="shared" si="103"/>
        <v>41.783249845643411</v>
      </c>
      <c r="CP98" s="168">
        <f t="shared" si="103"/>
        <v>52.24959462759557</v>
      </c>
      <c r="CQ98" s="168">
        <f t="shared" si="103"/>
        <v>54.754374046179578</v>
      </c>
      <c r="CR98" s="168">
        <f t="shared" si="103"/>
        <v>57.162692526389662</v>
      </c>
      <c r="CS98" s="168">
        <f t="shared" si="103"/>
        <v>65.740772366365889</v>
      </c>
      <c r="CT98" s="168">
        <f t="shared" si="103"/>
        <v>65.655432080715627</v>
      </c>
      <c r="CU98" s="168">
        <f t="shared" si="103"/>
        <v>67.088803984154367</v>
      </c>
      <c r="CV98" s="168">
        <f t="shared" si="103"/>
        <v>73.225464795290065</v>
      </c>
      <c r="CW98" s="168">
        <f t="shared" si="103"/>
        <v>73.793177357596221</v>
      </c>
      <c r="CX98" s="168">
        <f t="shared" si="103"/>
        <v>75.754852394456691</v>
      </c>
      <c r="CY98" s="168">
        <f t="shared" si="103"/>
        <v>80.619851690966357</v>
      </c>
      <c r="CZ98" s="168">
        <f t="shared" si="103"/>
        <v>86.789113781138838</v>
      </c>
      <c r="DA98" s="168">
        <f t="shared" si="103"/>
        <v>86.874245085580242</v>
      </c>
      <c r="DC98">
        <v>94</v>
      </c>
      <c r="DD98" s="114">
        <v>40.933290974248777</v>
      </c>
      <c r="DE98" s="114">
        <v>23.663587200388545</v>
      </c>
      <c r="DF98" s="114">
        <v>-5.6634587737317785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10.441650382720399</v>
      </c>
      <c r="DK98" s="114">
        <f t="shared" si="67"/>
        <v>109.02806271496505</v>
      </c>
      <c r="DL98" s="114">
        <f t="shared" si="68"/>
        <v>6.048271836175136</v>
      </c>
      <c r="DM98" s="114">
        <f t="shared" si="69"/>
        <v>346.54044956067617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11.216162644674728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1.5324163679403338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14.862949436527398</v>
      </c>
      <c r="Q99" s="168">
        <f t="shared" si="104"/>
        <v>18.616824527449733</v>
      </c>
      <c r="R99" s="168">
        <f t="shared" si="104"/>
        <v>18.951700865108197</v>
      </c>
      <c r="S99" s="168">
        <f t="shared" si="104"/>
        <v>22.130234057145248</v>
      </c>
      <c r="T99" s="168">
        <f t="shared" si="104"/>
        <v>29.15678990283542</v>
      </c>
      <c r="U99" s="168">
        <f t="shared" si="104"/>
        <v>23.826306764324126</v>
      </c>
      <c r="V99" s="168">
        <f t="shared" si="104"/>
        <v>29.028811100807403</v>
      </c>
      <c r="W99" s="168">
        <f t="shared" si="104"/>
        <v>38.042705008969826</v>
      </c>
      <c r="X99" s="168">
        <f t="shared" si="104"/>
        <v>36.279465667511673</v>
      </c>
      <c r="Y99" s="168">
        <f t="shared" si="104"/>
        <v>53.447774317123077</v>
      </c>
      <c r="Z99" s="168">
        <f t="shared" si="104"/>
        <v>44.748283051257197</v>
      </c>
      <c r="AA99" s="168">
        <f t="shared" si="104"/>
        <v>59.732248423620398</v>
      </c>
      <c r="AB99" s="168">
        <f t="shared" si="104"/>
        <v>57.129266289851842</v>
      </c>
      <c r="AC99" s="168">
        <f t="shared" si="104"/>
        <v>73.114267355779504</v>
      </c>
      <c r="AD99" s="168">
        <f t="shared" si="104"/>
        <v>77.362575621962549</v>
      </c>
      <c r="AE99" s="168">
        <f t="shared" si="104"/>
        <v>78.611742483928822</v>
      </c>
      <c r="AF99" s="168">
        <f t="shared" si="104"/>
        <v>79.483731158270984</v>
      </c>
      <c r="AG99" s="168">
        <f t="shared" si="104"/>
        <v>91.442203727171247</v>
      </c>
      <c r="AH99" s="168">
        <f t="shared" si="104"/>
        <v>99.001354411896173</v>
      </c>
      <c r="AI99" s="168">
        <f t="shared" si="104"/>
        <v>93.798565787072803</v>
      </c>
      <c r="AJ99" s="168">
        <f t="shared" si="104"/>
        <v>88.672827933861768</v>
      </c>
      <c r="AK99" s="168">
        <f t="shared" si="104"/>
        <v>98.863685126780155</v>
      </c>
      <c r="AL99" s="168">
        <f t="shared" si="104"/>
        <v>97.594840698956972</v>
      </c>
      <c r="AM99" s="168">
        <f t="shared" si="104"/>
        <v>99.138819449280348</v>
      </c>
      <c r="AN99" s="168">
        <f t="shared" si="104"/>
        <v>87.165903041936616</v>
      </c>
      <c r="AO99" s="168">
        <f t="shared" si="104"/>
        <v>80.93280170698948</v>
      </c>
      <c r="AP99" s="168">
        <f t="shared" si="104"/>
        <v>99.267120874290868</v>
      </c>
      <c r="AQ99" s="168">
        <f t="shared" si="104"/>
        <v>71.876115183049706</v>
      </c>
      <c r="AR99" s="168">
        <f t="shared" si="104"/>
        <v>82.703849990909461</v>
      </c>
      <c r="AS99" s="168">
        <f t="shared" si="104"/>
        <v>72.310424835319637</v>
      </c>
      <c r="AT99" s="168">
        <f t="shared" si="104"/>
        <v>69.556136828077598</v>
      </c>
      <c r="AU99" s="168">
        <f t="shared" si="104"/>
        <v>64.099266700982838</v>
      </c>
      <c r="AV99" s="168">
        <f t="shared" si="104"/>
        <v>48.528002018374764</v>
      </c>
      <c r="AW99" s="168">
        <f t="shared" si="104"/>
        <v>47.752217429044236</v>
      </c>
      <c r="AX99" s="168">
        <f t="shared" si="104"/>
        <v>50.858958920055386</v>
      </c>
      <c r="AY99" s="168">
        <f t="shared" si="104"/>
        <v>33.179854556195181</v>
      </c>
      <c r="AZ99" s="168">
        <f t="shared" si="104"/>
        <v>33.041989049858955</v>
      </c>
      <c r="BA99" s="168">
        <f t="shared" si="104"/>
        <v>37.811527237556788</v>
      </c>
      <c r="BB99" s="168">
        <f t="shared" si="104"/>
        <v>18.644369607472925</v>
      </c>
      <c r="BC99" s="168">
        <f t="shared" si="104"/>
        <v>20.649215283954049</v>
      </c>
      <c r="BD99" s="168">
        <f t="shared" si="104"/>
        <v>4.4832544453204264</v>
      </c>
      <c r="BE99" s="168">
        <f t="shared" si="104"/>
        <v>3.3327489509553061</v>
      </c>
      <c r="BF99" s="168">
        <f t="shared" si="104"/>
        <v>2.6257722785022111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71.399075956736681</v>
      </c>
      <c r="DE99" s="114">
        <v>18.699954719720445</v>
      </c>
      <c r="DF99" s="114">
        <v>-4.2592670096428726</v>
      </c>
      <c r="DG99" s="114">
        <v>68.970739047397515</v>
      </c>
      <c r="DH99" s="114">
        <v>14.244639981476189</v>
      </c>
      <c r="DI99" s="114">
        <v>-7.6399196099489446</v>
      </c>
      <c r="DJ99" s="114">
        <v>6.0971683235770673</v>
      </c>
      <c r="DK99" s="114">
        <f t="shared" si="67"/>
        <v>37.175461566031586</v>
      </c>
      <c r="DL99" s="114">
        <f t="shared" si="68"/>
        <v>6.0592370101826241</v>
      </c>
      <c r="DM99" s="114">
        <f t="shared" si="69"/>
        <v>347.16870775293177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2.4051593010430281</v>
      </c>
      <c r="AM100" s="168">
        <f t="shared" si="106"/>
        <v>0</v>
      </c>
      <c r="AN100" s="168">
        <f t="shared" si="106"/>
        <v>12.834096958063384</v>
      </c>
      <c r="AO100" s="168">
        <f t="shared" si="106"/>
        <v>19.06719829301052</v>
      </c>
      <c r="AP100" s="168">
        <f t="shared" si="106"/>
        <v>0</v>
      </c>
      <c r="AQ100" s="168">
        <f t="shared" si="106"/>
        <v>28.123884816950294</v>
      </c>
      <c r="AR100" s="168">
        <f t="shared" si="106"/>
        <v>17.296150009090539</v>
      </c>
      <c r="AS100" s="168">
        <f t="shared" si="106"/>
        <v>27.689575164680363</v>
      </c>
      <c r="AT100" s="168">
        <f t="shared" si="106"/>
        <v>30.443863171922402</v>
      </c>
      <c r="AU100" s="168">
        <f t="shared" si="106"/>
        <v>35.900733299017162</v>
      </c>
      <c r="AV100" s="168">
        <f t="shared" si="106"/>
        <v>51.471997981625236</v>
      </c>
      <c r="AW100" s="168">
        <f t="shared" si="106"/>
        <v>52.247782570955764</v>
      </c>
      <c r="AX100" s="168">
        <f t="shared" si="106"/>
        <v>49.141041079944614</v>
      </c>
      <c r="AY100" s="168">
        <f t="shared" si="106"/>
        <v>66.820145443804819</v>
      </c>
      <c r="AZ100" s="168">
        <f t="shared" si="106"/>
        <v>66.958010950141045</v>
      </c>
      <c r="BA100" s="168">
        <f t="shared" si="106"/>
        <v>62.188472762443212</v>
      </c>
      <c r="BB100" s="168">
        <f t="shared" si="106"/>
        <v>81.355630392527075</v>
      </c>
      <c r="BC100" s="168">
        <f t="shared" si="106"/>
        <v>79.350784716045951</v>
      </c>
      <c r="BD100" s="168">
        <f t="shared" si="106"/>
        <v>95.516745554679574</v>
      </c>
      <c r="BE100" s="168">
        <f t="shared" si="106"/>
        <v>96.667251049044694</v>
      </c>
      <c r="BF100" s="168">
        <f t="shared" si="106"/>
        <v>97.374227721497789</v>
      </c>
      <c r="BG100" s="168">
        <f t="shared" si="106"/>
        <v>84.500116094644369</v>
      </c>
      <c r="BH100" s="168">
        <f t="shared" si="106"/>
        <v>70.960787301780982</v>
      </c>
      <c r="BI100" s="168">
        <f t="shared" si="106"/>
        <v>63.827706351301799</v>
      </c>
      <c r="BJ100" s="168">
        <f t="shared" si="106"/>
        <v>64.075935550520541</v>
      </c>
      <c r="BK100" s="168">
        <f t="shared" si="106"/>
        <v>63.693161481322164</v>
      </c>
      <c r="BL100" s="168">
        <f t="shared" si="106"/>
        <v>58.250694903561794</v>
      </c>
      <c r="BM100" s="168">
        <f t="shared" si="106"/>
        <v>57.975617877737619</v>
      </c>
      <c r="BN100" s="168">
        <f t="shared" si="106"/>
        <v>42.220735351441135</v>
      </c>
      <c r="BO100" s="168">
        <f t="shared" si="106"/>
        <v>44.718640695412887</v>
      </c>
      <c r="BP100" s="168">
        <f t="shared" si="106"/>
        <v>25.285086844627585</v>
      </c>
      <c r="BQ100" s="168">
        <f t="shared" si="106"/>
        <v>0.966453177045139</v>
      </c>
      <c r="BR100" s="168">
        <f t="shared" si="106"/>
        <v>36.567709143471063</v>
      </c>
      <c r="BS100" s="168">
        <f t="shared" ref="BS100:DA100" si="107">IF(BS97&gt;100,IF(BS97&lt;=200,BS97-100,IF(BS97&lt;300,300-BS97,0)),0)</f>
        <v>33.432682335862296</v>
      </c>
      <c r="BT100" s="168">
        <f t="shared" si="107"/>
        <v>27.514399791540086</v>
      </c>
      <c r="BU100" s="168">
        <f t="shared" si="107"/>
        <v>25.267998813383656</v>
      </c>
      <c r="BV100" s="168">
        <f t="shared" si="107"/>
        <v>18.014809352326836</v>
      </c>
      <c r="BW100" s="168">
        <f t="shared" si="107"/>
        <v>0.55636466993331624</v>
      </c>
      <c r="BX100" s="168">
        <f t="shared" si="107"/>
        <v>7.5729530453866118</v>
      </c>
      <c r="BY100" s="168">
        <f t="shared" si="107"/>
        <v>1.7225603886662384</v>
      </c>
      <c r="BZ100" s="168">
        <f t="shared" si="107"/>
        <v>3.7798379112091993</v>
      </c>
      <c r="CA100" s="168">
        <f t="shared" si="107"/>
        <v>5.7315384191473413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79.285113467374103</v>
      </c>
      <c r="DE100" s="114">
        <v>17.632544889980416</v>
      </c>
      <c r="DF100" s="114">
        <v>-3.3251303718062126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5.243905719450022</v>
      </c>
      <c r="DK100" s="114">
        <f t="shared" si="67"/>
        <v>27.498547194480654</v>
      </c>
      <c r="DL100" s="114">
        <f t="shared" si="68"/>
        <v>6.0967950592588016</v>
      </c>
      <c r="DM100" s="114">
        <f t="shared" si="69"/>
        <v>349.32062545174199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10.103312100135781</v>
      </c>
      <c r="H101" s="168">
        <f t="shared" si="108"/>
        <v>8.0660313061097781</v>
      </c>
      <c r="I101" s="168">
        <f t="shared" si="108"/>
        <v>7.9908118987889907</v>
      </c>
      <c r="J101" s="168">
        <f t="shared" si="108"/>
        <v>1.3180076581855928</v>
      </c>
      <c r="K101" s="168">
        <f t="shared" si="108"/>
        <v>2.7919328566757144</v>
      </c>
      <c r="L101" s="168">
        <f t="shared" si="108"/>
        <v>0</v>
      </c>
      <c r="M101" s="168">
        <f t="shared" si="108"/>
        <v>0.98549693854704401</v>
      </c>
      <c r="N101" s="168">
        <f t="shared" si="108"/>
        <v>1.1945810485961488</v>
      </c>
      <c r="O101" s="168">
        <f t="shared" si="108"/>
        <v>7.2402376330329048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15.499883905355631</v>
      </c>
      <c r="BH101" s="168">
        <f t="shared" si="108"/>
        <v>29.039212698219018</v>
      </c>
      <c r="BI101" s="168">
        <f t="shared" si="108"/>
        <v>36.172293648698201</v>
      </c>
      <c r="BJ101" s="168">
        <f t="shared" si="108"/>
        <v>35.924064449479459</v>
      </c>
      <c r="BK101" s="168">
        <f t="shared" si="108"/>
        <v>36.306838518677836</v>
      </c>
      <c r="BL101" s="168">
        <f t="shared" si="108"/>
        <v>41.749305096438206</v>
      </c>
      <c r="BM101" s="168">
        <f t="shared" si="108"/>
        <v>42.024382122262381</v>
      </c>
      <c r="BN101" s="168">
        <f t="shared" si="108"/>
        <v>57.779264648558865</v>
      </c>
      <c r="BO101" s="168">
        <f t="shared" si="108"/>
        <v>55.281359304587113</v>
      </c>
      <c r="BP101" s="168">
        <f t="shared" si="108"/>
        <v>74.714913155372415</v>
      </c>
      <c r="BQ101" s="168">
        <f t="shared" si="108"/>
        <v>99.033546822954861</v>
      </c>
      <c r="BR101" s="168">
        <f t="shared" si="108"/>
        <v>63.432290856528937</v>
      </c>
      <c r="BS101" s="168">
        <f t="shared" ref="BS101:DA101" si="109">IF(BS97&gt;300,400-BS97,IF(BS97&gt;200,BS97-200,0))</f>
        <v>66.567317664137704</v>
      </c>
      <c r="BT101" s="168">
        <f t="shared" si="109"/>
        <v>72.485600208459914</v>
      </c>
      <c r="BU101" s="168">
        <f t="shared" si="109"/>
        <v>74.732001186616344</v>
      </c>
      <c r="BV101" s="168">
        <f t="shared" si="109"/>
        <v>81.985190647673164</v>
      </c>
      <c r="BW101" s="168">
        <f t="shared" si="109"/>
        <v>99.443635330066684</v>
      </c>
      <c r="BX101" s="168">
        <f t="shared" si="109"/>
        <v>92.427046954613388</v>
      </c>
      <c r="BY101" s="168">
        <f t="shared" si="109"/>
        <v>98.277439611333762</v>
      </c>
      <c r="BZ101" s="168">
        <f t="shared" si="109"/>
        <v>96.220162088790801</v>
      </c>
      <c r="CA101" s="168">
        <f t="shared" si="109"/>
        <v>94.268461580852659</v>
      </c>
      <c r="CB101" s="168">
        <f t="shared" si="109"/>
        <v>89.55536259814221</v>
      </c>
      <c r="CC101" s="168">
        <f t="shared" si="109"/>
        <v>96.916343336246655</v>
      </c>
      <c r="CD101" s="168">
        <f t="shared" si="109"/>
        <v>94.628954639253607</v>
      </c>
      <c r="CE101" s="168">
        <f t="shared" si="109"/>
        <v>92.089494297517831</v>
      </c>
      <c r="CF101" s="168">
        <f t="shared" si="109"/>
        <v>93.099299307426861</v>
      </c>
      <c r="CG101" s="168">
        <f t="shared" si="109"/>
        <v>86.695662105592476</v>
      </c>
      <c r="CH101" s="168">
        <f t="shared" si="109"/>
        <v>79.421878218691973</v>
      </c>
      <c r="CI101" s="168">
        <f t="shared" si="109"/>
        <v>74.65485971714736</v>
      </c>
      <c r="CJ101" s="168">
        <f t="shared" si="109"/>
        <v>76.816150836751888</v>
      </c>
      <c r="CK101" s="168">
        <f t="shared" si="109"/>
        <v>73.903960164139505</v>
      </c>
      <c r="CL101" s="168">
        <f t="shared" si="109"/>
        <v>58.033038191947412</v>
      </c>
      <c r="CM101" s="168">
        <f t="shared" si="109"/>
        <v>62.00305610684353</v>
      </c>
      <c r="CN101" s="168">
        <f t="shared" si="109"/>
        <v>63.370216018254041</v>
      </c>
      <c r="CO101" s="168">
        <f t="shared" si="109"/>
        <v>58.216750154356589</v>
      </c>
      <c r="CP101" s="168">
        <f t="shared" si="109"/>
        <v>47.75040537240443</v>
      </c>
      <c r="CQ101" s="168">
        <f t="shared" si="109"/>
        <v>45.245625953820422</v>
      </c>
      <c r="CR101" s="168">
        <f t="shared" si="109"/>
        <v>42.837307473610338</v>
      </c>
      <c r="CS101" s="168">
        <f t="shared" si="109"/>
        <v>34.259227633634111</v>
      </c>
      <c r="CT101" s="168">
        <f t="shared" si="109"/>
        <v>34.344567919284373</v>
      </c>
      <c r="CU101" s="168">
        <f t="shared" si="109"/>
        <v>32.911196015845633</v>
      </c>
      <c r="CV101" s="168">
        <f t="shared" si="109"/>
        <v>26.774535204709935</v>
      </c>
      <c r="CW101" s="168">
        <f t="shared" si="109"/>
        <v>26.206822642403779</v>
      </c>
      <c r="CX101" s="168">
        <f t="shared" si="109"/>
        <v>24.245147605543309</v>
      </c>
      <c r="CY101" s="168">
        <f t="shared" si="109"/>
        <v>19.380148309033643</v>
      </c>
      <c r="CZ101" s="168">
        <f t="shared" si="109"/>
        <v>13.210886218861162</v>
      </c>
      <c r="DA101" s="168">
        <f t="shared" si="109"/>
        <v>13.125754914419758</v>
      </c>
      <c r="DC101">
        <v>97</v>
      </c>
      <c r="DD101" s="114">
        <v>53.328220185508066</v>
      </c>
      <c r="DE101" s="114">
        <v>23.077631872346753</v>
      </c>
      <c r="DF101" s="114">
        <v>-2.2084380006741835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4.7663822626872507</v>
      </c>
      <c r="DK101" s="114">
        <f t="shared" si="67"/>
        <v>22.718399874059635</v>
      </c>
      <c r="DL101" s="114">
        <f t="shared" si="68"/>
        <v>6.1877797913087456</v>
      </c>
      <c r="DM101" s="114">
        <f t="shared" si="69"/>
        <v>354.53366659833245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3165.6187484166157</v>
      </c>
      <c r="H102" s="168">
        <f t="shared" si="110"/>
        <v>3123.4518293616702</v>
      </c>
      <c r="I102" s="168">
        <f t="shared" si="110"/>
        <v>3121.9370773242699</v>
      </c>
      <c r="J102" s="168">
        <f t="shared" si="110"/>
        <v>2999.4652943104948</v>
      </c>
      <c r="K102" s="168">
        <f t="shared" si="110"/>
        <v>3024.5015375202852</v>
      </c>
      <c r="L102" s="168">
        <f t="shared" si="110"/>
        <v>2963.6294770720156</v>
      </c>
      <c r="M102" s="168">
        <f t="shared" si="110"/>
        <v>2993.9736472507047</v>
      </c>
      <c r="N102" s="168">
        <f t="shared" si="110"/>
        <v>2997.4201183553801</v>
      </c>
      <c r="O102" s="168">
        <f t="shared" si="110"/>
        <v>3106.9865611530622</v>
      </c>
      <c r="P102" s="168">
        <f t="shared" si="110"/>
        <v>2854.2792849225179</v>
      </c>
      <c r="Q102" s="168">
        <f t="shared" si="110"/>
        <v>2828.695502580119</v>
      </c>
      <c r="R102" s="168">
        <f t="shared" si="110"/>
        <v>2826.5246025693955</v>
      </c>
      <c r="S102" s="168">
        <f t="shared" si="110"/>
        <v>2806.8256468431141</v>
      </c>
      <c r="T102" s="168">
        <f t="shared" si="110"/>
        <v>2769.0664918996722</v>
      </c>
      <c r="U102" s="168">
        <f t="shared" si="110"/>
        <v>2796.9837829119665</v>
      </c>
      <c r="V102" s="168">
        <f t="shared" si="110"/>
        <v>2769.6834618875578</v>
      </c>
      <c r="W102" s="168">
        <f t="shared" si="110"/>
        <v>2732.5476875460818</v>
      </c>
      <c r="X102" s="168">
        <f t="shared" si="110"/>
        <v>2738.8118899402002</v>
      </c>
      <c r="Y102" s="168">
        <f t="shared" si="110"/>
        <v>2697.754085743511</v>
      </c>
      <c r="Z102" s="168">
        <f t="shared" si="110"/>
        <v>2713.0697289965046</v>
      </c>
      <c r="AA102" s="168">
        <f t="shared" si="110"/>
        <v>2693.3844143861679</v>
      </c>
      <c r="AB102" s="168">
        <f t="shared" si="110"/>
        <v>2694.5319112705079</v>
      </c>
      <c r="AC102" s="168">
        <f t="shared" si="110"/>
        <v>2701.5430696441817</v>
      </c>
      <c r="AD102" s="168">
        <f t="shared" si="110"/>
        <v>2708.7791942164581</v>
      </c>
      <c r="AE102" s="168">
        <f t="shared" si="110"/>
        <v>2711.3083966458298</v>
      </c>
      <c r="AF102" s="168">
        <f t="shared" si="110"/>
        <v>2713.1797824767227</v>
      </c>
      <c r="AG102" s="168">
        <f t="shared" si="110"/>
        <v>2747.2013813103113</v>
      </c>
      <c r="AH102" s="168">
        <f t="shared" si="110"/>
        <v>2776.1466811961445</v>
      </c>
      <c r="AI102" s="168">
        <f t="shared" si="110"/>
        <v>2755.6410428285012</v>
      </c>
      <c r="AJ102" s="168">
        <f t="shared" si="110"/>
        <v>2737.9870272923044</v>
      </c>
      <c r="AK102" s="168">
        <f t="shared" si="110"/>
        <v>2775.5719451674804</v>
      </c>
      <c r="AL102" s="168">
        <f t="shared" si="110"/>
        <v>2789.3735971961041</v>
      </c>
      <c r="AM102" s="168">
        <f t="shared" si="110"/>
        <v>2776.7222677107775</v>
      </c>
      <c r="AN102" s="168">
        <f t="shared" si="110"/>
        <v>2835.11758101949</v>
      </c>
      <c r="AO102" s="168">
        <f t="shared" si="110"/>
        <v>2868.0643900390842</v>
      </c>
      <c r="AP102" s="168">
        <f t="shared" si="110"/>
        <v>2777.2610175939753</v>
      </c>
      <c r="AQ102" s="168">
        <f t="shared" si="110"/>
        <v>2924.1847047562424</v>
      </c>
      <c r="AR102" s="168">
        <f t="shared" si="110"/>
        <v>2858.2510909533248</v>
      </c>
      <c r="AS102" s="168">
        <f t="shared" si="110"/>
        <v>2921.2581278803755</v>
      </c>
      <c r="AT102" s="168">
        <f t="shared" si="110"/>
        <v>2940.2354497129868</v>
      </c>
      <c r="AU102" s="168">
        <f t="shared" si="110"/>
        <v>2980.8390872947643</v>
      </c>
      <c r="AV102" s="168">
        <f t="shared" si="110"/>
        <v>3120.3068508385686</v>
      </c>
      <c r="AW102" s="168">
        <f t="shared" si="110"/>
        <v>3128.2238678032463</v>
      </c>
      <c r="AX102" s="168">
        <f t="shared" si="110"/>
        <v>3097.0893922340042</v>
      </c>
      <c r="AY102" s="168">
        <f t="shared" si="110"/>
        <v>3295.0966699017022</v>
      </c>
      <c r="AZ102" s="168">
        <f t="shared" si="110"/>
        <v>3296.8432802537991</v>
      </c>
      <c r="BA102" s="168">
        <f t="shared" si="110"/>
        <v>3238.2638988017716</v>
      </c>
      <c r="BB102" s="168">
        <f t="shared" si="110"/>
        <v>3496.6810345275435</v>
      </c>
      <c r="BC102" s="168">
        <f t="shared" si="110"/>
        <v>3466.8090457320263</v>
      </c>
      <c r="BD102" s="168">
        <f t="shared" si="110"/>
        <v>3724.9937829593605</v>
      </c>
      <c r="BE102" s="168">
        <f t="shared" si="110"/>
        <v>3744.7419425838943</v>
      </c>
      <c r="BF102" s="168">
        <f t="shared" si="110"/>
        <v>3756.9539822735337</v>
      </c>
      <c r="BG102" s="168">
        <f t="shared" si="110"/>
        <v>3961.070688476193</v>
      </c>
      <c r="BH102" s="168">
        <f t="shared" si="110"/>
        <v>4098.7348385317264</v>
      </c>
      <c r="BI102" s="168">
        <f t="shared" si="110"/>
        <v>4169.5930232545716</v>
      </c>
      <c r="BJ102" s="168">
        <f t="shared" si="110"/>
        <v>4167.1573212815529</v>
      </c>
      <c r="BK102" s="168">
        <f t="shared" si="110"/>
        <v>4170.9121866219994</v>
      </c>
      <c r="BL102" s="168">
        <f t="shared" si="110"/>
        <v>4223.6037311913624</v>
      </c>
      <c r="BM102" s="168">
        <f t="shared" si="110"/>
        <v>4226.228945565802</v>
      </c>
      <c r="BN102" s="168">
        <f t="shared" si="110"/>
        <v>4368.4466017560526</v>
      </c>
      <c r="BO102" s="168">
        <f t="shared" si="110"/>
        <v>4347.1439019187474</v>
      </c>
      <c r="BP102" s="168">
        <f t="shared" si="110"/>
        <v>4495.8441394840265</v>
      </c>
      <c r="BQ102" s="168">
        <f t="shared" si="110"/>
        <v>4605.6529763846029</v>
      </c>
      <c r="BR102" s="168">
        <f t="shared" ref="BR102:DA102" si="111">((12500/13)*$F$48*BR62)*(COS((BR96*PI()/180)+2)+3.8)</f>
        <v>4414.5082577566127</v>
      </c>
      <c r="BS102" s="168">
        <f t="shared" si="111"/>
        <v>4438.6293818177637</v>
      </c>
      <c r="BT102" s="168">
        <f t="shared" si="111"/>
        <v>4481.0319318054499</v>
      </c>
      <c r="BU102" s="168">
        <f t="shared" si="111"/>
        <v>4495.9550729166876</v>
      </c>
      <c r="BV102" s="168">
        <f t="shared" si="111"/>
        <v>4539.2142765116914</v>
      </c>
      <c r="BW102" s="168">
        <f t="shared" si="111"/>
        <v>4606.5499346326405</v>
      </c>
      <c r="BX102" s="168">
        <f t="shared" si="111"/>
        <v>4586.4093596835382</v>
      </c>
      <c r="BY102" s="168">
        <f t="shared" si="111"/>
        <v>4603.9053099927496</v>
      </c>
      <c r="BZ102" s="168">
        <f t="shared" si="111"/>
        <v>4598.5436058243868</v>
      </c>
      <c r="CA102" s="168">
        <f t="shared" si="111"/>
        <v>4592.6566784304059</v>
      </c>
      <c r="CB102" s="168">
        <f t="shared" si="111"/>
        <v>4595.6836203563107</v>
      </c>
      <c r="CC102" s="168">
        <f t="shared" si="111"/>
        <v>4616.3116112413327</v>
      </c>
      <c r="CD102" s="168">
        <f t="shared" si="111"/>
        <v>4615.8025603771393</v>
      </c>
      <c r="CE102" s="168">
        <f t="shared" si="111"/>
        <v>4608.8459938952665</v>
      </c>
      <c r="CF102" s="168">
        <f t="shared" si="111"/>
        <v>4612.387694979001</v>
      </c>
      <c r="CG102" s="168">
        <f t="shared" si="111"/>
        <v>4573.9981040410485</v>
      </c>
      <c r="CH102" s="168">
        <f t="shared" si="111"/>
        <v>4490.9414344488696</v>
      </c>
      <c r="CI102" s="168">
        <f t="shared" si="111"/>
        <v>4418.9612330230757</v>
      </c>
      <c r="CJ102" s="168">
        <f t="shared" si="111"/>
        <v>4453.0570425136084</v>
      </c>
      <c r="CK102" s="168">
        <f t="shared" si="111"/>
        <v>4406.6015130585347</v>
      </c>
      <c r="CL102" s="168">
        <f t="shared" si="111"/>
        <v>4103.0287185235984</v>
      </c>
      <c r="CM102" s="168">
        <f t="shared" si="111"/>
        <v>4184.3837080780495</v>
      </c>
      <c r="CN102" s="168">
        <f t="shared" si="111"/>
        <v>4211.8213528355127</v>
      </c>
      <c r="CO102" s="168">
        <f t="shared" si="111"/>
        <v>4106.8378429084796</v>
      </c>
      <c r="CP102" s="168">
        <f t="shared" si="111"/>
        <v>3887.0084842007946</v>
      </c>
      <c r="CQ102" s="168">
        <f t="shared" si="111"/>
        <v>3834.4999563453475</v>
      </c>
      <c r="CR102" s="168">
        <f t="shared" si="111"/>
        <v>3784.4117220436747</v>
      </c>
      <c r="CS102" s="168">
        <f t="shared" si="111"/>
        <v>3611.1502182758345</v>
      </c>
      <c r="CT102" s="168">
        <f t="shared" si="111"/>
        <v>3612.823816923948</v>
      </c>
      <c r="CU102" s="168">
        <f t="shared" si="111"/>
        <v>3584.8697747004426</v>
      </c>
      <c r="CV102" s="168">
        <f t="shared" si="111"/>
        <v>3469.2561369131067</v>
      </c>
      <c r="CW102" s="168">
        <f t="shared" si="111"/>
        <v>3458.9193017569128</v>
      </c>
      <c r="CX102" s="168">
        <f t="shared" si="111"/>
        <v>3423.6996685205399</v>
      </c>
      <c r="CY102" s="168">
        <f t="shared" si="111"/>
        <v>3339.8285721388893</v>
      </c>
      <c r="CZ102" s="168">
        <f t="shared" si="111"/>
        <v>3234.1561483071268</v>
      </c>
      <c r="DA102" s="168">
        <f t="shared" si="111"/>
        <v>3232.2111989812806</v>
      </c>
      <c r="DC102">
        <v>98</v>
      </c>
      <c r="DD102" s="114">
        <v>65.978318833102449</v>
      </c>
      <c r="DE102" s="114">
        <v>29.99441170992635</v>
      </c>
      <c r="DF102" s="114">
        <v>0.70838138455932032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6.4339078054788947</v>
      </c>
      <c r="DK102" s="114">
        <f t="shared" si="67"/>
        <v>41.395169649402249</v>
      </c>
      <c r="DL102" s="114">
        <f t="shared" si="68"/>
        <v>2.3612722640299122E-2</v>
      </c>
      <c r="DM102" s="114">
        <f t="shared" si="69"/>
        <v>1.3529093501021456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32.958944410006403</v>
      </c>
      <c r="H103" s="168">
        <f t="shared" si="112"/>
        <v>23.628419881776534</v>
      </c>
      <c r="I103" s="168">
        <f t="shared" si="112"/>
        <v>12.536610400929694</v>
      </c>
      <c r="J103" s="168">
        <f t="shared" si="112"/>
        <v>26.208461489035777</v>
      </c>
      <c r="K103" s="168">
        <f t="shared" si="112"/>
        <v>19.297213400581647</v>
      </c>
      <c r="L103" s="168">
        <f t="shared" si="112"/>
        <v>19.271138523797337</v>
      </c>
      <c r="M103" s="168">
        <f t="shared" si="112"/>
        <v>16.625553233450113</v>
      </c>
      <c r="N103" s="168">
        <f t="shared" si="112"/>
        <v>16.311049699154363</v>
      </c>
      <c r="O103" s="168">
        <f t="shared" si="112"/>
        <v>11.517633584988747</v>
      </c>
      <c r="P103" s="168">
        <f t="shared" si="112"/>
        <v>28.574245016405349</v>
      </c>
      <c r="Q103" s="168">
        <f t="shared" si="112"/>
        <v>21.902009695210058</v>
      </c>
      <c r="R103" s="168">
        <f t="shared" si="112"/>
        <v>24.249592092186454</v>
      </c>
      <c r="S103" s="168">
        <f t="shared" si="112"/>
        <v>16.623149207967234</v>
      </c>
      <c r="T103" s="168">
        <f t="shared" si="112"/>
        <v>27.876738142891554</v>
      </c>
      <c r="U103" s="168">
        <f t="shared" si="112"/>
        <v>26.9178483779123</v>
      </c>
      <c r="V103" s="168">
        <f t="shared" si="112"/>
        <v>18.180275906444905</v>
      </c>
      <c r="W103" s="168">
        <f t="shared" si="112"/>
        <v>18.77457847222826</v>
      </c>
      <c r="X103" s="168">
        <f t="shared" si="112"/>
        <v>21.157842219512307</v>
      </c>
      <c r="Y103" s="168">
        <f t="shared" si="112"/>
        <v>26.828878198694969</v>
      </c>
      <c r="Z103" s="168">
        <f t="shared" si="112"/>
        <v>25.205183624598757</v>
      </c>
      <c r="AA103" s="168">
        <f t="shared" si="112"/>
        <v>32.967332103377977</v>
      </c>
      <c r="AB103" s="168">
        <f t="shared" si="112"/>
        <v>29.735891728394211</v>
      </c>
      <c r="AC103" s="168">
        <f t="shared" si="112"/>
        <v>35.387773853995817</v>
      </c>
      <c r="AD103" s="168">
        <f t="shared" si="112"/>
        <v>34.859291029440001</v>
      </c>
      <c r="AE103" s="168">
        <f t="shared" si="112"/>
        <v>26.782573345229903</v>
      </c>
      <c r="AF103" s="168">
        <f t="shared" si="112"/>
        <v>34.473295644024141</v>
      </c>
      <c r="AG103" s="168">
        <f t="shared" si="112"/>
        <v>27.531519364470899</v>
      </c>
      <c r="AH103" s="168">
        <f t="shared" si="112"/>
        <v>15.915082765418131</v>
      </c>
      <c r="AI103" s="168">
        <f t="shared" si="112"/>
        <v>33.166311837525143</v>
      </c>
      <c r="AJ103" s="168">
        <f t="shared" si="112"/>
        <v>24.056788369918237</v>
      </c>
      <c r="AK103" s="168">
        <f t="shared" si="112"/>
        <v>33.924336907338137</v>
      </c>
      <c r="AL103" s="168">
        <f t="shared" si="112"/>
        <v>28.262412316565204</v>
      </c>
      <c r="AM103" s="168">
        <f t="shared" si="112"/>
        <v>34.521976939331203</v>
      </c>
      <c r="AN103" s="168">
        <f t="shared" si="112"/>
        <v>23.110568639651575</v>
      </c>
      <c r="AO103" s="168">
        <f t="shared" si="112"/>
        <v>16.074914988007105</v>
      </c>
      <c r="AP103" s="168">
        <f t="shared" si="112"/>
        <v>30.585882532582662</v>
      </c>
      <c r="AQ103" s="168">
        <f t="shared" si="112"/>
        <v>18.009222436823336</v>
      </c>
      <c r="AR103" s="168">
        <f t="shared" si="112"/>
        <v>33.022748807342687</v>
      </c>
      <c r="AS103" s="168">
        <f t="shared" si="112"/>
        <v>13.677288714169508</v>
      </c>
      <c r="AT103" s="168">
        <f t="shared" si="112"/>
        <v>18.823202990672755</v>
      </c>
      <c r="AU103" s="168">
        <f t="shared" si="112"/>
        <v>33.893955508957291</v>
      </c>
      <c r="AV103" s="168">
        <f t="shared" si="112"/>
        <v>25.542843659475878</v>
      </c>
      <c r="AW103" s="168">
        <f t="shared" si="112"/>
        <v>27.030393674835825</v>
      </c>
      <c r="AX103" s="168">
        <f t="shared" si="112"/>
        <v>11.440937272332807</v>
      </c>
      <c r="AY103" s="168">
        <f t="shared" si="112"/>
        <v>21.681534758208606</v>
      </c>
      <c r="AZ103" s="168">
        <f t="shared" si="112"/>
        <v>24.80900292745384</v>
      </c>
      <c r="BA103" s="168">
        <f t="shared" si="112"/>
        <v>26.249725506723529</v>
      </c>
      <c r="BB103" s="168">
        <f t="shared" si="112"/>
        <v>29.142609323350701</v>
      </c>
      <c r="BC103" s="168">
        <f t="shared" si="112"/>
        <v>17.382508215952249</v>
      </c>
      <c r="BD103" s="168">
        <f t="shared" si="112"/>
        <v>20.377979996327845</v>
      </c>
      <c r="BE103" s="168">
        <f t="shared" si="112"/>
        <v>21.822717009815687</v>
      </c>
      <c r="BF103" s="168">
        <f t="shared" si="112"/>
        <v>15.622287217910793</v>
      </c>
      <c r="BG103" s="168">
        <f t="shared" si="112"/>
        <v>18.472374244465129</v>
      </c>
      <c r="BH103" s="168">
        <f t="shared" si="112"/>
        <v>33.306603498987386</v>
      </c>
      <c r="BI103" s="168">
        <f t="shared" si="112"/>
        <v>31.787015546465788</v>
      </c>
      <c r="BJ103" s="168">
        <f t="shared" si="112"/>
        <v>26.474013590369157</v>
      </c>
      <c r="BK103" s="168">
        <f t="shared" si="112"/>
        <v>21.320117925445828</v>
      </c>
      <c r="BL103" s="168">
        <f t="shared" si="112"/>
        <v>19.977089388435452</v>
      </c>
      <c r="BM103" s="168">
        <f t="shared" si="112"/>
        <v>33.233659551337567</v>
      </c>
      <c r="BN103" s="168">
        <f t="shared" si="112"/>
        <v>33.952152013469856</v>
      </c>
      <c r="BO103" s="168">
        <f t="shared" si="112"/>
        <v>28.958247510194454</v>
      </c>
      <c r="BP103" s="168">
        <f t="shared" si="112"/>
        <v>25.122982124233783</v>
      </c>
      <c r="BQ103" s="168">
        <f t="shared" si="112"/>
        <v>13.460100402600958</v>
      </c>
      <c r="BR103" s="168">
        <f t="shared" ref="BR103:DA103" si="113">(2*BR88+BR89+(1/20)*BR90-0.305)*BR61</f>
        <v>21.687828998003727</v>
      </c>
      <c r="BS103" s="168">
        <f t="shared" si="113"/>
        <v>15.237548186864251</v>
      </c>
      <c r="BT103" s="168">
        <f t="shared" si="113"/>
        <v>16.746676428690311</v>
      </c>
      <c r="BU103" s="168">
        <f t="shared" si="113"/>
        <v>17.873698040671517</v>
      </c>
      <c r="BV103" s="168">
        <f t="shared" si="113"/>
        <v>23.829529886745338</v>
      </c>
      <c r="BW103" s="168">
        <f t="shared" si="113"/>
        <v>20.000087954094688</v>
      </c>
      <c r="BX103" s="168">
        <f t="shared" si="113"/>
        <v>27.157507709251654</v>
      </c>
      <c r="BY103" s="168">
        <f t="shared" si="113"/>
        <v>13.601178595671067</v>
      </c>
      <c r="BZ103" s="168">
        <f t="shared" si="113"/>
        <v>28.956505000510656</v>
      </c>
      <c r="CA103" s="168">
        <f t="shared" si="113"/>
        <v>21.477003954123322</v>
      </c>
      <c r="CB103" s="168">
        <f t="shared" si="113"/>
        <v>11.325701098758218</v>
      </c>
      <c r="CC103" s="168">
        <f t="shared" si="113"/>
        <v>12.957343044878421</v>
      </c>
      <c r="CD103" s="168">
        <f t="shared" si="113"/>
        <v>18.14522396478111</v>
      </c>
      <c r="CE103" s="168">
        <f t="shared" si="113"/>
        <v>16.986289271874192</v>
      </c>
      <c r="CF103" s="168">
        <f t="shared" si="113"/>
        <v>16.828315535070125</v>
      </c>
      <c r="CG103" s="168">
        <f t="shared" si="113"/>
        <v>27.866831138364233</v>
      </c>
      <c r="CH103" s="168">
        <f t="shared" si="113"/>
        <v>24.802952462204811</v>
      </c>
      <c r="CI103" s="168">
        <f t="shared" si="113"/>
        <v>17.020968990773216</v>
      </c>
      <c r="CJ103" s="168">
        <f t="shared" si="113"/>
        <v>33.576590929963814</v>
      </c>
      <c r="CK103" s="168">
        <f t="shared" si="113"/>
        <v>27.572582856505392</v>
      </c>
      <c r="CL103" s="168">
        <f t="shared" si="113"/>
        <v>11.313450326563881</v>
      </c>
      <c r="CM103" s="168">
        <f t="shared" si="113"/>
        <v>15.914681904706146</v>
      </c>
      <c r="CN103" s="168">
        <f t="shared" si="113"/>
        <v>24.874793109621294</v>
      </c>
      <c r="CO103" s="168">
        <f t="shared" si="113"/>
        <v>15.457397538392501</v>
      </c>
      <c r="CP103" s="168">
        <f t="shared" si="113"/>
        <v>23.626694279012405</v>
      </c>
      <c r="CQ103" s="168">
        <f t="shared" si="113"/>
        <v>14.996239124784468</v>
      </c>
      <c r="CR103" s="168">
        <f t="shared" si="113"/>
        <v>16.936705100451519</v>
      </c>
      <c r="CS103" s="168">
        <f t="shared" si="113"/>
        <v>30.659084726854076</v>
      </c>
      <c r="CT103" s="168">
        <f t="shared" si="113"/>
        <v>21.434426942415474</v>
      </c>
      <c r="CU103" s="168">
        <f t="shared" si="113"/>
        <v>25.515577853611159</v>
      </c>
      <c r="CV103" s="168">
        <f t="shared" si="113"/>
        <v>15.555108564459243</v>
      </c>
      <c r="CW103" s="168">
        <f t="shared" si="113"/>
        <v>26.729097839531779</v>
      </c>
      <c r="CX103" s="168">
        <f t="shared" si="113"/>
        <v>29.962463674599331</v>
      </c>
      <c r="CY103" s="168">
        <f t="shared" si="113"/>
        <v>19.904581064986182</v>
      </c>
      <c r="CZ103" s="168">
        <f t="shared" si="113"/>
        <v>24.605458772026157</v>
      </c>
      <c r="DA103" s="168">
        <f t="shared" si="113"/>
        <v>20.323022291453793</v>
      </c>
      <c r="DC103">
        <v>99</v>
      </c>
      <c r="DD103" s="114">
        <v>54.488521972576599</v>
      </c>
      <c r="DE103" s="114">
        <v>32.644451794933616</v>
      </c>
      <c r="DF103" s="114">
        <v>0.84446269497032189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9.5576657602983524</v>
      </c>
      <c r="DK103" s="114">
        <f t="shared" si="67"/>
        <v>91.348974785579486</v>
      </c>
      <c r="DL103" s="114">
        <f t="shared" si="68"/>
        <v>2.5862722717937322E-2</v>
      </c>
      <c r="DM103" s="114">
        <f t="shared" si="69"/>
        <v>1.4818248584549218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78.601662756701174</v>
      </c>
      <c r="H105" s="168">
        <f t="shared" si="116"/>
        <v>50.492578986017598</v>
      </c>
      <c r="I105" s="168">
        <f t="shared" si="116"/>
        <v>21.737033698933196</v>
      </c>
      <c r="J105" s="168">
        <f t="shared" si="116"/>
        <v>57.953095926973376</v>
      </c>
      <c r="K105" s="168">
        <f t="shared" si="116"/>
        <v>38.573302580985761</v>
      </c>
      <c r="L105" s="168">
        <f t="shared" si="116"/>
        <v>38.504008421833547</v>
      </c>
      <c r="M105" s="168">
        <f t="shared" si="116"/>
        <v>31.639210282127493</v>
      </c>
      <c r="N105" s="168">
        <f t="shared" si="116"/>
        <v>30.845811640111947</v>
      </c>
      <c r="O105" s="168">
        <f t="shared" si="116"/>
        <v>19.419678498423263</v>
      </c>
      <c r="P105" s="168">
        <f t="shared" si="116"/>
        <v>65.011096498602257</v>
      </c>
      <c r="Q105" s="168">
        <f t="shared" si="116"/>
        <v>45.646810874788692</v>
      </c>
      <c r="R105" s="168">
        <f t="shared" si="116"/>
        <v>52.265345138088151</v>
      </c>
      <c r="S105" s="168">
        <f t="shared" si="116"/>
        <v>31.6331267307201</v>
      </c>
      <c r="T105" s="168">
        <f t="shared" si="116"/>
        <v>62.90935677764201</v>
      </c>
      <c r="U105" s="168">
        <f t="shared" si="116"/>
        <v>60.048267740979455</v>
      </c>
      <c r="V105" s="168">
        <f t="shared" si="116"/>
        <v>35.633082718511865</v>
      </c>
      <c r="W105" s="168">
        <f t="shared" si="116"/>
        <v>37.190329017536548</v>
      </c>
      <c r="X105" s="168">
        <f t="shared" si="116"/>
        <v>43.596039218964137</v>
      </c>
      <c r="Y105" s="168">
        <f t="shared" si="116"/>
        <v>59.784484853132156</v>
      </c>
      <c r="Z105" s="168">
        <f t="shared" si="116"/>
        <v>55.021788760320412</v>
      </c>
      <c r="AA105" s="168">
        <f t="shared" si="116"/>
        <v>78.628263768086299</v>
      </c>
      <c r="AB105" s="168">
        <f t="shared" si="116"/>
        <v>68.548962738797215</v>
      </c>
      <c r="AC105" s="168">
        <f t="shared" si="116"/>
        <v>86.396309472352414</v>
      </c>
      <c r="AD105" s="168">
        <f t="shared" si="116"/>
        <v>84.684807445318327</v>
      </c>
      <c r="AE105" s="168">
        <f t="shared" si="116"/>
        <v>59.647312125843087</v>
      </c>
      <c r="AF105" s="168">
        <f t="shared" si="116"/>
        <v>83.440142746582296</v>
      </c>
      <c r="AG105" s="168">
        <f t="shared" si="116"/>
        <v>61.875509329463327</v>
      </c>
      <c r="AH105" s="168">
        <f t="shared" si="116"/>
        <v>29.854065106131735</v>
      </c>
      <c r="AI105" s="168">
        <f t="shared" si="116"/>
        <v>79.259968442050166</v>
      </c>
      <c r="AJ105" s="168">
        <f t="shared" si="116"/>
        <v>51.71347995936295</v>
      </c>
      <c r="AK105" s="168">
        <f t="shared" si="116"/>
        <v>81.677903177169341</v>
      </c>
      <c r="AL105" s="168">
        <f t="shared" si="116"/>
        <v>64.069360408983044</v>
      </c>
      <c r="AM105" s="168">
        <f t="shared" si="116"/>
        <v>83.596866340350502</v>
      </c>
      <c r="AN105" s="168">
        <f t="shared" si="116"/>
        <v>49.026366991013361</v>
      </c>
      <c r="AO105" s="168">
        <f t="shared" si="116"/>
        <v>30.253416149779138</v>
      </c>
      <c r="AP105" s="168">
        <f t="shared" si="116"/>
        <v>71.16679839367265</v>
      </c>
      <c r="AQ105" s="168">
        <f t="shared" si="116"/>
        <v>35.187951507989631</v>
      </c>
      <c r="AR105" s="168">
        <f t="shared" si="116"/>
        <v>78.804070227539739</v>
      </c>
      <c r="AS105" s="168">
        <f t="shared" si="116"/>
        <v>24.405758318257238</v>
      </c>
      <c r="AT105" s="168">
        <f t="shared" si="116"/>
        <v>37.318467447327642</v>
      </c>
      <c r="AU105" s="168">
        <f t="shared" si="116"/>
        <v>81.580647320346245</v>
      </c>
      <c r="AV105" s="168">
        <f t="shared" si="116"/>
        <v>56.004122042122937</v>
      </c>
      <c r="AW105" s="168">
        <f t="shared" si="116"/>
        <v>60.382359265855634</v>
      </c>
      <c r="AX105" s="168">
        <f t="shared" si="116"/>
        <v>19.247905706448904</v>
      </c>
      <c r="AY105" s="168">
        <f t="shared" si="116"/>
        <v>45.036794414636759</v>
      </c>
      <c r="AZ105" s="168">
        <f t="shared" si="116"/>
        <v>53.874728968096754</v>
      </c>
      <c r="BA105" s="168">
        <f t="shared" si="116"/>
        <v>58.074462268097449</v>
      </c>
      <c r="BB105" s="168">
        <f t="shared" si="116"/>
        <v>66.736275889145375</v>
      </c>
      <c r="BC105" s="168">
        <f t="shared" si="116"/>
        <v>33.569019716382776</v>
      </c>
      <c r="BD105" s="168">
        <f t="shared" si="116"/>
        <v>41.472292507227188</v>
      </c>
      <c r="BE105" s="168">
        <f t="shared" si="116"/>
        <v>45.427187277432175</v>
      </c>
      <c r="BF105" s="168">
        <f t="shared" si="116"/>
        <v>29.125928159461417</v>
      </c>
      <c r="BG105" s="168">
        <f t="shared" si="116"/>
        <v>36.396401390761703</v>
      </c>
      <c r="BH105" s="168">
        <f t="shared" si="116"/>
        <v>79.706107279853484</v>
      </c>
      <c r="BI105" s="168">
        <f t="shared" si="116"/>
        <v>74.907090021371403</v>
      </c>
      <c r="BJ105" s="168">
        <f t="shared" si="116"/>
        <v>58.735240680529444</v>
      </c>
      <c r="BK105" s="168">
        <f t="shared" si="116"/>
        <v>44.041240144938222</v>
      </c>
      <c r="BL105" s="168">
        <f t="shared" si="116"/>
        <v>40.390897371173331</v>
      </c>
      <c r="BM105" s="168">
        <f t="shared" si="116"/>
        <v>79.474062116771975</v>
      </c>
      <c r="BN105" s="168">
        <f t="shared" si="116"/>
        <v>81.766969100597635</v>
      </c>
      <c r="BO105" s="168">
        <f t="shared" si="116"/>
        <v>66.175448072396122</v>
      </c>
      <c r="BP105" s="168">
        <f t="shared" si="116"/>
        <v>54.783298992864161</v>
      </c>
      <c r="BQ105" s="168">
        <f t="shared" si="116"/>
        <v>23.891756109397544</v>
      </c>
      <c r="BR105" s="168">
        <f t="shared" ref="BR105:CW105" si="117">100*(BR103/BR104)^($F$47*BR63)</f>
        <v>45.054181246840336</v>
      </c>
      <c r="BS105" s="168">
        <f t="shared" si="117"/>
        <v>28.175972525920219</v>
      </c>
      <c r="BT105" s="168">
        <f t="shared" si="117"/>
        <v>31.946095759956588</v>
      </c>
      <c r="BU105" s="168">
        <f t="shared" si="117"/>
        <v>34.836265319120493</v>
      </c>
      <c r="BV105" s="168">
        <f t="shared" si="117"/>
        <v>51.064865368569158</v>
      </c>
      <c r="BW105" s="168">
        <f t="shared" si="117"/>
        <v>40.452743624376112</v>
      </c>
      <c r="BX105" s="168">
        <f t="shared" si="117"/>
        <v>60.76025015790357</v>
      </c>
      <c r="BY105" s="168">
        <f t="shared" si="117"/>
        <v>24.225325945109709</v>
      </c>
      <c r="BZ105" s="168">
        <f t="shared" si="117"/>
        <v>66.170152968968111</v>
      </c>
      <c r="CA105" s="168">
        <f t="shared" si="117"/>
        <v>44.472718403008024</v>
      </c>
      <c r="CB105" s="168">
        <f t="shared" si="117"/>
        <v>18.990530837362112</v>
      </c>
      <c r="CC105" s="168">
        <f t="shared" si="117"/>
        <v>22.712437097702143</v>
      </c>
      <c r="CD105" s="168">
        <f t="shared" si="117"/>
        <v>35.541754328787569</v>
      </c>
      <c r="CE105" s="168">
        <f t="shared" si="117"/>
        <v>32.555349697113392</v>
      </c>
      <c r="CF105" s="168">
        <f t="shared" si="117"/>
        <v>32.153355486259208</v>
      </c>
      <c r="CG105" s="168">
        <f t="shared" si="117"/>
        <v>62.879628541643243</v>
      </c>
      <c r="CH105" s="168">
        <f t="shared" si="117"/>
        <v>53.857257635368285</v>
      </c>
      <c r="CI105" s="168">
        <f t="shared" si="117"/>
        <v>32.643764395448258</v>
      </c>
      <c r="CJ105" s="168">
        <f t="shared" si="117"/>
        <v>80.56643276471921</v>
      </c>
      <c r="CK105" s="168">
        <f t="shared" si="117"/>
        <v>61.998261784488193</v>
      </c>
      <c r="CL105" s="168">
        <f t="shared" si="117"/>
        <v>18.963219879668333</v>
      </c>
      <c r="CM105" s="168">
        <f t="shared" si="117"/>
        <v>29.853065186246084</v>
      </c>
      <c r="CN105" s="168">
        <f t="shared" si="117"/>
        <v>54.064795462834482</v>
      </c>
      <c r="CO105" s="168">
        <f t="shared" si="117"/>
        <v>28.717844420518762</v>
      </c>
      <c r="CP105" s="168">
        <f t="shared" si="117"/>
        <v>50.487675472090679</v>
      </c>
      <c r="CQ105" s="168">
        <f t="shared" si="117"/>
        <v>27.584170006918825</v>
      </c>
      <c r="CR105" s="168">
        <f t="shared" si="117"/>
        <v>32.42904001894113</v>
      </c>
      <c r="CS105" s="168">
        <f t="shared" si="117"/>
        <v>71.393383163559434</v>
      </c>
      <c r="CT105" s="168">
        <f t="shared" si="117"/>
        <v>44.355517205729264</v>
      </c>
      <c r="CU105" s="168">
        <f t="shared" si="117"/>
        <v>55.924639534171526</v>
      </c>
      <c r="CV105" s="168">
        <f t="shared" si="117"/>
        <v>28.959496076335654</v>
      </c>
      <c r="CW105" s="168">
        <f t="shared" si="117"/>
        <v>59.488994470842016</v>
      </c>
      <c r="CX105" s="168">
        <f>100*(CX103/CX104)^($F$47*CX63)</f>
        <v>69.24438623955777</v>
      </c>
      <c r="CY105" s="168">
        <f>100*(CY103/CY104)^($F$47*CY63)</f>
        <v>40.196066447110475</v>
      </c>
      <c r="CZ105" s="168">
        <f>100*(CZ103/CZ104)^($F$47*CZ63)</f>
        <v>53.287747535756871</v>
      </c>
      <c r="DA105" s="168">
        <f>100*(DA103/DA104)^($F$47*DA63)</f>
        <v>41.323626679207273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211.0285402035588</v>
      </c>
      <c r="H106" s="168">
        <f t="shared" si="118"/>
        <v>169.13718756690065</v>
      </c>
      <c r="I106" s="168">
        <f t="shared" si="118"/>
        <v>110.97508015671258</v>
      </c>
      <c r="J106" s="168">
        <f t="shared" si="118"/>
        <v>181.20227618394063</v>
      </c>
      <c r="K106" s="168">
        <f t="shared" si="118"/>
        <v>147.83209790053897</v>
      </c>
      <c r="L106" s="168">
        <f t="shared" si="118"/>
        <v>147.69925335549792</v>
      </c>
      <c r="M106" s="168">
        <f t="shared" si="118"/>
        <v>133.8869183247817</v>
      </c>
      <c r="N106" s="168">
        <f t="shared" si="118"/>
        <v>132.19755690210141</v>
      </c>
      <c r="O106" s="168">
        <f t="shared" si="118"/>
        <v>104.89296117239391</v>
      </c>
      <c r="P106" s="168">
        <f t="shared" si="118"/>
        <v>191.91948677430645</v>
      </c>
      <c r="Q106" s="168">
        <f t="shared" si="118"/>
        <v>160.81647872730824</v>
      </c>
      <c r="R106" s="168">
        <f t="shared" si="118"/>
        <v>172.08072985301564</v>
      </c>
      <c r="S106" s="168">
        <f t="shared" si="118"/>
        <v>133.8740458937053</v>
      </c>
      <c r="T106" s="168">
        <f t="shared" si="118"/>
        <v>188.79172315728761</v>
      </c>
      <c r="U106" s="168">
        <f t="shared" si="118"/>
        <v>184.44868774600056</v>
      </c>
      <c r="V106" s="168">
        <f t="shared" si="118"/>
        <v>142.08624140824043</v>
      </c>
      <c r="W106" s="168">
        <f t="shared" si="118"/>
        <v>145.15778692068287</v>
      </c>
      <c r="X106" s="168">
        <f t="shared" si="118"/>
        <v>157.16246988970016</v>
      </c>
      <c r="Y106" s="168">
        <f t="shared" si="118"/>
        <v>184.04311436412632</v>
      </c>
      <c r="Z106" s="168">
        <f t="shared" si="118"/>
        <v>176.56014656264358</v>
      </c>
      <c r="AA106" s="168">
        <f t="shared" si="118"/>
        <v>211.06424617679369</v>
      </c>
      <c r="AB106" s="168">
        <f t="shared" si="118"/>
        <v>197.07238469269137</v>
      </c>
      <c r="AC106" s="168">
        <f t="shared" si="118"/>
        <v>221.24472443618899</v>
      </c>
      <c r="AD106" s="168">
        <f t="shared" si="118"/>
        <v>219.04234500248833</v>
      </c>
      <c r="AE106" s="168">
        <f t="shared" si="118"/>
        <v>183.83185391833609</v>
      </c>
      <c r="AF106" s="168">
        <f t="shared" si="118"/>
        <v>217.4266864142343</v>
      </c>
      <c r="AG106" s="168">
        <f t="shared" si="118"/>
        <v>187.23400257568747</v>
      </c>
      <c r="AH106" s="168">
        <f t="shared" si="118"/>
        <v>130.05500372285115</v>
      </c>
      <c r="AI106" s="168">
        <f t="shared" si="118"/>
        <v>211.91040211843205</v>
      </c>
      <c r="AJ106" s="168">
        <f t="shared" si="118"/>
        <v>171.16982629466457</v>
      </c>
      <c r="AK106" s="168">
        <f t="shared" si="118"/>
        <v>215.11842924822346</v>
      </c>
      <c r="AL106" s="168">
        <f t="shared" si="118"/>
        <v>190.52436477579195</v>
      </c>
      <c r="AM106" s="168">
        <f t="shared" si="118"/>
        <v>217.63078425362173</v>
      </c>
      <c r="AN106" s="168">
        <f t="shared" si="118"/>
        <v>166.66337951347751</v>
      </c>
      <c r="AO106" s="168">
        <f t="shared" si="118"/>
        <v>130.92197215731647</v>
      </c>
      <c r="AP106" s="168">
        <f t="shared" si="118"/>
        <v>200.80015435164648</v>
      </c>
      <c r="AQ106" s="168">
        <f t="shared" si="118"/>
        <v>141.19597622623328</v>
      </c>
      <c r="AR106" s="168">
        <f t="shared" si="118"/>
        <v>211.30007574655818</v>
      </c>
      <c r="AS106" s="168">
        <f t="shared" si="118"/>
        <v>117.59029535548406</v>
      </c>
      <c r="AT106" s="168">
        <f t="shared" si="118"/>
        <v>145.40764081014041</v>
      </c>
      <c r="AU106" s="168">
        <f t="shared" si="118"/>
        <v>214.99031773951805</v>
      </c>
      <c r="AV106" s="168">
        <f t="shared" si="118"/>
        <v>178.12928501880805</v>
      </c>
      <c r="AW106" s="168">
        <f t="shared" si="118"/>
        <v>184.96108610831399</v>
      </c>
      <c r="AX106" s="168">
        <f t="shared" si="118"/>
        <v>104.42802615588926</v>
      </c>
      <c r="AY106" s="168">
        <f t="shared" si="118"/>
        <v>159.73830200409566</v>
      </c>
      <c r="AZ106" s="168">
        <f t="shared" si="118"/>
        <v>174.71004566236087</v>
      </c>
      <c r="BA106" s="168">
        <f t="shared" si="118"/>
        <v>181.39191536562819</v>
      </c>
      <c r="BB106" s="168">
        <f t="shared" si="118"/>
        <v>194.44926773360177</v>
      </c>
      <c r="BC106" s="168">
        <f t="shared" si="118"/>
        <v>137.90965042967056</v>
      </c>
      <c r="BD106" s="168">
        <f t="shared" si="118"/>
        <v>153.28665582445922</v>
      </c>
      <c r="BE106" s="168">
        <f t="shared" si="118"/>
        <v>160.42913864054213</v>
      </c>
      <c r="BF106" s="168">
        <f t="shared" si="118"/>
        <v>128.45920058900592</v>
      </c>
      <c r="BG106" s="168">
        <f t="shared" si="118"/>
        <v>143.60003673818142</v>
      </c>
      <c r="BH106" s="168">
        <f t="shared" si="118"/>
        <v>212.50596628939454</v>
      </c>
      <c r="BI106" s="168">
        <f t="shared" si="118"/>
        <v>206.0092832214826</v>
      </c>
      <c r="BJ106" s="168">
        <f t="shared" si="118"/>
        <v>182.42094635520866</v>
      </c>
      <c r="BK106" s="168">
        <f t="shared" si="118"/>
        <v>157.96289986984527</v>
      </c>
      <c r="BL106" s="168">
        <f t="shared" si="118"/>
        <v>151.27497125825653</v>
      </c>
      <c r="BM106" s="168">
        <f t="shared" si="118"/>
        <v>212.19641081811196</v>
      </c>
      <c r="BN106" s="168">
        <f t="shared" si="118"/>
        <v>215.23568557125424</v>
      </c>
      <c r="BO106" s="168">
        <f t="shared" si="118"/>
        <v>193.63050286934219</v>
      </c>
      <c r="BP106" s="168">
        <f t="shared" si="118"/>
        <v>176.17708453360234</v>
      </c>
      <c r="BQ106" s="168">
        <f t="shared" si="118"/>
        <v>116.34543947854957</v>
      </c>
      <c r="BR106" s="168">
        <f t="shared" ref="BR106:CW106" si="119">(4/$F$47)*((BR105/100)^0.5)*(BR104+4)*(BR59^0.25)</f>
        <v>159.76913318432403</v>
      </c>
      <c r="BS106" s="168">
        <f t="shared" si="119"/>
        <v>126.34695670956845</v>
      </c>
      <c r="BT106" s="168">
        <f t="shared" si="119"/>
        <v>134.53467149834617</v>
      </c>
      <c r="BU106" s="168">
        <f t="shared" si="119"/>
        <v>140.48861234117643</v>
      </c>
      <c r="BV106" s="168">
        <f t="shared" si="119"/>
        <v>170.09299319706537</v>
      </c>
      <c r="BW106" s="168">
        <f t="shared" si="119"/>
        <v>151.39074253525069</v>
      </c>
      <c r="BX106" s="168">
        <f t="shared" si="119"/>
        <v>185.53895434166512</v>
      </c>
      <c r="BY106" s="168">
        <f t="shared" si="119"/>
        <v>117.15481500629457</v>
      </c>
      <c r="BZ106" s="168">
        <f t="shared" si="119"/>
        <v>193.62275593237231</v>
      </c>
      <c r="CA106" s="168">
        <f t="shared" si="119"/>
        <v>158.73480629353847</v>
      </c>
      <c r="CB106" s="168">
        <f t="shared" si="119"/>
        <v>103.72749272603673</v>
      </c>
      <c r="CC106" s="168">
        <f t="shared" si="119"/>
        <v>113.43764368777489</v>
      </c>
      <c r="CD106" s="168">
        <f t="shared" si="119"/>
        <v>141.90403947563021</v>
      </c>
      <c r="CE106" s="168">
        <f t="shared" si="119"/>
        <v>135.81148890472082</v>
      </c>
      <c r="CF106" s="168">
        <f t="shared" si="119"/>
        <v>134.97038263680923</v>
      </c>
      <c r="CG106" s="168">
        <f t="shared" si="119"/>
        <v>188.74711049238033</v>
      </c>
      <c r="CH106" s="168">
        <f t="shared" si="119"/>
        <v>174.68171452354414</v>
      </c>
      <c r="CI106" s="168">
        <f t="shared" si="119"/>
        <v>135.99578411664262</v>
      </c>
      <c r="CJ106" s="168">
        <f t="shared" si="119"/>
        <v>213.64975320072651</v>
      </c>
      <c r="CK106" s="168">
        <f t="shared" si="119"/>
        <v>187.41963374085864</v>
      </c>
      <c r="CL106" s="168">
        <f t="shared" si="119"/>
        <v>103.65287879224583</v>
      </c>
      <c r="CM106" s="168">
        <f t="shared" si="119"/>
        <v>130.05282569997686</v>
      </c>
      <c r="CN106" s="168">
        <f t="shared" si="119"/>
        <v>175.01795709458244</v>
      </c>
      <c r="CO106" s="168">
        <f t="shared" si="119"/>
        <v>127.55610438483042</v>
      </c>
      <c r="CP106" s="168">
        <f t="shared" si="119"/>
        <v>169.12897461058</v>
      </c>
      <c r="CQ106" s="168">
        <f t="shared" si="119"/>
        <v>125.01303200049101</v>
      </c>
      <c r="CR106" s="168">
        <f t="shared" si="119"/>
        <v>135.5477691631186</v>
      </c>
      <c r="CS106" s="168">
        <f t="shared" si="119"/>
        <v>201.11955961060653</v>
      </c>
      <c r="CT106" s="168">
        <f t="shared" si="119"/>
        <v>158.52550738908263</v>
      </c>
      <c r="CU106" s="168">
        <f t="shared" si="119"/>
        <v>178.00283727913805</v>
      </c>
      <c r="CV106" s="168">
        <f t="shared" si="119"/>
        <v>128.09165243818586</v>
      </c>
      <c r="CW106" s="168">
        <f t="shared" si="119"/>
        <v>183.58772585354586</v>
      </c>
      <c r="CX106" s="168">
        <f>(4/$F$47)*((CX105/100)^0.5)*(CX104+4)*(CX59^0.25)</f>
        <v>198.06950359245306</v>
      </c>
      <c r="CY106" s="168">
        <f>(4/$F$47)*((CY105/100)^0.5)*(CY104+4)*(CY59^0.25)</f>
        <v>150.90968263961068</v>
      </c>
      <c r="CZ106" s="168">
        <f>(4/$F$47)*((CZ105/100)^0.5)*(CZ104+4)*(CZ59^0.25)</f>
        <v>173.75567967765326</v>
      </c>
      <c r="DA106" s="168">
        <f>(4/$F$47)*((DA105/100)^0.5)*(DA104+4)*(DA59^0.25)</f>
        <v>153.01166563936363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39.939960041448941</v>
      </c>
      <c r="H107" s="168">
        <f t="shared" si="120"/>
        <v>125.56614871193311</v>
      </c>
      <c r="I107" s="168">
        <f t="shared" si="120"/>
        <v>73.156760083633543</v>
      </c>
      <c r="J107" s="168">
        <f t="shared" si="120"/>
        <v>65.164914142928268</v>
      </c>
      <c r="K107" s="168">
        <f t="shared" si="120"/>
        <v>174.35397520780077</v>
      </c>
      <c r="L107" s="168">
        <f t="shared" si="120"/>
        <v>71.408387684468551</v>
      </c>
      <c r="M107" s="168">
        <f t="shared" si="120"/>
        <v>182.24681920982769</v>
      </c>
      <c r="N107" s="168">
        <f t="shared" si="120"/>
        <v>165.99970736161546</v>
      </c>
      <c r="O107" s="168">
        <f t="shared" si="120"/>
        <v>12.559369925022352</v>
      </c>
      <c r="P107" s="168">
        <f t="shared" si="120"/>
        <v>125.34689482317884</v>
      </c>
      <c r="Q107" s="168">
        <f t="shared" si="120"/>
        <v>149.90844072447877</v>
      </c>
      <c r="R107" s="168">
        <f t="shared" si="120"/>
        <v>155.31603365489929</v>
      </c>
      <c r="S107" s="168">
        <f t="shared" si="120"/>
        <v>106.33905693266848</v>
      </c>
      <c r="T107" s="168">
        <f t="shared" si="120"/>
        <v>19.445978533186192</v>
      </c>
      <c r="U107" s="168">
        <f t="shared" si="120"/>
        <v>45.756613116540755</v>
      </c>
      <c r="V107" s="168">
        <f t="shared" si="120"/>
        <v>101.21607361520478</v>
      </c>
      <c r="W107" s="168">
        <f t="shared" si="120"/>
        <v>90.091950117289258</v>
      </c>
      <c r="X107" s="168">
        <f t="shared" si="120"/>
        <v>59.613642569140737</v>
      </c>
      <c r="Y107" s="168">
        <f t="shared" si="120"/>
        <v>88.845718290670007</v>
      </c>
      <c r="Z107" s="168">
        <f t="shared" si="120"/>
        <v>133.10358301643527</v>
      </c>
      <c r="AA107" s="168">
        <f t="shared" si="120"/>
        <v>94.876194703836418</v>
      </c>
      <c r="AB107" s="168">
        <f t="shared" si="120"/>
        <v>108.97317153182672</v>
      </c>
      <c r="AC107" s="168">
        <f t="shared" si="120"/>
        <v>25.729937202457052</v>
      </c>
      <c r="AD107" s="168">
        <f t="shared" si="120"/>
        <v>65.018414570980809</v>
      </c>
      <c r="AE107" s="168">
        <f t="shared" si="120"/>
        <v>124.14807255653594</v>
      </c>
      <c r="AF107" s="168">
        <f t="shared" si="120"/>
        <v>82.963432567912818</v>
      </c>
      <c r="AG107" s="168">
        <f t="shared" si="120"/>
        <v>37.573912200194506</v>
      </c>
      <c r="AH107" s="168">
        <f t="shared" si="120"/>
        <v>59.361743794191213</v>
      </c>
      <c r="AI107" s="168">
        <f t="shared" si="120"/>
        <v>81.55615821120135</v>
      </c>
      <c r="AJ107" s="168">
        <f t="shared" si="120"/>
        <v>47.820037085459134</v>
      </c>
      <c r="AK107" s="168">
        <f t="shared" si="120"/>
        <v>79.692389951413062</v>
      </c>
      <c r="AL107" s="168">
        <f t="shared" si="120"/>
        <v>105.05222860102391</v>
      </c>
      <c r="AM107" s="168">
        <f t="shared" si="120"/>
        <v>44.031764651422407</v>
      </c>
      <c r="AN107" s="168">
        <f t="shared" si="120"/>
        <v>105.09688416958329</v>
      </c>
      <c r="AO107" s="168">
        <f t="shared" si="120"/>
        <v>58.522630580766808</v>
      </c>
      <c r="AP107" s="168">
        <f t="shared" si="120"/>
        <v>13.033899369650788</v>
      </c>
      <c r="AQ107" s="168">
        <f t="shared" si="120"/>
        <v>73.309488777136124</v>
      </c>
      <c r="AR107" s="168">
        <f t="shared" si="120"/>
        <v>36.063602136669338</v>
      </c>
      <c r="AS107" s="168">
        <f t="shared" si="120"/>
        <v>24.350973725040173</v>
      </c>
      <c r="AT107" s="168">
        <f t="shared" si="120"/>
        <v>43.273693903407377</v>
      </c>
      <c r="AU107" s="168">
        <f t="shared" si="120"/>
        <v>15.983756942564325</v>
      </c>
      <c r="AV107" s="168">
        <f t="shared" si="120"/>
        <v>120.20518566781089</v>
      </c>
      <c r="AW107" s="168">
        <f t="shared" si="120"/>
        <v>118.8175773132028</v>
      </c>
      <c r="AX107" s="168">
        <f t="shared" si="120"/>
        <v>4.6450682021930056</v>
      </c>
      <c r="AY107" s="168">
        <f t="shared" si="120"/>
        <v>102.24759358970424</v>
      </c>
      <c r="AZ107" s="168">
        <f t="shared" si="120"/>
        <v>65.913263920681473</v>
      </c>
      <c r="BA107" s="168">
        <f t="shared" si="120"/>
        <v>36.189556852648977</v>
      </c>
      <c r="BB107" s="168">
        <f t="shared" si="120"/>
        <v>71.470852971020918</v>
      </c>
      <c r="BC107" s="168">
        <f t="shared" si="120"/>
        <v>89.285589624085546</v>
      </c>
      <c r="BD107" s="168">
        <f t="shared" si="120"/>
        <v>67.72447851122719</v>
      </c>
      <c r="BE107" s="168">
        <f t="shared" si="120"/>
        <v>53.047814760701151</v>
      </c>
      <c r="BF107" s="168">
        <f t="shared" si="120"/>
        <v>101.37602452329153</v>
      </c>
      <c r="BG107" s="168">
        <f t="shared" si="120"/>
        <v>145.21338287568935</v>
      </c>
      <c r="BH107" s="168">
        <f t="shared" si="120"/>
        <v>37.250883753640451</v>
      </c>
      <c r="BI107" s="168">
        <f t="shared" si="120"/>
        <v>44.782962156337106</v>
      </c>
      <c r="BJ107" s="168">
        <f t="shared" si="120"/>
        <v>108.75916533236595</v>
      </c>
      <c r="BK107" s="168">
        <f t="shared" si="120"/>
        <v>138.98357942015269</v>
      </c>
      <c r="BL107" s="168">
        <f t="shared" si="120"/>
        <v>145.28888926679954</v>
      </c>
      <c r="BM107" s="168">
        <f t="shared" si="120"/>
        <v>37.537727743585648</v>
      </c>
      <c r="BN107" s="168">
        <f t="shared" si="120"/>
        <v>13.259480693002969</v>
      </c>
      <c r="BO107" s="168">
        <f t="shared" si="120"/>
        <v>39.03300896745229</v>
      </c>
      <c r="BP107" s="168">
        <f t="shared" si="120"/>
        <v>17.018868709898822</v>
      </c>
      <c r="BQ107" s="168">
        <f t="shared" si="120"/>
        <v>10.852111586265465</v>
      </c>
      <c r="BR107" s="168">
        <f t="shared" si="120"/>
        <v>138.08292576362737</v>
      </c>
      <c r="BS107" s="168">
        <f t="shared" ref="BS107:DA107" si="121">(BS102*(BS94^2+BS95^2)^0.5)/(BS88+BS89+(21/20)*BS90)</f>
        <v>94.652908825393752</v>
      </c>
      <c r="BT107" s="168">
        <f t="shared" si="121"/>
        <v>151.38646982583293</v>
      </c>
      <c r="BU107" s="168">
        <f t="shared" si="121"/>
        <v>152.06137299813818</v>
      </c>
      <c r="BV107" s="168">
        <f t="shared" si="121"/>
        <v>76.227927360498256</v>
      </c>
      <c r="BW107" s="168">
        <f t="shared" si="121"/>
        <v>38.992973737071608</v>
      </c>
      <c r="BX107" s="168">
        <f t="shared" si="121"/>
        <v>89.411406420715409</v>
      </c>
      <c r="BY107" s="168">
        <f t="shared" si="121"/>
        <v>130.35427271104109</v>
      </c>
      <c r="BZ107" s="168">
        <f t="shared" si="121"/>
        <v>22.461501749604562</v>
      </c>
      <c r="CA107" s="168">
        <f t="shared" si="121"/>
        <v>140.04294904618502</v>
      </c>
      <c r="CB107" s="168">
        <f t="shared" si="121"/>
        <v>14.024224489572287</v>
      </c>
      <c r="CC107" s="168">
        <f t="shared" si="121"/>
        <v>131.759729532417</v>
      </c>
      <c r="CD107" s="168">
        <f t="shared" si="121"/>
        <v>159.57460705900374</v>
      </c>
      <c r="CE107" s="168">
        <f t="shared" si="121"/>
        <v>105.66763084177977</v>
      </c>
      <c r="CF107" s="168">
        <f t="shared" si="121"/>
        <v>160.17381848464268</v>
      </c>
      <c r="CG107" s="168">
        <f t="shared" si="121"/>
        <v>54.028713981722092</v>
      </c>
      <c r="CH107" s="168">
        <f t="shared" si="121"/>
        <v>70.448364168695946</v>
      </c>
      <c r="CI107" s="168">
        <f t="shared" si="121"/>
        <v>120.45654005298</v>
      </c>
      <c r="CJ107" s="168">
        <f t="shared" si="121"/>
        <v>18.335831796084868</v>
      </c>
      <c r="CK107" s="168">
        <f t="shared" si="121"/>
        <v>41.622648397441722</v>
      </c>
      <c r="CL107" s="168">
        <f t="shared" si="121"/>
        <v>31.864253523448934</v>
      </c>
      <c r="CM107" s="168">
        <f t="shared" si="121"/>
        <v>50.958645658076065</v>
      </c>
      <c r="CN107" s="168">
        <f t="shared" si="121"/>
        <v>72.82243619825698</v>
      </c>
      <c r="CO107" s="168">
        <f t="shared" si="121"/>
        <v>111.76238811536265</v>
      </c>
      <c r="CP107" s="168">
        <f t="shared" si="121"/>
        <v>79.921358157539984</v>
      </c>
      <c r="CQ107" s="168">
        <f t="shared" si="121"/>
        <v>102.37017045350456</v>
      </c>
      <c r="CR107" s="168">
        <f t="shared" si="121"/>
        <v>107.28338533456846</v>
      </c>
      <c r="CS107" s="168">
        <f t="shared" si="121"/>
        <v>7.8414890664202659</v>
      </c>
      <c r="CT107" s="168">
        <f t="shared" si="121"/>
        <v>60.619538129770589</v>
      </c>
      <c r="CU107" s="168">
        <f t="shared" si="121"/>
        <v>41.728251149275494</v>
      </c>
      <c r="CV107" s="168">
        <f t="shared" si="121"/>
        <v>114.95004189534724</v>
      </c>
      <c r="CW107" s="168">
        <f t="shared" si="121"/>
        <v>55.118914944191346</v>
      </c>
      <c r="CX107" s="168">
        <f t="shared" si="121"/>
        <v>46.265196159750936</v>
      </c>
      <c r="CY107" s="168">
        <f t="shared" si="121"/>
        <v>89.366763257331939</v>
      </c>
      <c r="CZ107" s="168">
        <f t="shared" si="121"/>
        <v>111.91005956288073</v>
      </c>
      <c r="DA107" s="168">
        <f t="shared" si="121"/>
        <v>147.03291182015204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31.314265274287635</v>
      </c>
      <c r="H108" s="173">
        <f t="shared" si="122"/>
        <v>52.43260713602902</v>
      </c>
      <c r="I108" s="173">
        <f t="shared" si="122"/>
        <v>41.117178297860377</v>
      </c>
      <c r="J108" s="173">
        <f t="shared" si="122"/>
        <v>39.031479794110084</v>
      </c>
      <c r="K108" s="173">
        <f t="shared" si="122"/>
        <v>60.778940994724849</v>
      </c>
      <c r="L108" s="173">
        <f t="shared" si="122"/>
        <v>40.672039148736971</v>
      </c>
      <c r="M108" s="173">
        <f t="shared" si="122"/>
        <v>62.002010933132503</v>
      </c>
      <c r="N108" s="173">
        <f t="shared" si="122"/>
        <v>59.450716033314976</v>
      </c>
      <c r="O108" s="173">
        <f t="shared" si="122"/>
        <v>18.605627774115771</v>
      </c>
      <c r="P108" s="173">
        <f t="shared" si="122"/>
        <v>52.391388143092357</v>
      </c>
      <c r="Q108" s="173">
        <f t="shared" si="122"/>
        <v>56.784595135975145</v>
      </c>
      <c r="R108" s="173">
        <f t="shared" si="122"/>
        <v>57.697384400151108</v>
      </c>
      <c r="S108" s="173">
        <f t="shared" si="122"/>
        <v>48.654224710719888</v>
      </c>
      <c r="T108" s="173">
        <f t="shared" si="122"/>
        <v>22.650730117016437</v>
      </c>
      <c r="U108" s="173">
        <f t="shared" si="122"/>
        <v>33.289941840119241</v>
      </c>
      <c r="V108" s="173">
        <f t="shared" si="122"/>
        <v>47.585108439942182</v>
      </c>
      <c r="W108" s="173">
        <f t="shared" si="122"/>
        <v>45.156210519358446</v>
      </c>
      <c r="X108" s="173">
        <f t="shared" si="122"/>
        <v>37.498538482458201</v>
      </c>
      <c r="Y108" s="173">
        <f t="shared" si="122"/>
        <v>44.874045182090882</v>
      </c>
      <c r="Z108" s="173">
        <f t="shared" si="122"/>
        <v>53.826256978745043</v>
      </c>
      <c r="AA108" s="173">
        <f t="shared" si="122"/>
        <v>46.219959495842339</v>
      </c>
      <c r="AB108" s="173">
        <f t="shared" si="122"/>
        <v>49.192920926339916</v>
      </c>
      <c r="AC108" s="173">
        <f t="shared" si="122"/>
        <v>25.692491493827202</v>
      </c>
      <c r="AD108" s="173">
        <f t="shared" si="122"/>
        <v>38.991968724629494</v>
      </c>
      <c r="AE108" s="173">
        <f t="shared" si="122"/>
        <v>52.165309234923726</v>
      </c>
      <c r="AF108" s="173">
        <f t="shared" si="122"/>
        <v>43.511876706128803</v>
      </c>
      <c r="AG108" s="173">
        <f t="shared" si="122"/>
        <v>30.465455927427183</v>
      </c>
      <c r="AH108" s="173">
        <f t="shared" si="122"/>
        <v>37.427152536327512</v>
      </c>
      <c r="AI108" s="173">
        <f t="shared" si="122"/>
        <v>43.178180396524809</v>
      </c>
      <c r="AJ108" s="173">
        <f t="shared" si="122"/>
        <v>33.957307973589081</v>
      </c>
      <c r="AK108" s="173">
        <f t="shared" si="122"/>
        <v>42.731326793286485</v>
      </c>
      <c r="AL108" s="173">
        <f t="shared" si="122"/>
        <v>48.388389311056827</v>
      </c>
      <c r="AM108" s="173">
        <f t="shared" si="122"/>
        <v>32.719264723441398</v>
      </c>
      <c r="AN108" s="173">
        <f t="shared" si="122"/>
        <v>48.397644243939283</v>
      </c>
      <c r="AO108" s="173">
        <f t="shared" si="122"/>
        <v>37.188145570370914</v>
      </c>
      <c r="AP108" s="173">
        <f t="shared" si="122"/>
        <v>18.918742155957787</v>
      </c>
      <c r="AQ108" s="173">
        <f t="shared" si="122"/>
        <v>41.155784124158217</v>
      </c>
      <c r="AR108" s="173">
        <f t="shared" si="122"/>
        <v>29.908173475899464</v>
      </c>
      <c r="AS108" s="173">
        <f t="shared" si="122"/>
        <v>25.063466871650885</v>
      </c>
      <c r="AT108" s="173">
        <f t="shared" si="122"/>
        <v>32.464564439979085</v>
      </c>
      <c r="AU108" s="173">
        <f t="shared" si="122"/>
        <v>20.737876541504406</v>
      </c>
      <c r="AV108" s="173">
        <f t="shared" si="122"/>
        <v>51.413152725107047</v>
      </c>
      <c r="AW108" s="173">
        <f t="shared" si="122"/>
        <v>51.145226517185208</v>
      </c>
      <c r="AX108" s="173">
        <f t="shared" si="122"/>
        <v>11.892009222821308</v>
      </c>
      <c r="AY108" s="173">
        <f t="shared" si="122"/>
        <v>47.802728665856677</v>
      </c>
      <c r="AZ108" s="173">
        <f t="shared" si="122"/>
        <v>39.23255231990845</v>
      </c>
      <c r="BA108" s="173">
        <f t="shared" si="122"/>
        <v>29.955133808547373</v>
      </c>
      <c r="BB108" s="173">
        <f t="shared" si="122"/>
        <v>40.688045543771132</v>
      </c>
      <c r="BC108" s="173">
        <f t="shared" si="122"/>
        <v>44.973885671414173</v>
      </c>
      <c r="BD108" s="173">
        <f t="shared" si="122"/>
        <v>39.714065332090335</v>
      </c>
      <c r="BE108" s="173">
        <f t="shared" si="122"/>
        <v>35.580264222405404</v>
      </c>
      <c r="BF108" s="173">
        <f t="shared" si="122"/>
        <v>47.618933001686841</v>
      </c>
      <c r="BG108" s="173">
        <f t="shared" si="122"/>
        <v>55.977278980641657</v>
      </c>
      <c r="BH108" s="173">
        <f t="shared" si="122"/>
        <v>30.347313829871069</v>
      </c>
      <c r="BI108" s="173">
        <f t="shared" si="122"/>
        <v>32.969287524217108</v>
      </c>
      <c r="BJ108" s="173">
        <f t="shared" si="122"/>
        <v>49.149424196569818</v>
      </c>
      <c r="BK108" s="173">
        <f t="shared" si="122"/>
        <v>54.883571657024014</v>
      </c>
      <c r="BL108" s="173">
        <f t="shared" si="122"/>
        <v>55.990374999144919</v>
      </c>
      <c r="BM108" s="173">
        <f t="shared" si="122"/>
        <v>30.452249939646407</v>
      </c>
      <c r="BN108" s="173">
        <f t="shared" si="122"/>
        <v>19.065391443579959</v>
      </c>
      <c r="BO108" s="173">
        <f t="shared" si="122"/>
        <v>30.992257284245255</v>
      </c>
      <c r="BP108" s="173">
        <f t="shared" si="122"/>
        <v>21.331804959290448</v>
      </c>
      <c r="BQ108" s="173">
        <f t="shared" si="122"/>
        <v>17.421687021508895</v>
      </c>
      <c r="BR108" s="173">
        <f t="shared" si="122"/>
        <v>54.723237866561632</v>
      </c>
      <c r="BS108" s="173">
        <f t="shared" ref="BS108:DA108" si="123">100*(BS110/BS106)^0.5</f>
        <v>46.170978523830883</v>
      </c>
      <c r="BT108" s="173">
        <f t="shared" si="123"/>
        <v>57.035857122130807</v>
      </c>
      <c r="BU108" s="173">
        <f t="shared" si="123"/>
        <v>57.150140574322513</v>
      </c>
      <c r="BV108" s="173">
        <f t="shared" si="123"/>
        <v>41.885156719046776</v>
      </c>
      <c r="BW108" s="173">
        <f t="shared" si="123"/>
        <v>30.977948637288161</v>
      </c>
      <c r="BX108" s="173">
        <f t="shared" si="123"/>
        <v>45.002393357744282</v>
      </c>
      <c r="BY108" s="173">
        <f t="shared" si="123"/>
        <v>53.323072597826616</v>
      </c>
      <c r="BZ108" s="173">
        <f t="shared" si="123"/>
        <v>24.168864661389495</v>
      </c>
      <c r="CA108" s="173">
        <f t="shared" si="123"/>
        <v>55.071430303783295</v>
      </c>
      <c r="CB108" s="173">
        <f t="shared" si="123"/>
        <v>19.552589358272858</v>
      </c>
      <c r="CC108" s="173">
        <f t="shared" si="123"/>
        <v>53.581023746320632</v>
      </c>
      <c r="CD108" s="173">
        <f t="shared" si="123"/>
        <v>58.403987219998008</v>
      </c>
      <c r="CE108" s="173">
        <f t="shared" si="123"/>
        <v>48.515742375059354</v>
      </c>
      <c r="CF108" s="173">
        <f t="shared" si="123"/>
        <v>58.502575089247379</v>
      </c>
      <c r="CG108" s="173">
        <f t="shared" si="123"/>
        <v>35.874832189892004</v>
      </c>
      <c r="CH108" s="173">
        <f t="shared" si="123"/>
        <v>40.42506300967262</v>
      </c>
      <c r="CI108" s="173">
        <f t="shared" si="123"/>
        <v>51.461503170057512</v>
      </c>
      <c r="CJ108" s="173">
        <f t="shared" si="123"/>
        <v>22.059419107185548</v>
      </c>
      <c r="CK108" s="173">
        <f t="shared" si="123"/>
        <v>31.901210608572899</v>
      </c>
      <c r="CL108" s="173">
        <f t="shared" si="123"/>
        <v>28.287559572347398</v>
      </c>
      <c r="CM108" s="173">
        <f t="shared" si="123"/>
        <v>34.942730550435705</v>
      </c>
      <c r="CN108" s="173">
        <f t="shared" si="123"/>
        <v>41.032514937405331</v>
      </c>
      <c r="CO108" s="173">
        <f t="shared" si="123"/>
        <v>49.755586225047125</v>
      </c>
      <c r="CP108" s="173">
        <f t="shared" si="123"/>
        <v>42.786531289611275</v>
      </c>
      <c r="CQ108" s="173">
        <f t="shared" si="123"/>
        <v>47.828508344513729</v>
      </c>
      <c r="CR108" s="173">
        <f t="shared" si="123"/>
        <v>48.848182078637315</v>
      </c>
      <c r="CS108" s="173">
        <f t="shared" si="123"/>
        <v>15.051789572791444</v>
      </c>
      <c r="CT108" s="173">
        <f t="shared" si="123"/>
        <v>37.781959225071908</v>
      </c>
      <c r="CU108" s="173">
        <f t="shared" si="123"/>
        <v>31.937607348062759</v>
      </c>
      <c r="CV108" s="173">
        <f t="shared" si="123"/>
        <v>50.389251223122585</v>
      </c>
      <c r="CW108" s="173">
        <f t="shared" si="123"/>
        <v>36.198793133568508</v>
      </c>
      <c r="CX108" s="173">
        <f t="shared" si="123"/>
        <v>33.455943199576957</v>
      </c>
      <c r="CY108" s="173">
        <f t="shared" si="123"/>
        <v>44.992280595358125</v>
      </c>
      <c r="CZ108" s="173">
        <f t="shared" si="123"/>
        <v>49.785159368856803</v>
      </c>
      <c r="DA108" s="173">
        <f t="shared" si="123"/>
        <v>56.291827184112051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21.923580332927699</v>
      </c>
      <c r="H109" s="168">
        <f t="shared" si="124"/>
        <v>49.263792625477663</v>
      </c>
      <c r="I109" s="168">
        <f t="shared" si="124"/>
        <v>19.877323529586548</v>
      </c>
      <c r="J109" s="168">
        <f t="shared" si="124"/>
        <v>29.246878128300377</v>
      </c>
      <c r="K109" s="168">
        <f t="shared" si="124"/>
        <v>57.857655366951334</v>
      </c>
      <c r="L109" s="168">
        <f t="shared" si="124"/>
        <v>25.885468308288488</v>
      </c>
      <c r="M109" s="168">
        <f t="shared" si="124"/>
        <v>54.530003929620705</v>
      </c>
      <c r="N109" s="168">
        <f t="shared" si="124"/>
        <v>49.50207927391633</v>
      </c>
      <c r="O109" s="168">
        <f t="shared" si="124"/>
        <v>3.8469880301223598</v>
      </c>
      <c r="P109" s="168">
        <f t="shared" si="124"/>
        <v>55.811631403350304</v>
      </c>
      <c r="Q109" s="168">
        <f t="shared" si="124"/>
        <v>54.93858235466675</v>
      </c>
      <c r="R109" s="168">
        <f t="shared" si="124"/>
        <v>60.691842696130841</v>
      </c>
      <c r="S109" s="168">
        <f t="shared" si="124"/>
        <v>33.575565391583417</v>
      </c>
      <c r="T109" s="168">
        <f t="shared" si="124"/>
        <v>10.262027973353154</v>
      </c>
      <c r="U109" s="168">
        <f t="shared" si="124"/>
        <v>21.656460387710059</v>
      </c>
      <c r="V109" s="168">
        <f t="shared" si="124"/>
        <v>34.086309695374737</v>
      </c>
      <c r="W109" s="168">
        <f t="shared" si="124"/>
        <v>31.358923755848114</v>
      </c>
      <c r="X109" s="168">
        <f t="shared" si="124"/>
        <v>23.413339399341119</v>
      </c>
      <c r="Y109" s="168">
        <f t="shared" si="124"/>
        <v>39.264118185321585</v>
      </c>
      <c r="Z109" s="168">
        <f t="shared" si="124"/>
        <v>54.195955111084963</v>
      </c>
      <c r="AA109" s="168">
        <f t="shared" si="124"/>
        <v>47.770482172780305</v>
      </c>
      <c r="AB109" s="168">
        <f t="shared" si="124"/>
        <v>50.526221941561197</v>
      </c>
      <c r="AC109" s="168">
        <f t="shared" si="124"/>
        <v>15.472881495846634</v>
      </c>
      <c r="AD109" s="168">
        <f t="shared" si="124"/>
        <v>35.282897253006496</v>
      </c>
      <c r="AE109" s="168">
        <f t="shared" si="124"/>
        <v>52.99930471168841</v>
      </c>
      <c r="AF109" s="168">
        <f t="shared" si="124"/>
        <v>43.612834200704626</v>
      </c>
      <c r="AG109" s="168">
        <f t="shared" si="124"/>
        <v>18.411362040190646</v>
      </c>
      <c r="AH109" s="168">
        <f t="shared" si="124"/>
        <v>19.301296086855416</v>
      </c>
      <c r="AI109" s="168">
        <f t="shared" si="124"/>
        <v>41.856873085185491</v>
      </c>
      <c r="AJ109" s="168">
        <f t="shared" si="124"/>
        <v>20.911228595232743</v>
      </c>
      <c r="AK109" s="168">
        <f t="shared" si="124"/>
        <v>41.615604386067979</v>
      </c>
      <c r="AL109" s="168">
        <f t="shared" si="124"/>
        <v>47.262717322411021</v>
      </c>
      <c r="AM109" s="168">
        <f t="shared" si="124"/>
        <v>24.683868885313519</v>
      </c>
      <c r="AN109" s="168">
        <f t="shared" si="124"/>
        <v>41.359422155330201</v>
      </c>
      <c r="AO109" s="168">
        <f t="shared" si="124"/>
        <v>19.182597580186343</v>
      </c>
      <c r="AP109" s="168">
        <f t="shared" si="124"/>
        <v>7.6143772789339659</v>
      </c>
      <c r="AQ109" s="168">
        <f t="shared" si="124"/>
        <v>25.337858955315724</v>
      </c>
      <c r="AR109" s="168">
        <f t="shared" si="124"/>
        <v>20.024665377069194</v>
      </c>
      <c r="AS109" s="168">
        <f t="shared" si="124"/>
        <v>7.8259956475518031</v>
      </c>
      <c r="AT109" s="168">
        <f t="shared" si="124"/>
        <v>16.236492717264483</v>
      </c>
      <c r="AU109" s="168">
        <f t="shared" si="124"/>
        <v>9.7956509999076324</v>
      </c>
      <c r="AV109" s="168">
        <f t="shared" si="124"/>
        <v>49.884960183478256</v>
      </c>
      <c r="AW109" s="168">
        <f t="shared" si="124"/>
        <v>51.259741592626881</v>
      </c>
      <c r="AX109" s="168">
        <f t="shared" si="124"/>
        <v>1.5646362097516358</v>
      </c>
      <c r="AY109" s="168">
        <f t="shared" si="124"/>
        <v>38.672324001487425</v>
      </c>
      <c r="AZ109" s="168">
        <f t="shared" si="124"/>
        <v>28.49028772046227</v>
      </c>
      <c r="BA109" s="168">
        <f t="shared" si="124"/>
        <v>17.244328491130563</v>
      </c>
      <c r="BB109" s="168">
        <f t="shared" si="124"/>
        <v>34.105608516184802</v>
      </c>
      <c r="BC109" s="168">
        <f t="shared" si="124"/>
        <v>29.552982284849463</v>
      </c>
      <c r="BD109" s="168">
        <f t="shared" si="124"/>
        <v>25.614086636034923</v>
      </c>
      <c r="BE109" s="168">
        <f t="shared" si="124"/>
        <v>21.517282524541443</v>
      </c>
      <c r="BF109" s="168">
        <f t="shared" si="124"/>
        <v>30.861026513309394</v>
      </c>
      <c r="BG109" s="168">
        <f t="shared" si="124"/>
        <v>47.672063566583752</v>
      </c>
      <c r="BH109" s="168">
        <f t="shared" si="124"/>
        <v>20.734686444072288</v>
      </c>
      <c r="BI109" s="168">
        <f t="shared" si="124"/>
        <v>23.72420935614651</v>
      </c>
      <c r="BJ109" s="168">
        <f t="shared" si="124"/>
        <v>46.687154551138761</v>
      </c>
      <c r="BK109" s="168">
        <f t="shared" si="124"/>
        <v>50.411040675588382</v>
      </c>
      <c r="BL109" s="168">
        <f t="shared" si="124"/>
        <v>50.243474458573793</v>
      </c>
      <c r="BM109" s="168">
        <f t="shared" si="124"/>
        <v>20.847915487087299</v>
      </c>
      <c r="BN109" s="168">
        <f t="shared" si="124"/>
        <v>8.28879814837215</v>
      </c>
      <c r="BO109" s="168">
        <f t="shared" si="124"/>
        <v>19.704527421346391</v>
      </c>
      <c r="BP109" s="168">
        <f t="shared" si="124"/>
        <v>8.4935737069467692</v>
      </c>
      <c r="BQ109" s="168">
        <f t="shared" si="124"/>
        <v>3.7412403706271142</v>
      </c>
      <c r="BR109" s="168">
        <f t="shared" ref="BR109:DA109" si="125">(BR107^0.9)*((BR105/100)^0.5)*((1.64-0.29^BR60)^0.73)</f>
        <v>50.689999083804672</v>
      </c>
      <c r="BS109" s="168">
        <f t="shared" si="125"/>
        <v>28.535716134575996</v>
      </c>
      <c r="BT109" s="168">
        <f t="shared" si="125"/>
        <v>46.367747650190331</v>
      </c>
      <c r="BU109" s="168">
        <f t="shared" si="125"/>
        <v>48.614022936569143</v>
      </c>
      <c r="BV109" s="168">
        <f t="shared" si="125"/>
        <v>31.614953395207412</v>
      </c>
      <c r="BW109" s="168">
        <f t="shared" si="125"/>
        <v>15.391837249278232</v>
      </c>
      <c r="BX109" s="168">
        <f t="shared" si="125"/>
        <v>39.80999841500067</v>
      </c>
      <c r="BY109" s="168">
        <f t="shared" si="125"/>
        <v>35.292003072719687</v>
      </c>
      <c r="BZ109" s="168">
        <f t="shared" si="125"/>
        <v>11.982701194571806</v>
      </c>
      <c r="CA109" s="168">
        <f t="shared" si="125"/>
        <v>51.004760331048388</v>
      </c>
      <c r="CB109" s="168">
        <f t="shared" si="125"/>
        <v>4.201344284780193</v>
      </c>
      <c r="CC109" s="168">
        <f t="shared" si="125"/>
        <v>34.503650337430742</v>
      </c>
      <c r="CD109" s="168">
        <f t="shared" si="125"/>
        <v>51.282074544764633</v>
      </c>
      <c r="CE109" s="168">
        <f t="shared" si="125"/>
        <v>33.867856083626464</v>
      </c>
      <c r="CF109" s="168">
        <f t="shared" si="125"/>
        <v>48.941162086026594</v>
      </c>
      <c r="CG109" s="168">
        <f t="shared" si="125"/>
        <v>25.736287598174343</v>
      </c>
      <c r="CH109" s="168">
        <f t="shared" si="125"/>
        <v>30.243683859984262</v>
      </c>
      <c r="CI109" s="168">
        <f t="shared" si="125"/>
        <v>38.157174962451734</v>
      </c>
      <c r="CJ109" s="168">
        <f t="shared" si="125"/>
        <v>11.014793816633668</v>
      </c>
      <c r="CK109" s="168">
        <f t="shared" si="125"/>
        <v>20.207623706569471</v>
      </c>
      <c r="CL109" s="168">
        <f t="shared" si="125"/>
        <v>8.7873548487319901</v>
      </c>
      <c r="CM109" s="168">
        <f t="shared" si="125"/>
        <v>16.823614336656107</v>
      </c>
      <c r="CN109" s="168">
        <f t="shared" si="125"/>
        <v>31.21941174094513</v>
      </c>
      <c r="CO109" s="168">
        <f t="shared" si="125"/>
        <v>33.455750370926289</v>
      </c>
      <c r="CP109" s="168">
        <f t="shared" si="125"/>
        <v>32.803335652823755</v>
      </c>
      <c r="CQ109" s="168">
        <f t="shared" si="125"/>
        <v>30.298058108862342</v>
      </c>
      <c r="CR109" s="168">
        <f t="shared" si="125"/>
        <v>34.266915897419842</v>
      </c>
      <c r="CS109" s="168">
        <f t="shared" si="125"/>
        <v>4.8274348178292419</v>
      </c>
      <c r="CT109" s="168">
        <f t="shared" si="125"/>
        <v>23.974741577619355</v>
      </c>
      <c r="CU109" s="168">
        <f t="shared" si="125"/>
        <v>19.236121521864398</v>
      </c>
      <c r="CV109" s="168">
        <f t="shared" si="125"/>
        <v>34.457397325548193</v>
      </c>
      <c r="CW109" s="168">
        <f t="shared" si="125"/>
        <v>25.486937722095071</v>
      </c>
      <c r="CX109" s="168">
        <f t="shared" si="125"/>
        <v>23.488214383692302</v>
      </c>
      <c r="CY109" s="168">
        <f t="shared" si="125"/>
        <v>32.365249072001639</v>
      </c>
      <c r="CZ109" s="168">
        <f t="shared" si="125"/>
        <v>45.627286934365095</v>
      </c>
      <c r="DA109" s="168">
        <f t="shared" si="125"/>
        <v>51.368994743776021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20.693104328445454</v>
      </c>
      <c r="H110" s="168">
        <f t="shared" si="126"/>
        <v>46.498828427344577</v>
      </c>
      <c r="I110" s="168">
        <f t="shared" si="126"/>
        <v>18.761695093671293</v>
      </c>
      <c r="J110" s="168">
        <f t="shared" si="126"/>
        <v>27.605377005017179</v>
      </c>
      <c r="K110" s="168">
        <f t="shared" si="126"/>
        <v>54.610354719724889</v>
      </c>
      <c r="L110" s="168">
        <f t="shared" si="126"/>
        <v>24.432628619950904</v>
      </c>
      <c r="M110" s="168">
        <f t="shared" si="126"/>
        <v>51.469470004924815</v>
      </c>
      <c r="N110" s="168">
        <f t="shared" si="126"/>
        <v>46.72374107397151</v>
      </c>
      <c r="O110" s="168">
        <f t="shared" si="126"/>
        <v>3.631073184613006</v>
      </c>
      <c r="P110" s="168">
        <f t="shared" si="126"/>
        <v>52.679165256400509</v>
      </c>
      <c r="Q110" s="168">
        <f t="shared" si="126"/>
        <v>51.855116685231465</v>
      </c>
      <c r="R110" s="168">
        <f t="shared" si="126"/>
        <v>57.285471338381569</v>
      </c>
      <c r="S110" s="168">
        <f t="shared" si="126"/>
        <v>31.691113722472725</v>
      </c>
      <c r="T110" s="168">
        <f t="shared" si="126"/>
        <v>9.6860646048347618</v>
      </c>
      <c r="U110" s="168">
        <f t="shared" si="126"/>
        <v>20.440976673625528</v>
      </c>
      <c r="V110" s="168">
        <f t="shared" si="126"/>
        <v>32.173192151407036</v>
      </c>
      <c r="W110" s="168">
        <f t="shared" si="126"/>
        <v>29.59888262105202</v>
      </c>
      <c r="X110" s="168">
        <f t="shared" si="126"/>
        <v>22.099249644009593</v>
      </c>
      <c r="Y110" s="168">
        <f t="shared" si="126"/>
        <v>37.060392583457663</v>
      </c>
      <c r="Z110" s="168">
        <f t="shared" si="126"/>
        <v>51.154169905772122</v>
      </c>
      <c r="AA110" s="168">
        <f t="shared" si="126"/>
        <v>45.089331049490966</v>
      </c>
      <c r="AB110" s="168">
        <f t="shared" si="126"/>
        <v>47.690403030958421</v>
      </c>
      <c r="AC110" s="168">
        <f t="shared" si="126"/>
        <v>14.604455394283224</v>
      </c>
      <c r="AD110" s="168">
        <f t="shared" si="126"/>
        <v>33.302620410485886</v>
      </c>
      <c r="AE110" s="168">
        <f t="shared" si="126"/>
        <v>50.0246823319657</v>
      </c>
      <c r="AF110" s="168">
        <f t="shared" si="126"/>
        <v>41.165033925544769</v>
      </c>
      <c r="AG110" s="168">
        <f t="shared" si="126"/>
        <v>17.378011699769104</v>
      </c>
      <c r="AH110" s="168">
        <f t="shared" si="126"/>
        <v>18.217997586810142</v>
      </c>
      <c r="AI110" s="168">
        <f t="shared" si="126"/>
        <v>39.507627333722887</v>
      </c>
      <c r="AJ110" s="168">
        <f t="shared" si="126"/>
        <v>19.737571527366367</v>
      </c>
      <c r="AK110" s="168">
        <f t="shared" si="126"/>
        <v>39.279900006059691</v>
      </c>
      <c r="AL110" s="168">
        <f t="shared" si="126"/>
        <v>44.610064850108927</v>
      </c>
      <c r="AM110" s="168">
        <f t="shared" si="126"/>
        <v>23.298469789913657</v>
      </c>
      <c r="AN110" s="168">
        <f t="shared" si="126"/>
        <v>39.038096178981839</v>
      </c>
      <c r="AO110" s="168">
        <f t="shared" si="126"/>
        <v>18.105961115356401</v>
      </c>
      <c r="AP110" s="168">
        <f t="shared" si="126"/>
        <v>7.1870151241890579</v>
      </c>
      <c r="AQ110" s="168">
        <f t="shared" si="126"/>
        <v>23.915754218041357</v>
      </c>
      <c r="AR110" s="168">
        <f t="shared" si="126"/>
        <v>18.900767278761652</v>
      </c>
      <c r="AS110" s="168">
        <f t="shared" si="126"/>
        <v>7.3867562665173168</v>
      </c>
      <c r="AT110" s="168">
        <f t="shared" si="126"/>
        <v>15.325208411409649</v>
      </c>
      <c r="AU110" s="168">
        <f t="shared" si="126"/>
        <v>9.2458633593567132</v>
      </c>
      <c r="AV110" s="168">
        <f t="shared" si="126"/>
        <v>47.085132529501024</v>
      </c>
      <c r="AW110" s="168">
        <f t="shared" si="126"/>
        <v>48.382753387787211</v>
      </c>
      <c r="AX110" s="168">
        <f t="shared" si="126"/>
        <v>1.4768199278028407</v>
      </c>
      <c r="AY110" s="168">
        <f t="shared" si="126"/>
        <v>36.501813254667333</v>
      </c>
      <c r="AZ110" s="168">
        <f t="shared" si="126"/>
        <v>26.891250753486059</v>
      </c>
      <c r="BA110" s="168">
        <f t="shared" si="126"/>
        <v>16.276478710231562</v>
      </c>
      <c r="BB110" s="168">
        <f t="shared" si="126"/>
        <v>32.191407812643668</v>
      </c>
      <c r="BC110" s="168">
        <f t="shared" si="126"/>
        <v>27.894300855531114</v>
      </c>
      <c r="BD110" s="168">
        <f t="shared" si="126"/>
        <v>24.176478430452132</v>
      </c>
      <c r="BE110" s="168">
        <f t="shared" si="126"/>
        <v>20.309610263622108</v>
      </c>
      <c r="BF110" s="168">
        <f t="shared" si="126"/>
        <v>29.128930203233448</v>
      </c>
      <c r="BG110" s="168">
        <f t="shared" si="126"/>
        <v>44.996436255166401</v>
      </c>
      <c r="BH110" s="168">
        <f t="shared" si="126"/>
        <v>19.570937925698455</v>
      </c>
      <c r="BI110" s="168">
        <f t="shared" si="126"/>
        <v>22.392671810967038</v>
      </c>
      <c r="BJ110" s="168">
        <f t="shared" si="126"/>
        <v>44.066805934701861</v>
      </c>
      <c r="BK110" s="168">
        <f t="shared" si="126"/>
        <v>47.581686392651036</v>
      </c>
      <c r="BL110" s="168">
        <f t="shared" si="126"/>
        <v>47.423524944659896</v>
      </c>
      <c r="BM110" s="168">
        <f t="shared" si="126"/>
        <v>19.677811910902442</v>
      </c>
      <c r="BN110" s="168">
        <f t="shared" si="126"/>
        <v>7.823583659101419</v>
      </c>
      <c r="BO110" s="168">
        <f t="shared" si="126"/>
        <v>18.598597285691795</v>
      </c>
      <c r="BP110" s="168">
        <f t="shared" si="126"/>
        <v>8.0168660488001464</v>
      </c>
      <c r="BQ110" s="168">
        <f t="shared" si="126"/>
        <v>3.5312606851401238</v>
      </c>
      <c r="BR110" s="168">
        <f t="shared" ref="BR110:CW110" si="127">BR109*BR59^0.25</f>
        <v>47.844988068602511</v>
      </c>
      <c r="BS110" s="168">
        <f t="shared" si="127"/>
        <v>26.934129466654969</v>
      </c>
      <c r="BT110" s="168">
        <f t="shared" si="127"/>
        <v>43.765325965455034</v>
      </c>
      <c r="BU110" s="168">
        <f t="shared" si="127"/>
        <v>45.885527508522891</v>
      </c>
      <c r="BV110" s="168">
        <f t="shared" si="127"/>
        <v>29.840542421047321</v>
      </c>
      <c r="BW110" s="168">
        <f t="shared" si="127"/>
        <v>14.527959811719031</v>
      </c>
      <c r="BX110" s="168">
        <f t="shared" si="127"/>
        <v>37.575634910306043</v>
      </c>
      <c r="BY110" s="168">
        <f t="shared" si="127"/>
        <v>33.311215159813301</v>
      </c>
      <c r="BZ110" s="168">
        <f t="shared" si="127"/>
        <v>11.310163859661401</v>
      </c>
      <c r="CA110" s="168">
        <f t="shared" si="127"/>
        <v>48.142083124649687</v>
      </c>
      <c r="CB110" s="168">
        <f t="shared" si="127"/>
        <v>3.9655409510871924</v>
      </c>
      <c r="CC110" s="168">
        <f t="shared" si="127"/>
        <v>32.567109263275604</v>
      </c>
      <c r="CD110" s="168">
        <f t="shared" si="127"/>
        <v>48.403832887646757</v>
      </c>
      <c r="CE110" s="168">
        <f t="shared" si="127"/>
        <v>31.966999398663852</v>
      </c>
      <c r="CF110" s="168">
        <f t="shared" si="127"/>
        <v>46.194305748520243</v>
      </c>
      <c r="CG110" s="168">
        <f t="shared" si="127"/>
        <v>24.291820779657268</v>
      </c>
      <c r="CH110" s="168">
        <f t="shared" si="127"/>
        <v>28.5462363303504</v>
      </c>
      <c r="CI110" s="168">
        <f t="shared" si="127"/>
        <v>36.015577309279649</v>
      </c>
      <c r="CJ110" s="168">
        <f t="shared" si="127"/>
        <v>10.396580948121001</v>
      </c>
      <c r="CK110" s="168">
        <f t="shared" si="127"/>
        <v>19.073456946353083</v>
      </c>
      <c r="CL110" s="168">
        <f t="shared" si="127"/>
        <v>8.2941585222179484</v>
      </c>
      <c r="CM110" s="168">
        <f t="shared" si="127"/>
        <v>15.879377426646144</v>
      </c>
      <c r="CN110" s="168">
        <f t="shared" si="127"/>
        <v>29.467200813809839</v>
      </c>
      <c r="CO110" s="168">
        <f t="shared" si="127"/>
        <v>31.578023402145391</v>
      </c>
      <c r="CP110" s="168">
        <f t="shared" si="127"/>
        <v>30.962225908209955</v>
      </c>
      <c r="CQ110" s="168">
        <f t="shared" si="127"/>
        <v>28.597558787163035</v>
      </c>
      <c r="CR110" s="168">
        <f t="shared" si="127"/>
        <v>32.34366170631229</v>
      </c>
      <c r="CS110" s="168">
        <f t="shared" si="127"/>
        <v>4.5564917229361388</v>
      </c>
      <c r="CT110" s="168">
        <f t="shared" si="127"/>
        <v>22.629142739430687</v>
      </c>
      <c r="CU110" s="168">
        <f t="shared" si="127"/>
        <v>18.156480989044649</v>
      </c>
      <c r="CV110" s="168">
        <f t="shared" si="127"/>
        <v>32.523452233454023</v>
      </c>
      <c r="CW110" s="168">
        <f t="shared" si="127"/>
        <v>24.05646583663988</v>
      </c>
      <c r="CX110" s="168">
        <f>CX109*CX59^0.25</f>
        <v>22.16992221843589</v>
      </c>
      <c r="CY110" s="168">
        <f>CY109*CY59^0.25</f>
        <v>30.548727237637959</v>
      </c>
      <c r="CZ110" s="168">
        <f>CZ109*CZ59^0.25</f>
        <v>43.066424115893824</v>
      </c>
      <c r="DA110" s="168">
        <f>DA109*DA59^0.25</f>
        <v>48.485874630787151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21.803899699278123</v>
      </c>
      <c r="H112" s="168">
        <f t="shared" si="128"/>
        <v>48.663468645863084</v>
      </c>
      <c r="I112" s="168">
        <f t="shared" si="128"/>
        <v>19.629215824245083</v>
      </c>
      <c r="J112" s="168">
        <f t="shared" si="128"/>
        <v>27.75653375633123</v>
      </c>
      <c r="K112" s="168">
        <f t="shared" si="128"/>
        <v>55.513890842431536</v>
      </c>
      <c r="L112" s="168">
        <f t="shared" si="128"/>
        <v>24.107270727299394</v>
      </c>
      <c r="M112" s="168">
        <f t="shared" si="128"/>
        <v>51.615143793469102</v>
      </c>
      <c r="N112" s="168">
        <f t="shared" si="128"/>
        <v>46.933994284577089</v>
      </c>
      <c r="O112" s="168">
        <f t="shared" si="128"/>
        <v>3.7869134617186928</v>
      </c>
      <c r="P112" s="168">
        <f t="shared" si="128"/>
        <v>47.454491756272674</v>
      </c>
      <c r="Q112" s="168">
        <f t="shared" si="128"/>
        <v>45.211811375688875</v>
      </c>
      <c r="R112" s="168">
        <f t="shared" si="128"/>
        <v>49.793382714340972</v>
      </c>
      <c r="S112" s="168">
        <f t="shared" si="128"/>
        <v>26.720077685580542</v>
      </c>
      <c r="T112" s="168">
        <f t="shared" si="128"/>
        <v>7.5674206798217254</v>
      </c>
      <c r="U112" s="168">
        <f t="shared" si="128"/>
        <v>16.939873656123162</v>
      </c>
      <c r="V112" s="168">
        <f t="shared" si="128"/>
        <v>25.173726131776949</v>
      </c>
      <c r="W112" s="168">
        <f t="shared" si="128"/>
        <v>20.594903069839038</v>
      </c>
      <c r="X112" s="168">
        <f t="shared" si="128"/>
        <v>15.76403492748152</v>
      </c>
      <c r="Y112" s="168">
        <f t="shared" si="128"/>
        <v>19.759160422279642</v>
      </c>
      <c r="Z112" s="168">
        <f t="shared" si="128"/>
        <v>32.069191587715281</v>
      </c>
      <c r="AA112" s="168">
        <f t="shared" si="128"/>
        <v>20.880713728006693</v>
      </c>
      <c r="AB112" s="168">
        <f t="shared" si="128"/>
        <v>23.478632745825376</v>
      </c>
      <c r="AC112" s="168">
        <f t="shared" si="128"/>
        <v>4.5254088693509349</v>
      </c>
      <c r="AD112" s="168">
        <f t="shared" si="128"/>
        <v>8.6794244038024946</v>
      </c>
      <c r="AE112" s="168">
        <f t="shared" si="128"/>
        <v>12.312394445002685</v>
      </c>
      <c r="AF112" s="168">
        <f t="shared" si="128"/>
        <v>9.7151761532844993</v>
      </c>
      <c r="AG112" s="168">
        <f t="shared" si="128"/>
        <v>1.696742660421753</v>
      </c>
      <c r="AH112" s="168">
        <f t="shared" si="128"/>
        <v>0.20589514070705153</v>
      </c>
      <c r="AI112" s="168">
        <f t="shared" si="128"/>
        <v>2.7888858553743847</v>
      </c>
      <c r="AJ112" s="168">
        <f t="shared" si="128"/>
        <v>2.556936600575038</v>
      </c>
      <c r="AK112" s="168">
        <f t="shared" si="128"/>
        <v>0.50521418836754617</v>
      </c>
      <c r="AL112" s="168">
        <f t="shared" si="128"/>
        <v>-1.0385907308799691</v>
      </c>
      <c r="AM112" s="168">
        <f t="shared" si="128"/>
        <v>0.22702991247330293</v>
      </c>
      <c r="AN112" s="168">
        <f t="shared" si="128"/>
        <v>-4.9957608198483472</v>
      </c>
      <c r="AO112" s="168">
        <f t="shared" si="128"/>
        <v>-3.4995192508103514</v>
      </c>
      <c r="AP112" s="168">
        <f t="shared" si="128"/>
        <v>5.959013252683474E-2</v>
      </c>
      <c r="AQ112" s="168">
        <f t="shared" si="128"/>
        <v>-6.9688940254994565</v>
      </c>
      <c r="AR112" s="168">
        <f t="shared" si="128"/>
        <v>-3.2987020009103203</v>
      </c>
      <c r="AS112" s="168">
        <f t="shared" si="128"/>
        <v>-2.1171207174563409</v>
      </c>
      <c r="AT112" s="168">
        <f t="shared" si="128"/>
        <v>-4.8590539956309353</v>
      </c>
      <c r="AU112" s="168">
        <f t="shared" si="128"/>
        <v>-3.4963392215522213</v>
      </c>
      <c r="AV112" s="168">
        <f t="shared" si="128"/>
        <v>-26.16717577611</v>
      </c>
      <c r="AW112" s="168">
        <f t="shared" si="128"/>
        <v>-27.317722348318565</v>
      </c>
      <c r="AX112" s="168">
        <f t="shared" si="128"/>
        <v>-0.78131235210701522</v>
      </c>
      <c r="AY112" s="168">
        <f t="shared" si="128"/>
        <v>-26.589514959737297</v>
      </c>
      <c r="AZ112" s="168">
        <f t="shared" si="128"/>
        <v>-19.629217183399042</v>
      </c>
      <c r="BA112" s="168">
        <f t="shared" si="128"/>
        <v>-11.023405695972363</v>
      </c>
      <c r="BB112" s="168">
        <f t="shared" si="128"/>
        <v>-28.253825206691491</v>
      </c>
      <c r="BC112" s="168">
        <f t="shared" si="128"/>
        <v>-23.947559674415277</v>
      </c>
      <c r="BD112" s="168">
        <f t="shared" si="128"/>
        <v>-24.005158516533456</v>
      </c>
      <c r="BE112" s="168">
        <f t="shared" si="128"/>
        <v>-20.316047979971056</v>
      </c>
      <c r="BF112" s="168">
        <f t="shared" si="128"/>
        <v>-29.265523520434421</v>
      </c>
      <c r="BG112" s="168">
        <f t="shared" si="128"/>
        <v>-47.407968736840566</v>
      </c>
      <c r="BH112" s="168">
        <f t="shared" si="128"/>
        <v>-20.708403028960024</v>
      </c>
      <c r="BI112" s="168">
        <f t="shared" si="128"/>
        <v>-23.507155581906222</v>
      </c>
      <c r="BJ112" s="168">
        <f t="shared" si="128"/>
        <v>-46.278673753228297</v>
      </c>
      <c r="BK112" s="168">
        <f t="shared" si="128"/>
        <v>-49.938711260025684</v>
      </c>
      <c r="BL112" s="168">
        <f t="shared" si="128"/>
        <v>-49.208150894791629</v>
      </c>
      <c r="BM112" s="168">
        <f t="shared" si="128"/>
        <v>-20.403936832456459</v>
      </c>
      <c r="BN112" s="168">
        <f t="shared" si="128"/>
        <v>-7.6131751315922127</v>
      </c>
      <c r="BO112" s="168">
        <f t="shared" si="128"/>
        <v>-18.341682374911503</v>
      </c>
      <c r="BP112" s="168">
        <f t="shared" si="128"/>
        <v>-6.8394502429576871</v>
      </c>
      <c r="BQ112" s="168">
        <f t="shared" si="128"/>
        <v>-2.0550206362227614</v>
      </c>
      <c r="BR112" s="168">
        <f t="shared" si="128"/>
        <v>-44.935873205950209</v>
      </c>
      <c r="BS112" s="168">
        <f t="shared" ref="BS112:DA112" si="129">BS109*COS(PI()*BS$96/180)</f>
        <v>-24.71931869981162</v>
      </c>
      <c r="BT112" s="168">
        <f t="shared" si="129"/>
        <v>-38.168395934648238</v>
      </c>
      <c r="BU112" s="168">
        <f t="shared" si="129"/>
        <v>-39.139591292004553</v>
      </c>
      <c r="BV112" s="168">
        <f t="shared" si="129"/>
        <v>-23.405889621128189</v>
      </c>
      <c r="BW112" s="168">
        <f t="shared" si="129"/>
        <v>-8.3736885968676571</v>
      </c>
      <c r="BX112" s="168">
        <f t="shared" si="129"/>
        <v>-25.069436787822024</v>
      </c>
      <c r="BY112" s="168">
        <f t="shared" si="129"/>
        <v>-19.724593570477509</v>
      </c>
      <c r="BZ112" s="168">
        <f t="shared" si="129"/>
        <v>-7.00409663547065</v>
      </c>
      <c r="CA112" s="168">
        <f t="shared" si="129"/>
        <v>-31.016502502049104</v>
      </c>
      <c r="CB112" s="168">
        <f t="shared" si="129"/>
        <v>-0.91413360108836028</v>
      </c>
      <c r="CC112" s="168">
        <f t="shared" si="129"/>
        <v>-15.338513453246112</v>
      </c>
      <c r="CD112" s="168">
        <f t="shared" si="129"/>
        <v>-19.209037306751622</v>
      </c>
      <c r="CE112" s="168">
        <f t="shared" si="129"/>
        <v>-10.028345614463065</v>
      </c>
      <c r="CF112" s="168">
        <f t="shared" si="129"/>
        <v>-16.021709617865138</v>
      </c>
      <c r="CG112" s="168">
        <f t="shared" si="129"/>
        <v>-3.3311790750296839</v>
      </c>
      <c r="CH112" s="168">
        <f t="shared" si="129"/>
        <v>2.660787288915281</v>
      </c>
      <c r="CI112" s="168">
        <f t="shared" si="129"/>
        <v>8.4647592056355752</v>
      </c>
      <c r="CJ112" s="168">
        <f t="shared" si="129"/>
        <v>1.7863182124206591</v>
      </c>
      <c r="CK112" s="168">
        <f t="shared" si="129"/>
        <v>4.8930537786196346</v>
      </c>
      <c r="CL112" s="168">
        <f t="shared" si="129"/>
        <v>5.3667853807038082</v>
      </c>
      <c r="CM112" s="168">
        <f t="shared" si="129"/>
        <v>8.9180150078142066</v>
      </c>
      <c r="CN112" s="168">
        <f t="shared" si="129"/>
        <v>15.624239269034444</v>
      </c>
      <c r="CO112" s="168">
        <f t="shared" si="129"/>
        <v>20.31384123673887</v>
      </c>
      <c r="CP112" s="168">
        <f t="shared" si="129"/>
        <v>25.653438462653611</v>
      </c>
      <c r="CQ112" s="168">
        <f t="shared" si="129"/>
        <v>24.712110087399004</v>
      </c>
      <c r="CR112" s="168">
        <f t="shared" si="129"/>
        <v>28.956015319790257</v>
      </c>
      <c r="CS112" s="168">
        <f t="shared" si="129"/>
        <v>4.4765155459004617</v>
      </c>
      <c r="CT112" s="168">
        <f t="shared" si="129"/>
        <v>22.216289075734426</v>
      </c>
      <c r="CU112" s="168">
        <f t="shared" si="129"/>
        <v>18.028172095564322</v>
      </c>
      <c r="CV112" s="168">
        <f t="shared" si="129"/>
        <v>33.511007174900037</v>
      </c>
      <c r="CW112" s="168">
        <f t="shared" si="129"/>
        <v>24.850483254266194</v>
      </c>
      <c r="CX112" s="168">
        <f t="shared" si="129"/>
        <v>23.081388399422842</v>
      </c>
      <c r="CY112" s="168">
        <f t="shared" si="129"/>
        <v>32.218063079347203</v>
      </c>
      <c r="CZ112" s="168">
        <f t="shared" si="129"/>
        <v>45.614567535020143</v>
      </c>
      <c r="DA112" s="168">
        <f t="shared" si="129"/>
        <v>51.351815843806953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2.2876478133999374</v>
      </c>
      <c r="H113" s="168">
        <f t="shared" si="130"/>
        <v>7.6673387299093534</v>
      </c>
      <c r="I113" s="168">
        <f t="shared" si="130"/>
        <v>3.1307949190359716</v>
      </c>
      <c r="J113" s="168">
        <f t="shared" si="130"/>
        <v>9.2170881565329434</v>
      </c>
      <c r="K113" s="168">
        <f t="shared" si="130"/>
        <v>16.300803909485833</v>
      </c>
      <c r="L113" s="168">
        <f t="shared" si="130"/>
        <v>9.4285188455080977</v>
      </c>
      <c r="M113" s="168">
        <f t="shared" si="130"/>
        <v>17.589720286120457</v>
      </c>
      <c r="N113" s="168">
        <f t="shared" si="130"/>
        <v>15.73709099345816</v>
      </c>
      <c r="O113" s="168">
        <f t="shared" si="130"/>
        <v>0.67720258221485041</v>
      </c>
      <c r="P113" s="168">
        <f t="shared" si="130"/>
        <v>29.377021837778027</v>
      </c>
      <c r="Q113" s="168">
        <f t="shared" si="130"/>
        <v>31.211215023924186</v>
      </c>
      <c r="R113" s="168">
        <f t="shared" si="130"/>
        <v>34.700415094276039</v>
      </c>
      <c r="S113" s="168">
        <f t="shared" si="130"/>
        <v>20.331159333423042</v>
      </c>
      <c r="T113" s="168">
        <f t="shared" si="130"/>
        <v>6.9313319340866322</v>
      </c>
      <c r="U113" s="168">
        <f t="shared" si="130"/>
        <v>13.492329563090262</v>
      </c>
      <c r="V113" s="168">
        <f t="shared" si="130"/>
        <v>22.981732338779167</v>
      </c>
      <c r="W113" s="168">
        <f t="shared" si="130"/>
        <v>23.64808801296692</v>
      </c>
      <c r="X113" s="168">
        <f t="shared" si="130"/>
        <v>17.311258320349847</v>
      </c>
      <c r="Y113" s="168">
        <f t="shared" si="130"/>
        <v>33.930024407263829</v>
      </c>
      <c r="Z113" s="168">
        <f t="shared" si="130"/>
        <v>43.689455264550368</v>
      </c>
      <c r="AA113" s="168">
        <f t="shared" si="130"/>
        <v>42.965273899149693</v>
      </c>
      <c r="AB113" s="168">
        <f t="shared" si="130"/>
        <v>44.739835807416149</v>
      </c>
      <c r="AC113" s="168">
        <f t="shared" si="130"/>
        <v>14.79630820001101</v>
      </c>
      <c r="AD113" s="168">
        <f t="shared" si="130"/>
        <v>34.198690480556287</v>
      </c>
      <c r="AE113" s="168">
        <f t="shared" si="130"/>
        <v>51.549308850391625</v>
      </c>
      <c r="AF113" s="168">
        <f t="shared" si="130"/>
        <v>42.516992595064899</v>
      </c>
      <c r="AG113" s="168">
        <f t="shared" si="130"/>
        <v>18.333011659824962</v>
      </c>
      <c r="AH113" s="168">
        <f t="shared" si="130"/>
        <v>19.300197870060643</v>
      </c>
      <c r="AI113" s="168">
        <f t="shared" si="130"/>
        <v>41.763859258394909</v>
      </c>
      <c r="AJ113" s="168">
        <f t="shared" si="130"/>
        <v>20.754314167968051</v>
      </c>
      <c r="AK113" s="168">
        <f t="shared" si="130"/>
        <v>41.612537618386028</v>
      </c>
      <c r="AL113" s="168">
        <f t="shared" si="130"/>
        <v>47.251304511006481</v>
      </c>
      <c r="AM113" s="168">
        <f t="shared" si="130"/>
        <v>24.682824809291809</v>
      </c>
      <c r="AN113" s="168">
        <f t="shared" si="130"/>
        <v>41.05659721474354</v>
      </c>
      <c r="AO113" s="168">
        <f t="shared" si="130"/>
        <v>18.860684370843458</v>
      </c>
      <c r="AP113" s="168">
        <f t="shared" si="130"/>
        <v>7.6141440991126021</v>
      </c>
      <c r="AQ113" s="168">
        <f t="shared" si="130"/>
        <v>24.360657062173658</v>
      </c>
      <c r="AR113" s="168">
        <f t="shared" si="130"/>
        <v>19.751095882831006</v>
      </c>
      <c r="AS113" s="168">
        <f t="shared" si="130"/>
        <v>7.5341892558666794</v>
      </c>
      <c r="AT113" s="168">
        <f t="shared" si="130"/>
        <v>15.492362312614741</v>
      </c>
      <c r="AU113" s="168">
        <f t="shared" si="130"/>
        <v>9.150431167973835</v>
      </c>
      <c r="AV113" s="168">
        <f t="shared" si="130"/>
        <v>42.471027352883439</v>
      </c>
      <c r="AW113" s="168">
        <f t="shared" si="130"/>
        <v>43.373991675231586</v>
      </c>
      <c r="AX113" s="168">
        <f t="shared" si="130"/>
        <v>1.3555948794942272</v>
      </c>
      <c r="AY113" s="168">
        <f t="shared" si="130"/>
        <v>28.0810672496956</v>
      </c>
      <c r="AZ113" s="168">
        <f t="shared" si="130"/>
        <v>20.64922098195656</v>
      </c>
      <c r="BA113" s="168">
        <f t="shared" si="130"/>
        <v>13.260897102836646</v>
      </c>
      <c r="BB113" s="168">
        <f t="shared" si="130"/>
        <v>19.102719530186846</v>
      </c>
      <c r="BC113" s="168">
        <f t="shared" si="130"/>
        <v>17.317423236987235</v>
      </c>
      <c r="BD113" s="168">
        <f t="shared" si="130"/>
        <v>8.934976149627051</v>
      </c>
      <c r="BE113" s="168">
        <f t="shared" si="130"/>
        <v>7.0888392361832055</v>
      </c>
      <c r="BF113" s="168">
        <f t="shared" si="130"/>
        <v>9.7944928674273406</v>
      </c>
      <c r="BG113" s="168">
        <f t="shared" si="130"/>
        <v>5.0110023890584561</v>
      </c>
      <c r="BH113" s="168">
        <f t="shared" si="130"/>
        <v>-1.0436790331104755</v>
      </c>
      <c r="BI113" s="168">
        <f t="shared" si="130"/>
        <v>-3.201834789979765</v>
      </c>
      <c r="BJ113" s="168">
        <f t="shared" si="130"/>
        <v>-6.1623660816422809</v>
      </c>
      <c r="BK113" s="168">
        <f t="shared" si="130"/>
        <v>-6.8846306860724544</v>
      </c>
      <c r="BL113" s="168">
        <f t="shared" si="130"/>
        <v>-10.147147933521744</v>
      </c>
      <c r="BM113" s="168">
        <f t="shared" si="130"/>
        <v>-4.2795959965703796</v>
      </c>
      <c r="BN113" s="168">
        <f t="shared" si="130"/>
        <v>-3.2777643539710848</v>
      </c>
      <c r="BO113" s="168">
        <f t="shared" si="130"/>
        <v>-7.2007699974692043</v>
      </c>
      <c r="BP113" s="168">
        <f t="shared" si="130"/>
        <v>-5.0361408528200959</v>
      </c>
      <c r="BQ113" s="168">
        <f t="shared" si="130"/>
        <v>-3.1263028796821182</v>
      </c>
      <c r="BR113" s="168">
        <f t="shared" si="130"/>
        <v>-23.457265534049039</v>
      </c>
      <c r="BS113" s="168">
        <f t="shared" ref="BS113:DA113" si="131">BS109*SIN(PI()*BS$96/180)</f>
        <v>-14.256310123248733</v>
      </c>
      <c r="BT113" s="168">
        <f t="shared" si="131"/>
        <v>-26.327581999258101</v>
      </c>
      <c r="BU113" s="168">
        <f t="shared" si="131"/>
        <v>-28.834278551267971</v>
      </c>
      <c r="BV113" s="168">
        <f t="shared" si="131"/>
        <v>-21.252520067622577</v>
      </c>
      <c r="BW113" s="168">
        <f t="shared" si="131"/>
        <v>-12.914720019843925</v>
      </c>
      <c r="BX113" s="168">
        <f t="shared" si="131"/>
        <v>-30.925059627165659</v>
      </c>
      <c r="BY113" s="168">
        <f t="shared" si="131"/>
        <v>-29.265438478935064</v>
      </c>
      <c r="BZ113" s="168">
        <f t="shared" si="131"/>
        <v>-9.722538672557766</v>
      </c>
      <c r="CA113" s="168">
        <f t="shared" si="131"/>
        <v>-40.490272275795689</v>
      </c>
      <c r="CB113" s="168">
        <f t="shared" si="131"/>
        <v>-4.1006894004077434</v>
      </c>
      <c r="CC113" s="168">
        <f t="shared" si="131"/>
        <v>-30.906825971818467</v>
      </c>
      <c r="CD113" s="168">
        <f t="shared" si="131"/>
        <v>-47.548544198141556</v>
      </c>
      <c r="CE113" s="168">
        <f t="shared" si="131"/>
        <v>-32.349095195045464</v>
      </c>
      <c r="CF113" s="168">
        <f t="shared" si="131"/>
        <v>-46.24437443896862</v>
      </c>
      <c r="CG113" s="168">
        <f t="shared" si="131"/>
        <v>-25.51979124730504</v>
      </c>
      <c r="CH113" s="168">
        <f t="shared" si="131"/>
        <v>-30.126410745819346</v>
      </c>
      <c r="CI113" s="168">
        <f t="shared" si="131"/>
        <v>-37.206422197058416</v>
      </c>
      <c r="CJ113" s="168">
        <f t="shared" si="131"/>
        <v>-10.868981096079134</v>
      </c>
      <c r="CK113" s="168">
        <f t="shared" si="131"/>
        <v>-19.606276560985378</v>
      </c>
      <c r="CL113" s="168">
        <f t="shared" si="131"/>
        <v>-6.9581046208717998</v>
      </c>
      <c r="CM113" s="168">
        <f t="shared" si="131"/>
        <v>-14.265448036039437</v>
      </c>
      <c r="CN113" s="168">
        <f t="shared" si="131"/>
        <v>-27.028407587474049</v>
      </c>
      <c r="CO113" s="168">
        <f t="shared" si="131"/>
        <v>-26.582608733724797</v>
      </c>
      <c r="CP113" s="168">
        <f t="shared" si="131"/>
        <v>-20.444068210477642</v>
      </c>
      <c r="CQ113" s="168">
        <f t="shared" si="131"/>
        <v>-17.529516256767373</v>
      </c>
      <c r="CR113" s="168">
        <f t="shared" si="131"/>
        <v>-18.324047094485341</v>
      </c>
      <c r="CS113" s="168">
        <f t="shared" si="131"/>
        <v>-1.8069132485267621</v>
      </c>
      <c r="CT113" s="168">
        <f t="shared" si="131"/>
        <v>-9.0124765418298463</v>
      </c>
      <c r="CU113" s="168">
        <f t="shared" si="131"/>
        <v>-6.7092013009486129</v>
      </c>
      <c r="CV113" s="168">
        <f t="shared" si="131"/>
        <v>-8.0202636225060573</v>
      </c>
      <c r="CW113" s="168">
        <f t="shared" si="131"/>
        <v>-5.660165764303037</v>
      </c>
      <c r="CX113" s="168">
        <f t="shared" si="131"/>
        <v>-4.3526686629329614</v>
      </c>
      <c r="CY113" s="168">
        <f t="shared" si="131"/>
        <v>-3.0831410781713324</v>
      </c>
      <c r="CZ113" s="168">
        <f t="shared" si="131"/>
        <v>1.0772843561335357</v>
      </c>
      <c r="DA113" s="168">
        <f t="shared" si="131"/>
        <v>1.3283939663465585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20.580140852562572</v>
      </c>
      <c r="H114" s="168">
        <f t="shared" si="132"/>
        <v>45.932198043420733</v>
      </c>
      <c r="I114" s="168">
        <f t="shared" si="132"/>
        <v>18.527512603705862</v>
      </c>
      <c r="J114" s="168">
        <f t="shared" si="132"/>
        <v>26.198679234573646</v>
      </c>
      <c r="K114" s="168">
        <f t="shared" si="132"/>
        <v>52.39813558896757</v>
      </c>
      <c r="L114" s="168">
        <f t="shared" si="132"/>
        <v>22.75423359955677</v>
      </c>
      <c r="M114" s="168">
        <f t="shared" si="132"/>
        <v>48.718208395997777</v>
      </c>
      <c r="N114" s="168">
        <f t="shared" si="132"/>
        <v>44.299791618558125</v>
      </c>
      <c r="O114" s="168">
        <f t="shared" si="132"/>
        <v>3.5743703426234466</v>
      </c>
      <c r="P114" s="168">
        <f t="shared" si="132"/>
        <v>44.791075812149082</v>
      </c>
      <c r="Q114" s="168">
        <f t="shared" si="132"/>
        <v>42.674267408319317</v>
      </c>
      <c r="R114" s="168">
        <f t="shared" si="132"/>
        <v>46.998694908719415</v>
      </c>
      <c r="S114" s="168">
        <f t="shared" si="132"/>
        <v>25.220394972687735</v>
      </c>
      <c r="T114" s="168">
        <f t="shared" si="132"/>
        <v>7.1426939964543159</v>
      </c>
      <c r="U114" s="168">
        <f t="shared" si="132"/>
        <v>15.989111611954941</v>
      </c>
      <c r="V114" s="168">
        <f t="shared" si="132"/>
        <v>23.760833461958963</v>
      </c>
      <c r="W114" s="168">
        <f t="shared" si="132"/>
        <v>19.438999989354805</v>
      </c>
      <c r="X114" s="168">
        <f t="shared" si="132"/>
        <v>14.879267639587731</v>
      </c>
      <c r="Y114" s="168">
        <f t="shared" si="132"/>
        <v>18.65016397192278</v>
      </c>
      <c r="Z114" s="168">
        <f t="shared" si="132"/>
        <v>30.269286183005413</v>
      </c>
      <c r="AA114" s="168">
        <f t="shared" si="132"/>
        <v>19.70876932802263</v>
      </c>
      <c r="AB114" s="168">
        <f t="shared" si="132"/>
        <v>22.160878356575431</v>
      </c>
      <c r="AC114" s="168">
        <f t="shared" si="132"/>
        <v>4.2714171882638778</v>
      </c>
      <c r="AD114" s="168">
        <f t="shared" si="132"/>
        <v>8.1922857476425683</v>
      </c>
      <c r="AE114" s="168">
        <f t="shared" si="132"/>
        <v>11.621352849960752</v>
      </c>
      <c r="AF114" s="168">
        <f t="shared" si="132"/>
        <v>9.1699052187747654</v>
      </c>
      <c r="AG114" s="168">
        <f t="shared" si="132"/>
        <v>1.6015118131912667</v>
      </c>
      <c r="AH114" s="168">
        <f t="shared" si="132"/>
        <v>0.19433913451498766</v>
      </c>
      <c r="AI114" s="168">
        <f t="shared" si="132"/>
        <v>2.6323577211843676</v>
      </c>
      <c r="AJ114" s="168">
        <f t="shared" si="132"/>
        <v>2.4134267776258849</v>
      </c>
      <c r="AK114" s="168">
        <f t="shared" si="132"/>
        <v>0.47685869503708145</v>
      </c>
      <c r="AL114" s="168">
        <f t="shared" si="132"/>
        <v>-0.98029911274923553</v>
      </c>
      <c r="AM114" s="168">
        <f t="shared" si="132"/>
        <v>0.21428770269935773</v>
      </c>
      <c r="AN114" s="168">
        <f t="shared" si="132"/>
        <v>-4.7153703124765505</v>
      </c>
      <c r="AO114" s="168">
        <f t="shared" si="132"/>
        <v>-3.3031063292001708</v>
      </c>
      <c r="AP114" s="168">
        <f t="shared" si="132"/>
        <v>5.6245595409051136E-2</v>
      </c>
      <c r="AQ114" s="168">
        <f t="shared" si="132"/>
        <v>-6.5777600617062504</v>
      </c>
      <c r="AR114" s="168">
        <f t="shared" si="132"/>
        <v>-3.1135600853828906</v>
      </c>
      <c r="AS114" s="168">
        <f t="shared" si="132"/>
        <v>-1.9982958630364795</v>
      </c>
      <c r="AT114" s="168">
        <f t="shared" si="132"/>
        <v>-4.5863362526659568</v>
      </c>
      <c r="AU114" s="168">
        <f t="shared" si="132"/>
        <v>-3.3001047812683688</v>
      </c>
      <c r="AV114" s="168">
        <f t="shared" si="132"/>
        <v>-24.698525062649058</v>
      </c>
      <c r="AW114" s="168">
        <f t="shared" si="132"/>
        <v>-25.784496418235019</v>
      </c>
      <c r="AX114" s="168">
        <f t="shared" si="132"/>
        <v>-0.73746065969757191</v>
      </c>
      <c r="AY114" s="168">
        <f t="shared" si="132"/>
        <v>-25.097160169509959</v>
      </c>
      <c r="AZ114" s="168">
        <f t="shared" si="132"/>
        <v>-18.527513886576372</v>
      </c>
      <c r="BA114" s="168">
        <f t="shared" si="132"/>
        <v>-10.404709479816706</v>
      </c>
      <c r="BB114" s="168">
        <f t="shared" si="132"/>
        <v>-26.668059860715864</v>
      </c>
      <c r="BC114" s="168">
        <f t="shared" si="132"/>
        <v>-22.603486439213935</v>
      </c>
      <c r="BD114" s="168">
        <f t="shared" si="132"/>
        <v>-22.657852506756239</v>
      </c>
      <c r="BE114" s="168">
        <f t="shared" si="132"/>
        <v>-19.17579583293837</v>
      </c>
      <c r="BF114" s="168">
        <f t="shared" si="132"/>
        <v>-27.622975911711038</v>
      </c>
      <c r="BG114" s="168">
        <f t="shared" si="132"/>
        <v>-44.747163929137116</v>
      </c>
      <c r="BH114" s="168">
        <f t="shared" si="132"/>
        <v>-19.546129685312234</v>
      </c>
      <c r="BI114" s="168">
        <f t="shared" si="132"/>
        <v>-22.187800328890219</v>
      </c>
      <c r="BJ114" s="168">
        <f t="shared" si="132"/>
        <v>-43.681251402140752</v>
      </c>
      <c r="BK114" s="168">
        <f t="shared" si="132"/>
        <v>-47.135866789958094</v>
      </c>
      <c r="BL114" s="168">
        <f t="shared" si="132"/>
        <v>-46.44630962701104</v>
      </c>
      <c r="BM114" s="168">
        <f t="shared" si="132"/>
        <v>-19.258751863211227</v>
      </c>
      <c r="BN114" s="168">
        <f t="shared" si="132"/>
        <v>-7.1858804481925604</v>
      </c>
      <c r="BO114" s="168">
        <f t="shared" si="132"/>
        <v>-17.3122428535635</v>
      </c>
      <c r="BP114" s="168">
        <f t="shared" si="132"/>
        <v>-6.4555814003686054</v>
      </c>
      <c r="BQ114" s="168">
        <f t="shared" si="132"/>
        <v>-1.9396811915158179</v>
      </c>
      <c r="BR114" s="168">
        <f t="shared" si="132"/>
        <v>-42.413816457886433</v>
      </c>
      <c r="BS114" s="168">
        <f t="shared" ref="BS114:DA114" si="133">BS110*COS(PI()*BS$96/180)</f>
        <v>-23.331929959224212</v>
      </c>
      <c r="BT114" s="168">
        <f t="shared" si="133"/>
        <v>-36.02616849670445</v>
      </c>
      <c r="BU114" s="168">
        <f t="shared" si="133"/>
        <v>-36.942854847559829</v>
      </c>
      <c r="BV114" s="168">
        <f t="shared" si="133"/>
        <v>-22.09221798971577</v>
      </c>
      <c r="BW114" s="168">
        <f t="shared" si="133"/>
        <v>-7.90370957286778</v>
      </c>
      <c r="BX114" s="168">
        <f t="shared" si="133"/>
        <v>-23.662397429065056</v>
      </c>
      <c r="BY114" s="168">
        <f t="shared" si="133"/>
        <v>-18.617537208420416</v>
      </c>
      <c r="BZ114" s="168">
        <f t="shared" si="133"/>
        <v>-6.610986901013761</v>
      </c>
      <c r="CA114" s="168">
        <f t="shared" si="133"/>
        <v>-29.275679995315855</v>
      </c>
      <c r="CB114" s="168">
        <f t="shared" si="133"/>
        <v>-0.86282722485104602</v>
      </c>
      <c r="CC114" s="168">
        <f t="shared" si="133"/>
        <v>-14.477628850364871</v>
      </c>
      <c r="CD114" s="168">
        <f t="shared" si="133"/>
        <v>-18.130916894107976</v>
      </c>
      <c r="CE114" s="168">
        <f t="shared" si="133"/>
        <v>-9.4654978288430183</v>
      </c>
      <c r="CF114" s="168">
        <f t="shared" si="133"/>
        <v>-15.122480160988703</v>
      </c>
      <c r="CG114" s="168">
        <f t="shared" si="133"/>
        <v>-3.1442143614102993</v>
      </c>
      <c r="CH114" s="168">
        <f t="shared" si="133"/>
        <v>2.5114487747527812</v>
      </c>
      <c r="CI114" s="168">
        <f t="shared" si="133"/>
        <v>7.9896687811663956</v>
      </c>
      <c r="CJ114" s="168">
        <f t="shared" si="133"/>
        <v>1.6860598758089167</v>
      </c>
      <c r="CK114" s="168">
        <f t="shared" si="133"/>
        <v>4.618427774481531</v>
      </c>
      <c r="CL114" s="168">
        <f t="shared" si="133"/>
        <v>5.0655708650143314</v>
      </c>
      <c r="CM114" s="168">
        <f t="shared" si="133"/>
        <v>8.417485290127237</v>
      </c>
      <c r="CN114" s="168">
        <f t="shared" si="133"/>
        <v>14.747318108490191</v>
      </c>
      <c r="CO114" s="168">
        <f t="shared" si="133"/>
        <v>19.173712944685796</v>
      </c>
      <c r="CP114" s="168">
        <f t="shared" si="133"/>
        <v>24.21362160877289</v>
      </c>
      <c r="CQ114" s="168">
        <f t="shared" si="133"/>
        <v>23.325125935134515</v>
      </c>
      <c r="CR114" s="168">
        <f t="shared" si="133"/>
        <v>27.330839071414946</v>
      </c>
      <c r="CS114" s="168">
        <f t="shared" si="133"/>
        <v>4.225268036174632</v>
      </c>
      <c r="CT114" s="168">
        <f t="shared" si="133"/>
        <v>20.969384592014013</v>
      </c>
      <c r="CU114" s="168">
        <f t="shared" si="133"/>
        <v>17.016328553980443</v>
      </c>
      <c r="CV114" s="168">
        <f t="shared" si="133"/>
        <v>31.630178880042763</v>
      </c>
      <c r="CW114" s="168">
        <f t="shared" si="133"/>
        <v>23.455732812969131</v>
      </c>
      <c r="CX114" s="168">
        <f t="shared" si="133"/>
        <v>21.785929621963568</v>
      </c>
      <c r="CY114" s="168">
        <f t="shared" si="133"/>
        <v>30.409802159916527</v>
      </c>
      <c r="CZ114" s="168">
        <f t="shared" si="133"/>
        <v>43.054418601573474</v>
      </c>
      <c r="DA114" s="168">
        <f t="shared" si="133"/>
        <v>48.46965990837824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2.1592520085930409</v>
      </c>
      <c r="H115" s="168">
        <f t="shared" si="134"/>
        <v>7.2370040773516733</v>
      </c>
      <c r="I115" s="168">
        <f t="shared" si="134"/>
        <v>2.9550769038063738</v>
      </c>
      <c r="J115" s="168">
        <f t="shared" si="134"/>
        <v>8.6997727529545745</v>
      </c>
      <c r="K115" s="168">
        <f t="shared" si="134"/>
        <v>15.385910093795184</v>
      </c>
      <c r="L115" s="168">
        <f t="shared" si="134"/>
        <v>8.8993367492890041</v>
      </c>
      <c r="M115" s="168">
        <f t="shared" si="134"/>
        <v>16.602485153493948</v>
      </c>
      <c r="N115" s="168">
        <f t="shared" si="134"/>
        <v>14.853835952367978</v>
      </c>
      <c r="O115" s="168">
        <f t="shared" si="134"/>
        <v>0.63919412214880644</v>
      </c>
      <c r="P115" s="168">
        <f t="shared" si="134"/>
        <v>27.728216309410683</v>
      </c>
      <c r="Q115" s="168">
        <f t="shared" si="134"/>
        <v>29.459464143161643</v>
      </c>
      <c r="R115" s="168">
        <f t="shared" si="134"/>
        <v>32.752830462994318</v>
      </c>
      <c r="S115" s="168">
        <f t="shared" si="134"/>
        <v>19.190059051298572</v>
      </c>
      <c r="T115" s="168">
        <f t="shared" si="134"/>
        <v>6.5423061684736412</v>
      </c>
      <c r="U115" s="168">
        <f t="shared" si="134"/>
        <v>12.735063299102626</v>
      </c>
      <c r="V115" s="168">
        <f t="shared" si="134"/>
        <v>21.691866826172674</v>
      </c>
      <c r="W115" s="168">
        <f t="shared" si="134"/>
        <v>22.320822830457644</v>
      </c>
      <c r="X115" s="168">
        <f t="shared" si="134"/>
        <v>16.339652056814902</v>
      </c>
      <c r="Y115" s="168">
        <f t="shared" si="134"/>
        <v>32.025678482436518</v>
      </c>
      <c r="Z115" s="168">
        <f t="shared" si="134"/>
        <v>41.23735457955469</v>
      </c>
      <c r="AA115" s="168">
        <f t="shared" si="134"/>
        <v>40.55381839069392</v>
      </c>
      <c r="AB115" s="168">
        <f t="shared" si="134"/>
        <v>42.228781792994155</v>
      </c>
      <c r="AC115" s="168">
        <f t="shared" si="134"/>
        <v>13.965855239383382</v>
      </c>
      <c r="AD115" s="168">
        <f t="shared" si="134"/>
        <v>32.279265487831097</v>
      </c>
      <c r="AE115" s="168">
        <f t="shared" si="134"/>
        <v>48.656068484319512</v>
      </c>
      <c r="AF115" s="168">
        <f t="shared" si="134"/>
        <v>40.130697182704651</v>
      </c>
      <c r="AG115" s="168">
        <f t="shared" si="134"/>
        <v>17.304058788316706</v>
      </c>
      <c r="AH115" s="168">
        <f t="shared" si="134"/>
        <v>18.21696100818729</v>
      </c>
      <c r="AI115" s="168">
        <f t="shared" si="134"/>
        <v>39.419833971847837</v>
      </c>
      <c r="AJ115" s="168">
        <f t="shared" si="134"/>
        <v>19.589464030109191</v>
      </c>
      <c r="AK115" s="168">
        <f t="shared" si="134"/>
        <v>39.277005362820312</v>
      </c>
      <c r="AL115" s="168">
        <f t="shared" si="134"/>
        <v>44.599292590583396</v>
      </c>
      <c r="AM115" s="168">
        <f t="shared" si="134"/>
        <v>23.297484313375794</v>
      </c>
      <c r="AN115" s="168">
        <f t="shared" si="134"/>
        <v>38.752267496182093</v>
      </c>
      <c r="AO115" s="168">
        <f t="shared" si="134"/>
        <v>17.802115505995229</v>
      </c>
      <c r="AP115" s="168">
        <f t="shared" si="134"/>
        <v>7.1867950317453291</v>
      </c>
      <c r="AQ115" s="168">
        <f t="shared" si="134"/>
        <v>22.99339845234682</v>
      </c>
      <c r="AR115" s="168">
        <f t="shared" si="134"/>
        <v>18.642552060289859</v>
      </c>
      <c r="AS115" s="168">
        <f t="shared" si="134"/>
        <v>7.1113277089938798</v>
      </c>
      <c r="AT115" s="168">
        <f t="shared" si="134"/>
        <v>14.622842836829747</v>
      </c>
      <c r="AU115" s="168">
        <f t="shared" si="134"/>
        <v>8.6368569336619583</v>
      </c>
      <c r="AV115" s="168">
        <f t="shared" si="134"/>
        <v>40.087311771312031</v>
      </c>
      <c r="AW115" s="168">
        <f t="shared" si="134"/>
        <v>40.939596600863823</v>
      </c>
      <c r="AX115" s="168">
        <f t="shared" si="134"/>
        <v>1.2795111857869823</v>
      </c>
      <c r="AY115" s="168">
        <f t="shared" si="134"/>
        <v>26.504998062715842</v>
      </c>
      <c r="AZ115" s="168">
        <f t="shared" si="134"/>
        <v>19.490269271346261</v>
      </c>
      <c r="BA115" s="168">
        <f t="shared" si="134"/>
        <v>12.516620144641029</v>
      </c>
      <c r="BB115" s="168">
        <f t="shared" si="134"/>
        <v>18.030566275777677</v>
      </c>
      <c r="BC115" s="168">
        <f t="shared" si="134"/>
        <v>16.345470963271616</v>
      </c>
      <c r="BD115" s="168">
        <f t="shared" si="134"/>
        <v>8.4334944762060076</v>
      </c>
      <c r="BE115" s="168">
        <f t="shared" si="134"/>
        <v>6.690973265055538</v>
      </c>
      <c r="BF115" s="168">
        <f t="shared" si="134"/>
        <v>9.2447702278573445</v>
      </c>
      <c r="BG115" s="168">
        <f t="shared" si="134"/>
        <v>4.7297564381460102</v>
      </c>
      <c r="BH115" s="168">
        <f t="shared" si="134"/>
        <v>-0.98510183052213451</v>
      </c>
      <c r="BI115" s="168">
        <f t="shared" si="134"/>
        <v>-3.022129613199434</v>
      </c>
      <c r="BJ115" s="168">
        <f t="shared" si="134"/>
        <v>-5.8164990526649243</v>
      </c>
      <c r="BK115" s="168">
        <f t="shared" si="134"/>
        <v>-6.4982260600811941</v>
      </c>
      <c r="BL115" s="168">
        <f t="shared" si="134"/>
        <v>-9.5776322861446914</v>
      </c>
      <c r="BM115" s="168">
        <f t="shared" si="134"/>
        <v>-4.0394007318056611</v>
      </c>
      <c r="BN115" s="168">
        <f t="shared" si="134"/>
        <v>-3.093797578259224</v>
      </c>
      <c r="BO115" s="168">
        <f t="shared" si="134"/>
        <v>-6.7966218354842818</v>
      </c>
      <c r="BP115" s="168">
        <f t="shared" si="134"/>
        <v>-4.7534839883625759</v>
      </c>
      <c r="BQ115" s="168">
        <f t="shared" si="134"/>
        <v>-2.9508369832466301</v>
      </c>
      <c r="BR115" s="168">
        <f t="shared" si="134"/>
        <v>-22.140710394236194</v>
      </c>
      <c r="BS115" s="168">
        <f t="shared" ref="BS115:DA115" si="135">BS110*SIN(PI()*BS$96/180)</f>
        <v>-13.456164925579175</v>
      </c>
      <c r="BT115" s="168">
        <f t="shared" si="135"/>
        <v>-24.849928376347332</v>
      </c>
      <c r="BU115" s="168">
        <f t="shared" si="135"/>
        <v>-27.215934862641344</v>
      </c>
      <c r="BV115" s="168">
        <f t="shared" si="135"/>
        <v>-20.059707781450943</v>
      </c>
      <c r="BW115" s="168">
        <f t="shared" si="135"/>
        <v>-12.189872488204356</v>
      </c>
      <c r="BX115" s="168">
        <f t="shared" si="135"/>
        <v>-29.189369414593141</v>
      </c>
      <c r="BY115" s="168">
        <f t="shared" si="135"/>
        <v>-27.622895643224243</v>
      </c>
      <c r="BZ115" s="168">
        <f t="shared" si="135"/>
        <v>-9.1768545115968436</v>
      </c>
      <c r="CA115" s="168">
        <f t="shared" si="135"/>
        <v>-38.217727933415183</v>
      </c>
      <c r="CB115" s="168">
        <f t="shared" si="135"/>
        <v>-3.8705353912353462</v>
      </c>
      <c r="CC115" s="168">
        <f t="shared" si="135"/>
        <v>-29.172159135676164</v>
      </c>
      <c r="CD115" s="168">
        <f t="shared" si="135"/>
        <v>-44.879849496117785</v>
      </c>
      <c r="CE115" s="168">
        <f t="shared" si="135"/>
        <v>-30.533480008121302</v>
      </c>
      <c r="CF115" s="168">
        <f t="shared" si="135"/>
        <v>-43.648877160452514</v>
      </c>
      <c r="CG115" s="168">
        <f t="shared" si="135"/>
        <v>-24.087475435181869</v>
      </c>
      <c r="CH115" s="168">
        <f t="shared" si="135"/>
        <v>-28.435545250267484</v>
      </c>
      <c r="CI115" s="168">
        <f t="shared" si="135"/>
        <v>-35.118186195872276</v>
      </c>
      <c r="CJ115" s="168">
        <f t="shared" si="135"/>
        <v>-10.258952066659624</v>
      </c>
      <c r="CK115" s="168">
        <f t="shared" si="135"/>
        <v>-18.505860822352528</v>
      </c>
      <c r="CL115" s="168">
        <f t="shared" si="135"/>
        <v>-6.5675762198240664</v>
      </c>
      <c r="CM115" s="168">
        <f t="shared" si="135"/>
        <v>-13.464789966738088</v>
      </c>
      <c r="CN115" s="168">
        <f t="shared" si="135"/>
        <v>-25.511419647059874</v>
      </c>
      <c r="CO115" s="168">
        <f t="shared" si="135"/>
        <v>-25.090641560175982</v>
      </c>
      <c r="CP115" s="168">
        <f t="shared" si="135"/>
        <v>-19.296630840076578</v>
      </c>
      <c r="CQ115" s="168">
        <f t="shared" si="135"/>
        <v>-16.545660116639677</v>
      </c>
      <c r="CR115" s="168">
        <f t="shared" si="135"/>
        <v>-17.29559736536412</v>
      </c>
      <c r="CS115" s="168">
        <f t="shared" si="135"/>
        <v>-1.7054990013677838</v>
      </c>
      <c r="CT115" s="168">
        <f t="shared" si="135"/>
        <v>-8.5066451056649743</v>
      </c>
      <c r="CU115" s="168">
        <f t="shared" si="135"/>
        <v>-6.3326427696917857</v>
      </c>
      <c r="CV115" s="168">
        <f t="shared" si="135"/>
        <v>-7.5701208179435469</v>
      </c>
      <c r="CW115" s="168">
        <f t="shared" si="135"/>
        <v>-5.3424850730745916</v>
      </c>
      <c r="CX115" s="168">
        <f t="shared" si="135"/>
        <v>-4.1083721445783974</v>
      </c>
      <c r="CY115" s="168">
        <f t="shared" si="135"/>
        <v>-2.9100976674914891</v>
      </c>
      <c r="CZ115" s="168">
        <f t="shared" si="135"/>
        <v>1.0168210317085784</v>
      </c>
      <c r="DA115" s="168">
        <f t="shared" si="135"/>
        <v>1.2538369425727798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31.143320973521725</v>
      </c>
      <c r="H116" s="168">
        <f t="shared" si="136"/>
        <v>51.793668278504072</v>
      </c>
      <c r="I116" s="168">
        <f t="shared" si="136"/>
        <v>40.603955844021783</v>
      </c>
      <c r="J116" s="168">
        <f t="shared" si="136"/>
        <v>37.042537727008174</v>
      </c>
      <c r="K116" s="168">
        <f t="shared" si="136"/>
        <v>58.316837668244609</v>
      </c>
      <c r="L116" s="168">
        <f t="shared" si="136"/>
        <v>37.878080748339009</v>
      </c>
      <c r="M116" s="168">
        <f t="shared" si="136"/>
        <v>58.687740311339049</v>
      </c>
      <c r="N116" s="168">
        <f t="shared" si="136"/>
        <v>56.366512426314706</v>
      </c>
      <c r="O116" s="168">
        <f t="shared" si="136"/>
        <v>18.315082274712765</v>
      </c>
      <c r="P116" s="168">
        <f t="shared" si="136"/>
        <v>44.54638995890047</v>
      </c>
      <c r="Q116" s="168">
        <f t="shared" si="136"/>
        <v>46.730991123117072</v>
      </c>
      <c r="R116" s="168">
        <f t="shared" si="136"/>
        <v>47.336640566959154</v>
      </c>
      <c r="S116" s="168">
        <f t="shared" si="136"/>
        <v>38.719963426975312</v>
      </c>
      <c r="T116" s="168">
        <f t="shared" si="136"/>
        <v>16.703092599791745</v>
      </c>
      <c r="U116" s="168">
        <f t="shared" si="136"/>
        <v>26.039685096061881</v>
      </c>
      <c r="V116" s="168">
        <f t="shared" si="136"/>
        <v>35.142979645595304</v>
      </c>
      <c r="W116" s="168">
        <f t="shared" si="136"/>
        <v>29.6562403062063</v>
      </c>
      <c r="X116" s="168">
        <f t="shared" si="136"/>
        <v>25.247499311593973</v>
      </c>
      <c r="Y116" s="168">
        <f t="shared" si="136"/>
        <v>22.582283737140717</v>
      </c>
      <c r="Z116" s="168">
        <f t="shared" si="136"/>
        <v>31.850431346082335</v>
      </c>
      <c r="AA116" s="168">
        <f t="shared" si="136"/>
        <v>20.20297260685108</v>
      </c>
      <c r="AB116" s="168">
        <f t="shared" si="136"/>
        <v>22.85907158187722</v>
      </c>
      <c r="AC116" s="168">
        <f t="shared" si="136"/>
        <v>7.5143746763069972</v>
      </c>
      <c r="AD116" s="168">
        <f t="shared" si="136"/>
        <v>9.5918382913414248</v>
      </c>
      <c r="AE116" s="168">
        <f t="shared" si="136"/>
        <v>12.118646973575757</v>
      </c>
      <c r="AF116" s="168">
        <f t="shared" si="136"/>
        <v>9.692686905296517</v>
      </c>
      <c r="AG116" s="168">
        <f t="shared" si="136"/>
        <v>2.8076162224404988</v>
      </c>
      <c r="AH116" s="168">
        <f t="shared" si="136"/>
        <v>0.39925136649136361</v>
      </c>
      <c r="AI116" s="168">
        <f t="shared" si="136"/>
        <v>2.876923374653416</v>
      </c>
      <c r="AJ116" s="168">
        <f t="shared" si="136"/>
        <v>4.1521560160488562</v>
      </c>
      <c r="AK116" s="168">
        <f t="shared" si="136"/>
        <v>0.5187590785288696</v>
      </c>
      <c r="AL116" s="168">
        <f t="shared" si="136"/>
        <v>-1.0633271946224883</v>
      </c>
      <c r="AM116" s="168">
        <f t="shared" si="136"/>
        <v>0.30093547493980621</v>
      </c>
      <c r="AN116" s="168">
        <f t="shared" si="136"/>
        <v>-5.8459002154040229</v>
      </c>
      <c r="AO116" s="168">
        <f t="shared" si="136"/>
        <v>-6.7843070148055782</v>
      </c>
      <c r="AP116" s="168">
        <f t="shared" si="136"/>
        <v>0.14805811572189062</v>
      </c>
      <c r="AQ116" s="168">
        <f t="shared" si="136"/>
        <v>-11.31943699755344</v>
      </c>
      <c r="AR116" s="168">
        <f t="shared" si="136"/>
        <v>-4.9268314766197667</v>
      </c>
      <c r="AS116" s="168">
        <f t="shared" si="136"/>
        <v>-6.7802727416353976</v>
      </c>
      <c r="AT116" s="168">
        <f t="shared" si="136"/>
        <v>-9.7155878615807065</v>
      </c>
      <c r="AU116" s="168">
        <f t="shared" si="136"/>
        <v>-7.4019226618479239</v>
      </c>
      <c r="AV116" s="168">
        <f t="shared" si="136"/>
        <v>-26.968789783808152</v>
      </c>
      <c r="AW116" s="168">
        <f t="shared" si="136"/>
        <v>-27.256694123469643</v>
      </c>
      <c r="AX116" s="168">
        <f t="shared" si="136"/>
        <v>-5.9383603928198179</v>
      </c>
      <c r="AY116" s="168">
        <f t="shared" si="136"/>
        <v>-32.867209349202064</v>
      </c>
      <c r="AZ116" s="168">
        <f t="shared" si="136"/>
        <v>-27.030414634719371</v>
      </c>
      <c r="BA116" s="168">
        <f t="shared" si="136"/>
        <v>-19.148764929790925</v>
      </c>
      <c r="BB116" s="168">
        <f t="shared" si="136"/>
        <v>-33.706858690120519</v>
      </c>
      <c r="BC116" s="168">
        <f t="shared" si="136"/>
        <v>-36.44352372040165</v>
      </c>
      <c r="BD116" s="168">
        <f t="shared" si="136"/>
        <v>-37.219458463593782</v>
      </c>
      <c r="BE116" s="168">
        <f t="shared" si="136"/>
        <v>-33.593942648565957</v>
      </c>
      <c r="BF116" s="168">
        <f t="shared" si="136"/>
        <v>-45.157052801786875</v>
      </c>
      <c r="BG116" s="168">
        <f t="shared" si="136"/>
        <v>-55.667174721336174</v>
      </c>
      <c r="BH116" s="168">
        <f t="shared" si="136"/>
        <v>-30.308845389603881</v>
      </c>
      <c r="BI116" s="168">
        <f t="shared" si="136"/>
        <v>-32.667650146814246</v>
      </c>
      <c r="BJ116" s="168">
        <f t="shared" si="136"/>
        <v>-48.719400216619107</v>
      </c>
      <c r="BK116" s="168">
        <f t="shared" si="136"/>
        <v>-54.369336581188556</v>
      </c>
      <c r="BL116" s="168">
        <f t="shared" si="136"/>
        <v>-54.836630056019828</v>
      </c>
      <c r="BM116" s="168">
        <f t="shared" si="136"/>
        <v>-29.80373671217</v>
      </c>
      <c r="BN116" s="168">
        <f t="shared" si="136"/>
        <v>-17.511364303260269</v>
      </c>
      <c r="BO116" s="168">
        <f t="shared" si="136"/>
        <v>-28.848707052641519</v>
      </c>
      <c r="BP116" s="168">
        <f t="shared" si="136"/>
        <v>-17.177435982243537</v>
      </c>
      <c r="BQ116" s="168">
        <f t="shared" si="136"/>
        <v>-9.5695338444703673</v>
      </c>
      <c r="BR116" s="168">
        <f t="shared" si="136"/>
        <v>-48.511274859669953</v>
      </c>
      <c r="BS116" s="168">
        <f t="shared" ref="BS116:DA116" si="137">BS108*COS(PI()*BS$96/180)</f>
        <v>-39.996022087906574</v>
      </c>
      <c r="BT116" s="168">
        <f t="shared" si="137"/>
        <v>-46.950030731125651</v>
      </c>
      <c r="BU116" s="168">
        <f t="shared" si="137"/>
        <v>-46.012097111941884</v>
      </c>
      <c r="BV116" s="168">
        <f t="shared" si="137"/>
        <v>-31.00935632181826</v>
      </c>
      <c r="BW116" s="168">
        <f t="shared" si="137"/>
        <v>-16.853069003869297</v>
      </c>
      <c r="BX116" s="168">
        <f t="shared" si="137"/>
        <v>-28.339228849543602</v>
      </c>
      <c r="BY116" s="168">
        <f t="shared" si="137"/>
        <v>-29.802103687739024</v>
      </c>
      <c r="BZ116" s="168">
        <f t="shared" si="137"/>
        <v>-14.127120497227153</v>
      </c>
      <c r="CA116" s="168">
        <f t="shared" si="137"/>
        <v>-33.48948499555879</v>
      </c>
      <c r="CB116" s="168">
        <f t="shared" si="137"/>
        <v>-4.2542761814186907</v>
      </c>
      <c r="CC116" s="168">
        <f t="shared" si="137"/>
        <v>-23.81931318959791</v>
      </c>
      <c r="CD116" s="168">
        <f t="shared" si="137"/>
        <v>-21.876735278965416</v>
      </c>
      <c r="CE116" s="168">
        <f t="shared" si="137"/>
        <v>-14.365616503093692</v>
      </c>
      <c r="CF116" s="168">
        <f t="shared" si="137"/>
        <v>-19.151798404984913</v>
      </c>
      <c r="CG116" s="168">
        <f t="shared" si="137"/>
        <v>-4.6434626538618158</v>
      </c>
      <c r="CH116" s="168">
        <f t="shared" si="137"/>
        <v>3.5565275152228826</v>
      </c>
      <c r="CI116" s="168">
        <f t="shared" si="137"/>
        <v>11.416181442238489</v>
      </c>
      <c r="CJ116" s="168">
        <f t="shared" si="137"/>
        <v>3.5774743279424168</v>
      </c>
      <c r="CK116" s="168">
        <f t="shared" si="137"/>
        <v>7.7245272070299063</v>
      </c>
      <c r="CL116" s="168">
        <f t="shared" si="137"/>
        <v>17.276332159337876</v>
      </c>
      <c r="CM116" s="168">
        <f t="shared" si="137"/>
        <v>18.522761472475111</v>
      </c>
      <c r="CN116" s="168">
        <f t="shared" si="137"/>
        <v>20.535359106444268</v>
      </c>
      <c r="CO116" s="168">
        <f t="shared" si="137"/>
        <v>30.210862647242269</v>
      </c>
      <c r="CP116" s="168">
        <f t="shared" si="137"/>
        <v>33.460671776955749</v>
      </c>
      <c r="CQ116" s="168">
        <f t="shared" si="137"/>
        <v>39.010531938348237</v>
      </c>
      <c r="CR116" s="168">
        <f t="shared" si="137"/>
        <v>41.277385827401766</v>
      </c>
      <c r="CS116" s="168">
        <f t="shared" si="137"/>
        <v>13.957634345961406</v>
      </c>
      <c r="CT116" s="168">
        <f t="shared" si="137"/>
        <v>35.010801900587445</v>
      </c>
      <c r="CU116" s="168">
        <f t="shared" si="137"/>
        <v>29.932056778544922</v>
      </c>
      <c r="CV116" s="168">
        <f t="shared" si="137"/>
        <v>49.005284506032758</v>
      </c>
      <c r="CW116" s="168">
        <f t="shared" si="137"/>
        <v>35.294844457149047</v>
      </c>
      <c r="CX116" s="168">
        <f t="shared" si="137"/>
        <v>32.876471861335048</v>
      </c>
      <c r="CY116" s="168">
        <f t="shared" si="137"/>
        <v>44.787671217365009</v>
      </c>
      <c r="CZ116" s="168">
        <f t="shared" si="137"/>
        <v>49.771280890296914</v>
      </c>
      <c r="DA116" s="168">
        <f t="shared" si="137"/>
        <v>56.273001982780094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3.2675324648208748</v>
      </c>
      <c r="H117" s="168">
        <f t="shared" ref="H117:BS117" si="138">H108*SIN(PI()*H$96/180)</f>
        <v>8.1605280060448635</v>
      </c>
      <c r="I117" s="168">
        <f t="shared" si="138"/>
        <v>6.4761964913651022</v>
      </c>
      <c r="J117" s="168">
        <f t="shared" si="138"/>
        <v>12.300683463173902</v>
      </c>
      <c r="K117" s="168">
        <f t="shared" si="138"/>
        <v>17.123846320726297</v>
      </c>
      <c r="L117" s="168">
        <f t="shared" si="138"/>
        <v>14.814377048620784</v>
      </c>
      <c r="M117" s="168">
        <f t="shared" si="138"/>
        <v>19.999962422492512</v>
      </c>
      <c r="N117" s="168">
        <f t="shared" si="138"/>
        <v>18.899838987884635</v>
      </c>
      <c r="O117" s="168">
        <f t="shared" si="138"/>
        <v>3.2752322267971246</v>
      </c>
      <c r="P117" s="168">
        <f t="shared" si="138"/>
        <v>27.57674188858666</v>
      </c>
      <c r="Q117" s="168">
        <f t="shared" si="138"/>
        <v>32.25995526047371</v>
      </c>
      <c r="R117" s="168">
        <f t="shared" si="138"/>
        <v>32.98834076538737</v>
      </c>
      <c r="S117" s="168">
        <f t="shared" si="138"/>
        <v>29.461806027718669</v>
      </c>
      <c r="T117" s="168">
        <f t="shared" si="138"/>
        <v>15.29909384364635</v>
      </c>
      <c r="U117" s="168">
        <f t="shared" si="138"/>
        <v>20.740179069054694</v>
      </c>
      <c r="V117" s="168">
        <f t="shared" si="138"/>
        <v>32.08291643336576</v>
      </c>
      <c r="W117" s="168">
        <f t="shared" si="138"/>
        <v>34.052764342548798</v>
      </c>
      <c r="X117" s="168">
        <f t="shared" si="138"/>
        <v>27.72551472617705</v>
      </c>
      <c r="Y117" s="168">
        <f t="shared" si="138"/>
        <v>38.777833774201518</v>
      </c>
      <c r="Z117" s="168">
        <f t="shared" si="138"/>
        <v>43.391427303217341</v>
      </c>
      <c r="AA117" s="168">
        <f t="shared" si="138"/>
        <v>41.570717502156867</v>
      </c>
      <c r="AB117" s="168">
        <f t="shared" si="138"/>
        <v>43.559227675427685</v>
      </c>
      <c r="AC117" s="168">
        <f t="shared" si="138"/>
        <v>24.569051515767946</v>
      </c>
      <c r="AD117" s="168">
        <f t="shared" si="138"/>
        <v>37.793786039708181</v>
      </c>
      <c r="AE117" s="168">
        <f t="shared" si="138"/>
        <v>50.73813046521385</v>
      </c>
      <c r="AF117" s="168">
        <f t="shared" si="138"/>
        <v>42.418571817604231</v>
      </c>
      <c r="AG117" s="168">
        <f t="shared" si="138"/>
        <v>30.335808807636841</v>
      </c>
      <c r="AH117" s="168">
        <f t="shared" si="138"/>
        <v>37.425022983611932</v>
      </c>
      <c r="AI117" s="168">
        <f t="shared" si="138"/>
        <v>43.082230376933971</v>
      </c>
      <c r="AJ117" s="168">
        <f t="shared" si="138"/>
        <v>33.702497907893502</v>
      </c>
      <c r="AK117" s="168">
        <f t="shared" si="138"/>
        <v>42.728177804969484</v>
      </c>
      <c r="AL117" s="168">
        <f t="shared" si="138"/>
        <v>48.376704676895621</v>
      </c>
      <c r="AM117" s="168">
        <f t="shared" si="138"/>
        <v>32.717880766983662</v>
      </c>
      <c r="AN117" s="168">
        <f t="shared" si="138"/>
        <v>48.043286929959827</v>
      </c>
      <c r="AO117" s="168">
        <f t="shared" si="138"/>
        <v>36.564071836872294</v>
      </c>
      <c r="AP117" s="168">
        <f t="shared" si="138"/>
        <v>18.918162795524918</v>
      </c>
      <c r="AQ117" s="168">
        <f t="shared" si="138"/>
        <v>39.56853437938701</v>
      </c>
      <c r="AR117" s="168">
        <f t="shared" si="138"/>
        <v>29.499579187939016</v>
      </c>
      <c r="AS117" s="168">
        <f t="shared" si="138"/>
        <v>24.128930211996085</v>
      </c>
      <c r="AT117" s="168">
        <f t="shared" si="138"/>
        <v>30.976689571054234</v>
      </c>
      <c r="AU117" s="168">
        <f t="shared" si="138"/>
        <v>19.371914318381158</v>
      </c>
      <c r="AV117" s="168">
        <f t="shared" si="138"/>
        <v>43.772098998471016</v>
      </c>
      <c r="AW117" s="168">
        <f t="shared" si="138"/>
        <v>43.277093490134021</v>
      </c>
      <c r="AX117" s="168">
        <f t="shared" si="138"/>
        <v>10.30319169969461</v>
      </c>
      <c r="AY117" s="168">
        <f t="shared" si="138"/>
        <v>34.710912081033534</v>
      </c>
      <c r="AZ117" s="168">
        <f t="shared" si="138"/>
        <v>28.43501092332308</v>
      </c>
      <c r="BA117" s="168">
        <f t="shared" si="138"/>
        <v>23.035512652241689</v>
      </c>
      <c r="BB117" s="168">
        <f t="shared" si="138"/>
        <v>22.78957497225959</v>
      </c>
      <c r="BC117" s="168">
        <f t="shared" si="138"/>
        <v>26.353746815698813</v>
      </c>
      <c r="BD117" s="168">
        <f t="shared" si="138"/>
        <v>13.853479594612935</v>
      </c>
      <c r="BE117" s="168">
        <f t="shared" si="138"/>
        <v>11.721869281861284</v>
      </c>
      <c r="BF117" s="168">
        <f t="shared" si="138"/>
        <v>15.113019634598903</v>
      </c>
      <c r="BG117" s="168">
        <f t="shared" si="138"/>
        <v>5.8839969936104914</v>
      </c>
      <c r="BH117" s="168">
        <f t="shared" si="138"/>
        <v>-1.527529979336377</v>
      </c>
      <c r="BI117" s="168">
        <f t="shared" si="138"/>
        <v>-4.4495565778901263</v>
      </c>
      <c r="BJ117" s="168">
        <f t="shared" si="138"/>
        <v>-6.4873678319683057</v>
      </c>
      <c r="BK117" s="168">
        <f t="shared" si="138"/>
        <v>-7.4954437862692229</v>
      </c>
      <c r="BL117" s="168">
        <f t="shared" si="138"/>
        <v>-11.30778920231959</v>
      </c>
      <c r="BM117" s="168">
        <f t="shared" si="138"/>
        <v>-6.2511442455237551</v>
      </c>
      <c r="BN117" s="168">
        <f t="shared" si="138"/>
        <v>-7.539315030918516</v>
      </c>
      <c r="BO117" s="168">
        <f t="shared" si="138"/>
        <v>-11.32572792202447</v>
      </c>
      <c r="BP117" s="168">
        <f t="shared" si="138"/>
        <v>-12.648383133710555</v>
      </c>
      <c r="BQ117" s="168">
        <f t="shared" si="138"/>
        <v>-14.558131771451571</v>
      </c>
      <c r="BR117" s="168">
        <f t="shared" si="138"/>
        <v>-25.323684054454617</v>
      </c>
      <c r="BS117" s="168">
        <f t="shared" si="138"/>
        <v>-23.066804611643594</v>
      </c>
      <c r="BT117" s="168">
        <f t="shared" ref="BT117:DA117" si="139">BT108*SIN(PI()*BT$96/180)</f>
        <v>-32.384928778715519</v>
      </c>
      <c r="BU117" s="168">
        <f t="shared" si="139"/>
        <v>-33.897278460461308</v>
      </c>
      <c r="BV117" s="168">
        <f t="shared" si="139"/>
        <v>-28.156458830712701</v>
      </c>
      <c r="BW117" s="168">
        <f t="shared" si="139"/>
        <v>-25.992448267242608</v>
      </c>
      <c r="BX117" s="168">
        <f t="shared" si="139"/>
        <v>-34.95859717062946</v>
      </c>
      <c r="BY117" s="168">
        <f t="shared" si="139"/>
        <v>-44.217470382851388</v>
      </c>
      <c r="BZ117" s="168">
        <f t="shared" si="139"/>
        <v>-19.610162811088195</v>
      </c>
      <c r="CA117" s="168">
        <f t="shared" si="139"/>
        <v>-43.718609658093008</v>
      </c>
      <c r="CB117" s="168">
        <f t="shared" si="139"/>
        <v>-19.084152713323654</v>
      </c>
      <c r="CC117" s="168">
        <f t="shared" si="139"/>
        <v>-47.995483379997566</v>
      </c>
      <c r="CD117" s="168">
        <f t="shared" si="139"/>
        <v>-54.151954505149305</v>
      </c>
      <c r="CE117" s="168">
        <f t="shared" si="139"/>
        <v>-46.340115674102194</v>
      </c>
      <c r="CF117" s="168">
        <f t="shared" si="139"/>
        <v>-55.278928263198495</v>
      </c>
      <c r="CG117" s="168">
        <f t="shared" si="139"/>
        <v>-35.573049338440221</v>
      </c>
      <c r="CH117" s="168">
        <f t="shared" si="139"/>
        <v>-40.268310510492789</v>
      </c>
      <c r="CI117" s="168">
        <f t="shared" si="139"/>
        <v>-50.179249793113975</v>
      </c>
      <c r="CJ117" s="168">
        <f t="shared" si="139"/>
        <v>-21.767398760058029</v>
      </c>
      <c r="CK117" s="168">
        <f t="shared" si="139"/>
        <v>-30.951880681476833</v>
      </c>
      <c r="CL117" s="168">
        <f t="shared" si="139"/>
        <v>-22.398981532188706</v>
      </c>
      <c r="CM117" s="168">
        <f t="shared" si="139"/>
        <v>-29.629406436075367</v>
      </c>
      <c r="CN117" s="168">
        <f t="shared" si="139"/>
        <v>-35.524165133860194</v>
      </c>
      <c r="CO117" s="168">
        <f t="shared" si="139"/>
        <v>-39.533810070717458</v>
      </c>
      <c r="CP117" s="168">
        <f t="shared" si="139"/>
        <v>-26.665909023165174</v>
      </c>
      <c r="CQ117" s="168">
        <f t="shared" si="139"/>
        <v>-27.672090783826434</v>
      </c>
      <c r="CR117" s="168">
        <f t="shared" si="139"/>
        <v>-26.12129996082729</v>
      </c>
      <c r="CS117" s="168">
        <f t="shared" si="139"/>
        <v>-5.6338985443502398</v>
      </c>
      <c r="CT117" s="168">
        <f t="shared" si="139"/>
        <v>-14.202823422222023</v>
      </c>
      <c r="CU117" s="168">
        <f t="shared" si="139"/>
        <v>-11.139243247411169</v>
      </c>
      <c r="CV117" s="168">
        <f t="shared" si="139"/>
        <v>-11.728543358394797</v>
      </c>
      <c r="CW117" s="168">
        <f t="shared" si="139"/>
        <v>-8.0390658084469901</v>
      </c>
      <c r="CX117" s="168">
        <f t="shared" si="139"/>
        <v>-6.1998172008668524</v>
      </c>
      <c r="CY117" s="168">
        <f t="shared" si="139"/>
        <v>-4.2860028110879158</v>
      </c>
      <c r="CZ117" s="168">
        <f t="shared" si="139"/>
        <v>1.1754539215280357</v>
      </c>
      <c r="DA117" s="168">
        <f t="shared" si="139"/>
        <v>1.4556976238095036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86.196505882897426</v>
      </c>
      <c r="H126" s="160">
        <f t="shared" si="140"/>
        <v>63.42126252438991</v>
      </c>
      <c r="I126" s="160">
        <f t="shared" si="140"/>
        <v>32.072786588010501</v>
      </c>
      <c r="J126" s="160">
        <f t="shared" si="140"/>
        <v>70.0876777089114</v>
      </c>
      <c r="K126" s="160">
        <f t="shared" si="140"/>
        <v>51.633021308856691</v>
      </c>
      <c r="L126" s="160">
        <f t="shared" si="140"/>
        <v>51.559958722857083</v>
      </c>
      <c r="M126" s="160">
        <f t="shared" si="140"/>
        <v>44.034205146059193</v>
      </c>
      <c r="N126" s="160">
        <f t="shared" si="140"/>
        <v>43.126069477105972</v>
      </c>
      <c r="O126" s="160">
        <f t="shared" si="140"/>
        <v>29.062731177101636</v>
      </c>
      <c r="P126" s="160">
        <f t="shared" si="140"/>
        <v>75.953927346449063</v>
      </c>
      <c r="Q126" s="160">
        <f t="shared" si="140"/>
        <v>58.808602419853074</v>
      </c>
      <c r="R126" s="160">
        <f t="shared" si="140"/>
        <v>65.051509547114748</v>
      </c>
      <c r="S126" s="160">
        <f t="shared" si="140"/>
        <v>44.027273243407016</v>
      </c>
      <c r="T126" s="160">
        <f t="shared" si="140"/>
        <v>74.249144895382329</v>
      </c>
      <c r="U126" s="160">
        <f t="shared" si="140"/>
        <v>71.871670125044787</v>
      </c>
      <c r="V126" s="160">
        <f t="shared" si="140"/>
        <v>48.483039518273529</v>
      </c>
      <c r="W126" s="160">
        <f t="shared" si="140"/>
        <v>50.164198103279269</v>
      </c>
      <c r="X126" s="160">
        <f t="shared" si="140"/>
        <v>56.784279070570626</v>
      </c>
      <c r="Y126" s="160">
        <f t="shared" si="140"/>
        <v>71.649094722908288</v>
      </c>
      <c r="Z126" s="160">
        <f t="shared" si="140"/>
        <v>67.528333127716394</v>
      </c>
      <c r="AA126" s="160">
        <f t="shared" si="140"/>
        <v>86.215321259726309</v>
      </c>
      <c r="AB126" s="160">
        <f t="shared" si="140"/>
        <v>78.747040865430648</v>
      </c>
      <c r="AC126" s="160">
        <f t="shared" si="140"/>
        <v>91.522987587120937</v>
      </c>
      <c r="AD126" s="160">
        <f t="shared" si="140"/>
        <v>90.384697644717576</v>
      </c>
      <c r="AE126" s="160">
        <f t="shared" si="140"/>
        <v>71.533121595806534</v>
      </c>
      <c r="AF126" s="160">
        <f t="shared" si="140"/>
        <v>89.546079233632483</v>
      </c>
      <c r="AG126" s="160">
        <f t="shared" si="140"/>
        <v>73.397717697162861</v>
      </c>
      <c r="AH126" s="160">
        <f t="shared" si="140"/>
        <v>41.979168809287586</v>
      </c>
      <c r="AI126" s="160">
        <f t="shared" si="140"/>
        <v>86.660813145797235</v>
      </c>
      <c r="AJ126" s="160">
        <f t="shared" si="140"/>
        <v>64.547195297694245</v>
      </c>
      <c r="AK126" s="160">
        <f t="shared" si="140"/>
        <v>88.342833559882067</v>
      </c>
      <c r="AL126" s="160">
        <f t="shared" si="140"/>
        <v>75.194339864715189</v>
      </c>
      <c r="AM126" s="160">
        <f t="shared" si="140"/>
        <v>89.652182282726855</v>
      </c>
      <c r="AN126" s="160">
        <f t="shared" si="140"/>
        <v>62.050164818879843</v>
      </c>
      <c r="AO126" s="160">
        <f t="shared" si="140"/>
        <v>42.442576870829228</v>
      </c>
      <c r="AP126" s="160">
        <f t="shared" si="140"/>
        <v>80.754354971545922</v>
      </c>
      <c r="AQ126" s="160">
        <f t="shared" si="140"/>
        <v>47.997084090959341</v>
      </c>
      <c r="AR126" s="160">
        <f t="shared" si="140"/>
        <v>86.339558800765403</v>
      </c>
      <c r="AS126" s="160">
        <f t="shared" si="140"/>
        <v>35.435907740344881</v>
      </c>
      <c r="AT126" s="160">
        <f t="shared" si="140"/>
        <v>50.301238690131491</v>
      </c>
      <c r="AU126" s="160">
        <f t="shared" si="140"/>
        <v>88.275877716437648</v>
      </c>
      <c r="AV126" s="160">
        <f t="shared" si="140"/>
        <v>68.394420976163318</v>
      </c>
      <c r="AW126" s="160">
        <f t="shared" si="140"/>
        <v>72.152741455765565</v>
      </c>
      <c r="AX126" s="160">
        <f t="shared" si="140"/>
        <v>28.836186332704703</v>
      </c>
      <c r="AY126" s="160">
        <f t="shared" si="140"/>
        <v>58.211070425133684</v>
      </c>
      <c r="AZ126" s="160">
        <f t="shared" si="140"/>
        <v>66.506065478894811</v>
      </c>
      <c r="BA126" s="160">
        <f t="shared" si="140"/>
        <v>70.192033605685012</v>
      </c>
      <c r="BB126" s="160">
        <f t="shared" si="140"/>
        <v>77.327720423239199</v>
      </c>
      <c r="BC126" s="160">
        <f t="shared" si="140"/>
        <v>46.208998132225837</v>
      </c>
      <c r="BD126" s="160">
        <f t="shared" si="140"/>
        <v>54.640445494402712</v>
      </c>
      <c r="BE126" s="160">
        <f t="shared" si="140"/>
        <v>58.593919644551676</v>
      </c>
      <c r="BF126" s="160">
        <f t="shared" si="140"/>
        <v>41.128697458753308</v>
      </c>
      <c r="BG126" s="160">
        <f t="shared" si="140"/>
        <v>49.310746346068164</v>
      </c>
      <c r="BH126" s="160">
        <f t="shared" si="140"/>
        <v>86.973916270251394</v>
      </c>
      <c r="BI126" s="160">
        <f t="shared" si="140"/>
        <v>83.538612479496607</v>
      </c>
      <c r="BJ126" s="160">
        <f t="shared" si="140"/>
        <v>70.757994356638932</v>
      </c>
      <c r="BK126" s="160">
        <f t="shared" si="140"/>
        <v>57.227513570119569</v>
      </c>
      <c r="BL126" s="160">
        <f t="shared" si="140"/>
        <v>53.5297289988888</v>
      </c>
      <c r="BM126" s="160">
        <f t="shared" si="140"/>
        <v>86.811222289713328</v>
      </c>
      <c r="BN126" s="160">
        <f t="shared" si="140"/>
        <v>88.404100177790994</v>
      </c>
      <c r="BO126" s="160">
        <f t="shared" si="140"/>
        <v>76.883610228850117</v>
      </c>
      <c r="BP126" s="160">
        <f t="shared" si="140"/>
        <v>67.316766473294095</v>
      </c>
      <c r="BQ126" s="160">
        <f t="shared" si="140"/>
        <v>34.796533365610131</v>
      </c>
      <c r="BR126" s="160">
        <f t="shared" si="140"/>
        <v>58.228155134071443</v>
      </c>
      <c r="BS126" s="160">
        <f t="shared" ref="BS126:DA126" si="141">(1+100*0.007)*BS105/(1+0.007*BS105)</f>
        <v>40.008253194363292</v>
      </c>
      <c r="BT126" s="160">
        <f t="shared" si="141"/>
        <v>44.383259732951046</v>
      </c>
      <c r="BU126" s="160">
        <f t="shared" si="141"/>
        <v>47.611422112084362</v>
      </c>
      <c r="BV126" s="160">
        <f t="shared" si="141"/>
        <v>63.950798660051554</v>
      </c>
      <c r="BW126" s="160">
        <f t="shared" si="141"/>
        <v>53.593605483678864</v>
      </c>
      <c r="BX126" s="160">
        <f t="shared" si="141"/>
        <v>72.469549551414389</v>
      </c>
      <c r="BY126" s="160">
        <f t="shared" si="141"/>
        <v>35.211913529811582</v>
      </c>
      <c r="BZ126" s="160">
        <f t="shared" si="141"/>
        <v>76.87940576828862</v>
      </c>
      <c r="CA126" s="160">
        <f t="shared" si="141"/>
        <v>57.655075671282262</v>
      </c>
      <c r="CB126" s="160">
        <f t="shared" si="141"/>
        <v>28.495843994690745</v>
      </c>
      <c r="CC126" s="160">
        <f t="shared" si="141"/>
        <v>33.314559246782167</v>
      </c>
      <c r="CD126" s="160">
        <f t="shared" si="141"/>
        <v>48.383532883747975</v>
      </c>
      <c r="CE126" s="160">
        <f t="shared" si="141"/>
        <v>45.07261197323583</v>
      </c>
      <c r="CF126" s="160">
        <f t="shared" si="141"/>
        <v>44.618306447770543</v>
      </c>
      <c r="CG126" s="160">
        <f t="shared" si="141"/>
        <v>74.224781635860907</v>
      </c>
      <c r="CH126" s="160">
        <f t="shared" si="141"/>
        <v>66.490402729537436</v>
      </c>
      <c r="CI126" s="160">
        <f t="shared" si="141"/>
        <v>45.172252823571917</v>
      </c>
      <c r="CJ126" s="160">
        <f t="shared" si="141"/>
        <v>87.574167663250208</v>
      </c>
      <c r="CK126" s="160">
        <f t="shared" si="141"/>
        <v>73.499260346241996</v>
      </c>
      <c r="CL126" s="160">
        <f t="shared" si="141"/>
        <v>28.459665529475359</v>
      </c>
      <c r="CM126" s="160">
        <f t="shared" si="141"/>
        <v>41.978005809815151</v>
      </c>
      <c r="CN126" s="160">
        <f t="shared" si="141"/>
        <v>66.676277246087764</v>
      </c>
      <c r="CO126" s="160">
        <f t="shared" si="141"/>
        <v>40.648895014612421</v>
      </c>
      <c r="CP126" s="160">
        <f t="shared" si="141"/>
        <v>63.416711761944846</v>
      </c>
      <c r="CQ126" s="160">
        <f t="shared" si="141"/>
        <v>39.303925811161236</v>
      </c>
      <c r="CR126" s="160">
        <f t="shared" si="141"/>
        <v>44.930090183819836</v>
      </c>
      <c r="CS126" s="160">
        <f t="shared" si="141"/>
        <v>80.925789896692919</v>
      </c>
      <c r="CT126" s="160">
        <f t="shared" si="141"/>
        <v>57.539133170356337</v>
      </c>
      <c r="CU126" s="160">
        <f t="shared" si="141"/>
        <v>68.324662397120932</v>
      </c>
      <c r="CV126" s="160">
        <f t="shared" si="141"/>
        <v>40.933290974248777</v>
      </c>
      <c r="CW126" s="160">
        <f t="shared" si="141"/>
        <v>71.399075956736681</v>
      </c>
      <c r="CX126" s="160">
        <f t="shared" si="141"/>
        <v>79.285113467374103</v>
      </c>
      <c r="CY126" s="160">
        <f t="shared" si="141"/>
        <v>53.328220185508066</v>
      </c>
      <c r="CZ126" s="160">
        <f t="shared" si="141"/>
        <v>65.978318833102449</v>
      </c>
      <c r="DA126" s="160">
        <f t="shared" si="141"/>
        <v>54.488521972576599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16.951229362330036</v>
      </c>
      <c r="H127" s="160">
        <f t="shared" si="142"/>
        <v>31.701320163225915</v>
      </c>
      <c r="I127" s="160">
        <f t="shared" si="142"/>
        <v>15.618922758534076</v>
      </c>
      <c r="J127" s="160">
        <f t="shared" si="142"/>
        <v>21.412870260629429</v>
      </c>
      <c r="K127" s="160">
        <f t="shared" si="142"/>
        <v>35.471808300891631</v>
      </c>
      <c r="L127" s="160">
        <f t="shared" si="142"/>
        <v>19.421138305577706</v>
      </c>
      <c r="M127" s="160">
        <f t="shared" si="142"/>
        <v>34.05002514031014</v>
      </c>
      <c r="N127" s="160">
        <f t="shared" si="142"/>
        <v>31.810356230640139</v>
      </c>
      <c r="O127" s="160">
        <f t="shared" si="142"/>
        <v>3.4885802235815624</v>
      </c>
      <c r="P127" s="160">
        <f t="shared" si="142"/>
        <v>34.603087982455634</v>
      </c>
      <c r="Q127" s="160">
        <f t="shared" si="142"/>
        <v>34.227098078958619</v>
      </c>
      <c r="R127" s="160">
        <f t="shared" si="142"/>
        <v>36.647437666992246</v>
      </c>
      <c r="S127" s="160">
        <f t="shared" si="142"/>
        <v>23.85131766974196</v>
      </c>
      <c r="T127" s="160">
        <f t="shared" si="142"/>
        <v>8.7517986067597402</v>
      </c>
      <c r="U127" s="160">
        <f t="shared" si="142"/>
        <v>16.779588623810458</v>
      </c>
      <c r="V127" s="160">
        <f t="shared" si="142"/>
        <v>24.130290612100229</v>
      </c>
      <c r="W127" s="160">
        <f t="shared" si="142"/>
        <v>22.619575000817786</v>
      </c>
      <c r="X127" s="160">
        <f t="shared" si="142"/>
        <v>17.896362239498039</v>
      </c>
      <c r="Y127" s="160">
        <f t="shared" si="142"/>
        <v>26.862578275388795</v>
      </c>
      <c r="Z127" s="160">
        <f t="shared" si="142"/>
        <v>33.904719362225592</v>
      </c>
      <c r="AA127" s="160">
        <f t="shared" si="142"/>
        <v>31.011763414256119</v>
      </c>
      <c r="AB127" s="160">
        <f t="shared" si="142"/>
        <v>32.275925340957244</v>
      </c>
      <c r="AC127" s="160">
        <f t="shared" si="142"/>
        <v>12.606062495145489</v>
      </c>
      <c r="AD127" s="160">
        <f t="shared" si="142"/>
        <v>24.777011312409822</v>
      </c>
      <c r="AE127" s="160">
        <f t="shared" si="142"/>
        <v>33.380208995731429</v>
      </c>
      <c r="AF127" s="160">
        <f t="shared" si="142"/>
        <v>29.03275702272127</v>
      </c>
      <c r="AG127" s="160">
        <f t="shared" si="142"/>
        <v>14.638931146937555</v>
      </c>
      <c r="AH127" s="160">
        <f t="shared" si="142"/>
        <v>15.236457225919914</v>
      </c>
      <c r="AI127" s="160">
        <f t="shared" si="142"/>
        <v>28.169347399978435</v>
      </c>
      <c r="AJ127" s="160">
        <f t="shared" si="142"/>
        <v>16.297150258792513</v>
      </c>
      <c r="AK127" s="160">
        <f t="shared" si="142"/>
        <v>28.04937577864052</v>
      </c>
      <c r="AL127" s="160">
        <f t="shared" si="142"/>
        <v>30.774804185435425</v>
      </c>
      <c r="AM127" s="160">
        <f t="shared" si="142"/>
        <v>18.686626304958793</v>
      </c>
      <c r="AN127" s="160">
        <f t="shared" si="142"/>
        <v>27.921628111513574</v>
      </c>
      <c r="AO127" s="160">
        <f t="shared" si="142"/>
        <v>15.157228708642249</v>
      </c>
      <c r="AP127" s="160">
        <f t="shared" si="142"/>
        <v>6.6555024821919622</v>
      </c>
      <c r="AQ127" s="160">
        <f t="shared" si="142"/>
        <v>19.087921207005678</v>
      </c>
      <c r="AR127" s="160">
        <f t="shared" si="142"/>
        <v>15.716220159881995</v>
      </c>
      <c r="AS127" s="160">
        <f t="shared" si="142"/>
        <v>6.826786569826659</v>
      </c>
      <c r="AT127" s="160">
        <f t="shared" si="142"/>
        <v>13.143464090118142</v>
      </c>
      <c r="AU127" s="160">
        <f t="shared" si="142"/>
        <v>8.3897365377786759</v>
      </c>
      <c r="AV127" s="160">
        <f t="shared" si="142"/>
        <v>31.984990539075184</v>
      </c>
      <c r="AW127" s="160">
        <f t="shared" si="142"/>
        <v>32.606367495552014</v>
      </c>
      <c r="AX127" s="160">
        <f t="shared" si="142"/>
        <v>1.4525009600039889</v>
      </c>
      <c r="AY127" s="160">
        <f t="shared" si="142"/>
        <v>26.558771692439286</v>
      </c>
      <c r="AZ127" s="160">
        <f t="shared" si="142"/>
        <v>20.9723909000117</v>
      </c>
      <c r="BA127" s="160">
        <f t="shared" si="142"/>
        <v>13.842809060679071</v>
      </c>
      <c r="BB127" s="160">
        <f t="shared" si="142"/>
        <v>24.140797082852284</v>
      </c>
      <c r="BC127" s="160">
        <f t="shared" si="142"/>
        <v>21.589831669543226</v>
      </c>
      <c r="BD127" s="160">
        <f t="shared" si="142"/>
        <v>19.256320553466338</v>
      </c>
      <c r="BE127" s="160">
        <f t="shared" si="142"/>
        <v>16.689891545787628</v>
      </c>
      <c r="BF127" s="160">
        <f t="shared" si="142"/>
        <v>22.338080627147448</v>
      </c>
      <c r="BG127" s="160">
        <f t="shared" si="142"/>
        <v>30.965934197383056</v>
      </c>
      <c r="BH127" s="160">
        <f t="shared" si="142"/>
        <v>16.182081036930661</v>
      </c>
      <c r="BI127" s="160">
        <f t="shared" si="142"/>
        <v>18.091041850595477</v>
      </c>
      <c r="BJ127" s="160">
        <f t="shared" si="142"/>
        <v>30.504648423242312</v>
      </c>
      <c r="BK127" s="160">
        <f t="shared" si="142"/>
        <v>32.223810602316064</v>
      </c>
      <c r="BL127" s="160">
        <f t="shared" si="142"/>
        <v>32.147883105102949</v>
      </c>
      <c r="BM127" s="160">
        <f t="shared" si="142"/>
        <v>16.255917827670764</v>
      </c>
      <c r="BN127" s="160">
        <f t="shared" si="142"/>
        <v>7.1990644002496857</v>
      </c>
      <c r="BO127" s="160">
        <f t="shared" si="142"/>
        <v>15.504540921349673</v>
      </c>
      <c r="BP127" s="160">
        <f t="shared" si="142"/>
        <v>7.3627825978043155</v>
      </c>
      <c r="BQ127" s="160">
        <f t="shared" si="142"/>
        <v>3.3963022405365981</v>
      </c>
      <c r="BR127" s="160">
        <f t="shared" si="142"/>
        <v>32.349921233156437</v>
      </c>
      <c r="BS127" s="160">
        <f t="shared" ref="BS127:DA127" si="143">(1/0.0228)*LN(1+0.0228*BS110)</f>
        <v>20.998964069590937</v>
      </c>
      <c r="BT127" s="160">
        <f t="shared" si="143"/>
        <v>30.354005176909528</v>
      </c>
      <c r="BU127" s="160">
        <f t="shared" si="143"/>
        <v>31.40261143127956</v>
      </c>
      <c r="BV127" s="160">
        <f t="shared" si="143"/>
        <v>22.763625225306473</v>
      </c>
      <c r="BW127" s="160">
        <f t="shared" si="143"/>
        <v>12.548638093039949</v>
      </c>
      <c r="BX127" s="160">
        <f t="shared" si="143"/>
        <v>27.140960563521617</v>
      </c>
      <c r="BY127" s="160">
        <f t="shared" si="143"/>
        <v>24.78189636438626</v>
      </c>
      <c r="BZ127" s="160">
        <f t="shared" si="143"/>
        <v>10.062333088411687</v>
      </c>
      <c r="CA127" s="160">
        <f t="shared" si="143"/>
        <v>32.491783448541327</v>
      </c>
      <c r="CB127" s="160">
        <f t="shared" si="143"/>
        <v>3.7963923973393321</v>
      </c>
      <c r="CC127" s="160">
        <f t="shared" si="143"/>
        <v>24.356935635365065</v>
      </c>
      <c r="CD127" s="160">
        <f t="shared" si="143"/>
        <v>32.616389284005493</v>
      </c>
      <c r="CE127" s="160">
        <f t="shared" si="143"/>
        <v>24.011186467121675</v>
      </c>
      <c r="CF127" s="160">
        <f t="shared" si="143"/>
        <v>31.553256414532697</v>
      </c>
      <c r="CG127" s="160">
        <f t="shared" si="143"/>
        <v>19.330613312413995</v>
      </c>
      <c r="CH127" s="160">
        <f t="shared" si="143"/>
        <v>21.98652823927538</v>
      </c>
      <c r="CI127" s="160">
        <f t="shared" si="143"/>
        <v>26.292587916773893</v>
      </c>
      <c r="CJ127" s="160">
        <f t="shared" si="143"/>
        <v>9.3299597729089214</v>
      </c>
      <c r="CK127" s="160">
        <f t="shared" si="143"/>
        <v>15.836737316922584</v>
      </c>
      <c r="CL127" s="160">
        <f t="shared" si="143"/>
        <v>7.5965986441717765</v>
      </c>
      <c r="CM127" s="160">
        <f t="shared" si="143"/>
        <v>13.552226966970965</v>
      </c>
      <c r="CN127" s="160">
        <f t="shared" si="143"/>
        <v>22.54088161398661</v>
      </c>
      <c r="CO127" s="160">
        <f t="shared" si="143"/>
        <v>23.7856159133906</v>
      </c>
      <c r="CP127" s="160">
        <f t="shared" si="143"/>
        <v>23.426120444874936</v>
      </c>
      <c r="CQ127" s="160">
        <f t="shared" si="143"/>
        <v>22.017605651607845</v>
      </c>
      <c r="CR127" s="160">
        <f t="shared" si="143"/>
        <v>24.228516137193434</v>
      </c>
      <c r="CS127" s="160">
        <f t="shared" si="143"/>
        <v>4.3350220901013241</v>
      </c>
      <c r="CT127" s="160">
        <f t="shared" si="143"/>
        <v>18.247309079387296</v>
      </c>
      <c r="CU127" s="160">
        <f t="shared" si="143"/>
        <v>15.192972424613243</v>
      </c>
      <c r="CV127" s="160">
        <f t="shared" si="143"/>
        <v>24.331874660045248</v>
      </c>
      <c r="CW127" s="160">
        <f t="shared" si="143"/>
        <v>19.178885837791182</v>
      </c>
      <c r="CX127" s="160">
        <f t="shared" si="143"/>
        <v>17.943331108985383</v>
      </c>
      <c r="CY127" s="160">
        <f t="shared" si="143"/>
        <v>23.183060437275671</v>
      </c>
      <c r="CZ127" s="160">
        <f t="shared" si="143"/>
        <v>30.002775505118809</v>
      </c>
      <c r="DA127" s="160">
        <f t="shared" si="143"/>
        <v>32.65537245592126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16.858692749221458</v>
      </c>
      <c r="H128" s="160">
        <f t="shared" ref="H128:BS128" si="144">H127*COS(H96*PI()/180)</f>
        <v>31.315010834098434</v>
      </c>
      <c r="I128" s="160">
        <f t="shared" si="144"/>
        <v>15.423968187323448</v>
      </c>
      <c r="J128" s="160">
        <f t="shared" si="144"/>
        <v>20.321726428435085</v>
      </c>
      <c r="K128" s="160">
        <f t="shared" si="144"/>
        <v>34.034875445785211</v>
      </c>
      <c r="L128" s="160">
        <f t="shared" si="144"/>
        <v>18.087006709280683</v>
      </c>
      <c r="M128" s="160">
        <f t="shared" si="144"/>
        <v>32.229906787768876</v>
      </c>
      <c r="N128" s="160">
        <f t="shared" si="144"/>
        <v>30.16008821079787</v>
      </c>
      <c r="O128" s="160">
        <f t="shared" si="144"/>
        <v>3.4341025517946386</v>
      </c>
      <c r="P128" s="160">
        <f t="shared" si="144"/>
        <v>29.421679892095884</v>
      </c>
      <c r="Q128" s="160">
        <f t="shared" si="144"/>
        <v>28.167255796538232</v>
      </c>
      <c r="R128" s="160">
        <f t="shared" si="144"/>
        <v>30.066641713101795</v>
      </c>
      <c r="S128" s="160">
        <f t="shared" si="144"/>
        <v>18.981335194394759</v>
      </c>
      <c r="T128" s="160">
        <f t="shared" si="144"/>
        <v>6.453747927251869</v>
      </c>
      <c r="U128" s="160">
        <f t="shared" si="144"/>
        <v>13.12514169907368</v>
      </c>
      <c r="V128" s="160">
        <f t="shared" si="144"/>
        <v>17.82091792211892</v>
      </c>
      <c r="W128" s="160">
        <f t="shared" si="144"/>
        <v>14.855355312885084</v>
      </c>
      <c r="X128" s="160">
        <f t="shared" si="144"/>
        <v>12.049493436474409</v>
      </c>
      <c r="Y128" s="160">
        <f t="shared" si="144"/>
        <v>13.518245615353655</v>
      </c>
      <c r="Z128" s="160">
        <f t="shared" si="144"/>
        <v>20.062326399199158</v>
      </c>
      <c r="AA128" s="160">
        <f t="shared" si="144"/>
        <v>13.555394976162228</v>
      </c>
      <c r="AB128" s="160">
        <f t="shared" si="144"/>
        <v>14.998045935207301</v>
      </c>
      <c r="AC128" s="160">
        <f t="shared" si="144"/>
        <v>3.6869400853639824</v>
      </c>
      <c r="AD128" s="160">
        <f t="shared" si="144"/>
        <v>6.0950265817497629</v>
      </c>
      <c r="AE128" s="160">
        <f t="shared" si="144"/>
        <v>7.754635689049576</v>
      </c>
      <c r="AF128" s="160">
        <f t="shared" si="144"/>
        <v>6.4673244438373994</v>
      </c>
      <c r="AG128" s="160">
        <f t="shared" si="144"/>
        <v>1.3490853596689414</v>
      </c>
      <c r="AH128" s="160">
        <f t="shared" si="144"/>
        <v>0.16253377443104411</v>
      </c>
      <c r="AI128" s="160">
        <f t="shared" si="144"/>
        <v>1.8768983139051632</v>
      </c>
      <c r="AJ128" s="160">
        <f t="shared" si="144"/>
        <v>1.9927466141935566</v>
      </c>
      <c r="AK128" s="160">
        <f t="shared" si="144"/>
        <v>0.34051992821630894</v>
      </c>
      <c r="AL128" s="160">
        <f t="shared" si="144"/>
        <v>-0.67627144993805455</v>
      </c>
      <c r="AM128" s="160">
        <f t="shared" si="144"/>
        <v>0.17187026694021554</v>
      </c>
      <c r="AN128" s="160">
        <f t="shared" si="144"/>
        <v>-3.3726239022877391</v>
      </c>
      <c r="AO128" s="160">
        <f t="shared" si="144"/>
        <v>-2.7651632388731788</v>
      </c>
      <c r="AP128" s="160">
        <f t="shared" si="144"/>
        <v>5.2085976359976478E-2</v>
      </c>
      <c r="AQ128" s="160">
        <f t="shared" si="144"/>
        <v>-5.2499187201765967</v>
      </c>
      <c r="AR128" s="160">
        <f t="shared" si="144"/>
        <v>-2.5889634564139521</v>
      </c>
      <c r="AS128" s="160">
        <f t="shared" si="144"/>
        <v>-1.8468105441834848</v>
      </c>
      <c r="AT128" s="160">
        <f t="shared" si="144"/>
        <v>-3.9334111630901645</v>
      </c>
      <c r="AU128" s="160">
        <f t="shared" si="144"/>
        <v>-2.9945294004249354</v>
      </c>
      <c r="AV128" s="160">
        <f t="shared" si="144"/>
        <v>-16.777739554263356</v>
      </c>
      <c r="AW128" s="160">
        <f t="shared" si="144"/>
        <v>-17.376827630337697</v>
      </c>
      <c r="AX128" s="160">
        <f t="shared" si="144"/>
        <v>-0.72531680810234922</v>
      </c>
      <c r="AY128" s="160">
        <f t="shared" si="144"/>
        <v>-18.260729745675494</v>
      </c>
      <c r="AZ128" s="160">
        <f t="shared" si="144"/>
        <v>-14.449542239469942</v>
      </c>
      <c r="BA128" s="160">
        <f t="shared" si="144"/>
        <v>-8.8489905725371134</v>
      </c>
      <c r="BB128" s="160">
        <f t="shared" si="144"/>
        <v>-19.998759465190023</v>
      </c>
      <c r="BC128" s="160">
        <f t="shared" si="144"/>
        <v>-17.49480906135226</v>
      </c>
      <c r="BD128" s="160">
        <f t="shared" si="144"/>
        <v>-18.046750364341605</v>
      </c>
      <c r="BE128" s="160">
        <f t="shared" si="144"/>
        <v>-15.758153337346709</v>
      </c>
      <c r="BF128" s="160">
        <f t="shared" si="144"/>
        <v>-21.183210601021596</v>
      </c>
      <c r="BG128" s="160">
        <f t="shared" si="144"/>
        <v>-30.794388379814777</v>
      </c>
      <c r="BH128" s="160">
        <f t="shared" si="144"/>
        <v>-16.161568532224059</v>
      </c>
      <c r="BI128" s="160">
        <f t="shared" si="144"/>
        <v>-17.925526159233002</v>
      </c>
      <c r="BJ128" s="160">
        <f t="shared" si="144"/>
        <v>-30.237753530038752</v>
      </c>
      <c r="BK128" s="160">
        <f t="shared" si="144"/>
        <v>-31.921887582576353</v>
      </c>
      <c r="BL128" s="160">
        <f t="shared" si="144"/>
        <v>-31.485439648254239</v>
      </c>
      <c r="BM128" s="160">
        <f t="shared" si="144"/>
        <v>-15.909730673785331</v>
      </c>
      <c r="BN128" s="160">
        <f t="shared" si="144"/>
        <v>-6.6122659861702013</v>
      </c>
      <c r="BO128" s="160">
        <f t="shared" si="144"/>
        <v>-14.432183978192667</v>
      </c>
      <c r="BP128" s="160">
        <f t="shared" si="144"/>
        <v>-5.9288807002652826</v>
      </c>
      <c r="BQ128" s="160">
        <f t="shared" si="144"/>
        <v>-1.8655500581969815</v>
      </c>
      <c r="BR128" s="160">
        <f t="shared" si="144"/>
        <v>-28.677687611559627</v>
      </c>
      <c r="BS128" s="160">
        <f t="shared" si="144"/>
        <v>-18.190539979936077</v>
      </c>
      <c r="BT128" s="160">
        <f t="shared" ref="BT128:DA128" si="145">BT127*COS(BT96*PI()/180)</f>
        <v>-24.986412894909925</v>
      </c>
      <c r="BU128" s="160">
        <f t="shared" si="145"/>
        <v>-25.282527605781659</v>
      </c>
      <c r="BV128" s="160">
        <f t="shared" si="145"/>
        <v>-16.852876318995982</v>
      </c>
      <c r="BW128" s="160">
        <f t="shared" si="145"/>
        <v>-6.8268905137257185</v>
      </c>
      <c r="BX128" s="160">
        <f t="shared" si="145"/>
        <v>-17.091399706049554</v>
      </c>
      <c r="BY128" s="160">
        <f t="shared" si="145"/>
        <v>-13.850526780415587</v>
      </c>
      <c r="BZ128" s="160">
        <f t="shared" si="145"/>
        <v>-5.8816081770824598</v>
      </c>
      <c r="CA128" s="160">
        <f t="shared" si="145"/>
        <v>-19.758576965888569</v>
      </c>
      <c r="CB128" s="160">
        <f t="shared" si="145"/>
        <v>-0.82602367673037358</v>
      </c>
      <c r="CC128" s="160">
        <f t="shared" si="145"/>
        <v>-10.827816224348979</v>
      </c>
      <c r="CD128" s="160">
        <f t="shared" si="145"/>
        <v>-12.217318510020331</v>
      </c>
      <c r="CE128" s="160">
        <f t="shared" si="145"/>
        <v>-7.1097643710027025</v>
      </c>
      <c r="CF128" s="160">
        <f t="shared" si="145"/>
        <v>-10.329487290944845</v>
      </c>
      <c r="CG128" s="160">
        <f t="shared" si="145"/>
        <v>-2.5020599543801976</v>
      </c>
      <c r="CH128" s="160">
        <f t="shared" si="145"/>
        <v>1.9343369391532599</v>
      </c>
      <c r="CI128" s="160">
        <f t="shared" si="145"/>
        <v>5.8327280734882319</v>
      </c>
      <c r="CJ128" s="160">
        <f t="shared" si="145"/>
        <v>1.5130811652898335</v>
      </c>
      <c r="CK128" s="160">
        <f t="shared" si="145"/>
        <v>3.8346917230244508</v>
      </c>
      <c r="CL128" s="160">
        <f t="shared" si="145"/>
        <v>4.6395434403674329</v>
      </c>
      <c r="CM128" s="160">
        <f t="shared" si="145"/>
        <v>7.1838881385564166</v>
      </c>
      <c r="CN128" s="160">
        <f t="shared" si="145"/>
        <v>11.280934137846254</v>
      </c>
      <c r="CO128" s="160">
        <f t="shared" si="145"/>
        <v>14.442277337248333</v>
      </c>
      <c r="CP128" s="160">
        <f t="shared" si="145"/>
        <v>18.32010456532884</v>
      </c>
      <c r="CQ128" s="160">
        <f t="shared" si="145"/>
        <v>17.958295966312075</v>
      </c>
      <c r="CR128" s="160">
        <f t="shared" si="145"/>
        <v>20.473429431015216</v>
      </c>
      <c r="CS128" s="160">
        <f t="shared" si="145"/>
        <v>4.0198976289620241</v>
      </c>
      <c r="CT128" s="160">
        <f t="shared" si="145"/>
        <v>16.90894110576669</v>
      </c>
      <c r="CU128" s="160">
        <f t="shared" si="145"/>
        <v>14.23891615587713</v>
      </c>
      <c r="CV128" s="160">
        <f t="shared" si="145"/>
        <v>23.663587200388545</v>
      </c>
      <c r="CW128" s="160">
        <f t="shared" si="145"/>
        <v>18.699954719720445</v>
      </c>
      <c r="CX128" s="160">
        <f t="shared" si="145"/>
        <v>17.632544889980416</v>
      </c>
      <c r="CY128" s="160">
        <f t="shared" si="145"/>
        <v>23.077631872346753</v>
      </c>
      <c r="CZ128" s="160">
        <f t="shared" si="145"/>
        <v>29.99441170992635</v>
      </c>
      <c r="DA128" s="160">
        <f t="shared" si="145"/>
        <v>32.644451794933616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1.7688006336689717</v>
      </c>
      <c r="H129" s="160">
        <f t="shared" ref="H129:BS129" si="146">H127*SIN(H96*PI()/180)</f>
        <v>4.9339433064894198</v>
      </c>
      <c r="I129" s="160">
        <f t="shared" si="146"/>
        <v>2.4600718472207164</v>
      </c>
      <c r="J129" s="160">
        <f t="shared" si="146"/>
        <v>6.7482181178731304</v>
      </c>
      <c r="K129" s="160">
        <f t="shared" si="146"/>
        <v>9.9938199666139393</v>
      </c>
      <c r="L129" s="160">
        <f t="shared" si="146"/>
        <v>7.07395231697339</v>
      </c>
      <c r="M129" s="160">
        <f t="shared" si="146"/>
        <v>10.983502196816929</v>
      </c>
      <c r="N129" s="160">
        <f t="shared" si="146"/>
        <v>10.112756431216827</v>
      </c>
      <c r="O129" s="160">
        <f t="shared" si="146"/>
        <v>0.61411044619183597</v>
      </c>
      <c r="P129" s="160">
        <f t="shared" si="146"/>
        <v>18.213688540452381</v>
      </c>
      <c r="Q129" s="160">
        <f t="shared" si="146"/>
        <v>19.444792202516233</v>
      </c>
      <c r="R129" s="160">
        <f t="shared" si="146"/>
        <v>20.953084346989336</v>
      </c>
      <c r="S129" s="160">
        <f t="shared" si="146"/>
        <v>14.44279297161653</v>
      </c>
      <c r="T129" s="160">
        <f t="shared" si="146"/>
        <v>5.9112702987406962</v>
      </c>
      <c r="U129" s="160">
        <f t="shared" si="146"/>
        <v>10.453958569056347</v>
      </c>
      <c r="V129" s="160">
        <f t="shared" si="146"/>
        <v>16.26916744758358</v>
      </c>
      <c r="W129" s="160">
        <f t="shared" si="146"/>
        <v>17.057654931014337</v>
      </c>
      <c r="X129" s="160">
        <f t="shared" si="146"/>
        <v>13.232138501833004</v>
      </c>
      <c r="Y129" s="160">
        <f t="shared" si="146"/>
        <v>23.213253694481562</v>
      </c>
      <c r="Z129" s="160">
        <f t="shared" si="146"/>
        <v>27.331905430892878</v>
      </c>
      <c r="AA129" s="160">
        <f t="shared" si="146"/>
        <v>27.892306055649652</v>
      </c>
      <c r="AB129" s="160">
        <f t="shared" si="146"/>
        <v>28.579607672962513</v>
      </c>
      <c r="AC129" s="160">
        <f t="shared" si="146"/>
        <v>12.054844853354602</v>
      </c>
      <c r="AD129" s="160">
        <f t="shared" si="146"/>
        <v>24.015639498940022</v>
      </c>
      <c r="AE129" s="160">
        <f t="shared" si="146"/>
        <v>32.466967488954495</v>
      </c>
      <c r="AF129" s="160">
        <f t="shared" si="146"/>
        <v>28.303262972288451</v>
      </c>
      <c r="AG129" s="160">
        <f t="shared" si="146"/>
        <v>14.576634516139361</v>
      </c>
      <c r="AH129" s="160">
        <f t="shared" si="146"/>
        <v>15.235590292780136</v>
      </c>
      <c r="AI129" s="160">
        <f t="shared" si="146"/>
        <v>28.106749823840033</v>
      </c>
      <c r="AJ129" s="160">
        <f t="shared" si="146"/>
        <v>16.174859118065942</v>
      </c>
      <c r="AK129" s="160">
        <f t="shared" si="146"/>
        <v>28.047308743440482</v>
      </c>
      <c r="AL129" s="160">
        <f t="shared" si="146"/>
        <v>30.767372809160882</v>
      </c>
      <c r="AM129" s="160">
        <f t="shared" si="146"/>
        <v>18.685835899753584</v>
      </c>
      <c r="AN129" s="160">
        <f t="shared" si="146"/>
        <v>27.717191856524401</v>
      </c>
      <c r="AO129" s="160">
        <f t="shared" si="146"/>
        <v>14.902867321038363</v>
      </c>
      <c r="AP129" s="160">
        <f t="shared" si="146"/>
        <v>6.6552986665911549</v>
      </c>
      <c r="AQ129" s="160">
        <f t="shared" si="146"/>
        <v>18.351759845758565</v>
      </c>
      <c r="AR129" s="160">
        <f t="shared" si="146"/>
        <v>15.501511033935833</v>
      </c>
      <c r="AS129" s="160">
        <f t="shared" si="146"/>
        <v>6.5722374944807296</v>
      </c>
      <c r="AT129" s="160">
        <f t="shared" si="146"/>
        <v>12.541089462654462</v>
      </c>
      <c r="AU129" s="160">
        <f t="shared" si="146"/>
        <v>7.837121464117371</v>
      </c>
      <c r="AV129" s="160">
        <f t="shared" si="146"/>
        <v>27.231361979049744</v>
      </c>
      <c r="AW129" s="160">
        <f t="shared" si="146"/>
        <v>27.590234916733191</v>
      </c>
      <c r="AX129" s="160">
        <f t="shared" si="146"/>
        <v>1.2584413242963413</v>
      </c>
      <c r="AY129" s="160">
        <f t="shared" si="146"/>
        <v>19.285074616565954</v>
      </c>
      <c r="AZ129" s="160">
        <f t="shared" si="146"/>
        <v>15.200391742737013</v>
      </c>
      <c r="BA129" s="160">
        <f t="shared" si="146"/>
        <v>10.645126985506931</v>
      </c>
      <c r="BB129" s="160">
        <f t="shared" si="146"/>
        <v>13.521379502436941</v>
      </c>
      <c r="BC129" s="160">
        <f t="shared" si="146"/>
        <v>12.651185218233051</v>
      </c>
      <c r="BD129" s="160">
        <f t="shared" si="146"/>
        <v>6.7171930555095951</v>
      </c>
      <c r="BE129" s="160">
        <f t="shared" si="146"/>
        <v>5.4984618946412738</v>
      </c>
      <c r="BF129" s="160">
        <f t="shared" si="146"/>
        <v>7.0895299377114105</v>
      </c>
      <c r="BG129" s="160">
        <f t="shared" si="146"/>
        <v>3.2549539212999745</v>
      </c>
      <c r="BH129" s="160">
        <f t="shared" si="146"/>
        <v>-0.81452394932007366</v>
      </c>
      <c r="BI129" s="160">
        <f t="shared" si="146"/>
        <v>-2.441578824173094</v>
      </c>
      <c r="BJ129" s="160">
        <f t="shared" si="146"/>
        <v>-4.026392539513334</v>
      </c>
      <c r="BK129" s="160">
        <f t="shared" si="146"/>
        <v>-4.4008025290047783</v>
      </c>
      <c r="BL129" s="160">
        <f t="shared" si="146"/>
        <v>-6.492571008121792</v>
      </c>
      <c r="BM129" s="160">
        <f t="shared" si="146"/>
        <v>-3.336964834636158</v>
      </c>
      <c r="BN129" s="160">
        <f t="shared" si="146"/>
        <v>-2.8468345169817977</v>
      </c>
      <c r="BO129" s="160">
        <f t="shared" si="146"/>
        <v>-5.6659381219181606</v>
      </c>
      <c r="BP129" s="160">
        <f t="shared" si="146"/>
        <v>-4.3656547303413626</v>
      </c>
      <c r="BQ129" s="160">
        <f t="shared" si="146"/>
        <v>-2.8380612906410523</v>
      </c>
      <c r="BR129" s="160">
        <f t="shared" si="146"/>
        <v>-14.970225016519469</v>
      </c>
      <c r="BS129" s="160">
        <f t="shared" si="146"/>
        <v>-10.490984092749278</v>
      </c>
      <c r="BT129" s="160">
        <f t="shared" ref="BT129:DA129" si="147">BT127*SIN(BT96*PI()/180)</f>
        <v>-17.234987697266554</v>
      </c>
      <c r="BU129" s="160">
        <f t="shared" si="147"/>
        <v>-18.625729584819439</v>
      </c>
      <c r="BV129" s="160">
        <f t="shared" si="147"/>
        <v>-15.302391746875179</v>
      </c>
      <c r="BW129" s="160">
        <f t="shared" si="147"/>
        <v>-10.529097012740223</v>
      </c>
      <c r="BX129" s="160">
        <f t="shared" si="147"/>
        <v>-21.083543260056761</v>
      </c>
      <c r="BY129" s="160">
        <f t="shared" si="147"/>
        <v>-20.550068012543694</v>
      </c>
      <c r="BZ129" s="160">
        <f t="shared" si="147"/>
        <v>-8.164388062397661</v>
      </c>
      <c r="CA129" s="160">
        <f t="shared" si="147"/>
        <v>-25.793693569358418</v>
      </c>
      <c r="CB129" s="160">
        <f t="shared" si="147"/>
        <v>-3.7054392614178302</v>
      </c>
      <c r="CC129" s="160">
        <f t="shared" si="147"/>
        <v>-21.817852996045271</v>
      </c>
      <c r="CD129" s="160">
        <f t="shared" si="147"/>
        <v>-30.24179191698969</v>
      </c>
      <c r="CE129" s="160">
        <f t="shared" si="147"/>
        <v>-22.934435378873133</v>
      </c>
      <c r="CF129" s="160">
        <f t="shared" si="147"/>
        <v>-29.814588420225721</v>
      </c>
      <c r="CG129" s="160">
        <f t="shared" si="147"/>
        <v>-19.168002165556121</v>
      </c>
      <c r="CH129" s="160">
        <f t="shared" si="147"/>
        <v>-21.901273127886444</v>
      </c>
      <c r="CI129" s="160">
        <f t="shared" si="147"/>
        <v>-25.637462093234323</v>
      </c>
      <c r="CJ129" s="160">
        <f t="shared" si="147"/>
        <v>-9.2064507141103977</v>
      </c>
      <c r="CK129" s="160">
        <f t="shared" si="147"/>
        <v>-15.365460885849668</v>
      </c>
      <c r="CL129" s="160">
        <f t="shared" si="147"/>
        <v>-6.015226315407924</v>
      </c>
      <c r="CM129" s="160">
        <f t="shared" si="147"/>
        <v>-11.491501510986431</v>
      </c>
      <c r="CN129" s="160">
        <f t="shared" si="147"/>
        <v>-19.514914012450443</v>
      </c>
      <c r="CO129" s="160">
        <f t="shared" si="147"/>
        <v>-18.899104468025552</v>
      </c>
      <c r="CP129" s="160">
        <f t="shared" si="147"/>
        <v>-14.599893417871408</v>
      </c>
      <c r="CQ129" s="160">
        <f t="shared" si="147"/>
        <v>-12.73870341188824</v>
      </c>
      <c r="CR129" s="160">
        <f t="shared" si="147"/>
        <v>-12.95606736411488</v>
      </c>
      <c r="CS129" s="160">
        <f t="shared" si="147"/>
        <v>-1.6226027161113561</v>
      </c>
      <c r="CT129" s="160">
        <f t="shared" si="147"/>
        <v>-6.8594459922360791</v>
      </c>
      <c r="CU129" s="160">
        <f t="shared" si="147"/>
        <v>-5.2990261181616871</v>
      </c>
      <c r="CV129" s="160">
        <f t="shared" si="147"/>
        <v>-5.6634587737317785</v>
      </c>
      <c r="CW129" s="160">
        <f t="shared" si="147"/>
        <v>-4.2592670096428726</v>
      </c>
      <c r="CX129" s="160">
        <f t="shared" si="147"/>
        <v>-3.3251303718062126</v>
      </c>
      <c r="CY129" s="160">
        <f t="shared" si="147"/>
        <v>-2.2084380006741835</v>
      </c>
      <c r="CZ129" s="160">
        <f t="shared" si="147"/>
        <v>0.70838138455932032</v>
      </c>
      <c r="DA129" s="160">
        <f t="shared" si="147"/>
        <v>0.84446269497032189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tabSelected="1" workbookViewId="0">
      <selection activeCell="B2" sqref="B2:D96"/>
    </sheetView>
  </sheetViews>
  <sheetFormatPr defaultRowHeight="14.5"/>
  <cols>
    <col min="2" max="2" width="13.453125" customWidth="1"/>
    <col min="3" max="3" width="15.08984375" customWidth="1"/>
    <col min="4" max="4" width="13.6328125" customWidth="1"/>
    <col min="5" max="5" width="15.453125" customWidth="1"/>
    <col min="6" max="6" width="18.90625" customWidth="1"/>
    <col min="7" max="7" width="16.08984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3.9169999999999999E-6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6.9650000000000002E-6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3.8999999999999999E-5</v>
      </c>
      <c r="D6" s="2">
        <v>6.4500010000000003E-3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6.3999999999999997E-5</v>
      </c>
      <c r="D7" s="2">
        <v>1.054999E-2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2.005001E-2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3.9599999999999998E-4</v>
      </c>
      <c r="D10" s="2">
        <v>6.7850010000000002E-2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1.0390501000000001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0.81295010000000001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5.7950010000000003E-2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7.8249990000000005E-2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5.7250009999999997E-2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0.2257499</v>
      </c>
      <c r="C37" s="2">
        <v>0.9148501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0.4334499</v>
      </c>
      <c r="C40" s="2">
        <v>0.99495009999999995</v>
      </c>
      <c r="D40" s="2">
        <v>8.7499989999999996E-3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0.51205009999999995</v>
      </c>
      <c r="C41" s="2">
        <v>1</v>
      </c>
      <c r="D41" s="2">
        <v>5.7499990000000004E-3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2.7499989999999999E-3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1.6500009999999999E-3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0.85444989999999998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4.9999990000000002E-5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3.0000000000000001E-5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2.0000000000000002E-5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0.13819999999999999</v>
      </c>
      <c r="D59" s="2">
        <v>1.0000000000000001E-5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1.135916E-2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8.1109159999999993E-3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5.790346E-3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4.1094570000000004E-3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2.8993270000000002E-3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2.0491900000000002E-3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1.439971E-3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9.9994930000000008E-4</v>
      </c>
      <c r="C77" s="2">
        <v>3.611E-4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6.9007859999999999E-4</v>
      </c>
      <c r="C78" s="2">
        <v>2.4919999999999999E-4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4.7602130000000002E-4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3.323011E-4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2.348261E-4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1.6615050000000001E-4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1.17413E-4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8.3075270000000005E-5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5.8706519999999999E-5</v>
      </c>
      <c r="C85" s="2">
        <v>2.12E-5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4.1509940000000003E-5</v>
      </c>
      <c r="C86" s="2">
        <v>1.499E-5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2.935326E-5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2.0673830000000001E-5</v>
      </c>
      <c r="C88" s="2">
        <v>7.4657000000000004E-6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1.455977E-5</v>
      </c>
      <c r="C89" s="2">
        <v>5.2577999999999999E-6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1.0253980000000001E-5</v>
      </c>
      <c r="C90" s="2">
        <v>3.7029000000000002E-6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7.2214559999999999E-6</v>
      </c>
      <c r="C91" s="2">
        <v>2.6077999999999998E-6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5.0858679999999998E-6</v>
      </c>
      <c r="C92" s="2">
        <v>1.8365999999999999E-6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3.5816519999999999E-6</v>
      </c>
      <c r="C93" s="2">
        <v>1.2934E-6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2.522525E-6</v>
      </c>
      <c r="C94" s="2">
        <v>9.1093000000000002E-7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1.7765090000000001E-6</v>
      </c>
      <c r="C95" s="2">
        <v>6.4153E-7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1.251141E-6</v>
      </c>
      <c r="C96" s="2">
        <v>4.5181000000000002E-7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D10" sqref="D10"/>
    </sheetView>
  </sheetViews>
  <sheetFormatPr defaultRowHeight="14.5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W10" sqref="W10"/>
    </sheetView>
  </sheetViews>
  <sheetFormatPr defaultColWidth="11.453125" defaultRowHeight="12.5"/>
  <cols>
    <col min="1" max="1" width="12.453125" style="9" customWidth="1"/>
    <col min="2" max="2" width="9.6328125" style="29" customWidth="1"/>
    <col min="3" max="3" width="10.08984375" style="38" customWidth="1"/>
    <col min="4" max="4" width="12.08984375" style="30" customWidth="1"/>
    <col min="5" max="6" width="10.453125" style="30" customWidth="1"/>
    <col min="7" max="7" width="3" style="31" customWidth="1"/>
    <col min="8" max="8" width="9.36328125" style="31" customWidth="1"/>
    <col min="9" max="9" width="10.6328125" style="9" customWidth="1"/>
    <col min="10" max="10" width="9.08984375" style="38" customWidth="1"/>
    <col min="11" max="11" width="3" style="38" customWidth="1"/>
    <col min="12" max="12" width="3.90625" style="41" customWidth="1"/>
    <col min="13" max="13" width="9.08984375" style="31" customWidth="1"/>
    <col min="14" max="14" width="10.36328125" style="36" customWidth="1"/>
    <col min="15" max="15" width="5.453125" style="9" customWidth="1"/>
    <col min="16" max="16" width="7" style="37" customWidth="1"/>
    <col min="17" max="19" width="7.453125" style="9" customWidth="1"/>
    <col min="20" max="20" width="8" style="9" customWidth="1"/>
    <col min="21" max="21" width="8.453125" style="9" customWidth="1"/>
    <col min="22" max="23" width="10.90625" style="38" customWidth="1"/>
    <col min="24" max="26" width="11.453125" style="9" customWidth="1"/>
    <col min="27" max="27" width="10.6328125" style="9" customWidth="1"/>
    <col min="28" max="28" width="7.90625" style="9" customWidth="1"/>
    <col min="29" max="29" width="11.453125" style="9" customWidth="1"/>
    <col min="30" max="32" width="8.6328125" style="39" customWidth="1"/>
    <col min="33" max="34" width="8.6328125" style="9" customWidth="1"/>
    <col min="35" max="256" width="11.453125" style="9"/>
    <col min="257" max="257" width="12.453125" style="9" customWidth="1"/>
    <col min="258" max="258" width="9.6328125" style="9" customWidth="1"/>
    <col min="259" max="259" width="10.08984375" style="9" customWidth="1"/>
    <col min="260" max="262" width="10.453125" style="9" customWidth="1"/>
    <col min="263" max="263" width="3" style="9" customWidth="1"/>
    <col min="264" max="264" width="9.36328125" style="9" customWidth="1"/>
    <col min="265" max="265" width="10.6328125" style="9" customWidth="1"/>
    <col min="266" max="266" width="9.08984375" style="9" customWidth="1"/>
    <col min="267" max="267" width="3" style="9" customWidth="1"/>
    <col min="268" max="268" width="3.90625" style="9" customWidth="1"/>
    <col min="269" max="269" width="9.08984375" style="9" customWidth="1"/>
    <col min="270" max="270" width="10.36328125" style="9" customWidth="1"/>
    <col min="271" max="271" width="5.453125" style="9" customWidth="1"/>
    <col min="272" max="272" width="7" style="9" customWidth="1"/>
    <col min="273" max="275" width="7.453125" style="9" customWidth="1"/>
    <col min="276" max="276" width="8" style="9" customWidth="1"/>
    <col min="277" max="277" width="8.453125" style="9" customWidth="1"/>
    <col min="278" max="279" width="10.90625" style="9" customWidth="1"/>
    <col min="280" max="282" width="11.453125" style="9" customWidth="1"/>
    <col min="283" max="283" width="10.6328125" style="9" customWidth="1"/>
    <col min="284" max="284" width="7.90625" style="9" customWidth="1"/>
    <col min="285" max="285" width="11.453125" style="9" customWidth="1"/>
    <col min="286" max="290" width="8.6328125" style="9" customWidth="1"/>
    <col min="291" max="512" width="11.453125" style="9"/>
    <col min="513" max="513" width="12.453125" style="9" customWidth="1"/>
    <col min="514" max="514" width="9.6328125" style="9" customWidth="1"/>
    <col min="515" max="515" width="10.08984375" style="9" customWidth="1"/>
    <col min="516" max="518" width="10.453125" style="9" customWidth="1"/>
    <col min="519" max="519" width="3" style="9" customWidth="1"/>
    <col min="520" max="520" width="9.36328125" style="9" customWidth="1"/>
    <col min="521" max="521" width="10.6328125" style="9" customWidth="1"/>
    <col min="522" max="522" width="9.08984375" style="9" customWidth="1"/>
    <col min="523" max="523" width="3" style="9" customWidth="1"/>
    <col min="524" max="524" width="3.90625" style="9" customWidth="1"/>
    <col min="525" max="525" width="9.08984375" style="9" customWidth="1"/>
    <col min="526" max="526" width="10.36328125" style="9" customWidth="1"/>
    <col min="527" max="527" width="5.453125" style="9" customWidth="1"/>
    <col min="528" max="528" width="7" style="9" customWidth="1"/>
    <col min="529" max="531" width="7.453125" style="9" customWidth="1"/>
    <col min="532" max="532" width="8" style="9" customWidth="1"/>
    <col min="533" max="533" width="8.453125" style="9" customWidth="1"/>
    <col min="534" max="535" width="10.90625" style="9" customWidth="1"/>
    <col min="536" max="538" width="11.453125" style="9" customWidth="1"/>
    <col min="539" max="539" width="10.6328125" style="9" customWidth="1"/>
    <col min="540" max="540" width="7.90625" style="9" customWidth="1"/>
    <col min="541" max="541" width="11.453125" style="9" customWidth="1"/>
    <col min="542" max="546" width="8.6328125" style="9" customWidth="1"/>
    <col min="547" max="768" width="11.453125" style="9"/>
    <col min="769" max="769" width="12.453125" style="9" customWidth="1"/>
    <col min="770" max="770" width="9.6328125" style="9" customWidth="1"/>
    <col min="771" max="771" width="10.08984375" style="9" customWidth="1"/>
    <col min="772" max="774" width="10.453125" style="9" customWidth="1"/>
    <col min="775" max="775" width="3" style="9" customWidth="1"/>
    <col min="776" max="776" width="9.36328125" style="9" customWidth="1"/>
    <col min="777" max="777" width="10.6328125" style="9" customWidth="1"/>
    <col min="778" max="778" width="9.08984375" style="9" customWidth="1"/>
    <col min="779" max="779" width="3" style="9" customWidth="1"/>
    <col min="780" max="780" width="3.90625" style="9" customWidth="1"/>
    <col min="781" max="781" width="9.08984375" style="9" customWidth="1"/>
    <col min="782" max="782" width="10.36328125" style="9" customWidth="1"/>
    <col min="783" max="783" width="5.453125" style="9" customWidth="1"/>
    <col min="784" max="784" width="7" style="9" customWidth="1"/>
    <col min="785" max="787" width="7.453125" style="9" customWidth="1"/>
    <col min="788" max="788" width="8" style="9" customWidth="1"/>
    <col min="789" max="789" width="8.453125" style="9" customWidth="1"/>
    <col min="790" max="791" width="10.90625" style="9" customWidth="1"/>
    <col min="792" max="794" width="11.453125" style="9" customWidth="1"/>
    <col min="795" max="795" width="10.6328125" style="9" customWidth="1"/>
    <col min="796" max="796" width="7.90625" style="9" customWidth="1"/>
    <col min="797" max="797" width="11.453125" style="9" customWidth="1"/>
    <col min="798" max="802" width="8.6328125" style="9" customWidth="1"/>
    <col min="803" max="1024" width="11.453125" style="9"/>
    <col min="1025" max="1025" width="12.453125" style="9" customWidth="1"/>
    <col min="1026" max="1026" width="9.6328125" style="9" customWidth="1"/>
    <col min="1027" max="1027" width="10.08984375" style="9" customWidth="1"/>
    <col min="1028" max="1030" width="10.453125" style="9" customWidth="1"/>
    <col min="1031" max="1031" width="3" style="9" customWidth="1"/>
    <col min="1032" max="1032" width="9.36328125" style="9" customWidth="1"/>
    <col min="1033" max="1033" width="10.6328125" style="9" customWidth="1"/>
    <col min="1034" max="1034" width="9.08984375" style="9" customWidth="1"/>
    <col min="1035" max="1035" width="3" style="9" customWidth="1"/>
    <col min="1036" max="1036" width="3.90625" style="9" customWidth="1"/>
    <col min="1037" max="1037" width="9.08984375" style="9" customWidth="1"/>
    <col min="1038" max="1038" width="10.36328125" style="9" customWidth="1"/>
    <col min="1039" max="1039" width="5.453125" style="9" customWidth="1"/>
    <col min="1040" max="1040" width="7" style="9" customWidth="1"/>
    <col min="1041" max="1043" width="7.453125" style="9" customWidth="1"/>
    <col min="1044" max="1044" width="8" style="9" customWidth="1"/>
    <col min="1045" max="1045" width="8.453125" style="9" customWidth="1"/>
    <col min="1046" max="1047" width="10.90625" style="9" customWidth="1"/>
    <col min="1048" max="1050" width="11.453125" style="9" customWidth="1"/>
    <col min="1051" max="1051" width="10.6328125" style="9" customWidth="1"/>
    <col min="1052" max="1052" width="7.90625" style="9" customWidth="1"/>
    <col min="1053" max="1053" width="11.453125" style="9" customWidth="1"/>
    <col min="1054" max="1058" width="8.6328125" style="9" customWidth="1"/>
    <col min="1059" max="1280" width="11.453125" style="9"/>
    <col min="1281" max="1281" width="12.453125" style="9" customWidth="1"/>
    <col min="1282" max="1282" width="9.6328125" style="9" customWidth="1"/>
    <col min="1283" max="1283" width="10.08984375" style="9" customWidth="1"/>
    <col min="1284" max="1286" width="10.453125" style="9" customWidth="1"/>
    <col min="1287" max="1287" width="3" style="9" customWidth="1"/>
    <col min="1288" max="1288" width="9.36328125" style="9" customWidth="1"/>
    <col min="1289" max="1289" width="10.6328125" style="9" customWidth="1"/>
    <col min="1290" max="1290" width="9.08984375" style="9" customWidth="1"/>
    <col min="1291" max="1291" width="3" style="9" customWidth="1"/>
    <col min="1292" max="1292" width="3.90625" style="9" customWidth="1"/>
    <col min="1293" max="1293" width="9.08984375" style="9" customWidth="1"/>
    <col min="1294" max="1294" width="10.36328125" style="9" customWidth="1"/>
    <col min="1295" max="1295" width="5.453125" style="9" customWidth="1"/>
    <col min="1296" max="1296" width="7" style="9" customWidth="1"/>
    <col min="1297" max="1299" width="7.453125" style="9" customWidth="1"/>
    <col min="1300" max="1300" width="8" style="9" customWidth="1"/>
    <col min="1301" max="1301" width="8.453125" style="9" customWidth="1"/>
    <col min="1302" max="1303" width="10.90625" style="9" customWidth="1"/>
    <col min="1304" max="1306" width="11.453125" style="9" customWidth="1"/>
    <col min="1307" max="1307" width="10.6328125" style="9" customWidth="1"/>
    <col min="1308" max="1308" width="7.90625" style="9" customWidth="1"/>
    <col min="1309" max="1309" width="11.453125" style="9" customWidth="1"/>
    <col min="1310" max="1314" width="8.6328125" style="9" customWidth="1"/>
    <col min="1315" max="1536" width="11.453125" style="9"/>
    <col min="1537" max="1537" width="12.453125" style="9" customWidth="1"/>
    <col min="1538" max="1538" width="9.6328125" style="9" customWidth="1"/>
    <col min="1539" max="1539" width="10.08984375" style="9" customWidth="1"/>
    <col min="1540" max="1542" width="10.453125" style="9" customWidth="1"/>
    <col min="1543" max="1543" width="3" style="9" customWidth="1"/>
    <col min="1544" max="1544" width="9.36328125" style="9" customWidth="1"/>
    <col min="1545" max="1545" width="10.6328125" style="9" customWidth="1"/>
    <col min="1546" max="1546" width="9.08984375" style="9" customWidth="1"/>
    <col min="1547" max="1547" width="3" style="9" customWidth="1"/>
    <col min="1548" max="1548" width="3.90625" style="9" customWidth="1"/>
    <col min="1549" max="1549" width="9.08984375" style="9" customWidth="1"/>
    <col min="1550" max="1550" width="10.36328125" style="9" customWidth="1"/>
    <col min="1551" max="1551" width="5.453125" style="9" customWidth="1"/>
    <col min="1552" max="1552" width="7" style="9" customWidth="1"/>
    <col min="1553" max="1555" width="7.453125" style="9" customWidth="1"/>
    <col min="1556" max="1556" width="8" style="9" customWidth="1"/>
    <col min="1557" max="1557" width="8.453125" style="9" customWidth="1"/>
    <col min="1558" max="1559" width="10.90625" style="9" customWidth="1"/>
    <col min="1560" max="1562" width="11.453125" style="9" customWidth="1"/>
    <col min="1563" max="1563" width="10.6328125" style="9" customWidth="1"/>
    <col min="1564" max="1564" width="7.90625" style="9" customWidth="1"/>
    <col min="1565" max="1565" width="11.453125" style="9" customWidth="1"/>
    <col min="1566" max="1570" width="8.6328125" style="9" customWidth="1"/>
    <col min="1571" max="1792" width="11.453125" style="9"/>
    <col min="1793" max="1793" width="12.453125" style="9" customWidth="1"/>
    <col min="1794" max="1794" width="9.6328125" style="9" customWidth="1"/>
    <col min="1795" max="1795" width="10.08984375" style="9" customWidth="1"/>
    <col min="1796" max="1798" width="10.453125" style="9" customWidth="1"/>
    <col min="1799" max="1799" width="3" style="9" customWidth="1"/>
    <col min="1800" max="1800" width="9.36328125" style="9" customWidth="1"/>
    <col min="1801" max="1801" width="10.6328125" style="9" customWidth="1"/>
    <col min="1802" max="1802" width="9.08984375" style="9" customWidth="1"/>
    <col min="1803" max="1803" width="3" style="9" customWidth="1"/>
    <col min="1804" max="1804" width="3.90625" style="9" customWidth="1"/>
    <col min="1805" max="1805" width="9.08984375" style="9" customWidth="1"/>
    <col min="1806" max="1806" width="10.36328125" style="9" customWidth="1"/>
    <col min="1807" max="1807" width="5.453125" style="9" customWidth="1"/>
    <col min="1808" max="1808" width="7" style="9" customWidth="1"/>
    <col min="1809" max="1811" width="7.453125" style="9" customWidth="1"/>
    <col min="1812" max="1812" width="8" style="9" customWidth="1"/>
    <col min="1813" max="1813" width="8.453125" style="9" customWidth="1"/>
    <col min="1814" max="1815" width="10.90625" style="9" customWidth="1"/>
    <col min="1816" max="1818" width="11.453125" style="9" customWidth="1"/>
    <col min="1819" max="1819" width="10.6328125" style="9" customWidth="1"/>
    <col min="1820" max="1820" width="7.90625" style="9" customWidth="1"/>
    <col min="1821" max="1821" width="11.453125" style="9" customWidth="1"/>
    <col min="1822" max="1826" width="8.6328125" style="9" customWidth="1"/>
    <col min="1827" max="2048" width="11.453125" style="9"/>
    <col min="2049" max="2049" width="12.453125" style="9" customWidth="1"/>
    <col min="2050" max="2050" width="9.6328125" style="9" customWidth="1"/>
    <col min="2051" max="2051" width="10.08984375" style="9" customWidth="1"/>
    <col min="2052" max="2054" width="10.453125" style="9" customWidth="1"/>
    <col min="2055" max="2055" width="3" style="9" customWidth="1"/>
    <col min="2056" max="2056" width="9.36328125" style="9" customWidth="1"/>
    <col min="2057" max="2057" width="10.6328125" style="9" customWidth="1"/>
    <col min="2058" max="2058" width="9.08984375" style="9" customWidth="1"/>
    <col min="2059" max="2059" width="3" style="9" customWidth="1"/>
    <col min="2060" max="2060" width="3.90625" style="9" customWidth="1"/>
    <col min="2061" max="2061" width="9.08984375" style="9" customWidth="1"/>
    <col min="2062" max="2062" width="10.36328125" style="9" customWidth="1"/>
    <col min="2063" max="2063" width="5.453125" style="9" customWidth="1"/>
    <col min="2064" max="2064" width="7" style="9" customWidth="1"/>
    <col min="2065" max="2067" width="7.453125" style="9" customWidth="1"/>
    <col min="2068" max="2068" width="8" style="9" customWidth="1"/>
    <col min="2069" max="2069" width="8.453125" style="9" customWidth="1"/>
    <col min="2070" max="2071" width="10.90625" style="9" customWidth="1"/>
    <col min="2072" max="2074" width="11.453125" style="9" customWidth="1"/>
    <col min="2075" max="2075" width="10.6328125" style="9" customWidth="1"/>
    <col min="2076" max="2076" width="7.90625" style="9" customWidth="1"/>
    <col min="2077" max="2077" width="11.453125" style="9" customWidth="1"/>
    <col min="2078" max="2082" width="8.6328125" style="9" customWidth="1"/>
    <col min="2083" max="2304" width="11.453125" style="9"/>
    <col min="2305" max="2305" width="12.453125" style="9" customWidth="1"/>
    <col min="2306" max="2306" width="9.6328125" style="9" customWidth="1"/>
    <col min="2307" max="2307" width="10.08984375" style="9" customWidth="1"/>
    <col min="2308" max="2310" width="10.453125" style="9" customWidth="1"/>
    <col min="2311" max="2311" width="3" style="9" customWidth="1"/>
    <col min="2312" max="2312" width="9.36328125" style="9" customWidth="1"/>
    <col min="2313" max="2313" width="10.6328125" style="9" customWidth="1"/>
    <col min="2314" max="2314" width="9.08984375" style="9" customWidth="1"/>
    <col min="2315" max="2315" width="3" style="9" customWidth="1"/>
    <col min="2316" max="2316" width="3.90625" style="9" customWidth="1"/>
    <col min="2317" max="2317" width="9.08984375" style="9" customWidth="1"/>
    <col min="2318" max="2318" width="10.36328125" style="9" customWidth="1"/>
    <col min="2319" max="2319" width="5.453125" style="9" customWidth="1"/>
    <col min="2320" max="2320" width="7" style="9" customWidth="1"/>
    <col min="2321" max="2323" width="7.453125" style="9" customWidth="1"/>
    <col min="2324" max="2324" width="8" style="9" customWidth="1"/>
    <col min="2325" max="2325" width="8.453125" style="9" customWidth="1"/>
    <col min="2326" max="2327" width="10.90625" style="9" customWidth="1"/>
    <col min="2328" max="2330" width="11.453125" style="9" customWidth="1"/>
    <col min="2331" max="2331" width="10.6328125" style="9" customWidth="1"/>
    <col min="2332" max="2332" width="7.90625" style="9" customWidth="1"/>
    <col min="2333" max="2333" width="11.453125" style="9" customWidth="1"/>
    <col min="2334" max="2338" width="8.6328125" style="9" customWidth="1"/>
    <col min="2339" max="2560" width="11.453125" style="9"/>
    <col min="2561" max="2561" width="12.453125" style="9" customWidth="1"/>
    <col min="2562" max="2562" width="9.6328125" style="9" customWidth="1"/>
    <col min="2563" max="2563" width="10.08984375" style="9" customWidth="1"/>
    <col min="2564" max="2566" width="10.453125" style="9" customWidth="1"/>
    <col min="2567" max="2567" width="3" style="9" customWidth="1"/>
    <col min="2568" max="2568" width="9.36328125" style="9" customWidth="1"/>
    <col min="2569" max="2569" width="10.6328125" style="9" customWidth="1"/>
    <col min="2570" max="2570" width="9.08984375" style="9" customWidth="1"/>
    <col min="2571" max="2571" width="3" style="9" customWidth="1"/>
    <col min="2572" max="2572" width="3.90625" style="9" customWidth="1"/>
    <col min="2573" max="2573" width="9.08984375" style="9" customWidth="1"/>
    <col min="2574" max="2574" width="10.36328125" style="9" customWidth="1"/>
    <col min="2575" max="2575" width="5.453125" style="9" customWidth="1"/>
    <col min="2576" max="2576" width="7" style="9" customWidth="1"/>
    <col min="2577" max="2579" width="7.453125" style="9" customWidth="1"/>
    <col min="2580" max="2580" width="8" style="9" customWidth="1"/>
    <col min="2581" max="2581" width="8.453125" style="9" customWidth="1"/>
    <col min="2582" max="2583" width="10.90625" style="9" customWidth="1"/>
    <col min="2584" max="2586" width="11.453125" style="9" customWidth="1"/>
    <col min="2587" max="2587" width="10.6328125" style="9" customWidth="1"/>
    <col min="2588" max="2588" width="7.90625" style="9" customWidth="1"/>
    <col min="2589" max="2589" width="11.453125" style="9" customWidth="1"/>
    <col min="2590" max="2594" width="8.6328125" style="9" customWidth="1"/>
    <col min="2595" max="2816" width="11.453125" style="9"/>
    <col min="2817" max="2817" width="12.453125" style="9" customWidth="1"/>
    <col min="2818" max="2818" width="9.6328125" style="9" customWidth="1"/>
    <col min="2819" max="2819" width="10.08984375" style="9" customWidth="1"/>
    <col min="2820" max="2822" width="10.453125" style="9" customWidth="1"/>
    <col min="2823" max="2823" width="3" style="9" customWidth="1"/>
    <col min="2824" max="2824" width="9.36328125" style="9" customWidth="1"/>
    <col min="2825" max="2825" width="10.6328125" style="9" customWidth="1"/>
    <col min="2826" max="2826" width="9.08984375" style="9" customWidth="1"/>
    <col min="2827" max="2827" width="3" style="9" customWidth="1"/>
    <col min="2828" max="2828" width="3.90625" style="9" customWidth="1"/>
    <col min="2829" max="2829" width="9.08984375" style="9" customWidth="1"/>
    <col min="2830" max="2830" width="10.36328125" style="9" customWidth="1"/>
    <col min="2831" max="2831" width="5.453125" style="9" customWidth="1"/>
    <col min="2832" max="2832" width="7" style="9" customWidth="1"/>
    <col min="2833" max="2835" width="7.453125" style="9" customWidth="1"/>
    <col min="2836" max="2836" width="8" style="9" customWidth="1"/>
    <col min="2837" max="2837" width="8.453125" style="9" customWidth="1"/>
    <col min="2838" max="2839" width="10.90625" style="9" customWidth="1"/>
    <col min="2840" max="2842" width="11.453125" style="9" customWidth="1"/>
    <col min="2843" max="2843" width="10.6328125" style="9" customWidth="1"/>
    <col min="2844" max="2844" width="7.90625" style="9" customWidth="1"/>
    <col min="2845" max="2845" width="11.453125" style="9" customWidth="1"/>
    <col min="2846" max="2850" width="8.6328125" style="9" customWidth="1"/>
    <col min="2851" max="3072" width="11.453125" style="9"/>
    <col min="3073" max="3073" width="12.453125" style="9" customWidth="1"/>
    <col min="3074" max="3074" width="9.6328125" style="9" customWidth="1"/>
    <col min="3075" max="3075" width="10.08984375" style="9" customWidth="1"/>
    <col min="3076" max="3078" width="10.453125" style="9" customWidth="1"/>
    <col min="3079" max="3079" width="3" style="9" customWidth="1"/>
    <col min="3080" max="3080" width="9.36328125" style="9" customWidth="1"/>
    <col min="3081" max="3081" width="10.6328125" style="9" customWidth="1"/>
    <col min="3082" max="3082" width="9.08984375" style="9" customWidth="1"/>
    <col min="3083" max="3083" width="3" style="9" customWidth="1"/>
    <col min="3084" max="3084" width="3.90625" style="9" customWidth="1"/>
    <col min="3085" max="3085" width="9.08984375" style="9" customWidth="1"/>
    <col min="3086" max="3086" width="10.36328125" style="9" customWidth="1"/>
    <col min="3087" max="3087" width="5.453125" style="9" customWidth="1"/>
    <col min="3088" max="3088" width="7" style="9" customWidth="1"/>
    <col min="3089" max="3091" width="7.453125" style="9" customWidth="1"/>
    <col min="3092" max="3092" width="8" style="9" customWidth="1"/>
    <col min="3093" max="3093" width="8.453125" style="9" customWidth="1"/>
    <col min="3094" max="3095" width="10.90625" style="9" customWidth="1"/>
    <col min="3096" max="3098" width="11.453125" style="9" customWidth="1"/>
    <col min="3099" max="3099" width="10.6328125" style="9" customWidth="1"/>
    <col min="3100" max="3100" width="7.90625" style="9" customWidth="1"/>
    <col min="3101" max="3101" width="11.453125" style="9" customWidth="1"/>
    <col min="3102" max="3106" width="8.6328125" style="9" customWidth="1"/>
    <col min="3107" max="3328" width="11.453125" style="9"/>
    <col min="3329" max="3329" width="12.453125" style="9" customWidth="1"/>
    <col min="3330" max="3330" width="9.6328125" style="9" customWidth="1"/>
    <col min="3331" max="3331" width="10.08984375" style="9" customWidth="1"/>
    <col min="3332" max="3334" width="10.453125" style="9" customWidth="1"/>
    <col min="3335" max="3335" width="3" style="9" customWidth="1"/>
    <col min="3336" max="3336" width="9.36328125" style="9" customWidth="1"/>
    <col min="3337" max="3337" width="10.6328125" style="9" customWidth="1"/>
    <col min="3338" max="3338" width="9.08984375" style="9" customWidth="1"/>
    <col min="3339" max="3339" width="3" style="9" customWidth="1"/>
    <col min="3340" max="3340" width="3.90625" style="9" customWidth="1"/>
    <col min="3341" max="3341" width="9.08984375" style="9" customWidth="1"/>
    <col min="3342" max="3342" width="10.36328125" style="9" customWidth="1"/>
    <col min="3343" max="3343" width="5.453125" style="9" customWidth="1"/>
    <col min="3344" max="3344" width="7" style="9" customWidth="1"/>
    <col min="3345" max="3347" width="7.453125" style="9" customWidth="1"/>
    <col min="3348" max="3348" width="8" style="9" customWidth="1"/>
    <col min="3349" max="3349" width="8.453125" style="9" customWidth="1"/>
    <col min="3350" max="3351" width="10.90625" style="9" customWidth="1"/>
    <col min="3352" max="3354" width="11.453125" style="9" customWidth="1"/>
    <col min="3355" max="3355" width="10.6328125" style="9" customWidth="1"/>
    <col min="3356" max="3356" width="7.90625" style="9" customWidth="1"/>
    <col min="3357" max="3357" width="11.453125" style="9" customWidth="1"/>
    <col min="3358" max="3362" width="8.6328125" style="9" customWidth="1"/>
    <col min="3363" max="3584" width="11.453125" style="9"/>
    <col min="3585" max="3585" width="12.453125" style="9" customWidth="1"/>
    <col min="3586" max="3586" width="9.6328125" style="9" customWidth="1"/>
    <col min="3587" max="3587" width="10.08984375" style="9" customWidth="1"/>
    <col min="3588" max="3590" width="10.453125" style="9" customWidth="1"/>
    <col min="3591" max="3591" width="3" style="9" customWidth="1"/>
    <col min="3592" max="3592" width="9.36328125" style="9" customWidth="1"/>
    <col min="3593" max="3593" width="10.6328125" style="9" customWidth="1"/>
    <col min="3594" max="3594" width="9.08984375" style="9" customWidth="1"/>
    <col min="3595" max="3595" width="3" style="9" customWidth="1"/>
    <col min="3596" max="3596" width="3.90625" style="9" customWidth="1"/>
    <col min="3597" max="3597" width="9.08984375" style="9" customWidth="1"/>
    <col min="3598" max="3598" width="10.36328125" style="9" customWidth="1"/>
    <col min="3599" max="3599" width="5.453125" style="9" customWidth="1"/>
    <col min="3600" max="3600" width="7" style="9" customWidth="1"/>
    <col min="3601" max="3603" width="7.453125" style="9" customWidth="1"/>
    <col min="3604" max="3604" width="8" style="9" customWidth="1"/>
    <col min="3605" max="3605" width="8.453125" style="9" customWidth="1"/>
    <col min="3606" max="3607" width="10.90625" style="9" customWidth="1"/>
    <col min="3608" max="3610" width="11.453125" style="9" customWidth="1"/>
    <col min="3611" max="3611" width="10.6328125" style="9" customWidth="1"/>
    <col min="3612" max="3612" width="7.90625" style="9" customWidth="1"/>
    <col min="3613" max="3613" width="11.453125" style="9" customWidth="1"/>
    <col min="3614" max="3618" width="8.6328125" style="9" customWidth="1"/>
    <col min="3619" max="3840" width="11.453125" style="9"/>
    <col min="3841" max="3841" width="12.453125" style="9" customWidth="1"/>
    <col min="3842" max="3842" width="9.6328125" style="9" customWidth="1"/>
    <col min="3843" max="3843" width="10.08984375" style="9" customWidth="1"/>
    <col min="3844" max="3846" width="10.453125" style="9" customWidth="1"/>
    <col min="3847" max="3847" width="3" style="9" customWidth="1"/>
    <col min="3848" max="3848" width="9.36328125" style="9" customWidth="1"/>
    <col min="3849" max="3849" width="10.6328125" style="9" customWidth="1"/>
    <col min="3850" max="3850" width="9.08984375" style="9" customWidth="1"/>
    <col min="3851" max="3851" width="3" style="9" customWidth="1"/>
    <col min="3852" max="3852" width="3.90625" style="9" customWidth="1"/>
    <col min="3853" max="3853" width="9.08984375" style="9" customWidth="1"/>
    <col min="3854" max="3854" width="10.36328125" style="9" customWidth="1"/>
    <col min="3855" max="3855" width="5.453125" style="9" customWidth="1"/>
    <col min="3856" max="3856" width="7" style="9" customWidth="1"/>
    <col min="3857" max="3859" width="7.453125" style="9" customWidth="1"/>
    <col min="3860" max="3860" width="8" style="9" customWidth="1"/>
    <col min="3861" max="3861" width="8.453125" style="9" customWidth="1"/>
    <col min="3862" max="3863" width="10.90625" style="9" customWidth="1"/>
    <col min="3864" max="3866" width="11.453125" style="9" customWidth="1"/>
    <col min="3867" max="3867" width="10.6328125" style="9" customWidth="1"/>
    <col min="3868" max="3868" width="7.90625" style="9" customWidth="1"/>
    <col min="3869" max="3869" width="11.453125" style="9" customWidth="1"/>
    <col min="3870" max="3874" width="8.6328125" style="9" customWidth="1"/>
    <col min="3875" max="4096" width="11.453125" style="9"/>
    <col min="4097" max="4097" width="12.453125" style="9" customWidth="1"/>
    <col min="4098" max="4098" width="9.6328125" style="9" customWidth="1"/>
    <col min="4099" max="4099" width="10.08984375" style="9" customWidth="1"/>
    <col min="4100" max="4102" width="10.453125" style="9" customWidth="1"/>
    <col min="4103" max="4103" width="3" style="9" customWidth="1"/>
    <col min="4104" max="4104" width="9.36328125" style="9" customWidth="1"/>
    <col min="4105" max="4105" width="10.6328125" style="9" customWidth="1"/>
    <col min="4106" max="4106" width="9.08984375" style="9" customWidth="1"/>
    <col min="4107" max="4107" width="3" style="9" customWidth="1"/>
    <col min="4108" max="4108" width="3.90625" style="9" customWidth="1"/>
    <col min="4109" max="4109" width="9.08984375" style="9" customWidth="1"/>
    <col min="4110" max="4110" width="10.36328125" style="9" customWidth="1"/>
    <col min="4111" max="4111" width="5.453125" style="9" customWidth="1"/>
    <col min="4112" max="4112" width="7" style="9" customWidth="1"/>
    <col min="4113" max="4115" width="7.453125" style="9" customWidth="1"/>
    <col min="4116" max="4116" width="8" style="9" customWidth="1"/>
    <col min="4117" max="4117" width="8.453125" style="9" customWidth="1"/>
    <col min="4118" max="4119" width="10.90625" style="9" customWidth="1"/>
    <col min="4120" max="4122" width="11.453125" style="9" customWidth="1"/>
    <col min="4123" max="4123" width="10.6328125" style="9" customWidth="1"/>
    <col min="4124" max="4124" width="7.90625" style="9" customWidth="1"/>
    <col min="4125" max="4125" width="11.453125" style="9" customWidth="1"/>
    <col min="4126" max="4130" width="8.6328125" style="9" customWidth="1"/>
    <col min="4131" max="4352" width="11.453125" style="9"/>
    <col min="4353" max="4353" width="12.453125" style="9" customWidth="1"/>
    <col min="4354" max="4354" width="9.6328125" style="9" customWidth="1"/>
    <col min="4355" max="4355" width="10.08984375" style="9" customWidth="1"/>
    <col min="4356" max="4358" width="10.453125" style="9" customWidth="1"/>
    <col min="4359" max="4359" width="3" style="9" customWidth="1"/>
    <col min="4360" max="4360" width="9.36328125" style="9" customWidth="1"/>
    <col min="4361" max="4361" width="10.6328125" style="9" customWidth="1"/>
    <col min="4362" max="4362" width="9.08984375" style="9" customWidth="1"/>
    <col min="4363" max="4363" width="3" style="9" customWidth="1"/>
    <col min="4364" max="4364" width="3.90625" style="9" customWidth="1"/>
    <col min="4365" max="4365" width="9.08984375" style="9" customWidth="1"/>
    <col min="4366" max="4366" width="10.36328125" style="9" customWidth="1"/>
    <col min="4367" max="4367" width="5.453125" style="9" customWidth="1"/>
    <col min="4368" max="4368" width="7" style="9" customWidth="1"/>
    <col min="4369" max="4371" width="7.453125" style="9" customWidth="1"/>
    <col min="4372" max="4372" width="8" style="9" customWidth="1"/>
    <col min="4373" max="4373" width="8.453125" style="9" customWidth="1"/>
    <col min="4374" max="4375" width="10.90625" style="9" customWidth="1"/>
    <col min="4376" max="4378" width="11.453125" style="9" customWidth="1"/>
    <col min="4379" max="4379" width="10.6328125" style="9" customWidth="1"/>
    <col min="4380" max="4380" width="7.90625" style="9" customWidth="1"/>
    <col min="4381" max="4381" width="11.453125" style="9" customWidth="1"/>
    <col min="4382" max="4386" width="8.6328125" style="9" customWidth="1"/>
    <col min="4387" max="4608" width="11.453125" style="9"/>
    <col min="4609" max="4609" width="12.453125" style="9" customWidth="1"/>
    <col min="4610" max="4610" width="9.6328125" style="9" customWidth="1"/>
    <col min="4611" max="4611" width="10.08984375" style="9" customWidth="1"/>
    <col min="4612" max="4614" width="10.453125" style="9" customWidth="1"/>
    <col min="4615" max="4615" width="3" style="9" customWidth="1"/>
    <col min="4616" max="4616" width="9.36328125" style="9" customWidth="1"/>
    <col min="4617" max="4617" width="10.6328125" style="9" customWidth="1"/>
    <col min="4618" max="4618" width="9.08984375" style="9" customWidth="1"/>
    <col min="4619" max="4619" width="3" style="9" customWidth="1"/>
    <col min="4620" max="4620" width="3.90625" style="9" customWidth="1"/>
    <col min="4621" max="4621" width="9.08984375" style="9" customWidth="1"/>
    <col min="4622" max="4622" width="10.36328125" style="9" customWidth="1"/>
    <col min="4623" max="4623" width="5.453125" style="9" customWidth="1"/>
    <col min="4624" max="4624" width="7" style="9" customWidth="1"/>
    <col min="4625" max="4627" width="7.453125" style="9" customWidth="1"/>
    <col min="4628" max="4628" width="8" style="9" customWidth="1"/>
    <col min="4629" max="4629" width="8.453125" style="9" customWidth="1"/>
    <col min="4630" max="4631" width="10.90625" style="9" customWidth="1"/>
    <col min="4632" max="4634" width="11.453125" style="9" customWidth="1"/>
    <col min="4635" max="4635" width="10.6328125" style="9" customWidth="1"/>
    <col min="4636" max="4636" width="7.90625" style="9" customWidth="1"/>
    <col min="4637" max="4637" width="11.453125" style="9" customWidth="1"/>
    <col min="4638" max="4642" width="8.6328125" style="9" customWidth="1"/>
    <col min="4643" max="4864" width="11.453125" style="9"/>
    <col min="4865" max="4865" width="12.453125" style="9" customWidth="1"/>
    <col min="4866" max="4866" width="9.6328125" style="9" customWidth="1"/>
    <col min="4867" max="4867" width="10.08984375" style="9" customWidth="1"/>
    <col min="4868" max="4870" width="10.453125" style="9" customWidth="1"/>
    <col min="4871" max="4871" width="3" style="9" customWidth="1"/>
    <col min="4872" max="4872" width="9.36328125" style="9" customWidth="1"/>
    <col min="4873" max="4873" width="10.6328125" style="9" customWidth="1"/>
    <col min="4874" max="4874" width="9.08984375" style="9" customWidth="1"/>
    <col min="4875" max="4875" width="3" style="9" customWidth="1"/>
    <col min="4876" max="4876" width="3.90625" style="9" customWidth="1"/>
    <col min="4877" max="4877" width="9.08984375" style="9" customWidth="1"/>
    <col min="4878" max="4878" width="10.36328125" style="9" customWidth="1"/>
    <col min="4879" max="4879" width="5.453125" style="9" customWidth="1"/>
    <col min="4880" max="4880" width="7" style="9" customWidth="1"/>
    <col min="4881" max="4883" width="7.453125" style="9" customWidth="1"/>
    <col min="4884" max="4884" width="8" style="9" customWidth="1"/>
    <col min="4885" max="4885" width="8.453125" style="9" customWidth="1"/>
    <col min="4886" max="4887" width="10.90625" style="9" customWidth="1"/>
    <col min="4888" max="4890" width="11.453125" style="9" customWidth="1"/>
    <col min="4891" max="4891" width="10.6328125" style="9" customWidth="1"/>
    <col min="4892" max="4892" width="7.90625" style="9" customWidth="1"/>
    <col min="4893" max="4893" width="11.453125" style="9" customWidth="1"/>
    <col min="4894" max="4898" width="8.6328125" style="9" customWidth="1"/>
    <col min="4899" max="5120" width="11.453125" style="9"/>
    <col min="5121" max="5121" width="12.453125" style="9" customWidth="1"/>
    <col min="5122" max="5122" width="9.6328125" style="9" customWidth="1"/>
    <col min="5123" max="5123" width="10.08984375" style="9" customWidth="1"/>
    <col min="5124" max="5126" width="10.453125" style="9" customWidth="1"/>
    <col min="5127" max="5127" width="3" style="9" customWidth="1"/>
    <col min="5128" max="5128" width="9.36328125" style="9" customWidth="1"/>
    <col min="5129" max="5129" width="10.6328125" style="9" customWidth="1"/>
    <col min="5130" max="5130" width="9.08984375" style="9" customWidth="1"/>
    <col min="5131" max="5131" width="3" style="9" customWidth="1"/>
    <col min="5132" max="5132" width="3.90625" style="9" customWidth="1"/>
    <col min="5133" max="5133" width="9.08984375" style="9" customWidth="1"/>
    <col min="5134" max="5134" width="10.36328125" style="9" customWidth="1"/>
    <col min="5135" max="5135" width="5.453125" style="9" customWidth="1"/>
    <col min="5136" max="5136" width="7" style="9" customWidth="1"/>
    <col min="5137" max="5139" width="7.453125" style="9" customWidth="1"/>
    <col min="5140" max="5140" width="8" style="9" customWidth="1"/>
    <col min="5141" max="5141" width="8.453125" style="9" customWidth="1"/>
    <col min="5142" max="5143" width="10.90625" style="9" customWidth="1"/>
    <col min="5144" max="5146" width="11.453125" style="9" customWidth="1"/>
    <col min="5147" max="5147" width="10.6328125" style="9" customWidth="1"/>
    <col min="5148" max="5148" width="7.90625" style="9" customWidth="1"/>
    <col min="5149" max="5149" width="11.453125" style="9" customWidth="1"/>
    <col min="5150" max="5154" width="8.6328125" style="9" customWidth="1"/>
    <col min="5155" max="5376" width="11.453125" style="9"/>
    <col min="5377" max="5377" width="12.453125" style="9" customWidth="1"/>
    <col min="5378" max="5378" width="9.6328125" style="9" customWidth="1"/>
    <col min="5379" max="5379" width="10.08984375" style="9" customWidth="1"/>
    <col min="5380" max="5382" width="10.453125" style="9" customWidth="1"/>
    <col min="5383" max="5383" width="3" style="9" customWidth="1"/>
    <col min="5384" max="5384" width="9.36328125" style="9" customWidth="1"/>
    <col min="5385" max="5385" width="10.6328125" style="9" customWidth="1"/>
    <col min="5386" max="5386" width="9.08984375" style="9" customWidth="1"/>
    <col min="5387" max="5387" width="3" style="9" customWidth="1"/>
    <col min="5388" max="5388" width="3.90625" style="9" customWidth="1"/>
    <col min="5389" max="5389" width="9.08984375" style="9" customWidth="1"/>
    <col min="5390" max="5390" width="10.36328125" style="9" customWidth="1"/>
    <col min="5391" max="5391" width="5.453125" style="9" customWidth="1"/>
    <col min="5392" max="5392" width="7" style="9" customWidth="1"/>
    <col min="5393" max="5395" width="7.453125" style="9" customWidth="1"/>
    <col min="5396" max="5396" width="8" style="9" customWidth="1"/>
    <col min="5397" max="5397" width="8.453125" style="9" customWidth="1"/>
    <col min="5398" max="5399" width="10.90625" style="9" customWidth="1"/>
    <col min="5400" max="5402" width="11.453125" style="9" customWidth="1"/>
    <col min="5403" max="5403" width="10.6328125" style="9" customWidth="1"/>
    <col min="5404" max="5404" width="7.90625" style="9" customWidth="1"/>
    <col min="5405" max="5405" width="11.453125" style="9" customWidth="1"/>
    <col min="5406" max="5410" width="8.6328125" style="9" customWidth="1"/>
    <col min="5411" max="5632" width="11.453125" style="9"/>
    <col min="5633" max="5633" width="12.453125" style="9" customWidth="1"/>
    <col min="5634" max="5634" width="9.6328125" style="9" customWidth="1"/>
    <col min="5635" max="5635" width="10.08984375" style="9" customWidth="1"/>
    <col min="5636" max="5638" width="10.453125" style="9" customWidth="1"/>
    <col min="5639" max="5639" width="3" style="9" customWidth="1"/>
    <col min="5640" max="5640" width="9.36328125" style="9" customWidth="1"/>
    <col min="5641" max="5641" width="10.6328125" style="9" customWidth="1"/>
    <col min="5642" max="5642" width="9.08984375" style="9" customWidth="1"/>
    <col min="5643" max="5643" width="3" style="9" customWidth="1"/>
    <col min="5644" max="5644" width="3.90625" style="9" customWidth="1"/>
    <col min="5645" max="5645" width="9.08984375" style="9" customWidth="1"/>
    <col min="5646" max="5646" width="10.36328125" style="9" customWidth="1"/>
    <col min="5647" max="5647" width="5.453125" style="9" customWidth="1"/>
    <col min="5648" max="5648" width="7" style="9" customWidth="1"/>
    <col min="5649" max="5651" width="7.453125" style="9" customWidth="1"/>
    <col min="5652" max="5652" width="8" style="9" customWidth="1"/>
    <col min="5653" max="5653" width="8.453125" style="9" customWidth="1"/>
    <col min="5654" max="5655" width="10.90625" style="9" customWidth="1"/>
    <col min="5656" max="5658" width="11.453125" style="9" customWidth="1"/>
    <col min="5659" max="5659" width="10.6328125" style="9" customWidth="1"/>
    <col min="5660" max="5660" width="7.90625" style="9" customWidth="1"/>
    <col min="5661" max="5661" width="11.453125" style="9" customWidth="1"/>
    <col min="5662" max="5666" width="8.6328125" style="9" customWidth="1"/>
    <col min="5667" max="5888" width="11.453125" style="9"/>
    <col min="5889" max="5889" width="12.453125" style="9" customWidth="1"/>
    <col min="5890" max="5890" width="9.6328125" style="9" customWidth="1"/>
    <col min="5891" max="5891" width="10.08984375" style="9" customWidth="1"/>
    <col min="5892" max="5894" width="10.453125" style="9" customWidth="1"/>
    <col min="5895" max="5895" width="3" style="9" customWidth="1"/>
    <col min="5896" max="5896" width="9.36328125" style="9" customWidth="1"/>
    <col min="5897" max="5897" width="10.6328125" style="9" customWidth="1"/>
    <col min="5898" max="5898" width="9.08984375" style="9" customWidth="1"/>
    <col min="5899" max="5899" width="3" style="9" customWidth="1"/>
    <col min="5900" max="5900" width="3.90625" style="9" customWidth="1"/>
    <col min="5901" max="5901" width="9.08984375" style="9" customWidth="1"/>
    <col min="5902" max="5902" width="10.36328125" style="9" customWidth="1"/>
    <col min="5903" max="5903" width="5.453125" style="9" customWidth="1"/>
    <col min="5904" max="5904" width="7" style="9" customWidth="1"/>
    <col min="5905" max="5907" width="7.453125" style="9" customWidth="1"/>
    <col min="5908" max="5908" width="8" style="9" customWidth="1"/>
    <col min="5909" max="5909" width="8.453125" style="9" customWidth="1"/>
    <col min="5910" max="5911" width="10.90625" style="9" customWidth="1"/>
    <col min="5912" max="5914" width="11.453125" style="9" customWidth="1"/>
    <col min="5915" max="5915" width="10.6328125" style="9" customWidth="1"/>
    <col min="5916" max="5916" width="7.90625" style="9" customWidth="1"/>
    <col min="5917" max="5917" width="11.453125" style="9" customWidth="1"/>
    <col min="5918" max="5922" width="8.6328125" style="9" customWidth="1"/>
    <col min="5923" max="6144" width="11.453125" style="9"/>
    <col min="6145" max="6145" width="12.453125" style="9" customWidth="1"/>
    <col min="6146" max="6146" width="9.6328125" style="9" customWidth="1"/>
    <col min="6147" max="6147" width="10.08984375" style="9" customWidth="1"/>
    <col min="6148" max="6150" width="10.453125" style="9" customWidth="1"/>
    <col min="6151" max="6151" width="3" style="9" customWidth="1"/>
    <col min="6152" max="6152" width="9.36328125" style="9" customWidth="1"/>
    <col min="6153" max="6153" width="10.6328125" style="9" customWidth="1"/>
    <col min="6154" max="6154" width="9.08984375" style="9" customWidth="1"/>
    <col min="6155" max="6155" width="3" style="9" customWidth="1"/>
    <col min="6156" max="6156" width="3.90625" style="9" customWidth="1"/>
    <col min="6157" max="6157" width="9.08984375" style="9" customWidth="1"/>
    <col min="6158" max="6158" width="10.36328125" style="9" customWidth="1"/>
    <col min="6159" max="6159" width="5.453125" style="9" customWidth="1"/>
    <col min="6160" max="6160" width="7" style="9" customWidth="1"/>
    <col min="6161" max="6163" width="7.453125" style="9" customWidth="1"/>
    <col min="6164" max="6164" width="8" style="9" customWidth="1"/>
    <col min="6165" max="6165" width="8.453125" style="9" customWidth="1"/>
    <col min="6166" max="6167" width="10.90625" style="9" customWidth="1"/>
    <col min="6168" max="6170" width="11.453125" style="9" customWidth="1"/>
    <col min="6171" max="6171" width="10.6328125" style="9" customWidth="1"/>
    <col min="6172" max="6172" width="7.90625" style="9" customWidth="1"/>
    <col min="6173" max="6173" width="11.453125" style="9" customWidth="1"/>
    <col min="6174" max="6178" width="8.6328125" style="9" customWidth="1"/>
    <col min="6179" max="6400" width="11.453125" style="9"/>
    <col min="6401" max="6401" width="12.453125" style="9" customWidth="1"/>
    <col min="6402" max="6402" width="9.6328125" style="9" customWidth="1"/>
    <col min="6403" max="6403" width="10.08984375" style="9" customWidth="1"/>
    <col min="6404" max="6406" width="10.453125" style="9" customWidth="1"/>
    <col min="6407" max="6407" width="3" style="9" customWidth="1"/>
    <col min="6408" max="6408" width="9.36328125" style="9" customWidth="1"/>
    <col min="6409" max="6409" width="10.6328125" style="9" customWidth="1"/>
    <col min="6410" max="6410" width="9.08984375" style="9" customWidth="1"/>
    <col min="6411" max="6411" width="3" style="9" customWidth="1"/>
    <col min="6412" max="6412" width="3.90625" style="9" customWidth="1"/>
    <col min="6413" max="6413" width="9.08984375" style="9" customWidth="1"/>
    <col min="6414" max="6414" width="10.36328125" style="9" customWidth="1"/>
    <col min="6415" max="6415" width="5.453125" style="9" customWidth="1"/>
    <col min="6416" max="6416" width="7" style="9" customWidth="1"/>
    <col min="6417" max="6419" width="7.453125" style="9" customWidth="1"/>
    <col min="6420" max="6420" width="8" style="9" customWidth="1"/>
    <col min="6421" max="6421" width="8.453125" style="9" customWidth="1"/>
    <col min="6422" max="6423" width="10.90625" style="9" customWidth="1"/>
    <col min="6424" max="6426" width="11.453125" style="9" customWidth="1"/>
    <col min="6427" max="6427" width="10.6328125" style="9" customWidth="1"/>
    <col min="6428" max="6428" width="7.90625" style="9" customWidth="1"/>
    <col min="6429" max="6429" width="11.453125" style="9" customWidth="1"/>
    <col min="6430" max="6434" width="8.6328125" style="9" customWidth="1"/>
    <col min="6435" max="6656" width="11.453125" style="9"/>
    <col min="6657" max="6657" width="12.453125" style="9" customWidth="1"/>
    <col min="6658" max="6658" width="9.6328125" style="9" customWidth="1"/>
    <col min="6659" max="6659" width="10.08984375" style="9" customWidth="1"/>
    <col min="6660" max="6662" width="10.453125" style="9" customWidth="1"/>
    <col min="6663" max="6663" width="3" style="9" customWidth="1"/>
    <col min="6664" max="6664" width="9.36328125" style="9" customWidth="1"/>
    <col min="6665" max="6665" width="10.6328125" style="9" customWidth="1"/>
    <col min="6666" max="6666" width="9.08984375" style="9" customWidth="1"/>
    <col min="6667" max="6667" width="3" style="9" customWidth="1"/>
    <col min="6668" max="6668" width="3.90625" style="9" customWidth="1"/>
    <col min="6669" max="6669" width="9.08984375" style="9" customWidth="1"/>
    <col min="6670" max="6670" width="10.36328125" style="9" customWidth="1"/>
    <col min="6671" max="6671" width="5.453125" style="9" customWidth="1"/>
    <col min="6672" max="6672" width="7" style="9" customWidth="1"/>
    <col min="6673" max="6675" width="7.453125" style="9" customWidth="1"/>
    <col min="6676" max="6676" width="8" style="9" customWidth="1"/>
    <col min="6677" max="6677" width="8.453125" style="9" customWidth="1"/>
    <col min="6678" max="6679" width="10.90625" style="9" customWidth="1"/>
    <col min="6680" max="6682" width="11.453125" style="9" customWidth="1"/>
    <col min="6683" max="6683" width="10.6328125" style="9" customWidth="1"/>
    <col min="6684" max="6684" width="7.90625" style="9" customWidth="1"/>
    <col min="6685" max="6685" width="11.453125" style="9" customWidth="1"/>
    <col min="6686" max="6690" width="8.6328125" style="9" customWidth="1"/>
    <col min="6691" max="6912" width="11.453125" style="9"/>
    <col min="6913" max="6913" width="12.453125" style="9" customWidth="1"/>
    <col min="6914" max="6914" width="9.6328125" style="9" customWidth="1"/>
    <col min="6915" max="6915" width="10.08984375" style="9" customWidth="1"/>
    <col min="6916" max="6918" width="10.453125" style="9" customWidth="1"/>
    <col min="6919" max="6919" width="3" style="9" customWidth="1"/>
    <col min="6920" max="6920" width="9.36328125" style="9" customWidth="1"/>
    <col min="6921" max="6921" width="10.6328125" style="9" customWidth="1"/>
    <col min="6922" max="6922" width="9.08984375" style="9" customWidth="1"/>
    <col min="6923" max="6923" width="3" style="9" customWidth="1"/>
    <col min="6924" max="6924" width="3.90625" style="9" customWidth="1"/>
    <col min="6925" max="6925" width="9.08984375" style="9" customWidth="1"/>
    <col min="6926" max="6926" width="10.36328125" style="9" customWidth="1"/>
    <col min="6927" max="6927" width="5.453125" style="9" customWidth="1"/>
    <col min="6928" max="6928" width="7" style="9" customWidth="1"/>
    <col min="6929" max="6931" width="7.453125" style="9" customWidth="1"/>
    <col min="6932" max="6932" width="8" style="9" customWidth="1"/>
    <col min="6933" max="6933" width="8.453125" style="9" customWidth="1"/>
    <col min="6934" max="6935" width="10.90625" style="9" customWidth="1"/>
    <col min="6936" max="6938" width="11.453125" style="9" customWidth="1"/>
    <col min="6939" max="6939" width="10.6328125" style="9" customWidth="1"/>
    <col min="6940" max="6940" width="7.90625" style="9" customWidth="1"/>
    <col min="6941" max="6941" width="11.453125" style="9" customWidth="1"/>
    <col min="6942" max="6946" width="8.6328125" style="9" customWidth="1"/>
    <col min="6947" max="7168" width="11.453125" style="9"/>
    <col min="7169" max="7169" width="12.453125" style="9" customWidth="1"/>
    <col min="7170" max="7170" width="9.6328125" style="9" customWidth="1"/>
    <col min="7171" max="7171" width="10.08984375" style="9" customWidth="1"/>
    <col min="7172" max="7174" width="10.453125" style="9" customWidth="1"/>
    <col min="7175" max="7175" width="3" style="9" customWidth="1"/>
    <col min="7176" max="7176" width="9.36328125" style="9" customWidth="1"/>
    <col min="7177" max="7177" width="10.6328125" style="9" customWidth="1"/>
    <col min="7178" max="7178" width="9.08984375" style="9" customWidth="1"/>
    <col min="7179" max="7179" width="3" style="9" customWidth="1"/>
    <col min="7180" max="7180" width="3.90625" style="9" customWidth="1"/>
    <col min="7181" max="7181" width="9.08984375" style="9" customWidth="1"/>
    <col min="7182" max="7182" width="10.36328125" style="9" customWidth="1"/>
    <col min="7183" max="7183" width="5.453125" style="9" customWidth="1"/>
    <col min="7184" max="7184" width="7" style="9" customWidth="1"/>
    <col min="7185" max="7187" width="7.453125" style="9" customWidth="1"/>
    <col min="7188" max="7188" width="8" style="9" customWidth="1"/>
    <col min="7189" max="7189" width="8.453125" style="9" customWidth="1"/>
    <col min="7190" max="7191" width="10.90625" style="9" customWidth="1"/>
    <col min="7192" max="7194" width="11.453125" style="9" customWidth="1"/>
    <col min="7195" max="7195" width="10.6328125" style="9" customWidth="1"/>
    <col min="7196" max="7196" width="7.90625" style="9" customWidth="1"/>
    <col min="7197" max="7197" width="11.453125" style="9" customWidth="1"/>
    <col min="7198" max="7202" width="8.6328125" style="9" customWidth="1"/>
    <col min="7203" max="7424" width="11.453125" style="9"/>
    <col min="7425" max="7425" width="12.453125" style="9" customWidth="1"/>
    <col min="7426" max="7426" width="9.6328125" style="9" customWidth="1"/>
    <col min="7427" max="7427" width="10.08984375" style="9" customWidth="1"/>
    <col min="7428" max="7430" width="10.453125" style="9" customWidth="1"/>
    <col min="7431" max="7431" width="3" style="9" customWidth="1"/>
    <col min="7432" max="7432" width="9.36328125" style="9" customWidth="1"/>
    <col min="7433" max="7433" width="10.6328125" style="9" customWidth="1"/>
    <col min="7434" max="7434" width="9.08984375" style="9" customWidth="1"/>
    <col min="7435" max="7435" width="3" style="9" customWidth="1"/>
    <col min="7436" max="7436" width="3.90625" style="9" customWidth="1"/>
    <col min="7437" max="7437" width="9.08984375" style="9" customWidth="1"/>
    <col min="7438" max="7438" width="10.36328125" style="9" customWidth="1"/>
    <col min="7439" max="7439" width="5.453125" style="9" customWidth="1"/>
    <col min="7440" max="7440" width="7" style="9" customWidth="1"/>
    <col min="7441" max="7443" width="7.453125" style="9" customWidth="1"/>
    <col min="7444" max="7444" width="8" style="9" customWidth="1"/>
    <col min="7445" max="7445" width="8.453125" style="9" customWidth="1"/>
    <col min="7446" max="7447" width="10.90625" style="9" customWidth="1"/>
    <col min="7448" max="7450" width="11.453125" style="9" customWidth="1"/>
    <col min="7451" max="7451" width="10.6328125" style="9" customWidth="1"/>
    <col min="7452" max="7452" width="7.90625" style="9" customWidth="1"/>
    <col min="7453" max="7453" width="11.453125" style="9" customWidth="1"/>
    <col min="7454" max="7458" width="8.6328125" style="9" customWidth="1"/>
    <col min="7459" max="7680" width="11.453125" style="9"/>
    <col min="7681" max="7681" width="12.453125" style="9" customWidth="1"/>
    <col min="7682" max="7682" width="9.6328125" style="9" customWidth="1"/>
    <col min="7683" max="7683" width="10.08984375" style="9" customWidth="1"/>
    <col min="7684" max="7686" width="10.453125" style="9" customWidth="1"/>
    <col min="7687" max="7687" width="3" style="9" customWidth="1"/>
    <col min="7688" max="7688" width="9.36328125" style="9" customWidth="1"/>
    <col min="7689" max="7689" width="10.6328125" style="9" customWidth="1"/>
    <col min="7690" max="7690" width="9.08984375" style="9" customWidth="1"/>
    <col min="7691" max="7691" width="3" style="9" customWidth="1"/>
    <col min="7692" max="7692" width="3.90625" style="9" customWidth="1"/>
    <col min="7693" max="7693" width="9.08984375" style="9" customWidth="1"/>
    <col min="7694" max="7694" width="10.36328125" style="9" customWidth="1"/>
    <col min="7695" max="7695" width="5.453125" style="9" customWidth="1"/>
    <col min="7696" max="7696" width="7" style="9" customWidth="1"/>
    <col min="7697" max="7699" width="7.453125" style="9" customWidth="1"/>
    <col min="7700" max="7700" width="8" style="9" customWidth="1"/>
    <col min="7701" max="7701" width="8.453125" style="9" customWidth="1"/>
    <col min="7702" max="7703" width="10.90625" style="9" customWidth="1"/>
    <col min="7704" max="7706" width="11.453125" style="9" customWidth="1"/>
    <col min="7707" max="7707" width="10.6328125" style="9" customWidth="1"/>
    <col min="7708" max="7708" width="7.90625" style="9" customWidth="1"/>
    <col min="7709" max="7709" width="11.453125" style="9" customWidth="1"/>
    <col min="7710" max="7714" width="8.6328125" style="9" customWidth="1"/>
    <col min="7715" max="7936" width="11.453125" style="9"/>
    <col min="7937" max="7937" width="12.453125" style="9" customWidth="1"/>
    <col min="7938" max="7938" width="9.6328125" style="9" customWidth="1"/>
    <col min="7939" max="7939" width="10.08984375" style="9" customWidth="1"/>
    <col min="7940" max="7942" width="10.453125" style="9" customWidth="1"/>
    <col min="7943" max="7943" width="3" style="9" customWidth="1"/>
    <col min="7944" max="7944" width="9.36328125" style="9" customWidth="1"/>
    <col min="7945" max="7945" width="10.6328125" style="9" customWidth="1"/>
    <col min="7946" max="7946" width="9.08984375" style="9" customWidth="1"/>
    <col min="7947" max="7947" width="3" style="9" customWidth="1"/>
    <col min="7948" max="7948" width="3.90625" style="9" customWidth="1"/>
    <col min="7949" max="7949" width="9.08984375" style="9" customWidth="1"/>
    <col min="7950" max="7950" width="10.36328125" style="9" customWidth="1"/>
    <col min="7951" max="7951" width="5.453125" style="9" customWidth="1"/>
    <col min="7952" max="7952" width="7" style="9" customWidth="1"/>
    <col min="7953" max="7955" width="7.453125" style="9" customWidth="1"/>
    <col min="7956" max="7956" width="8" style="9" customWidth="1"/>
    <col min="7957" max="7957" width="8.453125" style="9" customWidth="1"/>
    <col min="7958" max="7959" width="10.90625" style="9" customWidth="1"/>
    <col min="7960" max="7962" width="11.453125" style="9" customWidth="1"/>
    <col min="7963" max="7963" width="10.6328125" style="9" customWidth="1"/>
    <col min="7964" max="7964" width="7.90625" style="9" customWidth="1"/>
    <col min="7965" max="7965" width="11.453125" style="9" customWidth="1"/>
    <col min="7966" max="7970" width="8.6328125" style="9" customWidth="1"/>
    <col min="7971" max="8192" width="11.453125" style="9"/>
    <col min="8193" max="8193" width="12.453125" style="9" customWidth="1"/>
    <col min="8194" max="8194" width="9.6328125" style="9" customWidth="1"/>
    <col min="8195" max="8195" width="10.08984375" style="9" customWidth="1"/>
    <col min="8196" max="8198" width="10.453125" style="9" customWidth="1"/>
    <col min="8199" max="8199" width="3" style="9" customWidth="1"/>
    <col min="8200" max="8200" width="9.36328125" style="9" customWidth="1"/>
    <col min="8201" max="8201" width="10.6328125" style="9" customWidth="1"/>
    <col min="8202" max="8202" width="9.08984375" style="9" customWidth="1"/>
    <col min="8203" max="8203" width="3" style="9" customWidth="1"/>
    <col min="8204" max="8204" width="3.90625" style="9" customWidth="1"/>
    <col min="8205" max="8205" width="9.08984375" style="9" customWidth="1"/>
    <col min="8206" max="8206" width="10.36328125" style="9" customWidth="1"/>
    <col min="8207" max="8207" width="5.453125" style="9" customWidth="1"/>
    <col min="8208" max="8208" width="7" style="9" customWidth="1"/>
    <col min="8209" max="8211" width="7.453125" style="9" customWidth="1"/>
    <col min="8212" max="8212" width="8" style="9" customWidth="1"/>
    <col min="8213" max="8213" width="8.453125" style="9" customWidth="1"/>
    <col min="8214" max="8215" width="10.90625" style="9" customWidth="1"/>
    <col min="8216" max="8218" width="11.453125" style="9" customWidth="1"/>
    <col min="8219" max="8219" width="10.6328125" style="9" customWidth="1"/>
    <col min="8220" max="8220" width="7.90625" style="9" customWidth="1"/>
    <col min="8221" max="8221" width="11.453125" style="9" customWidth="1"/>
    <col min="8222" max="8226" width="8.6328125" style="9" customWidth="1"/>
    <col min="8227" max="8448" width="11.453125" style="9"/>
    <col min="8449" max="8449" width="12.453125" style="9" customWidth="1"/>
    <col min="8450" max="8450" width="9.6328125" style="9" customWidth="1"/>
    <col min="8451" max="8451" width="10.08984375" style="9" customWidth="1"/>
    <col min="8452" max="8454" width="10.453125" style="9" customWidth="1"/>
    <col min="8455" max="8455" width="3" style="9" customWidth="1"/>
    <col min="8456" max="8456" width="9.36328125" style="9" customWidth="1"/>
    <col min="8457" max="8457" width="10.6328125" style="9" customWidth="1"/>
    <col min="8458" max="8458" width="9.08984375" style="9" customWidth="1"/>
    <col min="8459" max="8459" width="3" style="9" customWidth="1"/>
    <col min="8460" max="8460" width="3.90625" style="9" customWidth="1"/>
    <col min="8461" max="8461" width="9.08984375" style="9" customWidth="1"/>
    <col min="8462" max="8462" width="10.36328125" style="9" customWidth="1"/>
    <col min="8463" max="8463" width="5.453125" style="9" customWidth="1"/>
    <col min="8464" max="8464" width="7" style="9" customWidth="1"/>
    <col min="8465" max="8467" width="7.453125" style="9" customWidth="1"/>
    <col min="8468" max="8468" width="8" style="9" customWidth="1"/>
    <col min="8469" max="8469" width="8.453125" style="9" customWidth="1"/>
    <col min="8470" max="8471" width="10.90625" style="9" customWidth="1"/>
    <col min="8472" max="8474" width="11.453125" style="9" customWidth="1"/>
    <col min="8475" max="8475" width="10.6328125" style="9" customWidth="1"/>
    <col min="8476" max="8476" width="7.90625" style="9" customWidth="1"/>
    <col min="8477" max="8477" width="11.453125" style="9" customWidth="1"/>
    <col min="8478" max="8482" width="8.6328125" style="9" customWidth="1"/>
    <col min="8483" max="8704" width="11.453125" style="9"/>
    <col min="8705" max="8705" width="12.453125" style="9" customWidth="1"/>
    <col min="8706" max="8706" width="9.6328125" style="9" customWidth="1"/>
    <col min="8707" max="8707" width="10.08984375" style="9" customWidth="1"/>
    <col min="8708" max="8710" width="10.453125" style="9" customWidth="1"/>
    <col min="8711" max="8711" width="3" style="9" customWidth="1"/>
    <col min="8712" max="8712" width="9.36328125" style="9" customWidth="1"/>
    <col min="8713" max="8713" width="10.6328125" style="9" customWidth="1"/>
    <col min="8714" max="8714" width="9.08984375" style="9" customWidth="1"/>
    <col min="8715" max="8715" width="3" style="9" customWidth="1"/>
    <col min="8716" max="8716" width="3.90625" style="9" customWidth="1"/>
    <col min="8717" max="8717" width="9.08984375" style="9" customWidth="1"/>
    <col min="8718" max="8718" width="10.36328125" style="9" customWidth="1"/>
    <col min="8719" max="8719" width="5.453125" style="9" customWidth="1"/>
    <col min="8720" max="8720" width="7" style="9" customWidth="1"/>
    <col min="8721" max="8723" width="7.453125" style="9" customWidth="1"/>
    <col min="8724" max="8724" width="8" style="9" customWidth="1"/>
    <col min="8725" max="8725" width="8.453125" style="9" customWidth="1"/>
    <col min="8726" max="8727" width="10.90625" style="9" customWidth="1"/>
    <col min="8728" max="8730" width="11.453125" style="9" customWidth="1"/>
    <col min="8731" max="8731" width="10.6328125" style="9" customWidth="1"/>
    <col min="8732" max="8732" width="7.90625" style="9" customWidth="1"/>
    <col min="8733" max="8733" width="11.453125" style="9" customWidth="1"/>
    <col min="8734" max="8738" width="8.6328125" style="9" customWidth="1"/>
    <col min="8739" max="8960" width="11.453125" style="9"/>
    <col min="8961" max="8961" width="12.453125" style="9" customWidth="1"/>
    <col min="8962" max="8962" width="9.6328125" style="9" customWidth="1"/>
    <col min="8963" max="8963" width="10.08984375" style="9" customWidth="1"/>
    <col min="8964" max="8966" width="10.453125" style="9" customWidth="1"/>
    <col min="8967" max="8967" width="3" style="9" customWidth="1"/>
    <col min="8968" max="8968" width="9.36328125" style="9" customWidth="1"/>
    <col min="8969" max="8969" width="10.6328125" style="9" customWidth="1"/>
    <col min="8970" max="8970" width="9.08984375" style="9" customWidth="1"/>
    <col min="8971" max="8971" width="3" style="9" customWidth="1"/>
    <col min="8972" max="8972" width="3.90625" style="9" customWidth="1"/>
    <col min="8973" max="8973" width="9.08984375" style="9" customWidth="1"/>
    <col min="8974" max="8974" width="10.36328125" style="9" customWidth="1"/>
    <col min="8975" max="8975" width="5.453125" style="9" customWidth="1"/>
    <col min="8976" max="8976" width="7" style="9" customWidth="1"/>
    <col min="8977" max="8979" width="7.453125" style="9" customWidth="1"/>
    <col min="8980" max="8980" width="8" style="9" customWidth="1"/>
    <col min="8981" max="8981" width="8.453125" style="9" customWidth="1"/>
    <col min="8982" max="8983" width="10.90625" style="9" customWidth="1"/>
    <col min="8984" max="8986" width="11.453125" style="9" customWidth="1"/>
    <col min="8987" max="8987" width="10.6328125" style="9" customWidth="1"/>
    <col min="8988" max="8988" width="7.90625" style="9" customWidth="1"/>
    <col min="8989" max="8989" width="11.453125" style="9" customWidth="1"/>
    <col min="8990" max="8994" width="8.6328125" style="9" customWidth="1"/>
    <col min="8995" max="9216" width="11.453125" style="9"/>
    <col min="9217" max="9217" width="12.453125" style="9" customWidth="1"/>
    <col min="9218" max="9218" width="9.6328125" style="9" customWidth="1"/>
    <col min="9219" max="9219" width="10.08984375" style="9" customWidth="1"/>
    <col min="9220" max="9222" width="10.453125" style="9" customWidth="1"/>
    <col min="9223" max="9223" width="3" style="9" customWidth="1"/>
    <col min="9224" max="9224" width="9.36328125" style="9" customWidth="1"/>
    <col min="9225" max="9225" width="10.6328125" style="9" customWidth="1"/>
    <col min="9226" max="9226" width="9.08984375" style="9" customWidth="1"/>
    <col min="9227" max="9227" width="3" style="9" customWidth="1"/>
    <col min="9228" max="9228" width="3.90625" style="9" customWidth="1"/>
    <col min="9229" max="9229" width="9.08984375" style="9" customWidth="1"/>
    <col min="9230" max="9230" width="10.36328125" style="9" customWidth="1"/>
    <col min="9231" max="9231" width="5.453125" style="9" customWidth="1"/>
    <col min="9232" max="9232" width="7" style="9" customWidth="1"/>
    <col min="9233" max="9235" width="7.453125" style="9" customWidth="1"/>
    <col min="9236" max="9236" width="8" style="9" customWidth="1"/>
    <col min="9237" max="9237" width="8.453125" style="9" customWidth="1"/>
    <col min="9238" max="9239" width="10.90625" style="9" customWidth="1"/>
    <col min="9240" max="9242" width="11.453125" style="9" customWidth="1"/>
    <col min="9243" max="9243" width="10.6328125" style="9" customWidth="1"/>
    <col min="9244" max="9244" width="7.90625" style="9" customWidth="1"/>
    <col min="9245" max="9245" width="11.453125" style="9" customWidth="1"/>
    <col min="9246" max="9250" width="8.6328125" style="9" customWidth="1"/>
    <col min="9251" max="9472" width="11.453125" style="9"/>
    <col min="9473" max="9473" width="12.453125" style="9" customWidth="1"/>
    <col min="9474" max="9474" width="9.6328125" style="9" customWidth="1"/>
    <col min="9475" max="9475" width="10.08984375" style="9" customWidth="1"/>
    <col min="9476" max="9478" width="10.453125" style="9" customWidth="1"/>
    <col min="9479" max="9479" width="3" style="9" customWidth="1"/>
    <col min="9480" max="9480" width="9.36328125" style="9" customWidth="1"/>
    <col min="9481" max="9481" width="10.6328125" style="9" customWidth="1"/>
    <col min="9482" max="9482" width="9.08984375" style="9" customWidth="1"/>
    <col min="9483" max="9483" width="3" style="9" customWidth="1"/>
    <col min="9484" max="9484" width="3.90625" style="9" customWidth="1"/>
    <col min="9485" max="9485" width="9.08984375" style="9" customWidth="1"/>
    <col min="9486" max="9486" width="10.36328125" style="9" customWidth="1"/>
    <col min="9487" max="9487" width="5.453125" style="9" customWidth="1"/>
    <col min="9488" max="9488" width="7" style="9" customWidth="1"/>
    <col min="9489" max="9491" width="7.453125" style="9" customWidth="1"/>
    <col min="9492" max="9492" width="8" style="9" customWidth="1"/>
    <col min="9493" max="9493" width="8.453125" style="9" customWidth="1"/>
    <col min="9494" max="9495" width="10.90625" style="9" customWidth="1"/>
    <col min="9496" max="9498" width="11.453125" style="9" customWidth="1"/>
    <col min="9499" max="9499" width="10.6328125" style="9" customWidth="1"/>
    <col min="9500" max="9500" width="7.90625" style="9" customWidth="1"/>
    <col min="9501" max="9501" width="11.453125" style="9" customWidth="1"/>
    <col min="9502" max="9506" width="8.6328125" style="9" customWidth="1"/>
    <col min="9507" max="9728" width="11.453125" style="9"/>
    <col min="9729" max="9729" width="12.453125" style="9" customWidth="1"/>
    <col min="9730" max="9730" width="9.6328125" style="9" customWidth="1"/>
    <col min="9731" max="9731" width="10.08984375" style="9" customWidth="1"/>
    <col min="9732" max="9734" width="10.453125" style="9" customWidth="1"/>
    <col min="9735" max="9735" width="3" style="9" customWidth="1"/>
    <col min="9736" max="9736" width="9.36328125" style="9" customWidth="1"/>
    <col min="9737" max="9737" width="10.6328125" style="9" customWidth="1"/>
    <col min="9738" max="9738" width="9.08984375" style="9" customWidth="1"/>
    <col min="9739" max="9739" width="3" style="9" customWidth="1"/>
    <col min="9740" max="9740" width="3.90625" style="9" customWidth="1"/>
    <col min="9741" max="9741" width="9.08984375" style="9" customWidth="1"/>
    <col min="9742" max="9742" width="10.36328125" style="9" customWidth="1"/>
    <col min="9743" max="9743" width="5.453125" style="9" customWidth="1"/>
    <col min="9744" max="9744" width="7" style="9" customWidth="1"/>
    <col min="9745" max="9747" width="7.453125" style="9" customWidth="1"/>
    <col min="9748" max="9748" width="8" style="9" customWidth="1"/>
    <col min="9749" max="9749" width="8.453125" style="9" customWidth="1"/>
    <col min="9750" max="9751" width="10.90625" style="9" customWidth="1"/>
    <col min="9752" max="9754" width="11.453125" style="9" customWidth="1"/>
    <col min="9755" max="9755" width="10.6328125" style="9" customWidth="1"/>
    <col min="9756" max="9756" width="7.90625" style="9" customWidth="1"/>
    <col min="9757" max="9757" width="11.453125" style="9" customWidth="1"/>
    <col min="9758" max="9762" width="8.6328125" style="9" customWidth="1"/>
    <col min="9763" max="9984" width="11.453125" style="9"/>
    <col min="9985" max="9985" width="12.453125" style="9" customWidth="1"/>
    <col min="9986" max="9986" width="9.6328125" style="9" customWidth="1"/>
    <col min="9987" max="9987" width="10.08984375" style="9" customWidth="1"/>
    <col min="9988" max="9990" width="10.453125" style="9" customWidth="1"/>
    <col min="9991" max="9991" width="3" style="9" customWidth="1"/>
    <col min="9992" max="9992" width="9.36328125" style="9" customWidth="1"/>
    <col min="9993" max="9993" width="10.6328125" style="9" customWidth="1"/>
    <col min="9994" max="9994" width="9.08984375" style="9" customWidth="1"/>
    <col min="9995" max="9995" width="3" style="9" customWidth="1"/>
    <col min="9996" max="9996" width="3.90625" style="9" customWidth="1"/>
    <col min="9997" max="9997" width="9.08984375" style="9" customWidth="1"/>
    <col min="9998" max="9998" width="10.36328125" style="9" customWidth="1"/>
    <col min="9999" max="9999" width="5.453125" style="9" customWidth="1"/>
    <col min="10000" max="10000" width="7" style="9" customWidth="1"/>
    <col min="10001" max="10003" width="7.453125" style="9" customWidth="1"/>
    <col min="10004" max="10004" width="8" style="9" customWidth="1"/>
    <col min="10005" max="10005" width="8.453125" style="9" customWidth="1"/>
    <col min="10006" max="10007" width="10.90625" style="9" customWidth="1"/>
    <col min="10008" max="10010" width="11.453125" style="9" customWidth="1"/>
    <col min="10011" max="10011" width="10.6328125" style="9" customWidth="1"/>
    <col min="10012" max="10012" width="7.90625" style="9" customWidth="1"/>
    <col min="10013" max="10013" width="11.453125" style="9" customWidth="1"/>
    <col min="10014" max="10018" width="8.6328125" style="9" customWidth="1"/>
    <col min="10019" max="10240" width="11.453125" style="9"/>
    <col min="10241" max="10241" width="12.453125" style="9" customWidth="1"/>
    <col min="10242" max="10242" width="9.6328125" style="9" customWidth="1"/>
    <col min="10243" max="10243" width="10.08984375" style="9" customWidth="1"/>
    <col min="10244" max="10246" width="10.453125" style="9" customWidth="1"/>
    <col min="10247" max="10247" width="3" style="9" customWidth="1"/>
    <col min="10248" max="10248" width="9.36328125" style="9" customWidth="1"/>
    <col min="10249" max="10249" width="10.6328125" style="9" customWidth="1"/>
    <col min="10250" max="10250" width="9.08984375" style="9" customWidth="1"/>
    <col min="10251" max="10251" width="3" style="9" customWidth="1"/>
    <col min="10252" max="10252" width="3.90625" style="9" customWidth="1"/>
    <col min="10253" max="10253" width="9.08984375" style="9" customWidth="1"/>
    <col min="10254" max="10254" width="10.36328125" style="9" customWidth="1"/>
    <col min="10255" max="10255" width="5.453125" style="9" customWidth="1"/>
    <col min="10256" max="10256" width="7" style="9" customWidth="1"/>
    <col min="10257" max="10259" width="7.453125" style="9" customWidth="1"/>
    <col min="10260" max="10260" width="8" style="9" customWidth="1"/>
    <col min="10261" max="10261" width="8.453125" style="9" customWidth="1"/>
    <col min="10262" max="10263" width="10.90625" style="9" customWidth="1"/>
    <col min="10264" max="10266" width="11.453125" style="9" customWidth="1"/>
    <col min="10267" max="10267" width="10.6328125" style="9" customWidth="1"/>
    <col min="10268" max="10268" width="7.90625" style="9" customWidth="1"/>
    <col min="10269" max="10269" width="11.453125" style="9" customWidth="1"/>
    <col min="10270" max="10274" width="8.6328125" style="9" customWidth="1"/>
    <col min="10275" max="10496" width="11.453125" style="9"/>
    <col min="10497" max="10497" width="12.453125" style="9" customWidth="1"/>
    <col min="10498" max="10498" width="9.6328125" style="9" customWidth="1"/>
    <col min="10499" max="10499" width="10.08984375" style="9" customWidth="1"/>
    <col min="10500" max="10502" width="10.453125" style="9" customWidth="1"/>
    <col min="10503" max="10503" width="3" style="9" customWidth="1"/>
    <col min="10504" max="10504" width="9.36328125" style="9" customWidth="1"/>
    <col min="10505" max="10505" width="10.6328125" style="9" customWidth="1"/>
    <col min="10506" max="10506" width="9.08984375" style="9" customWidth="1"/>
    <col min="10507" max="10507" width="3" style="9" customWidth="1"/>
    <col min="10508" max="10508" width="3.90625" style="9" customWidth="1"/>
    <col min="10509" max="10509" width="9.08984375" style="9" customWidth="1"/>
    <col min="10510" max="10510" width="10.36328125" style="9" customWidth="1"/>
    <col min="10511" max="10511" width="5.453125" style="9" customWidth="1"/>
    <col min="10512" max="10512" width="7" style="9" customWidth="1"/>
    <col min="10513" max="10515" width="7.453125" style="9" customWidth="1"/>
    <col min="10516" max="10516" width="8" style="9" customWidth="1"/>
    <col min="10517" max="10517" width="8.453125" style="9" customWidth="1"/>
    <col min="10518" max="10519" width="10.90625" style="9" customWidth="1"/>
    <col min="10520" max="10522" width="11.453125" style="9" customWidth="1"/>
    <col min="10523" max="10523" width="10.6328125" style="9" customWidth="1"/>
    <col min="10524" max="10524" width="7.90625" style="9" customWidth="1"/>
    <col min="10525" max="10525" width="11.453125" style="9" customWidth="1"/>
    <col min="10526" max="10530" width="8.6328125" style="9" customWidth="1"/>
    <col min="10531" max="10752" width="11.453125" style="9"/>
    <col min="10753" max="10753" width="12.453125" style="9" customWidth="1"/>
    <col min="10754" max="10754" width="9.6328125" style="9" customWidth="1"/>
    <col min="10755" max="10755" width="10.08984375" style="9" customWidth="1"/>
    <col min="10756" max="10758" width="10.453125" style="9" customWidth="1"/>
    <col min="10759" max="10759" width="3" style="9" customWidth="1"/>
    <col min="10760" max="10760" width="9.36328125" style="9" customWidth="1"/>
    <col min="10761" max="10761" width="10.6328125" style="9" customWidth="1"/>
    <col min="10762" max="10762" width="9.08984375" style="9" customWidth="1"/>
    <col min="10763" max="10763" width="3" style="9" customWidth="1"/>
    <col min="10764" max="10764" width="3.90625" style="9" customWidth="1"/>
    <col min="10765" max="10765" width="9.08984375" style="9" customWidth="1"/>
    <col min="10766" max="10766" width="10.36328125" style="9" customWidth="1"/>
    <col min="10767" max="10767" width="5.453125" style="9" customWidth="1"/>
    <col min="10768" max="10768" width="7" style="9" customWidth="1"/>
    <col min="10769" max="10771" width="7.453125" style="9" customWidth="1"/>
    <col min="10772" max="10772" width="8" style="9" customWidth="1"/>
    <col min="10773" max="10773" width="8.453125" style="9" customWidth="1"/>
    <col min="10774" max="10775" width="10.90625" style="9" customWidth="1"/>
    <col min="10776" max="10778" width="11.453125" style="9" customWidth="1"/>
    <col min="10779" max="10779" width="10.6328125" style="9" customWidth="1"/>
    <col min="10780" max="10780" width="7.90625" style="9" customWidth="1"/>
    <col min="10781" max="10781" width="11.453125" style="9" customWidth="1"/>
    <col min="10782" max="10786" width="8.6328125" style="9" customWidth="1"/>
    <col min="10787" max="11008" width="11.453125" style="9"/>
    <col min="11009" max="11009" width="12.453125" style="9" customWidth="1"/>
    <col min="11010" max="11010" width="9.6328125" style="9" customWidth="1"/>
    <col min="11011" max="11011" width="10.08984375" style="9" customWidth="1"/>
    <col min="11012" max="11014" width="10.453125" style="9" customWidth="1"/>
    <col min="11015" max="11015" width="3" style="9" customWidth="1"/>
    <col min="11016" max="11016" width="9.36328125" style="9" customWidth="1"/>
    <col min="11017" max="11017" width="10.6328125" style="9" customWidth="1"/>
    <col min="11018" max="11018" width="9.08984375" style="9" customWidth="1"/>
    <col min="11019" max="11019" width="3" style="9" customWidth="1"/>
    <col min="11020" max="11020" width="3.90625" style="9" customWidth="1"/>
    <col min="11021" max="11021" width="9.08984375" style="9" customWidth="1"/>
    <col min="11022" max="11022" width="10.36328125" style="9" customWidth="1"/>
    <col min="11023" max="11023" width="5.453125" style="9" customWidth="1"/>
    <col min="11024" max="11024" width="7" style="9" customWidth="1"/>
    <col min="11025" max="11027" width="7.453125" style="9" customWidth="1"/>
    <col min="11028" max="11028" width="8" style="9" customWidth="1"/>
    <col min="11029" max="11029" width="8.453125" style="9" customWidth="1"/>
    <col min="11030" max="11031" width="10.90625" style="9" customWidth="1"/>
    <col min="11032" max="11034" width="11.453125" style="9" customWidth="1"/>
    <col min="11035" max="11035" width="10.6328125" style="9" customWidth="1"/>
    <col min="11036" max="11036" width="7.90625" style="9" customWidth="1"/>
    <col min="11037" max="11037" width="11.453125" style="9" customWidth="1"/>
    <col min="11038" max="11042" width="8.6328125" style="9" customWidth="1"/>
    <col min="11043" max="11264" width="11.453125" style="9"/>
    <col min="11265" max="11265" width="12.453125" style="9" customWidth="1"/>
    <col min="11266" max="11266" width="9.6328125" style="9" customWidth="1"/>
    <col min="11267" max="11267" width="10.08984375" style="9" customWidth="1"/>
    <col min="11268" max="11270" width="10.453125" style="9" customWidth="1"/>
    <col min="11271" max="11271" width="3" style="9" customWidth="1"/>
    <col min="11272" max="11272" width="9.36328125" style="9" customWidth="1"/>
    <col min="11273" max="11273" width="10.6328125" style="9" customWidth="1"/>
    <col min="11274" max="11274" width="9.08984375" style="9" customWidth="1"/>
    <col min="11275" max="11275" width="3" style="9" customWidth="1"/>
    <col min="11276" max="11276" width="3.90625" style="9" customWidth="1"/>
    <col min="11277" max="11277" width="9.08984375" style="9" customWidth="1"/>
    <col min="11278" max="11278" width="10.36328125" style="9" customWidth="1"/>
    <col min="11279" max="11279" width="5.453125" style="9" customWidth="1"/>
    <col min="11280" max="11280" width="7" style="9" customWidth="1"/>
    <col min="11281" max="11283" width="7.453125" style="9" customWidth="1"/>
    <col min="11284" max="11284" width="8" style="9" customWidth="1"/>
    <col min="11285" max="11285" width="8.453125" style="9" customWidth="1"/>
    <col min="11286" max="11287" width="10.90625" style="9" customWidth="1"/>
    <col min="11288" max="11290" width="11.453125" style="9" customWidth="1"/>
    <col min="11291" max="11291" width="10.6328125" style="9" customWidth="1"/>
    <col min="11292" max="11292" width="7.90625" style="9" customWidth="1"/>
    <col min="11293" max="11293" width="11.453125" style="9" customWidth="1"/>
    <col min="11294" max="11298" width="8.6328125" style="9" customWidth="1"/>
    <col min="11299" max="11520" width="11.453125" style="9"/>
    <col min="11521" max="11521" width="12.453125" style="9" customWidth="1"/>
    <col min="11522" max="11522" width="9.6328125" style="9" customWidth="1"/>
    <col min="11523" max="11523" width="10.08984375" style="9" customWidth="1"/>
    <col min="11524" max="11526" width="10.453125" style="9" customWidth="1"/>
    <col min="11527" max="11527" width="3" style="9" customWidth="1"/>
    <col min="11528" max="11528" width="9.36328125" style="9" customWidth="1"/>
    <col min="11529" max="11529" width="10.6328125" style="9" customWidth="1"/>
    <col min="11530" max="11530" width="9.08984375" style="9" customWidth="1"/>
    <col min="11531" max="11531" width="3" style="9" customWidth="1"/>
    <col min="11532" max="11532" width="3.90625" style="9" customWidth="1"/>
    <col min="11533" max="11533" width="9.08984375" style="9" customWidth="1"/>
    <col min="11534" max="11534" width="10.36328125" style="9" customWidth="1"/>
    <col min="11535" max="11535" width="5.453125" style="9" customWidth="1"/>
    <col min="11536" max="11536" width="7" style="9" customWidth="1"/>
    <col min="11537" max="11539" width="7.453125" style="9" customWidth="1"/>
    <col min="11540" max="11540" width="8" style="9" customWidth="1"/>
    <col min="11541" max="11541" width="8.453125" style="9" customWidth="1"/>
    <col min="11542" max="11543" width="10.90625" style="9" customWidth="1"/>
    <col min="11544" max="11546" width="11.453125" style="9" customWidth="1"/>
    <col min="11547" max="11547" width="10.6328125" style="9" customWidth="1"/>
    <col min="11548" max="11548" width="7.90625" style="9" customWidth="1"/>
    <col min="11549" max="11549" width="11.453125" style="9" customWidth="1"/>
    <col min="11550" max="11554" width="8.6328125" style="9" customWidth="1"/>
    <col min="11555" max="11776" width="11.453125" style="9"/>
    <col min="11777" max="11777" width="12.453125" style="9" customWidth="1"/>
    <col min="11778" max="11778" width="9.6328125" style="9" customWidth="1"/>
    <col min="11779" max="11779" width="10.08984375" style="9" customWidth="1"/>
    <col min="11780" max="11782" width="10.453125" style="9" customWidth="1"/>
    <col min="11783" max="11783" width="3" style="9" customWidth="1"/>
    <col min="11784" max="11784" width="9.36328125" style="9" customWidth="1"/>
    <col min="11785" max="11785" width="10.6328125" style="9" customWidth="1"/>
    <col min="11786" max="11786" width="9.08984375" style="9" customWidth="1"/>
    <col min="11787" max="11787" width="3" style="9" customWidth="1"/>
    <col min="11788" max="11788" width="3.90625" style="9" customWidth="1"/>
    <col min="11789" max="11789" width="9.08984375" style="9" customWidth="1"/>
    <col min="11790" max="11790" width="10.36328125" style="9" customWidth="1"/>
    <col min="11791" max="11791" width="5.453125" style="9" customWidth="1"/>
    <col min="11792" max="11792" width="7" style="9" customWidth="1"/>
    <col min="11793" max="11795" width="7.453125" style="9" customWidth="1"/>
    <col min="11796" max="11796" width="8" style="9" customWidth="1"/>
    <col min="11797" max="11797" width="8.453125" style="9" customWidth="1"/>
    <col min="11798" max="11799" width="10.90625" style="9" customWidth="1"/>
    <col min="11800" max="11802" width="11.453125" style="9" customWidth="1"/>
    <col min="11803" max="11803" width="10.6328125" style="9" customWidth="1"/>
    <col min="11804" max="11804" width="7.90625" style="9" customWidth="1"/>
    <col min="11805" max="11805" width="11.453125" style="9" customWidth="1"/>
    <col min="11806" max="11810" width="8.6328125" style="9" customWidth="1"/>
    <col min="11811" max="12032" width="11.453125" style="9"/>
    <col min="12033" max="12033" width="12.453125" style="9" customWidth="1"/>
    <col min="12034" max="12034" width="9.6328125" style="9" customWidth="1"/>
    <col min="12035" max="12035" width="10.08984375" style="9" customWidth="1"/>
    <col min="12036" max="12038" width="10.453125" style="9" customWidth="1"/>
    <col min="12039" max="12039" width="3" style="9" customWidth="1"/>
    <col min="12040" max="12040" width="9.36328125" style="9" customWidth="1"/>
    <col min="12041" max="12041" width="10.6328125" style="9" customWidth="1"/>
    <col min="12042" max="12042" width="9.08984375" style="9" customWidth="1"/>
    <col min="12043" max="12043" width="3" style="9" customWidth="1"/>
    <col min="12044" max="12044" width="3.90625" style="9" customWidth="1"/>
    <col min="12045" max="12045" width="9.08984375" style="9" customWidth="1"/>
    <col min="12046" max="12046" width="10.36328125" style="9" customWidth="1"/>
    <col min="12047" max="12047" width="5.453125" style="9" customWidth="1"/>
    <col min="12048" max="12048" width="7" style="9" customWidth="1"/>
    <col min="12049" max="12051" width="7.453125" style="9" customWidth="1"/>
    <col min="12052" max="12052" width="8" style="9" customWidth="1"/>
    <col min="12053" max="12053" width="8.453125" style="9" customWidth="1"/>
    <col min="12054" max="12055" width="10.90625" style="9" customWidth="1"/>
    <col min="12056" max="12058" width="11.453125" style="9" customWidth="1"/>
    <col min="12059" max="12059" width="10.6328125" style="9" customWidth="1"/>
    <col min="12060" max="12060" width="7.90625" style="9" customWidth="1"/>
    <col min="12061" max="12061" width="11.453125" style="9" customWidth="1"/>
    <col min="12062" max="12066" width="8.6328125" style="9" customWidth="1"/>
    <col min="12067" max="12288" width="11.453125" style="9"/>
    <col min="12289" max="12289" width="12.453125" style="9" customWidth="1"/>
    <col min="12290" max="12290" width="9.6328125" style="9" customWidth="1"/>
    <col min="12291" max="12291" width="10.08984375" style="9" customWidth="1"/>
    <col min="12292" max="12294" width="10.453125" style="9" customWidth="1"/>
    <col min="12295" max="12295" width="3" style="9" customWidth="1"/>
    <col min="12296" max="12296" width="9.36328125" style="9" customWidth="1"/>
    <col min="12297" max="12297" width="10.6328125" style="9" customWidth="1"/>
    <col min="12298" max="12298" width="9.08984375" style="9" customWidth="1"/>
    <col min="12299" max="12299" width="3" style="9" customWidth="1"/>
    <col min="12300" max="12300" width="3.90625" style="9" customWidth="1"/>
    <col min="12301" max="12301" width="9.08984375" style="9" customWidth="1"/>
    <col min="12302" max="12302" width="10.36328125" style="9" customWidth="1"/>
    <col min="12303" max="12303" width="5.453125" style="9" customWidth="1"/>
    <col min="12304" max="12304" width="7" style="9" customWidth="1"/>
    <col min="12305" max="12307" width="7.453125" style="9" customWidth="1"/>
    <col min="12308" max="12308" width="8" style="9" customWidth="1"/>
    <col min="12309" max="12309" width="8.453125" style="9" customWidth="1"/>
    <col min="12310" max="12311" width="10.90625" style="9" customWidth="1"/>
    <col min="12312" max="12314" width="11.453125" style="9" customWidth="1"/>
    <col min="12315" max="12315" width="10.6328125" style="9" customWidth="1"/>
    <col min="12316" max="12316" width="7.90625" style="9" customWidth="1"/>
    <col min="12317" max="12317" width="11.453125" style="9" customWidth="1"/>
    <col min="12318" max="12322" width="8.6328125" style="9" customWidth="1"/>
    <col min="12323" max="12544" width="11.453125" style="9"/>
    <col min="12545" max="12545" width="12.453125" style="9" customWidth="1"/>
    <col min="12546" max="12546" width="9.6328125" style="9" customWidth="1"/>
    <col min="12547" max="12547" width="10.08984375" style="9" customWidth="1"/>
    <col min="12548" max="12550" width="10.453125" style="9" customWidth="1"/>
    <col min="12551" max="12551" width="3" style="9" customWidth="1"/>
    <col min="12552" max="12552" width="9.36328125" style="9" customWidth="1"/>
    <col min="12553" max="12553" width="10.6328125" style="9" customWidth="1"/>
    <col min="12554" max="12554" width="9.08984375" style="9" customWidth="1"/>
    <col min="12555" max="12555" width="3" style="9" customWidth="1"/>
    <col min="12556" max="12556" width="3.90625" style="9" customWidth="1"/>
    <col min="12557" max="12557" width="9.08984375" style="9" customWidth="1"/>
    <col min="12558" max="12558" width="10.36328125" style="9" customWidth="1"/>
    <col min="12559" max="12559" width="5.453125" style="9" customWidth="1"/>
    <col min="12560" max="12560" width="7" style="9" customWidth="1"/>
    <col min="12561" max="12563" width="7.453125" style="9" customWidth="1"/>
    <col min="12564" max="12564" width="8" style="9" customWidth="1"/>
    <col min="12565" max="12565" width="8.453125" style="9" customWidth="1"/>
    <col min="12566" max="12567" width="10.90625" style="9" customWidth="1"/>
    <col min="12568" max="12570" width="11.453125" style="9" customWidth="1"/>
    <col min="12571" max="12571" width="10.6328125" style="9" customWidth="1"/>
    <col min="12572" max="12572" width="7.90625" style="9" customWidth="1"/>
    <col min="12573" max="12573" width="11.453125" style="9" customWidth="1"/>
    <col min="12574" max="12578" width="8.6328125" style="9" customWidth="1"/>
    <col min="12579" max="12800" width="11.453125" style="9"/>
    <col min="12801" max="12801" width="12.453125" style="9" customWidth="1"/>
    <col min="12802" max="12802" width="9.6328125" style="9" customWidth="1"/>
    <col min="12803" max="12803" width="10.08984375" style="9" customWidth="1"/>
    <col min="12804" max="12806" width="10.453125" style="9" customWidth="1"/>
    <col min="12807" max="12807" width="3" style="9" customWidth="1"/>
    <col min="12808" max="12808" width="9.36328125" style="9" customWidth="1"/>
    <col min="12809" max="12809" width="10.6328125" style="9" customWidth="1"/>
    <col min="12810" max="12810" width="9.08984375" style="9" customWidth="1"/>
    <col min="12811" max="12811" width="3" style="9" customWidth="1"/>
    <col min="12812" max="12812" width="3.90625" style="9" customWidth="1"/>
    <col min="12813" max="12813" width="9.08984375" style="9" customWidth="1"/>
    <col min="12814" max="12814" width="10.36328125" style="9" customWidth="1"/>
    <col min="12815" max="12815" width="5.453125" style="9" customWidth="1"/>
    <col min="12816" max="12816" width="7" style="9" customWidth="1"/>
    <col min="12817" max="12819" width="7.453125" style="9" customWidth="1"/>
    <col min="12820" max="12820" width="8" style="9" customWidth="1"/>
    <col min="12821" max="12821" width="8.453125" style="9" customWidth="1"/>
    <col min="12822" max="12823" width="10.90625" style="9" customWidth="1"/>
    <col min="12824" max="12826" width="11.453125" style="9" customWidth="1"/>
    <col min="12827" max="12827" width="10.6328125" style="9" customWidth="1"/>
    <col min="12828" max="12828" width="7.90625" style="9" customWidth="1"/>
    <col min="12829" max="12829" width="11.453125" style="9" customWidth="1"/>
    <col min="12830" max="12834" width="8.6328125" style="9" customWidth="1"/>
    <col min="12835" max="13056" width="11.453125" style="9"/>
    <col min="13057" max="13057" width="12.453125" style="9" customWidth="1"/>
    <col min="13058" max="13058" width="9.6328125" style="9" customWidth="1"/>
    <col min="13059" max="13059" width="10.08984375" style="9" customWidth="1"/>
    <col min="13060" max="13062" width="10.453125" style="9" customWidth="1"/>
    <col min="13063" max="13063" width="3" style="9" customWidth="1"/>
    <col min="13064" max="13064" width="9.36328125" style="9" customWidth="1"/>
    <col min="13065" max="13065" width="10.6328125" style="9" customWidth="1"/>
    <col min="13066" max="13066" width="9.08984375" style="9" customWidth="1"/>
    <col min="13067" max="13067" width="3" style="9" customWidth="1"/>
    <col min="13068" max="13068" width="3.90625" style="9" customWidth="1"/>
    <col min="13069" max="13069" width="9.08984375" style="9" customWidth="1"/>
    <col min="13070" max="13070" width="10.36328125" style="9" customWidth="1"/>
    <col min="13071" max="13071" width="5.453125" style="9" customWidth="1"/>
    <col min="13072" max="13072" width="7" style="9" customWidth="1"/>
    <col min="13073" max="13075" width="7.453125" style="9" customWidth="1"/>
    <col min="13076" max="13076" width="8" style="9" customWidth="1"/>
    <col min="13077" max="13077" width="8.453125" style="9" customWidth="1"/>
    <col min="13078" max="13079" width="10.90625" style="9" customWidth="1"/>
    <col min="13080" max="13082" width="11.453125" style="9" customWidth="1"/>
    <col min="13083" max="13083" width="10.6328125" style="9" customWidth="1"/>
    <col min="13084" max="13084" width="7.90625" style="9" customWidth="1"/>
    <col min="13085" max="13085" width="11.453125" style="9" customWidth="1"/>
    <col min="13086" max="13090" width="8.6328125" style="9" customWidth="1"/>
    <col min="13091" max="13312" width="11.453125" style="9"/>
    <col min="13313" max="13313" width="12.453125" style="9" customWidth="1"/>
    <col min="13314" max="13314" width="9.6328125" style="9" customWidth="1"/>
    <col min="13315" max="13315" width="10.08984375" style="9" customWidth="1"/>
    <col min="13316" max="13318" width="10.453125" style="9" customWidth="1"/>
    <col min="13319" max="13319" width="3" style="9" customWidth="1"/>
    <col min="13320" max="13320" width="9.36328125" style="9" customWidth="1"/>
    <col min="13321" max="13321" width="10.6328125" style="9" customWidth="1"/>
    <col min="13322" max="13322" width="9.08984375" style="9" customWidth="1"/>
    <col min="13323" max="13323" width="3" style="9" customWidth="1"/>
    <col min="13324" max="13324" width="3.90625" style="9" customWidth="1"/>
    <col min="13325" max="13325" width="9.08984375" style="9" customWidth="1"/>
    <col min="13326" max="13326" width="10.36328125" style="9" customWidth="1"/>
    <col min="13327" max="13327" width="5.453125" style="9" customWidth="1"/>
    <col min="13328" max="13328" width="7" style="9" customWidth="1"/>
    <col min="13329" max="13331" width="7.453125" style="9" customWidth="1"/>
    <col min="13332" max="13332" width="8" style="9" customWidth="1"/>
    <col min="13333" max="13333" width="8.453125" style="9" customWidth="1"/>
    <col min="13334" max="13335" width="10.90625" style="9" customWidth="1"/>
    <col min="13336" max="13338" width="11.453125" style="9" customWidth="1"/>
    <col min="13339" max="13339" width="10.6328125" style="9" customWidth="1"/>
    <col min="13340" max="13340" width="7.90625" style="9" customWidth="1"/>
    <col min="13341" max="13341" width="11.453125" style="9" customWidth="1"/>
    <col min="13342" max="13346" width="8.6328125" style="9" customWidth="1"/>
    <col min="13347" max="13568" width="11.453125" style="9"/>
    <col min="13569" max="13569" width="12.453125" style="9" customWidth="1"/>
    <col min="13570" max="13570" width="9.6328125" style="9" customWidth="1"/>
    <col min="13571" max="13571" width="10.08984375" style="9" customWidth="1"/>
    <col min="13572" max="13574" width="10.453125" style="9" customWidth="1"/>
    <col min="13575" max="13575" width="3" style="9" customWidth="1"/>
    <col min="13576" max="13576" width="9.36328125" style="9" customWidth="1"/>
    <col min="13577" max="13577" width="10.6328125" style="9" customWidth="1"/>
    <col min="13578" max="13578" width="9.08984375" style="9" customWidth="1"/>
    <col min="13579" max="13579" width="3" style="9" customWidth="1"/>
    <col min="13580" max="13580" width="3.90625" style="9" customWidth="1"/>
    <col min="13581" max="13581" width="9.08984375" style="9" customWidth="1"/>
    <col min="13582" max="13582" width="10.36328125" style="9" customWidth="1"/>
    <col min="13583" max="13583" width="5.453125" style="9" customWidth="1"/>
    <col min="13584" max="13584" width="7" style="9" customWidth="1"/>
    <col min="13585" max="13587" width="7.453125" style="9" customWidth="1"/>
    <col min="13588" max="13588" width="8" style="9" customWidth="1"/>
    <col min="13589" max="13589" width="8.453125" style="9" customWidth="1"/>
    <col min="13590" max="13591" width="10.90625" style="9" customWidth="1"/>
    <col min="13592" max="13594" width="11.453125" style="9" customWidth="1"/>
    <col min="13595" max="13595" width="10.6328125" style="9" customWidth="1"/>
    <col min="13596" max="13596" width="7.90625" style="9" customWidth="1"/>
    <col min="13597" max="13597" width="11.453125" style="9" customWidth="1"/>
    <col min="13598" max="13602" width="8.6328125" style="9" customWidth="1"/>
    <col min="13603" max="13824" width="11.453125" style="9"/>
    <col min="13825" max="13825" width="12.453125" style="9" customWidth="1"/>
    <col min="13826" max="13826" width="9.6328125" style="9" customWidth="1"/>
    <col min="13827" max="13827" width="10.08984375" style="9" customWidth="1"/>
    <col min="13828" max="13830" width="10.453125" style="9" customWidth="1"/>
    <col min="13831" max="13831" width="3" style="9" customWidth="1"/>
    <col min="13832" max="13832" width="9.36328125" style="9" customWidth="1"/>
    <col min="13833" max="13833" width="10.6328125" style="9" customWidth="1"/>
    <col min="13834" max="13834" width="9.08984375" style="9" customWidth="1"/>
    <col min="13835" max="13835" width="3" style="9" customWidth="1"/>
    <col min="13836" max="13836" width="3.90625" style="9" customWidth="1"/>
    <col min="13837" max="13837" width="9.08984375" style="9" customWidth="1"/>
    <col min="13838" max="13838" width="10.36328125" style="9" customWidth="1"/>
    <col min="13839" max="13839" width="5.453125" style="9" customWidth="1"/>
    <col min="13840" max="13840" width="7" style="9" customWidth="1"/>
    <col min="13841" max="13843" width="7.453125" style="9" customWidth="1"/>
    <col min="13844" max="13844" width="8" style="9" customWidth="1"/>
    <col min="13845" max="13845" width="8.453125" style="9" customWidth="1"/>
    <col min="13846" max="13847" width="10.90625" style="9" customWidth="1"/>
    <col min="13848" max="13850" width="11.453125" style="9" customWidth="1"/>
    <col min="13851" max="13851" width="10.6328125" style="9" customWidth="1"/>
    <col min="13852" max="13852" width="7.90625" style="9" customWidth="1"/>
    <col min="13853" max="13853" width="11.453125" style="9" customWidth="1"/>
    <col min="13854" max="13858" width="8.6328125" style="9" customWidth="1"/>
    <col min="13859" max="14080" width="11.453125" style="9"/>
    <col min="14081" max="14081" width="12.453125" style="9" customWidth="1"/>
    <col min="14082" max="14082" width="9.6328125" style="9" customWidth="1"/>
    <col min="14083" max="14083" width="10.08984375" style="9" customWidth="1"/>
    <col min="14084" max="14086" width="10.453125" style="9" customWidth="1"/>
    <col min="14087" max="14087" width="3" style="9" customWidth="1"/>
    <col min="14088" max="14088" width="9.36328125" style="9" customWidth="1"/>
    <col min="14089" max="14089" width="10.6328125" style="9" customWidth="1"/>
    <col min="14090" max="14090" width="9.08984375" style="9" customWidth="1"/>
    <col min="14091" max="14091" width="3" style="9" customWidth="1"/>
    <col min="14092" max="14092" width="3.90625" style="9" customWidth="1"/>
    <col min="14093" max="14093" width="9.08984375" style="9" customWidth="1"/>
    <col min="14094" max="14094" width="10.36328125" style="9" customWidth="1"/>
    <col min="14095" max="14095" width="5.453125" style="9" customWidth="1"/>
    <col min="14096" max="14096" width="7" style="9" customWidth="1"/>
    <col min="14097" max="14099" width="7.453125" style="9" customWidth="1"/>
    <col min="14100" max="14100" width="8" style="9" customWidth="1"/>
    <col min="14101" max="14101" width="8.453125" style="9" customWidth="1"/>
    <col min="14102" max="14103" width="10.90625" style="9" customWidth="1"/>
    <col min="14104" max="14106" width="11.453125" style="9" customWidth="1"/>
    <col min="14107" max="14107" width="10.6328125" style="9" customWidth="1"/>
    <col min="14108" max="14108" width="7.90625" style="9" customWidth="1"/>
    <col min="14109" max="14109" width="11.453125" style="9" customWidth="1"/>
    <col min="14110" max="14114" width="8.6328125" style="9" customWidth="1"/>
    <col min="14115" max="14336" width="11.453125" style="9"/>
    <col min="14337" max="14337" width="12.453125" style="9" customWidth="1"/>
    <col min="14338" max="14338" width="9.6328125" style="9" customWidth="1"/>
    <col min="14339" max="14339" width="10.08984375" style="9" customWidth="1"/>
    <col min="14340" max="14342" width="10.453125" style="9" customWidth="1"/>
    <col min="14343" max="14343" width="3" style="9" customWidth="1"/>
    <col min="14344" max="14344" width="9.36328125" style="9" customWidth="1"/>
    <col min="14345" max="14345" width="10.6328125" style="9" customWidth="1"/>
    <col min="14346" max="14346" width="9.08984375" style="9" customWidth="1"/>
    <col min="14347" max="14347" width="3" style="9" customWidth="1"/>
    <col min="14348" max="14348" width="3.90625" style="9" customWidth="1"/>
    <col min="14349" max="14349" width="9.08984375" style="9" customWidth="1"/>
    <col min="14350" max="14350" width="10.36328125" style="9" customWidth="1"/>
    <col min="14351" max="14351" width="5.453125" style="9" customWidth="1"/>
    <col min="14352" max="14352" width="7" style="9" customWidth="1"/>
    <col min="14353" max="14355" width="7.453125" style="9" customWidth="1"/>
    <col min="14356" max="14356" width="8" style="9" customWidth="1"/>
    <col min="14357" max="14357" width="8.453125" style="9" customWidth="1"/>
    <col min="14358" max="14359" width="10.90625" style="9" customWidth="1"/>
    <col min="14360" max="14362" width="11.453125" style="9" customWidth="1"/>
    <col min="14363" max="14363" width="10.6328125" style="9" customWidth="1"/>
    <col min="14364" max="14364" width="7.90625" style="9" customWidth="1"/>
    <col min="14365" max="14365" width="11.453125" style="9" customWidth="1"/>
    <col min="14366" max="14370" width="8.6328125" style="9" customWidth="1"/>
    <col min="14371" max="14592" width="11.453125" style="9"/>
    <col min="14593" max="14593" width="12.453125" style="9" customWidth="1"/>
    <col min="14594" max="14594" width="9.6328125" style="9" customWidth="1"/>
    <col min="14595" max="14595" width="10.08984375" style="9" customWidth="1"/>
    <col min="14596" max="14598" width="10.453125" style="9" customWidth="1"/>
    <col min="14599" max="14599" width="3" style="9" customWidth="1"/>
    <col min="14600" max="14600" width="9.36328125" style="9" customWidth="1"/>
    <col min="14601" max="14601" width="10.6328125" style="9" customWidth="1"/>
    <col min="14602" max="14602" width="9.08984375" style="9" customWidth="1"/>
    <col min="14603" max="14603" width="3" style="9" customWidth="1"/>
    <col min="14604" max="14604" width="3.90625" style="9" customWidth="1"/>
    <col min="14605" max="14605" width="9.08984375" style="9" customWidth="1"/>
    <col min="14606" max="14606" width="10.36328125" style="9" customWidth="1"/>
    <col min="14607" max="14607" width="5.453125" style="9" customWidth="1"/>
    <col min="14608" max="14608" width="7" style="9" customWidth="1"/>
    <col min="14609" max="14611" width="7.453125" style="9" customWidth="1"/>
    <col min="14612" max="14612" width="8" style="9" customWidth="1"/>
    <col min="14613" max="14613" width="8.453125" style="9" customWidth="1"/>
    <col min="14614" max="14615" width="10.90625" style="9" customWidth="1"/>
    <col min="14616" max="14618" width="11.453125" style="9" customWidth="1"/>
    <col min="14619" max="14619" width="10.6328125" style="9" customWidth="1"/>
    <col min="14620" max="14620" width="7.90625" style="9" customWidth="1"/>
    <col min="14621" max="14621" width="11.453125" style="9" customWidth="1"/>
    <col min="14622" max="14626" width="8.6328125" style="9" customWidth="1"/>
    <col min="14627" max="14848" width="11.453125" style="9"/>
    <col min="14849" max="14849" width="12.453125" style="9" customWidth="1"/>
    <col min="14850" max="14850" width="9.6328125" style="9" customWidth="1"/>
    <col min="14851" max="14851" width="10.08984375" style="9" customWidth="1"/>
    <col min="14852" max="14854" width="10.453125" style="9" customWidth="1"/>
    <col min="14855" max="14855" width="3" style="9" customWidth="1"/>
    <col min="14856" max="14856" width="9.36328125" style="9" customWidth="1"/>
    <col min="14857" max="14857" width="10.6328125" style="9" customWidth="1"/>
    <col min="14858" max="14858" width="9.08984375" style="9" customWidth="1"/>
    <col min="14859" max="14859" width="3" style="9" customWidth="1"/>
    <col min="14860" max="14860" width="3.90625" style="9" customWidth="1"/>
    <col min="14861" max="14861" width="9.08984375" style="9" customWidth="1"/>
    <col min="14862" max="14862" width="10.36328125" style="9" customWidth="1"/>
    <col min="14863" max="14863" width="5.453125" style="9" customWidth="1"/>
    <col min="14864" max="14864" width="7" style="9" customWidth="1"/>
    <col min="14865" max="14867" width="7.453125" style="9" customWidth="1"/>
    <col min="14868" max="14868" width="8" style="9" customWidth="1"/>
    <col min="14869" max="14869" width="8.453125" style="9" customWidth="1"/>
    <col min="14870" max="14871" width="10.90625" style="9" customWidth="1"/>
    <col min="14872" max="14874" width="11.453125" style="9" customWidth="1"/>
    <col min="14875" max="14875" width="10.6328125" style="9" customWidth="1"/>
    <col min="14876" max="14876" width="7.90625" style="9" customWidth="1"/>
    <col min="14877" max="14877" width="11.453125" style="9" customWidth="1"/>
    <col min="14878" max="14882" width="8.6328125" style="9" customWidth="1"/>
    <col min="14883" max="15104" width="11.453125" style="9"/>
    <col min="15105" max="15105" width="12.453125" style="9" customWidth="1"/>
    <col min="15106" max="15106" width="9.6328125" style="9" customWidth="1"/>
    <col min="15107" max="15107" width="10.08984375" style="9" customWidth="1"/>
    <col min="15108" max="15110" width="10.453125" style="9" customWidth="1"/>
    <col min="15111" max="15111" width="3" style="9" customWidth="1"/>
    <col min="15112" max="15112" width="9.36328125" style="9" customWidth="1"/>
    <col min="15113" max="15113" width="10.6328125" style="9" customWidth="1"/>
    <col min="15114" max="15114" width="9.08984375" style="9" customWidth="1"/>
    <col min="15115" max="15115" width="3" style="9" customWidth="1"/>
    <col min="15116" max="15116" width="3.90625" style="9" customWidth="1"/>
    <col min="15117" max="15117" width="9.08984375" style="9" customWidth="1"/>
    <col min="15118" max="15118" width="10.36328125" style="9" customWidth="1"/>
    <col min="15119" max="15119" width="5.453125" style="9" customWidth="1"/>
    <col min="15120" max="15120" width="7" style="9" customWidth="1"/>
    <col min="15121" max="15123" width="7.453125" style="9" customWidth="1"/>
    <col min="15124" max="15124" width="8" style="9" customWidth="1"/>
    <col min="15125" max="15125" width="8.453125" style="9" customWidth="1"/>
    <col min="15126" max="15127" width="10.90625" style="9" customWidth="1"/>
    <col min="15128" max="15130" width="11.453125" style="9" customWidth="1"/>
    <col min="15131" max="15131" width="10.6328125" style="9" customWidth="1"/>
    <col min="15132" max="15132" width="7.90625" style="9" customWidth="1"/>
    <col min="15133" max="15133" width="11.453125" style="9" customWidth="1"/>
    <col min="15134" max="15138" width="8.6328125" style="9" customWidth="1"/>
    <col min="15139" max="15360" width="11.453125" style="9"/>
    <col min="15361" max="15361" width="12.453125" style="9" customWidth="1"/>
    <col min="15362" max="15362" width="9.6328125" style="9" customWidth="1"/>
    <col min="15363" max="15363" width="10.08984375" style="9" customWidth="1"/>
    <col min="15364" max="15366" width="10.453125" style="9" customWidth="1"/>
    <col min="15367" max="15367" width="3" style="9" customWidth="1"/>
    <col min="15368" max="15368" width="9.36328125" style="9" customWidth="1"/>
    <col min="15369" max="15369" width="10.6328125" style="9" customWidth="1"/>
    <col min="15370" max="15370" width="9.08984375" style="9" customWidth="1"/>
    <col min="15371" max="15371" width="3" style="9" customWidth="1"/>
    <col min="15372" max="15372" width="3.90625" style="9" customWidth="1"/>
    <col min="15373" max="15373" width="9.08984375" style="9" customWidth="1"/>
    <col min="15374" max="15374" width="10.36328125" style="9" customWidth="1"/>
    <col min="15375" max="15375" width="5.453125" style="9" customWidth="1"/>
    <col min="15376" max="15376" width="7" style="9" customWidth="1"/>
    <col min="15377" max="15379" width="7.453125" style="9" customWidth="1"/>
    <col min="15380" max="15380" width="8" style="9" customWidth="1"/>
    <col min="15381" max="15381" width="8.453125" style="9" customWidth="1"/>
    <col min="15382" max="15383" width="10.90625" style="9" customWidth="1"/>
    <col min="15384" max="15386" width="11.453125" style="9" customWidth="1"/>
    <col min="15387" max="15387" width="10.6328125" style="9" customWidth="1"/>
    <col min="15388" max="15388" width="7.90625" style="9" customWidth="1"/>
    <col min="15389" max="15389" width="11.453125" style="9" customWidth="1"/>
    <col min="15390" max="15394" width="8.6328125" style="9" customWidth="1"/>
    <col min="15395" max="15616" width="11.453125" style="9"/>
    <col min="15617" max="15617" width="12.453125" style="9" customWidth="1"/>
    <col min="15618" max="15618" width="9.6328125" style="9" customWidth="1"/>
    <col min="15619" max="15619" width="10.08984375" style="9" customWidth="1"/>
    <col min="15620" max="15622" width="10.453125" style="9" customWidth="1"/>
    <col min="15623" max="15623" width="3" style="9" customWidth="1"/>
    <col min="15624" max="15624" width="9.36328125" style="9" customWidth="1"/>
    <col min="15625" max="15625" width="10.6328125" style="9" customWidth="1"/>
    <col min="15626" max="15626" width="9.08984375" style="9" customWidth="1"/>
    <col min="15627" max="15627" width="3" style="9" customWidth="1"/>
    <col min="15628" max="15628" width="3.90625" style="9" customWidth="1"/>
    <col min="15629" max="15629" width="9.08984375" style="9" customWidth="1"/>
    <col min="15630" max="15630" width="10.36328125" style="9" customWidth="1"/>
    <col min="15631" max="15631" width="5.453125" style="9" customWidth="1"/>
    <col min="15632" max="15632" width="7" style="9" customWidth="1"/>
    <col min="15633" max="15635" width="7.453125" style="9" customWidth="1"/>
    <col min="15636" max="15636" width="8" style="9" customWidth="1"/>
    <col min="15637" max="15637" width="8.453125" style="9" customWidth="1"/>
    <col min="15638" max="15639" width="10.90625" style="9" customWidth="1"/>
    <col min="15640" max="15642" width="11.453125" style="9" customWidth="1"/>
    <col min="15643" max="15643" width="10.6328125" style="9" customWidth="1"/>
    <col min="15644" max="15644" width="7.90625" style="9" customWidth="1"/>
    <col min="15645" max="15645" width="11.453125" style="9" customWidth="1"/>
    <col min="15646" max="15650" width="8.6328125" style="9" customWidth="1"/>
    <col min="15651" max="15872" width="11.453125" style="9"/>
    <col min="15873" max="15873" width="12.453125" style="9" customWidth="1"/>
    <col min="15874" max="15874" width="9.6328125" style="9" customWidth="1"/>
    <col min="15875" max="15875" width="10.08984375" style="9" customWidth="1"/>
    <col min="15876" max="15878" width="10.453125" style="9" customWidth="1"/>
    <col min="15879" max="15879" width="3" style="9" customWidth="1"/>
    <col min="15880" max="15880" width="9.36328125" style="9" customWidth="1"/>
    <col min="15881" max="15881" width="10.6328125" style="9" customWidth="1"/>
    <col min="15882" max="15882" width="9.08984375" style="9" customWidth="1"/>
    <col min="15883" max="15883" width="3" style="9" customWidth="1"/>
    <col min="15884" max="15884" width="3.90625" style="9" customWidth="1"/>
    <col min="15885" max="15885" width="9.08984375" style="9" customWidth="1"/>
    <col min="15886" max="15886" width="10.36328125" style="9" customWidth="1"/>
    <col min="15887" max="15887" width="5.453125" style="9" customWidth="1"/>
    <col min="15888" max="15888" width="7" style="9" customWidth="1"/>
    <col min="15889" max="15891" width="7.453125" style="9" customWidth="1"/>
    <col min="15892" max="15892" width="8" style="9" customWidth="1"/>
    <col min="15893" max="15893" width="8.453125" style="9" customWidth="1"/>
    <col min="15894" max="15895" width="10.90625" style="9" customWidth="1"/>
    <col min="15896" max="15898" width="11.453125" style="9" customWidth="1"/>
    <col min="15899" max="15899" width="10.6328125" style="9" customWidth="1"/>
    <col min="15900" max="15900" width="7.90625" style="9" customWidth="1"/>
    <col min="15901" max="15901" width="11.453125" style="9" customWidth="1"/>
    <col min="15902" max="15906" width="8.6328125" style="9" customWidth="1"/>
    <col min="15907" max="16128" width="11.453125" style="9"/>
    <col min="16129" max="16129" width="12.453125" style="9" customWidth="1"/>
    <col min="16130" max="16130" width="9.6328125" style="9" customWidth="1"/>
    <col min="16131" max="16131" width="10.08984375" style="9" customWidth="1"/>
    <col min="16132" max="16134" width="10.453125" style="9" customWidth="1"/>
    <col min="16135" max="16135" width="3" style="9" customWidth="1"/>
    <col min="16136" max="16136" width="9.36328125" style="9" customWidth="1"/>
    <col min="16137" max="16137" width="10.6328125" style="9" customWidth="1"/>
    <col min="16138" max="16138" width="9.08984375" style="9" customWidth="1"/>
    <col min="16139" max="16139" width="3" style="9" customWidth="1"/>
    <col min="16140" max="16140" width="3.90625" style="9" customWidth="1"/>
    <col min="16141" max="16141" width="9.08984375" style="9" customWidth="1"/>
    <col min="16142" max="16142" width="10.36328125" style="9" customWidth="1"/>
    <col min="16143" max="16143" width="5.453125" style="9" customWidth="1"/>
    <col min="16144" max="16144" width="7" style="9" customWidth="1"/>
    <col min="16145" max="16147" width="7.453125" style="9" customWidth="1"/>
    <col min="16148" max="16148" width="8" style="9" customWidth="1"/>
    <col min="16149" max="16149" width="8.453125" style="9" customWidth="1"/>
    <col min="16150" max="16151" width="10.90625" style="9" customWidth="1"/>
    <col min="16152" max="16154" width="11.453125" style="9" customWidth="1"/>
    <col min="16155" max="16155" width="10.6328125" style="9" customWidth="1"/>
    <col min="16156" max="16156" width="7.90625" style="9" customWidth="1"/>
    <col min="16157" max="16157" width="11.453125" style="9" customWidth="1"/>
    <col min="16158" max="16162" width="8.6328125" style="9" customWidth="1"/>
    <col min="16163" max="16384" width="11.453125" style="9"/>
  </cols>
  <sheetData>
    <row r="1" spans="1:34" ht="13.5" thickBot="1">
      <c r="B1" s="29" t="s">
        <v>74</v>
      </c>
      <c r="C1" s="9">
        <f>SUMPRODUCT(B5:B99,E5:E99)</f>
        <v>9.6709171818213076</v>
      </c>
      <c r="I1" s="32">
        <f>H17</f>
        <v>2937.9445549488432</v>
      </c>
      <c r="J1" s="33"/>
      <c r="K1" s="33"/>
      <c r="L1" s="34"/>
      <c r="M1" s="35"/>
      <c r="P1" s="37" t="s">
        <v>75</v>
      </c>
      <c r="V1" s="38">
        <f>SUMPRODUCT(V5:V99,E5:E99)</f>
        <v>2217.2079738452308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2937.9445549488432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1.5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1.5">
      <c r="A5" s="9">
        <v>360</v>
      </c>
      <c r="B5" s="55">
        <f>B9</f>
        <v>1.8824306472919418E-2</v>
      </c>
      <c r="C5" s="56">
        <f t="shared" ref="C5:C68" si="0">B5/$C$1*100</f>
        <v>0.19464861624814644</v>
      </c>
      <c r="D5" s="57">
        <f>xyzs!B2</f>
        <v>1.2990000000000001E-4</v>
      </c>
      <c r="E5" s="57">
        <f>xyzs!C2</f>
        <v>3.9169999999999999E-6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76481931411.718765</v>
      </c>
      <c r="J5" s="58">
        <f>I5/$I$101*100</f>
        <v>0.3288910725078098</v>
      </c>
      <c r="K5" s="58"/>
      <c r="L5" s="59"/>
      <c r="M5" s="60" t="s">
        <v>100</v>
      </c>
      <c r="N5" s="61">
        <f>J5*$U$23+W5*$U$24</f>
        <v>0.3288910725078098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48.049867281511396</v>
      </c>
      <c r="W5" s="56">
        <f>V5/$V$1*100</f>
        <v>2.1671339742739644</v>
      </c>
      <c r="AA5" s="23" t="s">
        <v>103</v>
      </c>
      <c r="AE5" s="65">
        <f>M15</f>
        <v>0.25281819591720983</v>
      </c>
      <c r="AF5" s="65">
        <f>M16*1.5</f>
        <v>0.52263823295800682</v>
      </c>
      <c r="AG5" s="9">
        <v>360</v>
      </c>
      <c r="AH5" s="9">
        <v>7.3487793367358352</v>
      </c>
    </row>
    <row r="6" spans="1:34" ht="11.5">
      <c r="A6" s="9">
        <v>365</v>
      </c>
      <c r="B6" s="55">
        <f>B9</f>
        <v>1.8824306472919418E-2</v>
      </c>
      <c r="C6" s="56">
        <f t="shared" si="0"/>
        <v>0.19464861624814644</v>
      </c>
      <c r="D6" s="57">
        <f>xyzs!B3</f>
        <v>2.321E-4</v>
      </c>
      <c r="E6" s="57">
        <f>xyzs!C3</f>
        <v>6.9650000000000002E-6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86007891649.742264</v>
      </c>
      <c r="J6" s="58">
        <f t="shared" ref="J6:J69" si="2">I6/$I$101*100</f>
        <v>0.3698550390489353</v>
      </c>
      <c r="K6" s="58"/>
      <c r="L6" s="59"/>
      <c r="M6" s="66"/>
      <c r="N6" s="61">
        <f t="shared" ref="N6:N69" si="3">J6*$U$23+W6*$U$24</f>
        <v>0.3698550390489353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0.43995861557227511</v>
      </c>
      <c r="V6" s="64">
        <f t="shared" ref="V6:V69" si="4">Q6+R6*U$15+S6*U$16</f>
        <v>51.821069500100933</v>
      </c>
      <c r="W6" s="56">
        <f t="shared" ref="W6:W69" si="5">V6/$V$1*100</f>
        <v>2.337221862423188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1.5">
      <c r="A7" s="9">
        <v>370</v>
      </c>
      <c r="B7" s="55">
        <f>B9</f>
        <v>1.8824306472919418E-2</v>
      </c>
      <c r="C7" s="56">
        <f t="shared" si="0"/>
        <v>0.19464861624814644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96324766966.065598</v>
      </c>
      <c r="J7" s="58">
        <f t="shared" si="2"/>
        <v>0.4142201345046056</v>
      </c>
      <c r="K7" s="58"/>
      <c r="L7" s="59"/>
      <c r="M7" s="66"/>
      <c r="N7" s="61">
        <f t="shared" si="3"/>
        <v>0.4142201345046056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55.592271718690455</v>
      </c>
      <c r="W7" s="56">
        <f t="shared" si="5"/>
        <v>2.5073097505724107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1.5">
      <c r="A8" s="9">
        <v>375</v>
      </c>
      <c r="B8" s="55">
        <f>B9</f>
        <v>1.8824306472919418E-2</v>
      </c>
      <c r="C8" s="56">
        <f t="shared" si="0"/>
        <v>0.19464861624814644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107456922263.1994</v>
      </c>
      <c r="J8" s="58">
        <f t="shared" si="2"/>
        <v>0.46209113393437218</v>
      </c>
      <c r="K8" s="58"/>
      <c r="L8" s="59"/>
      <c r="M8" s="66"/>
      <c r="N8" s="61">
        <f t="shared" si="3"/>
        <v>0.46209113393437218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41.236894657835748</v>
      </c>
      <c r="W8" s="56">
        <f t="shared" si="5"/>
        <v>1.8598568625170495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1.5">
      <c r="A9" s="9">
        <v>380</v>
      </c>
      <c r="B9" s="48">
        <f>'Color metric'!B3</f>
        <v>1.8824306472919418E-2</v>
      </c>
      <c r="C9" s="56">
        <f t="shared" si="0"/>
        <v>0.19464861624814644</v>
      </c>
      <c r="D9" s="57">
        <f>xyzs!B6</f>
        <v>1.3680000000000001E-3</v>
      </c>
      <c r="E9" s="57">
        <f>xyzs!C6</f>
        <v>3.8999999999999999E-5</v>
      </c>
      <c r="F9" s="57">
        <f>xyzs!D6</f>
        <v>6.4500010000000003E-3</v>
      </c>
      <c r="G9" s="70"/>
      <c r="H9" s="71" t="s">
        <v>77</v>
      </c>
      <c r="I9" s="9">
        <f t="shared" si="1"/>
        <v>119426300241.84502</v>
      </c>
      <c r="J9" s="58">
        <f t="shared" si="2"/>
        <v>0.51356239633563705</v>
      </c>
      <c r="K9" s="58"/>
      <c r="L9" s="72"/>
      <c r="M9" s="73" t="s">
        <v>80</v>
      </c>
      <c r="N9" s="61">
        <f t="shared" si="3"/>
        <v>0.51356239633563705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0.46248771811444156</v>
      </c>
      <c r="V9" s="64">
        <f t="shared" si="4"/>
        <v>26.881517596981062</v>
      </c>
      <c r="W9" s="56">
        <f t="shared" si="5"/>
        <v>1.2124039744616888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0.23904216030474126</v>
      </c>
      <c r="D10" s="57">
        <f>xyzs!B7</f>
        <v>2.2360000000000001E-3</v>
      </c>
      <c r="E10" s="57">
        <f>xyzs!C7</f>
        <v>6.3999999999999997E-5</v>
      </c>
      <c r="F10" s="57">
        <f>xyzs!D7</f>
        <v>1.054999E-2</v>
      </c>
      <c r="G10" s="74" t="s">
        <v>107</v>
      </c>
      <c r="H10" s="75">
        <f>SUMPRODUCT(C5:C99,D5:D99)</f>
        <v>109.2017933825929</v>
      </c>
      <c r="I10" s="9">
        <f t="shared" si="1"/>
        <v>132252290020.59688</v>
      </c>
      <c r="J10" s="58">
        <f t="shared" si="2"/>
        <v>0.56871729967613449</v>
      </c>
      <c r="K10" s="58"/>
      <c r="L10" s="76" t="s">
        <v>107</v>
      </c>
      <c r="M10" s="77">
        <f>SUMPRODUCT(N5:N99,D5:D99)</f>
        <v>108.84028472127255</v>
      </c>
      <c r="N10" s="61">
        <f t="shared" si="3"/>
        <v>0.56871729967613449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22.364812744435994</v>
      </c>
      <c r="W10" s="56">
        <f t="shared" si="5"/>
        <v>1.0086925993527542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11.5">
      <c r="A11" s="9">
        <v>390</v>
      </c>
      <c r="B11" s="48">
        <f>'Color metric'!B5</f>
        <v>2.8731836195508585E-2</v>
      </c>
      <c r="C11" s="56">
        <f t="shared" si="0"/>
        <v>0.29709525637874989</v>
      </c>
      <c r="D11" s="57">
        <f>xyzs!B8</f>
        <v>4.2430000000000002E-3</v>
      </c>
      <c r="E11" s="57">
        <f>xyzs!C8</f>
        <v>1.2E-4</v>
      </c>
      <c r="F11" s="57">
        <f>xyzs!D8</f>
        <v>2.005001E-2</v>
      </c>
      <c r="G11" s="74" t="s">
        <v>108</v>
      </c>
      <c r="H11" s="75">
        <f>SUMPRODUCT(C5:C99,E5:E99)</f>
        <v>100.00000000000003</v>
      </c>
      <c r="I11" s="9">
        <f t="shared" si="1"/>
        <v>145951619246.61505</v>
      </c>
      <c r="J11" s="58">
        <f t="shared" si="2"/>
        <v>0.62762777694334881</v>
      </c>
      <c r="K11" s="58"/>
      <c r="L11" s="76" t="s">
        <v>108</v>
      </c>
      <c r="M11" s="77">
        <f>SUMPRODUCT(N5:N99,E5:E99)</f>
        <v>100.00000000000004</v>
      </c>
      <c r="N11" s="61">
        <f t="shared" si="3"/>
        <v>0.62762777694334881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17.848107891890944</v>
      </c>
      <c r="W11" s="56">
        <f t="shared" si="5"/>
        <v>0.80498122424382046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1.5">
      <c r="A12" s="9">
        <v>395</v>
      </c>
      <c r="B12" s="48">
        <f>'Color metric'!B6</f>
        <v>3.2364597093791282E-2</v>
      </c>
      <c r="C12" s="56">
        <f t="shared" si="0"/>
        <v>0.33465902442663781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38.88300790435153</v>
      </c>
      <c r="I12" s="9">
        <f t="shared" si="1"/>
        <v>160538269588.05319</v>
      </c>
      <c r="J12" s="58">
        <f t="shared" si="2"/>
        <v>0.69035395274121736</v>
      </c>
      <c r="K12" s="58"/>
      <c r="L12" s="76" t="s">
        <v>111</v>
      </c>
      <c r="M12" s="81">
        <f>SUMPRODUCT(N5:N99,F5:F99)</f>
        <v>37.730723823242116</v>
      </c>
      <c r="N12" s="61">
        <f t="shared" si="3"/>
        <v>0.69035395274121736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0.43995861557227511</v>
      </c>
      <c r="V12" s="64">
        <f t="shared" si="4"/>
        <v>14.093995721551241</v>
      </c>
      <c r="W12" s="56">
        <f t="shared" si="5"/>
        <v>0.63566412748861301</v>
      </c>
      <c r="Z12" s="9">
        <v>380</v>
      </c>
      <c r="AA12" s="9">
        <f>$AA$8/((Z12*0.000000001)^5)/(EXP($AA$9/(Z12*0.000000001*$U$3))-1)</f>
        <v>119426300241.84502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1.5">
      <c r="A13" s="9">
        <v>400</v>
      </c>
      <c r="B13" s="48">
        <f>'Color metric'!B7</f>
        <v>6.6380449141347414E-2</v>
      </c>
      <c r="C13" s="56">
        <f t="shared" si="0"/>
        <v>0.68639248887504267</v>
      </c>
      <c r="D13" s="57">
        <f>xyzs!B10</f>
        <v>1.431E-2</v>
      </c>
      <c r="E13" s="57">
        <f>xyzs!C10</f>
        <v>3.9599999999999998E-4</v>
      </c>
      <c r="F13" s="57">
        <f>xyzs!D10</f>
        <v>6.7850010000000002E-2</v>
      </c>
      <c r="G13" s="74" t="s">
        <v>112</v>
      </c>
      <c r="H13" s="80">
        <f>H10/(H10+H11+H12)</f>
        <v>0.44017929682151663</v>
      </c>
      <c r="I13" s="9">
        <f t="shared" si="1"/>
        <v>176023415208.3851</v>
      </c>
      <c r="J13" s="58">
        <f t="shared" si="2"/>
        <v>0.75694387871463786</v>
      </c>
      <c r="K13" s="58"/>
      <c r="L13" s="76" t="s">
        <v>112</v>
      </c>
      <c r="M13" s="81">
        <f>M10/(M10+M11+M12)</f>
        <v>0.44141557989216346</v>
      </c>
      <c r="N13" s="61">
        <f t="shared" si="3"/>
        <v>0.75694387871463786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0.40699047644361075</v>
      </c>
      <c r="V13" s="64">
        <f t="shared" si="4"/>
        <v>10.339883551211535</v>
      </c>
      <c r="W13" s="56">
        <f t="shared" si="5"/>
        <v>0.4663470307334055</v>
      </c>
      <c r="Z13" s="9">
        <v>385</v>
      </c>
      <c r="AA13" s="9">
        <f t="shared" ref="AA13:AA76" si="6">$AA$8/((Z13*0.000000001)^5)/(EXP($AA$9/(Z13*0.000000001*$U$3))-1)</f>
        <v>132252290020.59688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1.5">
      <c r="A14" s="9">
        <v>405</v>
      </c>
      <c r="B14" s="48">
        <f>'Color metric'!B8</f>
        <v>0.45409511228533683</v>
      </c>
      <c r="C14" s="56">
        <f t="shared" si="0"/>
        <v>4.695471005985989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0.40308797427834431</v>
      </c>
      <c r="I14" s="9">
        <f t="shared" si="1"/>
        <v>192415383567.76248</v>
      </c>
      <c r="J14" s="58">
        <f t="shared" si="2"/>
        <v>0.82743336498568754</v>
      </c>
      <c r="K14" s="58"/>
      <c r="L14" s="76" t="s">
        <v>114</v>
      </c>
      <c r="M14" s="81">
        <f>M11/(M10+M11+M12)</f>
        <v>0.40556268391118067</v>
      </c>
      <c r="N14" s="61">
        <f t="shared" si="3"/>
        <v>0.82743336498568754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15.771035206448598</v>
      </c>
      <c r="W14" s="56">
        <f t="shared" si="5"/>
        <v>0.71130157353247347</v>
      </c>
      <c r="Z14" s="9">
        <v>390</v>
      </c>
      <c r="AA14" s="9">
        <f t="shared" si="6"/>
        <v>145951619246.61505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1.5">
      <c r="A15" s="9">
        <v>410</v>
      </c>
      <c r="B15" s="48">
        <f>'Color metric'!B9</f>
        <v>6.4398943196829581E-2</v>
      </c>
      <c r="C15" s="56">
        <f t="shared" si="0"/>
        <v>0.66590316084892198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0.25309671566251224</v>
      </c>
      <c r="I15" s="9">
        <f t="shared" si="1"/>
        <v>209719637677.39709</v>
      </c>
      <c r="J15" s="58">
        <f t="shared" si="2"/>
        <v>0.90184590384311203</v>
      </c>
      <c r="K15" s="58"/>
      <c r="L15" s="41" t="s">
        <v>21</v>
      </c>
      <c r="M15" s="81">
        <f>4*M10/(M10+15*M11+3*M12)</f>
        <v>0.25281819591720983</v>
      </c>
      <c r="N15" s="61">
        <f t="shared" si="3"/>
        <v>0.90184590384311203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-1.7012499564745651</v>
      </c>
      <c r="V15" s="64">
        <f t="shared" si="4"/>
        <v>21.202186861685675</v>
      </c>
      <c r="W15" s="56">
        <f t="shared" si="5"/>
        <v>0.95625611633154195</v>
      </c>
      <c r="Z15" s="9">
        <v>395</v>
      </c>
      <c r="AA15" s="9">
        <f t="shared" si="6"/>
        <v>160538269588.05319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1.5">
      <c r="A16" s="9">
        <v>415</v>
      </c>
      <c r="B16" s="48">
        <f>'Color metric'!B10</f>
        <v>5.2509907529722587E-2</v>
      </c>
      <c r="C16" s="56">
        <f t="shared" si="0"/>
        <v>0.54296719269219806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0.34765461420918853</v>
      </c>
      <c r="I16" s="9">
        <f t="shared" si="1"/>
        <v>227938778749.17099</v>
      </c>
      <c r="J16" s="58">
        <f t="shared" si="2"/>
        <v>0.98019268113629998</v>
      </c>
      <c r="K16" s="58"/>
      <c r="L16" s="41" t="s">
        <v>26</v>
      </c>
      <c r="M16" s="81">
        <f>6*M11/(M10+15*M11+3*M12)</f>
        <v>0.34842548863867118</v>
      </c>
      <c r="N16" s="61">
        <f t="shared" si="3"/>
        <v>0.98019268113629998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9.6598803070839381</v>
      </c>
      <c r="V16" s="64">
        <f t="shared" si="4"/>
        <v>22.827698778746743</v>
      </c>
      <c r="W16" s="56">
        <f t="shared" si="5"/>
        <v>1.0295695779569751</v>
      </c>
      <c r="Z16" s="9">
        <v>400</v>
      </c>
      <c r="AA16" s="9">
        <f t="shared" si="6"/>
        <v>176023415208.3851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1.5">
      <c r="A17" s="9">
        <v>420</v>
      </c>
      <c r="B17" s="48">
        <f>'Color metric'!B11</f>
        <v>5.8124174372523117E-2</v>
      </c>
      <c r="C17" s="56">
        <f t="shared" si="0"/>
        <v>0.60102028876620661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2937.9445549488432</v>
      </c>
      <c r="I17" s="9">
        <f>$I$2/((A17*0.000000001)^5)/(EXP($I$3/(A17*0.000000001*$I$1))-1)</f>
        <v>247072568032.99075</v>
      </c>
      <c r="J17" s="58">
        <f t="shared" si="2"/>
        <v>1.0624726701812641</v>
      </c>
      <c r="K17" s="58"/>
      <c r="L17" s="76" t="s">
        <v>117</v>
      </c>
      <c r="M17" s="85">
        <f t="array" ref="M17:M18">CCT(M13,M14)</f>
        <v>2937.9016902232925</v>
      </c>
      <c r="N17" s="61">
        <f t="shared" si="3"/>
        <v>1.0624726701812641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24.453210695807844</v>
      </c>
      <c r="W17" s="56">
        <f t="shared" si="5"/>
        <v>1.1028830395824099</v>
      </c>
      <c r="Z17" s="9">
        <v>405</v>
      </c>
      <c r="AA17" s="9">
        <f t="shared" si="6"/>
        <v>192415383567.76248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1.5">
      <c r="A18" s="9">
        <v>425</v>
      </c>
      <c r="B18" s="48">
        <f>'Color metric'!B12</f>
        <v>6.3738441215323641E-2</v>
      </c>
      <c r="C18" s="56">
        <f t="shared" si="0"/>
        <v>0.65907338484021516</v>
      </c>
      <c r="D18" s="57">
        <f>xyzs!B15</f>
        <v>0.21476999999999999</v>
      </c>
      <c r="E18" s="57">
        <f>xyzs!C15</f>
        <v>7.3000000000000001E-3</v>
      </c>
      <c r="F18" s="57">
        <f>xyzs!D15</f>
        <v>1.0390501000000001</v>
      </c>
      <c r="G18" s="87" t="s">
        <v>118</v>
      </c>
      <c r="H18" s="84">
        <v>-8.1932133886055889E-4</v>
      </c>
      <c r="I18" s="9">
        <f t="shared" ref="I18:I81" si="7">$I$2/((A18*0.000000001)^5)/(EXP($I$3/(A18*0.000000001*$I$1))-1)</f>
        <v>267117966517.18054</v>
      </c>
      <c r="J18" s="58">
        <f t="shared" si="2"/>
        <v>1.1486728024820738</v>
      </c>
      <c r="K18" s="58"/>
      <c r="L18" s="88" t="s">
        <v>118</v>
      </c>
      <c r="M18" s="86">
        <v>3.2427345233004745E-7</v>
      </c>
      <c r="N18" s="61">
        <f t="shared" si="3"/>
        <v>1.1486728024820738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23.272490471050364</v>
      </c>
      <c r="W18" s="56">
        <f t="shared" si="5"/>
        <v>1.0496304697429737</v>
      </c>
      <c r="Z18" s="9">
        <v>410</v>
      </c>
      <c r="AA18" s="9">
        <f t="shared" si="6"/>
        <v>209719637677.39709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1.5">
      <c r="A19" s="9">
        <v>430</v>
      </c>
      <c r="B19" s="48">
        <f>'Color metric'!B13</f>
        <v>6.9352708058124171E-2</v>
      </c>
      <c r="C19" s="56">
        <f t="shared" si="0"/>
        <v>0.71712648091422382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288069191080.19141</v>
      </c>
      <c r="J19" s="58">
        <f t="shared" si="2"/>
        <v>1.2387682091969834</v>
      </c>
      <c r="K19" s="58"/>
      <c r="L19" s="76"/>
      <c r="M19" s="89"/>
      <c r="N19" s="61">
        <f t="shared" si="3"/>
        <v>1.2387682091969834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22.091770246292906</v>
      </c>
      <c r="W19" s="56">
        <f t="shared" si="5"/>
        <v>0.99637789990353853</v>
      </c>
      <c r="Z19" s="9">
        <v>415</v>
      </c>
      <c r="AA19" s="9">
        <f t="shared" si="6"/>
        <v>227938778749.17099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1.5">
      <c r="A20" s="9">
        <v>435</v>
      </c>
      <c r="B20" s="48">
        <f>'Color metric'!B14</f>
        <v>1</v>
      </c>
      <c r="C20" s="56">
        <f t="shared" si="0"/>
        <v>10.340280877182236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370.26591094069863</v>
      </c>
      <c r="I20" s="9">
        <f t="shared" si="7"/>
        <v>309917785622.89014</v>
      </c>
      <c r="J20" s="58">
        <f t="shared" si="2"/>
        <v>1.3327225270247289</v>
      </c>
      <c r="K20" s="58"/>
      <c r="L20" s="91" t="s">
        <v>120</v>
      </c>
      <c r="M20" s="61">
        <f>SQRT((H15-M15)^2+(H16-M16)^2)</f>
        <v>8.1964665225541986E-4</v>
      </c>
      <c r="N20" s="61">
        <f t="shared" si="3"/>
        <v>1.3327225270247289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24.220104022629066</v>
      </c>
      <c r="W20" s="56">
        <f t="shared" si="5"/>
        <v>1.0923695164520331</v>
      </c>
      <c r="Z20" s="9">
        <v>420</v>
      </c>
      <c r="AA20" s="9">
        <f t="shared" si="6"/>
        <v>247072568032.99075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1.5">
      <c r="A21" s="9">
        <v>440</v>
      </c>
      <c r="B21" s="48">
        <f>'Color metric'!B15</f>
        <v>0.2651915455746367</v>
      </c>
      <c r="C21" s="56">
        <f t="shared" si="0"/>
        <v>2.7421550674958177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332652705676.89819</v>
      </c>
      <c r="J21" s="58">
        <f t="shared" si="2"/>
        <v>1.4304882620411479</v>
      </c>
      <c r="K21" s="58"/>
      <c r="L21" s="59"/>
      <c r="M21" s="66"/>
      <c r="N21" s="61">
        <f t="shared" si="3"/>
        <v>1.4304882620411479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26.348437798965222</v>
      </c>
      <c r="W21" s="56">
        <f t="shared" si="5"/>
        <v>1.1883611330005273</v>
      </c>
      <c r="Z21" s="9">
        <v>425</v>
      </c>
      <c r="AA21" s="9">
        <f t="shared" si="6"/>
        <v>267117966517.18054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1.5">
      <c r="A22" s="9">
        <v>445</v>
      </c>
      <c r="B22" s="48">
        <f>'Color metric'!B16</f>
        <v>8.4214002642007915E-2</v>
      </c>
      <c r="C22" s="56">
        <f t="shared" si="0"/>
        <v>0.87079644111012888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356260414973.38129</v>
      </c>
      <c r="J22" s="58">
        <f t="shared" si="2"/>
        <v>1.5320072049686697</v>
      </c>
      <c r="K22" s="58"/>
      <c r="L22" s="59"/>
      <c r="M22" s="66"/>
      <c r="N22" s="61">
        <f t="shared" si="3"/>
        <v>1.5320072049686697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31.429955735492463</v>
      </c>
      <c r="W22" s="56">
        <f t="shared" si="5"/>
        <v>1.4175465768772484</v>
      </c>
      <c r="Z22" s="9">
        <v>430</v>
      </c>
      <c r="AA22" s="9">
        <f t="shared" si="6"/>
        <v>288069191080.19141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1.5">
      <c r="A23" s="9">
        <v>450</v>
      </c>
      <c r="B23" s="48">
        <f>'Color metric'!B17</f>
        <v>8.9167767503302506E-2</v>
      </c>
      <c r="C23" s="56">
        <f t="shared" si="0"/>
        <v>0.92201976117543061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380724992465.56683</v>
      </c>
      <c r="J23" s="58">
        <f t="shared" si="2"/>
        <v>1.6372108913994032</v>
      </c>
      <c r="K23" s="58"/>
      <c r="L23" s="59"/>
      <c r="M23" s="66"/>
      <c r="N23" s="61">
        <f t="shared" si="3"/>
        <v>1.6372108913994032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36.511473672019697</v>
      </c>
      <c r="W23" s="56">
        <f t="shared" si="5"/>
        <v>1.6467320207539689</v>
      </c>
      <c r="Z23" s="9">
        <v>435</v>
      </c>
      <c r="AA23" s="9">
        <f t="shared" si="6"/>
        <v>309917785622.89014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1.5">
      <c r="A24" s="9">
        <v>455</v>
      </c>
      <c r="B24" s="48">
        <f>'Color metric'!B18</f>
        <v>9.3130779392338173E-2</v>
      </c>
      <c r="C24" s="56">
        <f t="shared" si="0"/>
        <v>0.96299841722767199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406028248324.46674</v>
      </c>
      <c r="J24" s="58">
        <f t="shared" si="2"/>
        <v>1.746021100605208</v>
      </c>
      <c r="K24" s="58"/>
      <c r="L24" s="59"/>
      <c r="M24" s="66"/>
      <c r="N24" s="61">
        <f t="shared" si="3"/>
        <v>1.746021100605208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39.751530115556911</v>
      </c>
      <c r="W24" s="56">
        <f t="shared" si="5"/>
        <v>1.7928642952973484</v>
      </c>
      <c r="Z24" s="9">
        <v>440</v>
      </c>
      <c r="AA24" s="9">
        <f t="shared" si="6"/>
        <v>332652705676.89819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1.5">
      <c r="A25" s="9">
        <v>460</v>
      </c>
      <c r="B25" s="48">
        <f>'Color metric'!B19</f>
        <v>9.610303830911493E-2</v>
      </c>
      <c r="C25" s="56">
        <f t="shared" si="0"/>
        <v>0.99373240926685302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432149847468.24725</v>
      </c>
      <c r="J25" s="58">
        <f t="shared" si="2"/>
        <v>1.8583503867442959</v>
      </c>
      <c r="K25" s="58"/>
      <c r="L25" s="59"/>
      <c r="M25" s="66"/>
      <c r="N25" s="61">
        <f t="shared" si="3"/>
        <v>1.8583503867442959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42.991586559094159</v>
      </c>
      <c r="W25" s="56">
        <f t="shared" si="5"/>
        <v>1.9389965698407292</v>
      </c>
      <c r="Z25" s="9">
        <v>445</v>
      </c>
      <c r="AA25" s="9">
        <f t="shared" si="6"/>
        <v>356260414973.38129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1.5">
      <c r="A26" s="9">
        <v>465</v>
      </c>
      <c r="B26" s="48">
        <f>'Color metric'!B20</f>
        <v>9.8745046235138703E-2</v>
      </c>
      <c r="C26" s="56">
        <f t="shared" si="0"/>
        <v>1.0210515133016806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459067439239.02008</v>
      </c>
      <c r="J26" s="58">
        <f t="shared" si="2"/>
        <v>1.974102636503255</v>
      </c>
      <c r="K26" s="58"/>
      <c r="L26" s="59"/>
      <c r="M26" s="66"/>
      <c r="N26" s="61">
        <f t="shared" si="3"/>
        <v>1.974102636503255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45.855511987517772</v>
      </c>
      <c r="W26" s="56">
        <f t="shared" si="5"/>
        <v>2.0681646705424783</v>
      </c>
      <c r="Z26" s="9">
        <v>450</v>
      </c>
      <c r="AA26" s="9">
        <f t="shared" si="6"/>
        <v>380724992465.56683</v>
      </c>
      <c r="AB26" s="65">
        <v>3.7999999999999999E-2</v>
      </c>
      <c r="AG26" s="9">
        <v>465</v>
      </c>
      <c r="AH26" s="9">
        <v>8.7777395659194006</v>
      </c>
    </row>
    <row r="27" spans="1:34" ht="11.5">
      <c r="A27" s="9">
        <v>470</v>
      </c>
      <c r="B27" s="48">
        <f>'Color metric'!B21</f>
        <v>0.10039630118890357</v>
      </c>
      <c r="C27" s="56">
        <f t="shared" si="0"/>
        <v>1.0381259533234479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486756791904.11346</v>
      </c>
      <c r="J27" s="58">
        <f t="shared" si="2"/>
        <v>2.0931736474855192</v>
      </c>
      <c r="K27" s="58"/>
      <c r="L27" s="59"/>
      <c r="M27" s="66"/>
      <c r="N27" s="61">
        <f t="shared" si="3"/>
        <v>2.0931736474855192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48.719437415941393</v>
      </c>
      <c r="W27" s="56">
        <f t="shared" si="5"/>
        <v>2.1973327712442274</v>
      </c>
      <c r="Z27" s="9">
        <v>455</v>
      </c>
      <c r="AA27" s="9">
        <f t="shared" si="6"/>
        <v>406028248324.46674</v>
      </c>
      <c r="AB27" s="65">
        <v>4.8000000000000001E-2</v>
      </c>
      <c r="AG27" s="9">
        <v>470</v>
      </c>
      <c r="AH27" s="9">
        <v>8.4221576168227692</v>
      </c>
    </row>
    <row r="28" spans="1:34" ht="11.5">
      <c r="A28" s="9">
        <v>475</v>
      </c>
      <c r="B28" s="48">
        <f>'Color metric'!B22</f>
        <v>0.10171730515191546</v>
      </c>
      <c r="C28" s="56">
        <f t="shared" si="0"/>
        <v>1.0517855053408618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515191930730.21283</v>
      </c>
      <c r="J28" s="58">
        <f t="shared" si="2"/>
        <v>2.2154517219640533</v>
      </c>
      <c r="K28" s="58"/>
      <c r="L28" s="59"/>
      <c r="M28" s="66"/>
      <c r="N28" s="61">
        <f t="shared" si="3"/>
        <v>2.2154517219640533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51.781687337595606</v>
      </c>
      <c r="W28" s="56">
        <f t="shared" si="5"/>
        <v>2.3354456572602134</v>
      </c>
      <c r="Z28" s="9">
        <v>460</v>
      </c>
      <c r="AA28" s="9">
        <f t="shared" si="6"/>
        <v>432149847468.24725</v>
      </c>
      <c r="AB28" s="65">
        <v>0.06</v>
      </c>
      <c r="AG28" s="9">
        <v>475</v>
      </c>
      <c r="AH28" s="9">
        <v>8.2170249367132033</v>
      </c>
    </row>
    <row r="29" spans="1:34" ht="11.5">
      <c r="A29" s="9">
        <v>480</v>
      </c>
      <c r="B29" s="48">
        <f>'Color metric'!B23</f>
        <v>0.10204755614266842</v>
      </c>
      <c r="C29" s="56">
        <f t="shared" si="0"/>
        <v>1.055200393345215</v>
      </c>
      <c r="D29" s="57">
        <f>xyzs!B26</f>
        <v>9.5640000000000003E-2</v>
      </c>
      <c r="E29" s="57">
        <f>xyzs!C26</f>
        <v>0.13902</v>
      </c>
      <c r="F29" s="57">
        <f>xyzs!D26</f>
        <v>0.81295010000000001</v>
      </c>
      <c r="I29" s="9">
        <f t="shared" si="7"/>
        <v>544345278455.99927</v>
      </c>
      <c r="J29" s="58">
        <f t="shared" si="2"/>
        <v>2.3408182709481693</v>
      </c>
      <c r="K29" s="58"/>
      <c r="L29" s="59"/>
      <c r="M29" s="66"/>
      <c r="N29" s="61">
        <f t="shared" si="3"/>
        <v>2.3408182709481693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54.84393725924982</v>
      </c>
      <c r="W29" s="56">
        <f t="shared" si="5"/>
        <v>2.4735585432761988</v>
      </c>
      <c r="Z29" s="9">
        <v>465</v>
      </c>
      <c r="AA29" s="9">
        <f t="shared" si="6"/>
        <v>459067439239.02008</v>
      </c>
      <c r="AB29" s="65">
        <v>7.3899999999999993E-2</v>
      </c>
      <c r="AG29" s="9">
        <v>480</v>
      </c>
      <c r="AH29" s="9">
        <v>8.0118922566036392</v>
      </c>
    </row>
    <row r="30" spans="1:34" ht="11.5">
      <c r="A30" s="9">
        <v>485</v>
      </c>
      <c r="B30" s="48">
        <f>'Color metric'!B24</f>
        <v>0.10204755614266842</v>
      </c>
      <c r="C30" s="56">
        <f t="shared" si="0"/>
        <v>1.055200393345215</v>
      </c>
      <c r="D30" s="57">
        <f>xyzs!B27</f>
        <v>5.7950010000000003E-2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574187797070.38928</v>
      </c>
      <c r="J30" s="58">
        <f t="shared" si="2"/>
        <v>2.4691484238647461</v>
      </c>
      <c r="K30" s="58"/>
      <c r="L30" s="59"/>
      <c r="M30" s="66"/>
      <c r="N30" s="61">
        <f t="shared" si="3"/>
        <v>2.4691484238647461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58.380514290679997</v>
      </c>
      <c r="W30" s="56">
        <f t="shared" si="5"/>
        <v>2.633064420629545</v>
      </c>
      <c r="Z30" s="9">
        <v>470</v>
      </c>
      <c r="AA30" s="9">
        <f t="shared" si="6"/>
        <v>486756791904.11346</v>
      </c>
      <c r="AB30" s="65">
        <v>9.0980000000000005E-2</v>
      </c>
      <c r="AG30" s="9">
        <v>485</v>
      </c>
      <c r="AH30" s="9">
        <v>7.6212310760511217</v>
      </c>
    </row>
    <row r="31" spans="1:34" ht="11.5">
      <c r="A31" s="9">
        <v>490</v>
      </c>
      <c r="B31" s="48">
        <f>'Color metric'!B25</f>
        <v>0.10369881109643329</v>
      </c>
      <c r="C31" s="56">
        <f t="shared" si="0"/>
        <v>1.0722748333669823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604689129887.75281</v>
      </c>
      <c r="J31" s="58">
        <f t="shared" si="2"/>
        <v>2.6003116395165318</v>
      </c>
      <c r="K31" s="58"/>
      <c r="L31" s="59"/>
      <c r="M31" s="66"/>
      <c r="N31" s="61">
        <f t="shared" si="3"/>
        <v>2.6003116395165318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61.917091322110153</v>
      </c>
      <c r="W31" s="56">
        <f t="shared" si="5"/>
        <v>2.7925702979828899</v>
      </c>
      <c r="Z31" s="9">
        <v>475</v>
      </c>
      <c r="AA31" s="9">
        <f t="shared" si="6"/>
        <v>515191930730.21283</v>
      </c>
      <c r="AB31" s="65">
        <v>0.11260000000000001</v>
      </c>
      <c r="AG31" s="9">
        <v>490</v>
      </c>
      <c r="AH31" s="9">
        <v>7.2305698954986033</v>
      </c>
    </row>
    <row r="32" spans="1:34" ht="11.5">
      <c r="A32" s="9">
        <v>495</v>
      </c>
      <c r="B32" s="48">
        <f>'Color metric'!B26</f>
        <v>0.10105680317040951</v>
      </c>
      <c r="C32" s="56">
        <f t="shared" si="0"/>
        <v>1.0449557293321547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635817742996.88232</v>
      </c>
      <c r="J32" s="58">
        <f t="shared" si="2"/>
        <v>2.7341723143474184</v>
      </c>
      <c r="K32" s="58"/>
      <c r="L32" s="59"/>
      <c r="M32" s="66"/>
      <c r="N32" s="61">
        <f t="shared" si="3"/>
        <v>2.7341723143474184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66.483510783298158</v>
      </c>
      <c r="W32" s="56">
        <f t="shared" si="5"/>
        <v>2.9985238898450288</v>
      </c>
      <c r="Z32" s="9">
        <v>480</v>
      </c>
      <c r="AA32" s="9">
        <f t="shared" si="6"/>
        <v>544345278455.99927</v>
      </c>
      <c r="AB32" s="65">
        <v>0.13902</v>
      </c>
      <c r="AG32" s="9">
        <v>495</v>
      </c>
      <c r="AH32" s="9">
        <v>7.0076284945938605</v>
      </c>
    </row>
    <row r="33" spans="1:34" ht="11.5">
      <c r="A33" s="9">
        <v>500</v>
      </c>
      <c r="B33" s="48">
        <f>'Color metric'!B27</f>
        <v>9.9075297225891673E-2</v>
      </c>
      <c r="C33" s="56">
        <f t="shared" si="0"/>
        <v>1.0244664013060341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667541065246.16614</v>
      </c>
      <c r="J33" s="58">
        <f t="shared" si="2"/>
        <v>2.8705903844130387</v>
      </c>
      <c r="K33" s="58"/>
      <c r="L33" s="59"/>
      <c r="M33" s="66"/>
      <c r="N33" s="61">
        <f t="shared" si="3"/>
        <v>2.8705903844130387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71.049930244486134</v>
      </c>
      <c r="W33" s="56">
        <f t="shared" si="5"/>
        <v>3.204477481707166</v>
      </c>
      <c r="Z33" s="9">
        <v>485</v>
      </c>
      <c r="AA33" s="9">
        <f t="shared" si="6"/>
        <v>574187797070.38928</v>
      </c>
      <c r="AB33" s="65">
        <v>0.16930000000000001</v>
      </c>
      <c r="AG33" s="9">
        <v>500</v>
      </c>
      <c r="AH33" s="9">
        <v>6.7846870936891168</v>
      </c>
    </row>
    <row r="34" spans="1:34" ht="11.5">
      <c r="A34" s="9">
        <v>505</v>
      </c>
      <c r="B34" s="48">
        <f>'Color metric'!B28</f>
        <v>9.8414795244385733E-2</v>
      </c>
      <c r="C34" s="56">
        <f t="shared" si="0"/>
        <v>1.0176366252973272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699825626012.06628</v>
      </c>
      <c r="J34" s="58">
        <f t="shared" si="2"/>
        <v>3.0094219178190258</v>
      </c>
      <c r="K34" s="58"/>
      <c r="L34" s="59"/>
      <c r="M34" s="66"/>
      <c r="N34" s="61">
        <f t="shared" si="3"/>
        <v>3.0094219178190258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73.417793209906392</v>
      </c>
      <c r="W34" s="56">
        <f t="shared" si="5"/>
        <v>3.3112722882094068</v>
      </c>
      <c r="Z34" s="9">
        <v>490</v>
      </c>
      <c r="AA34" s="9">
        <f t="shared" si="6"/>
        <v>604689129887.75281</v>
      </c>
      <c r="AB34" s="65">
        <v>0.20802000000000001</v>
      </c>
      <c r="AG34" s="9">
        <v>505</v>
      </c>
      <c r="AH34" s="9">
        <v>6.5681406110042637</v>
      </c>
    </row>
    <row r="35" spans="1:34" ht="11.5">
      <c r="A35" s="9">
        <v>510</v>
      </c>
      <c r="B35" s="48">
        <f>'Color metric'!B29</f>
        <v>9.9405548216644643E-2</v>
      </c>
      <c r="C35" s="56">
        <f t="shared" si="0"/>
        <v>1.0278812893103875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732637190080.89331</v>
      </c>
      <c r="J35" s="58">
        <f t="shared" si="2"/>
        <v>3.1505196947457437</v>
      </c>
      <c r="K35" s="58"/>
      <c r="L35" s="59"/>
      <c r="M35" s="66"/>
      <c r="N35" s="61">
        <f t="shared" si="3"/>
        <v>3.1505196947457437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75.785656175326622</v>
      </c>
      <c r="W35" s="56">
        <f t="shared" si="5"/>
        <v>3.4180670947116458</v>
      </c>
      <c r="Z35" s="9">
        <v>495</v>
      </c>
      <c r="AA35" s="9">
        <f t="shared" si="6"/>
        <v>635817742996.88232</v>
      </c>
      <c r="AB35" s="65">
        <v>0.2586</v>
      </c>
      <c r="AG35" s="9">
        <v>510</v>
      </c>
      <c r="AH35" s="9">
        <v>6.3515941283194115</v>
      </c>
    </row>
    <row r="36" spans="1:34" ht="11.5">
      <c r="A36" s="9">
        <v>515</v>
      </c>
      <c r="B36" s="48">
        <f>'Color metric'!B30</f>
        <v>0.10369881109643329</v>
      </c>
      <c r="C36" s="56">
        <f t="shared" si="0"/>
        <v>1.0722748333669823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765940889054.25098</v>
      </c>
      <c r="J36" s="58">
        <f t="shared" si="2"/>
        <v>3.2937337725239444</v>
      </c>
      <c r="K36" s="58"/>
      <c r="L36" s="59"/>
      <c r="M36" s="66"/>
      <c r="N36" s="61">
        <f t="shared" si="3"/>
        <v>3.2937337725239444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78.031525090572316</v>
      </c>
      <c r="W36" s="56">
        <f t="shared" si="5"/>
        <v>3.5193597538459511</v>
      </c>
      <c r="Z36" s="9">
        <v>500</v>
      </c>
      <c r="AA36" s="9">
        <f t="shared" si="6"/>
        <v>667541065246.16614</v>
      </c>
      <c r="AB36" s="65">
        <v>0.32300000000000001</v>
      </c>
      <c r="AG36" s="9">
        <v>515</v>
      </c>
      <c r="AH36" s="9">
        <v>5.9967699844962565</v>
      </c>
    </row>
    <row r="37" spans="1:34" ht="11.5">
      <c r="A37" s="9">
        <v>520</v>
      </c>
      <c r="B37" s="48">
        <f>'Color metric'!B31</f>
        <v>0.11261558784676354</v>
      </c>
      <c r="C37" s="56">
        <f t="shared" si="0"/>
        <v>1.1644768094845253</v>
      </c>
      <c r="D37" s="57">
        <f>xyzs!B34</f>
        <v>6.3270000000000007E-2</v>
      </c>
      <c r="E37" s="57">
        <f>xyzs!C34</f>
        <v>0.71</v>
      </c>
      <c r="F37" s="57">
        <f>xyzs!D34</f>
        <v>7.8249990000000005E-2</v>
      </c>
      <c r="G37" s="89"/>
      <c r="H37" s="89"/>
      <c r="I37" s="9">
        <f t="shared" si="7"/>
        <v>799701348765.82556</v>
      </c>
      <c r="J37" s="58">
        <f t="shared" si="2"/>
        <v>3.4389120335582253</v>
      </c>
      <c r="K37" s="58"/>
      <c r="L37" s="59"/>
      <c r="M37" s="66"/>
      <c r="N37" s="61">
        <f t="shared" si="3"/>
        <v>3.4389120335582253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80.27739400581801</v>
      </c>
      <c r="W37" s="56">
        <f t="shared" si="5"/>
        <v>3.6206524129802569</v>
      </c>
      <c r="Z37" s="9">
        <v>505</v>
      </c>
      <c r="AA37" s="9">
        <f t="shared" si="6"/>
        <v>699825626012.06628</v>
      </c>
      <c r="AB37" s="65">
        <v>0.4073</v>
      </c>
      <c r="AG37" s="9">
        <v>520</v>
      </c>
      <c r="AH37" s="9">
        <v>5.6419458406731016</v>
      </c>
    </row>
    <row r="38" spans="1:34" ht="11.5">
      <c r="A38" s="9">
        <v>525</v>
      </c>
      <c r="B38" s="48">
        <f>'Color metric'!B32</f>
        <v>0.12879788639365916</v>
      </c>
      <c r="C38" s="56">
        <f t="shared" si="0"/>
        <v>1.331806321697844</v>
      </c>
      <c r="D38" s="57">
        <f>xyzs!B35</f>
        <v>0.1096</v>
      </c>
      <c r="E38" s="57">
        <f>xyzs!C35</f>
        <v>0.79320000000000002</v>
      </c>
      <c r="F38" s="57">
        <f>xyzs!D35</f>
        <v>5.7250009999999997E-2</v>
      </c>
      <c r="G38" s="89"/>
      <c r="H38" s="89"/>
      <c r="I38" s="9">
        <f t="shared" si="7"/>
        <v>833882812270.84998</v>
      </c>
      <c r="J38" s="58">
        <f t="shared" si="2"/>
        <v>3.5859007142119079</v>
      </c>
      <c r="K38" s="58"/>
      <c r="L38" s="59"/>
      <c r="M38" s="66"/>
      <c r="N38" s="61">
        <f t="shared" si="3"/>
        <v>3.5859007142119079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84.519944482119627</v>
      </c>
      <c r="W38" s="56">
        <f t="shared" si="5"/>
        <v>3.8119989409716704</v>
      </c>
      <c r="Z38" s="9">
        <v>510</v>
      </c>
      <c r="AA38" s="9">
        <f t="shared" si="6"/>
        <v>732637190080.89331</v>
      </c>
      <c r="AB38" s="65">
        <v>0.503</v>
      </c>
      <c r="AG38" s="9">
        <v>525</v>
      </c>
      <c r="AH38" s="9">
        <v>5.5559791549804052</v>
      </c>
    </row>
    <row r="39" spans="1:34" ht="11.5">
      <c r="A39" s="9">
        <v>530</v>
      </c>
      <c r="B39" s="48">
        <f>'Color metric'!B33</f>
        <v>0.15488771466314399</v>
      </c>
      <c r="C39" s="56">
        <f t="shared" si="0"/>
        <v>1.6015824740417666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868449258039.45215</v>
      </c>
      <c r="J39" s="58">
        <f t="shared" si="2"/>
        <v>3.7345449130674391</v>
      </c>
      <c r="K39" s="58"/>
      <c r="L39" s="59"/>
      <c r="M39" s="66"/>
      <c r="N39" s="61">
        <f t="shared" si="3"/>
        <v>3.7345449130674391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88.762494958421215</v>
      </c>
      <c r="W39" s="56">
        <f t="shared" si="5"/>
        <v>4.003345468963083</v>
      </c>
      <c r="Z39" s="9">
        <v>515</v>
      </c>
      <c r="AA39" s="9">
        <f t="shared" si="6"/>
        <v>765940889054.25098</v>
      </c>
      <c r="AB39" s="65">
        <v>0.60819999999999996</v>
      </c>
      <c r="AG39" s="9">
        <v>530</v>
      </c>
      <c r="AH39" s="9">
        <v>5.470012469287707</v>
      </c>
    </row>
    <row r="40" spans="1:34" ht="11.5">
      <c r="A40" s="9">
        <v>535</v>
      </c>
      <c r="B40" s="48">
        <f>'Color metric'!B34</f>
        <v>0.19187582562747688</v>
      </c>
      <c r="C40" s="56">
        <f t="shared" si="0"/>
        <v>1.9840499305293529</v>
      </c>
      <c r="D40" s="57">
        <f>xyzs!B37</f>
        <v>0.2257499</v>
      </c>
      <c r="E40" s="57">
        <f>xyzs!C37</f>
        <v>0.9148501</v>
      </c>
      <c r="F40" s="57">
        <f>xyzs!D37</f>
        <v>2.9839999999999998E-2</v>
      </c>
      <c r="G40" s="89"/>
      <c r="H40" s="89"/>
      <c r="I40" s="9">
        <f t="shared" si="7"/>
        <v>903364513050.67163</v>
      </c>
      <c r="J40" s="58">
        <f t="shared" si="2"/>
        <v>3.8846890772584102</v>
      </c>
      <c r="K40" s="58"/>
      <c r="L40" s="59"/>
      <c r="M40" s="66"/>
      <c r="N40" s="61">
        <f t="shared" si="3"/>
        <v>3.8846890772584102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91.043652493843027</v>
      </c>
      <c r="W40" s="56">
        <f t="shared" si="5"/>
        <v>4.1062297072632763</v>
      </c>
      <c r="Z40" s="9">
        <v>520</v>
      </c>
      <c r="AA40" s="9">
        <f t="shared" si="6"/>
        <v>799701348765.82556</v>
      </c>
      <c r="AB40" s="65">
        <v>0.71</v>
      </c>
      <c r="AG40" s="9">
        <v>535</v>
      </c>
      <c r="AH40" s="9">
        <v>5.2976764515934258</v>
      </c>
    </row>
    <row r="41" spans="1:34" ht="11.5">
      <c r="A41" s="9">
        <v>540</v>
      </c>
      <c r="B41" s="48">
        <f>'Color metric'!B35</f>
        <v>0.24174372523117568</v>
      </c>
      <c r="C41" s="56">
        <f t="shared" si="0"/>
        <v>2.4996980191867229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938592360545.22827</v>
      </c>
      <c r="J41" s="58">
        <f t="shared" si="2"/>
        <v>4.036177465832905</v>
      </c>
      <c r="K41" s="58"/>
      <c r="L41" s="59"/>
      <c r="M41" s="66"/>
      <c r="N41" s="61">
        <f t="shared" si="3"/>
        <v>4.036177465832905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93.324810029264853</v>
      </c>
      <c r="W41" s="56">
        <f t="shared" si="5"/>
        <v>4.2091139455634696</v>
      </c>
      <c r="Z41" s="9">
        <v>525</v>
      </c>
      <c r="AA41" s="9">
        <f t="shared" si="6"/>
        <v>833882812270.84998</v>
      </c>
      <c r="AB41" s="65">
        <v>0.79320000000000002</v>
      </c>
      <c r="AG41" s="9">
        <v>540</v>
      </c>
      <c r="AH41" s="9">
        <v>5.1253404338991428</v>
      </c>
    </row>
    <row r="42" spans="1:34" ht="11.5">
      <c r="A42" s="9">
        <v>545</v>
      </c>
      <c r="B42" s="48">
        <f>'Color metric'!B36</f>
        <v>0.74603698811096431</v>
      </c>
      <c r="C42" s="56">
        <f t="shared" si="0"/>
        <v>7.7142320018344366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974096642252.06995</v>
      </c>
      <c r="J42" s="58">
        <f t="shared" si="2"/>
        <v>4.18885458935274</v>
      </c>
      <c r="K42" s="58"/>
      <c r="L42" s="59"/>
      <c r="M42" s="66"/>
      <c r="N42" s="61">
        <f t="shared" si="3"/>
        <v>4.18885458935274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95.797235509918991</v>
      </c>
      <c r="W42" s="56">
        <f t="shared" si="5"/>
        <v>4.3206247063860683</v>
      </c>
      <c r="Z42" s="9">
        <v>530</v>
      </c>
      <c r="AA42" s="9">
        <f t="shared" si="6"/>
        <v>868449258039.45215</v>
      </c>
      <c r="AB42" s="65">
        <v>0.86199999999999999</v>
      </c>
      <c r="AG42" s="9">
        <v>545</v>
      </c>
      <c r="AH42" s="9">
        <v>4.9797514711850965</v>
      </c>
    </row>
    <row r="43" spans="1:34" ht="11.5">
      <c r="A43" s="9">
        <v>550</v>
      </c>
      <c r="B43" s="48">
        <f>'Color metric'!B37</f>
        <v>0.49900924702774102</v>
      </c>
      <c r="C43" s="56">
        <f t="shared" si="0"/>
        <v>5.1598957745780574</v>
      </c>
      <c r="D43" s="57">
        <f>xyzs!B40</f>
        <v>0.4334499</v>
      </c>
      <c r="E43" s="57">
        <f>xyzs!C40</f>
        <v>0.99495009999999995</v>
      </c>
      <c r="F43" s="57">
        <f>xyzs!D40</f>
        <v>8.7499989999999996E-3</v>
      </c>
      <c r="G43" s="89"/>
      <c r="H43" s="89"/>
      <c r="I43" s="9">
        <f t="shared" si="7"/>
        <v>1009841354956.0172</v>
      </c>
      <c r="J43" s="58">
        <f t="shared" si="2"/>
        <v>4.3425656251580342</v>
      </c>
      <c r="K43" s="58"/>
      <c r="L43" s="59"/>
      <c r="M43" s="66"/>
      <c r="N43" s="61">
        <f t="shared" si="3"/>
        <v>4.3425656251580342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98.269660990573158</v>
      </c>
      <c r="W43" s="56">
        <f t="shared" si="5"/>
        <v>4.4321354672086679</v>
      </c>
      <c r="Z43" s="9">
        <v>535</v>
      </c>
      <c r="AA43" s="9">
        <f t="shared" si="6"/>
        <v>903364513050.67163</v>
      </c>
      <c r="AB43" s="65">
        <v>0.91485000000000005</v>
      </c>
      <c r="AG43" s="9">
        <v>550</v>
      </c>
      <c r="AH43" s="9">
        <v>4.834162508471052</v>
      </c>
    </row>
    <row r="44" spans="1:34" ht="11.5">
      <c r="A44" s="9">
        <v>555</v>
      </c>
      <c r="B44" s="48">
        <f>'Color metric'!B38</f>
        <v>0.45838837516512548</v>
      </c>
      <c r="C44" s="56">
        <f t="shared" si="0"/>
        <v>4.7398645500425847</v>
      </c>
      <c r="D44" s="57">
        <f>xyzs!B41</f>
        <v>0.51205009999999995</v>
      </c>
      <c r="E44" s="57">
        <f>xyzs!C41</f>
        <v>1</v>
      </c>
      <c r="F44" s="57">
        <f>xyzs!D41</f>
        <v>5.7499990000000004E-3</v>
      </c>
      <c r="G44" s="89"/>
      <c r="H44" s="89"/>
      <c r="I44" s="9">
        <f t="shared" si="7"/>
        <v>1045790741321.9672</v>
      </c>
      <c r="J44" s="58">
        <f t="shared" si="2"/>
        <v>4.4971568079335684</v>
      </c>
      <c r="K44" s="58"/>
      <c r="L44" s="59"/>
      <c r="M44" s="66"/>
      <c r="N44" s="61">
        <f t="shared" si="3"/>
        <v>4.4971568079335684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99.134830495286565</v>
      </c>
      <c r="W44" s="56">
        <f t="shared" si="5"/>
        <v>4.4711561416297947</v>
      </c>
      <c r="Z44" s="9">
        <v>540</v>
      </c>
      <c r="AA44" s="9">
        <f t="shared" si="6"/>
        <v>938592360545.22827</v>
      </c>
      <c r="AB44" s="65">
        <v>0.95399999999999996</v>
      </c>
      <c r="AG44" s="9">
        <v>555</v>
      </c>
      <c r="AH44" s="9">
        <v>4.6364105363428827</v>
      </c>
    </row>
    <row r="45" spans="1:34" ht="11.5">
      <c r="A45" s="9">
        <v>560</v>
      </c>
      <c r="B45" s="48">
        <f>'Color metric'!B39</f>
        <v>0.5392998678996036</v>
      </c>
      <c r="C45" s="56">
        <f t="shared" si="0"/>
        <v>5.576512111109178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1081909374934.6497</v>
      </c>
      <c r="J45" s="58">
        <f t="shared" si="2"/>
        <v>4.6524757954006093</v>
      </c>
      <c r="K45" s="58"/>
      <c r="L45" s="59"/>
      <c r="M45" s="66"/>
      <c r="N45" s="61">
        <f t="shared" si="3"/>
        <v>4.6524757954006093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4.5101768160509224</v>
      </c>
      <c r="Z45" s="9">
        <v>545</v>
      </c>
      <c r="AA45" s="9">
        <f t="shared" si="6"/>
        <v>974096642252.06995</v>
      </c>
      <c r="AB45" s="65">
        <v>0.98029999999999995</v>
      </c>
      <c r="AG45" s="9">
        <v>560</v>
      </c>
      <c r="AH45" s="9">
        <v>4.4386585642147143</v>
      </c>
    </row>
    <row r="46" spans="1:34" ht="11.5">
      <c r="A46" s="9">
        <v>565</v>
      </c>
      <c r="B46" s="48">
        <f>'Color metric'!B40</f>
        <v>0.6169088507265521</v>
      </c>
      <c r="C46" s="56">
        <f t="shared" si="0"/>
        <v>6.3790107921322381</v>
      </c>
      <c r="D46" s="57">
        <f>xyzs!B43</f>
        <v>0.6784</v>
      </c>
      <c r="E46" s="57">
        <f>xyzs!C43</f>
        <v>0.97860000000000003</v>
      </c>
      <c r="F46" s="57">
        <f>xyzs!D43</f>
        <v>2.7499989999999999E-3</v>
      </c>
      <c r="G46" s="89"/>
      <c r="H46" s="89"/>
      <c r="I46" s="9">
        <f t="shared" si="7"/>
        <v>1118162239552.4143</v>
      </c>
      <c r="J46" s="58">
        <f t="shared" si="2"/>
        <v>4.808372009127635</v>
      </c>
      <c r="K46" s="58"/>
      <c r="L46" s="59"/>
      <c r="M46" s="66"/>
      <c r="N46" s="61">
        <f t="shared" si="3"/>
        <v>4.808372009127635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100.32698799588805</v>
      </c>
      <c r="W46" s="56">
        <f t="shared" si="5"/>
        <v>4.5249245528327346</v>
      </c>
      <c r="Z46" s="9">
        <v>550</v>
      </c>
      <c r="AA46" s="9">
        <f t="shared" si="6"/>
        <v>1009841354956.0172</v>
      </c>
      <c r="AB46" s="65">
        <v>0.99495</v>
      </c>
      <c r="AG46" s="9">
        <v>565</v>
      </c>
      <c r="AH46" s="9">
        <v>4.2641573037766447</v>
      </c>
    </row>
    <row r="47" spans="1:34" ht="11.5">
      <c r="A47" s="9">
        <v>570</v>
      </c>
      <c r="B47" s="48">
        <f>'Color metric'!B41</f>
        <v>0.68163804491413471</v>
      </c>
      <c r="C47" s="56">
        <f t="shared" si="0"/>
        <v>7.0483288409855138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1154514802608.8406</v>
      </c>
      <c r="J47" s="58">
        <f t="shared" si="2"/>
        <v>4.9646969506053011</v>
      </c>
      <c r="K47" s="58"/>
      <c r="L47" s="59"/>
      <c r="M47" s="66"/>
      <c r="N47" s="61">
        <f t="shared" si="3"/>
        <v>4.9646969506053011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100.65397599177609</v>
      </c>
      <c r="W47" s="56">
        <f t="shared" si="5"/>
        <v>4.5396722896145469</v>
      </c>
      <c r="Z47" s="9">
        <v>555</v>
      </c>
      <c r="AA47" s="9">
        <f t="shared" si="6"/>
        <v>1045790741321.9672</v>
      </c>
      <c r="AB47" s="65">
        <v>1</v>
      </c>
      <c r="AG47" s="9">
        <v>570</v>
      </c>
      <c r="AH47" s="9">
        <v>4.089656043338576</v>
      </c>
    </row>
    <row r="48" spans="1:34" ht="11.5">
      <c r="A48" s="9">
        <v>575</v>
      </c>
      <c r="B48" s="48">
        <f>'Color metric'!B42</f>
        <v>0.8018494055482166</v>
      </c>
      <c r="C48" s="56">
        <f t="shared" si="0"/>
        <v>8.2913480745701698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1190933083027.3843</v>
      </c>
      <c r="J48" s="58">
        <f t="shared" si="2"/>
        <v>5.1213044928660567</v>
      </c>
      <c r="K48" s="58"/>
      <c r="L48" s="59"/>
      <c r="M48" s="66"/>
      <c r="N48" s="61">
        <f t="shared" si="3"/>
        <v>5.1213044928660567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103.26914549648951</v>
      </c>
      <c r="W48" s="56">
        <f t="shared" si="5"/>
        <v>4.6576210583165656</v>
      </c>
      <c r="Z48" s="9">
        <v>560</v>
      </c>
      <c r="AA48" s="9">
        <f t="shared" si="6"/>
        <v>1081909374934.6497</v>
      </c>
      <c r="AB48" s="65">
        <v>0.995</v>
      </c>
      <c r="AG48" s="9">
        <v>575</v>
      </c>
      <c r="AH48" s="9">
        <v>3.9695805960841635</v>
      </c>
    </row>
    <row r="49" spans="1:34" ht="11.5">
      <c r="A49" s="9">
        <v>580</v>
      </c>
      <c r="B49" s="48">
        <f>'Color metric'!B43</f>
        <v>0.86723910171730512</v>
      </c>
      <c r="C49" s="56">
        <f t="shared" si="0"/>
        <v>8.9674958994321514</v>
      </c>
      <c r="D49" s="57">
        <f>xyzs!B46</f>
        <v>0.9163</v>
      </c>
      <c r="E49" s="57">
        <f>xyzs!C46</f>
        <v>0.87</v>
      </c>
      <c r="F49" s="57">
        <f>xyzs!D46</f>
        <v>1.6500009999999999E-3</v>
      </c>
      <c r="G49" s="89"/>
      <c r="H49" s="89"/>
      <c r="I49" s="9">
        <f t="shared" si="7"/>
        <v>1227383713441.9587</v>
      </c>
      <c r="J49" s="58">
        <f t="shared" si="2"/>
        <v>5.2780511480479149</v>
      </c>
      <c r="K49" s="58"/>
      <c r="L49" s="59"/>
      <c r="M49" s="66"/>
      <c r="N49" s="61">
        <f t="shared" si="3"/>
        <v>5.2780511480479149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105.88431500120294</v>
      </c>
      <c r="W49" s="56">
        <f t="shared" si="5"/>
        <v>4.7755698270185842</v>
      </c>
      <c r="Z49" s="9">
        <v>565</v>
      </c>
      <c r="AA49" s="9">
        <f t="shared" si="6"/>
        <v>1118162239552.4143</v>
      </c>
      <c r="AB49" s="65">
        <v>0.97860000000000003</v>
      </c>
      <c r="AG49" s="9">
        <v>580</v>
      </c>
      <c r="AH49" s="9">
        <v>3.8495051488297518</v>
      </c>
    </row>
    <row r="50" spans="1:34" ht="11.5">
      <c r="A50" s="9">
        <v>585</v>
      </c>
      <c r="B50" s="48">
        <f>'Color metric'!B44</f>
        <v>0.76882430647291944</v>
      </c>
      <c r="C50" s="56">
        <f t="shared" si="0"/>
        <v>7.9498592741348242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1263833996940.5142</v>
      </c>
      <c r="J50" s="58">
        <f t="shared" si="2"/>
        <v>5.4347963114057638</v>
      </c>
      <c r="K50" s="58"/>
      <c r="L50" s="59"/>
      <c r="M50" s="66"/>
      <c r="N50" s="61">
        <f t="shared" si="3"/>
        <v>5.4347963114057638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110.61221924687008</v>
      </c>
      <c r="W50" s="56">
        <f t="shared" si="5"/>
        <v>4.9888066681917511</v>
      </c>
      <c r="Z50" s="9">
        <v>570</v>
      </c>
      <c r="AA50" s="9">
        <f t="shared" si="6"/>
        <v>1154514802608.8406</v>
      </c>
      <c r="AB50" s="65">
        <v>0.95199999999999996</v>
      </c>
      <c r="AG50" s="9">
        <v>585</v>
      </c>
      <c r="AH50" s="9">
        <v>3.759881319062671</v>
      </c>
    </row>
    <row r="51" spans="1:34" ht="11.5">
      <c r="A51" s="9">
        <v>590</v>
      </c>
      <c r="B51" s="48">
        <f>'Color metric'!B45</f>
        <v>0.75759577278731838</v>
      </c>
      <c r="C51" s="56">
        <f t="shared" si="0"/>
        <v>7.8337530819868082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1300251958469.5295</v>
      </c>
      <c r="J51" s="58">
        <f t="shared" si="2"/>
        <v>5.5914024823632982</v>
      </c>
      <c r="K51" s="58"/>
      <c r="L51" s="59"/>
      <c r="M51" s="66"/>
      <c r="N51" s="61">
        <f t="shared" si="3"/>
        <v>5.5914024823632982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115.34012349253723</v>
      </c>
      <c r="W51" s="56">
        <f t="shared" si="5"/>
        <v>5.202043509364918</v>
      </c>
      <c r="Z51" s="9">
        <v>575</v>
      </c>
      <c r="AA51" s="9">
        <f t="shared" si="6"/>
        <v>1190933083027.3843</v>
      </c>
      <c r="AB51" s="65">
        <v>0.91539999999999999</v>
      </c>
      <c r="AG51" s="9">
        <v>590</v>
      </c>
      <c r="AH51" s="9">
        <v>3.6702574892955906</v>
      </c>
    </row>
    <row r="52" spans="1:34" ht="11.5">
      <c r="A52" s="9">
        <v>595</v>
      </c>
      <c r="B52" s="48">
        <f>'Color metric'!B46</f>
        <v>0.73117569352708056</v>
      </c>
      <c r="C52" s="56">
        <f t="shared" si="0"/>
        <v>7.5605620416385317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1336606391055.0969</v>
      </c>
      <c r="J52" s="58">
        <f t="shared" si="2"/>
        <v>5.7477354632750233</v>
      </c>
      <c r="K52" s="58"/>
      <c r="L52" s="59"/>
      <c r="M52" s="66"/>
      <c r="N52" s="61">
        <f t="shared" si="3"/>
        <v>5.7477354632750233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123.30949511137916</v>
      </c>
      <c r="W52" s="56">
        <f t="shared" si="5"/>
        <v>5.5614762605028689</v>
      </c>
      <c r="Z52" s="9">
        <v>580</v>
      </c>
      <c r="AA52" s="9">
        <f t="shared" si="6"/>
        <v>1227383713441.9587</v>
      </c>
      <c r="AB52" s="65">
        <v>0.87</v>
      </c>
      <c r="AG52" s="9">
        <v>595</v>
      </c>
      <c r="AH52" s="9">
        <v>3.6002020590971551</v>
      </c>
    </row>
    <row r="53" spans="1:34" ht="11.5">
      <c r="A53" s="9">
        <v>600</v>
      </c>
      <c r="B53" s="48">
        <f>'Color metric'!B47</f>
        <v>0.69055482166446502</v>
      </c>
      <c r="C53" s="56">
        <f t="shared" si="0"/>
        <v>7.1405308171030581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1372866897011.1196</v>
      </c>
      <c r="J53" s="58">
        <f t="shared" si="2"/>
        <v>5.9036645366316209</v>
      </c>
      <c r="K53" s="58"/>
      <c r="L53" s="59"/>
      <c r="M53" s="66"/>
      <c r="N53" s="61">
        <f t="shared" si="3"/>
        <v>5.9036645366316209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131.27886673022107</v>
      </c>
      <c r="W53" s="56">
        <f t="shared" si="5"/>
        <v>5.920909011640819</v>
      </c>
      <c r="Z53" s="9">
        <v>585</v>
      </c>
      <c r="AA53" s="9">
        <f t="shared" si="6"/>
        <v>1263833996940.5142</v>
      </c>
      <c r="AB53" s="65">
        <v>0.81630000000000003</v>
      </c>
      <c r="AG53" s="9">
        <v>600</v>
      </c>
      <c r="AH53" s="9">
        <v>3.53014662889872</v>
      </c>
    </row>
    <row r="54" spans="1:34" ht="11.5">
      <c r="A54" s="9">
        <v>605</v>
      </c>
      <c r="B54" s="48">
        <f>'Color metric'!B48</f>
        <v>0.64167767503302509</v>
      </c>
      <c r="C54" s="56">
        <f t="shared" si="0"/>
        <v>6.6351273924587479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1409003924317.3977</v>
      </c>
      <c r="J54" s="58">
        <f t="shared" si="2"/>
        <v>6.0590626214946388</v>
      </c>
      <c r="K54" s="58"/>
      <c r="L54" s="59"/>
      <c r="M54" s="66"/>
      <c r="N54" s="61">
        <f t="shared" si="3"/>
        <v>6.0590626214946388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136.71668783794104</v>
      </c>
      <c r="W54" s="56">
        <f t="shared" si="5"/>
        <v>6.166164358539528</v>
      </c>
      <c r="Z54" s="9">
        <v>590</v>
      </c>
      <c r="AA54" s="9">
        <f t="shared" si="6"/>
        <v>1300251958469.5295</v>
      </c>
      <c r="AB54" s="65">
        <v>0.75700000000000001</v>
      </c>
      <c r="AG54" s="9">
        <v>605</v>
      </c>
      <c r="AH54" s="9">
        <v>3.4704231093190376</v>
      </c>
    </row>
    <row r="55" spans="1:34" ht="11.5">
      <c r="A55" s="9">
        <v>610</v>
      </c>
      <c r="B55" s="48">
        <f>'Color metric'!B49</f>
        <v>0.58586525759577268</v>
      </c>
      <c r="C55" s="56">
        <f t="shared" si="0"/>
        <v>6.0580113197230139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1444988798360.0845</v>
      </c>
      <c r="J55" s="58">
        <f t="shared" si="2"/>
        <v>6.2138064099882477</v>
      </c>
      <c r="K55" s="58"/>
      <c r="L55" s="59"/>
      <c r="M55" s="66"/>
      <c r="N55" s="61">
        <f t="shared" si="3"/>
        <v>6.2138064099882477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142.15450894566101</v>
      </c>
      <c r="W55" s="56">
        <f t="shared" si="5"/>
        <v>6.4114197054382371</v>
      </c>
      <c r="Z55" s="9">
        <v>595</v>
      </c>
      <c r="AA55" s="9">
        <f t="shared" si="6"/>
        <v>1336606391055.0969</v>
      </c>
      <c r="AB55" s="65">
        <v>0.69489999999999996</v>
      </c>
      <c r="AG55" s="9">
        <v>610</v>
      </c>
      <c r="AH55" s="9">
        <v>3.4106995897393548</v>
      </c>
    </row>
    <row r="56" spans="1:34" ht="11.5">
      <c r="A56" s="9">
        <v>615</v>
      </c>
      <c r="B56" s="48">
        <f>'Color metric'!B50</f>
        <v>0.52840158520475555</v>
      </c>
      <c r="C56" s="56">
        <f t="shared" si="0"/>
        <v>5.4638208069655141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1480793749234.6047</v>
      </c>
      <c r="J56" s="58">
        <f t="shared" si="2"/>
        <v>6.3677764847084841</v>
      </c>
      <c r="K56" s="58"/>
      <c r="L56" s="59"/>
      <c r="M56" s="66"/>
      <c r="N56" s="61">
        <f t="shared" si="3"/>
        <v>6.3677764847084841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145.2933480073184</v>
      </c>
      <c r="W56" s="56">
        <f t="shared" si="5"/>
        <v>6.5529868970902596</v>
      </c>
      <c r="Z56" s="9">
        <v>600</v>
      </c>
      <c r="AA56" s="9">
        <f t="shared" si="6"/>
        <v>1372866897011.1196</v>
      </c>
      <c r="AB56" s="65">
        <v>0.63100000000000001</v>
      </c>
      <c r="AG56" s="9">
        <v>615</v>
      </c>
      <c r="AH56" s="9">
        <v>3.3050844860214674</v>
      </c>
    </row>
    <row r="57" spans="1:34" ht="11.5">
      <c r="A57" s="9">
        <v>620</v>
      </c>
      <c r="B57" s="48">
        <f>'Color metric'!B51</f>
        <v>0.476221928665786</v>
      </c>
      <c r="C57" s="56">
        <f t="shared" si="0"/>
        <v>4.9242685022776707</v>
      </c>
      <c r="D57" s="57">
        <f>xyzs!B54</f>
        <v>0.85444989999999998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1516391934816.4888</v>
      </c>
      <c r="J57" s="58">
        <f t="shared" si="2"/>
        <v>6.520857417933505</v>
      </c>
      <c r="K57" s="58"/>
      <c r="L57" s="59"/>
      <c r="M57" s="66"/>
      <c r="N57" s="61">
        <f t="shared" si="3"/>
        <v>6.520857417933505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148.43218706897579</v>
      </c>
      <c r="W57" s="56">
        <f t="shared" si="5"/>
        <v>6.6945540887422812</v>
      </c>
      <c r="Z57" s="9">
        <v>605</v>
      </c>
      <c r="AA57" s="9">
        <f t="shared" si="6"/>
        <v>1409003924317.3977</v>
      </c>
      <c r="AB57" s="65">
        <v>0.56679999999999997</v>
      </c>
      <c r="AG57" s="9">
        <v>620</v>
      </c>
      <c r="AH57" s="9">
        <v>3.1994693823035796</v>
      </c>
    </row>
    <row r="58" spans="1:34" ht="11.5">
      <c r="A58" s="9">
        <v>625</v>
      </c>
      <c r="B58" s="48">
        <f>'Color metric'!B52</f>
        <v>0.41479524438573318</v>
      </c>
      <c r="C58" s="56">
        <f t="shared" si="0"/>
        <v>4.289099333467929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1551757459809.3508</v>
      </c>
      <c r="J58" s="58">
        <f t="shared" si="2"/>
        <v>6.6729378535345596</v>
      </c>
      <c r="K58" s="58"/>
      <c r="L58" s="59"/>
      <c r="M58" s="66"/>
      <c r="N58" s="61">
        <f t="shared" si="3"/>
        <v>6.6729378535345596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148.92972561080612</v>
      </c>
      <c r="W58" s="56">
        <f t="shared" si="5"/>
        <v>6.7169939567068306</v>
      </c>
      <c r="Z58" s="9">
        <v>610</v>
      </c>
      <c r="AA58" s="9">
        <f t="shared" si="6"/>
        <v>1444988798360.0845</v>
      </c>
      <c r="AB58" s="65">
        <v>0.503</v>
      </c>
      <c r="AG58" s="9">
        <v>625</v>
      </c>
      <c r="AH58" s="9">
        <v>3.0614197056533055</v>
      </c>
    </row>
    <row r="59" spans="1:34" ht="11.5">
      <c r="A59" s="9">
        <v>630</v>
      </c>
      <c r="B59" s="48">
        <f>'Color metric'!B53</f>
        <v>0.36096433289299867</v>
      </c>
      <c r="C59" s="56">
        <f t="shared" si="0"/>
        <v>3.7324725887583177</v>
      </c>
      <c r="D59" s="57">
        <f>xyzs!B56</f>
        <v>0.64239999999999997</v>
      </c>
      <c r="E59" s="57">
        <f>xyzs!C56</f>
        <v>0.26500000000000001</v>
      </c>
      <c r="F59" s="57">
        <f>xyzs!D56</f>
        <v>4.9999990000000002E-5</v>
      </c>
      <c r="G59" s="89"/>
      <c r="H59" s="89"/>
      <c r="I59" s="9">
        <f t="shared" si="7"/>
        <v>1586865390981.1274</v>
      </c>
      <c r="J59" s="58">
        <f t="shared" si="2"/>
        <v>6.82391057249556</v>
      </c>
      <c r="K59" s="58"/>
      <c r="L59" s="59"/>
      <c r="M59" s="66"/>
      <c r="N59" s="61">
        <f t="shared" si="3"/>
        <v>6.82391057249556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149.42726415263644</v>
      </c>
      <c r="W59" s="56">
        <f t="shared" si="5"/>
        <v>6.7394338246713801</v>
      </c>
      <c r="Z59" s="9">
        <v>615</v>
      </c>
      <c r="AA59" s="9">
        <f t="shared" si="6"/>
        <v>1480793749234.6047</v>
      </c>
      <c r="AB59" s="65">
        <v>0.44119999999999998</v>
      </c>
      <c r="AG59" s="9">
        <v>630</v>
      </c>
      <c r="AH59" s="9">
        <v>2.92337002900303</v>
      </c>
    </row>
    <row r="60" spans="1:34" ht="11.5">
      <c r="A60" s="9">
        <v>635</v>
      </c>
      <c r="B60" s="48">
        <f>'Color metric'!B54</f>
        <v>0.31439894319682954</v>
      </c>
      <c r="C60" s="56">
        <f t="shared" si="0"/>
        <v>3.2509733801444813</v>
      </c>
      <c r="D60" s="57">
        <f>xyzs!B57</f>
        <v>0.54190000000000005</v>
      </c>
      <c r="E60" s="57">
        <f>xyzs!C57</f>
        <v>0.217</v>
      </c>
      <c r="F60" s="57">
        <f>xyzs!D57</f>
        <v>3.0000000000000001E-5</v>
      </c>
      <c r="G60" s="89"/>
      <c r="H60" s="89"/>
      <c r="I60" s="9">
        <f t="shared" si="7"/>
        <v>1621691768800.2559</v>
      </c>
      <c r="J60" s="58">
        <f t="shared" si="2"/>
        <v>6.9736725429515047</v>
      </c>
      <c r="K60" s="58"/>
      <c r="L60" s="59"/>
      <c r="M60" s="66"/>
      <c r="N60" s="61">
        <f t="shared" si="3"/>
        <v>6.9736725429515047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158.8960433678358</v>
      </c>
      <c r="W60" s="56">
        <f t="shared" si="5"/>
        <v>7.16649250959835</v>
      </c>
      <c r="Z60" s="9">
        <v>620</v>
      </c>
      <c r="AA60" s="9">
        <f t="shared" si="6"/>
        <v>1516391934816.4888</v>
      </c>
      <c r="AB60" s="65">
        <v>0.38100000000000001</v>
      </c>
      <c r="AG60" s="9">
        <v>635</v>
      </c>
      <c r="AH60" s="9">
        <v>2.9115447582229637</v>
      </c>
    </row>
    <row r="61" spans="1:34" ht="11.5">
      <c r="A61" s="9">
        <v>640</v>
      </c>
      <c r="B61" s="48">
        <f>'Color metric'!B55</f>
        <v>0.27014531043593126</v>
      </c>
      <c r="C61" s="56">
        <f t="shared" si="0"/>
        <v>2.7933783875611193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2.0000000000000002E-5</v>
      </c>
      <c r="G61" s="89"/>
      <c r="H61" s="89"/>
      <c r="I61" s="9">
        <f t="shared" si="7"/>
        <v>1656213615682.6331</v>
      </c>
      <c r="J61" s="58">
        <f t="shared" si="2"/>
        <v>7.1221249556524171</v>
      </c>
      <c r="K61" s="58"/>
      <c r="L61" s="59"/>
      <c r="M61" s="66"/>
      <c r="N61" s="61">
        <f t="shared" si="3"/>
        <v>7.1221249556524171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168.36482258303516</v>
      </c>
      <c r="W61" s="56">
        <f t="shared" si="5"/>
        <v>7.5935511945253209</v>
      </c>
      <c r="Z61" s="9">
        <v>625</v>
      </c>
      <c r="AA61" s="9">
        <f t="shared" si="6"/>
        <v>1551757459809.3508</v>
      </c>
      <c r="AB61" s="65">
        <v>0.32100000000000001</v>
      </c>
      <c r="AG61" s="9">
        <v>640</v>
      </c>
      <c r="AH61" s="9">
        <v>2.8997194874428973</v>
      </c>
    </row>
    <row r="62" spans="1:34" ht="11.5">
      <c r="A62" s="9">
        <v>645</v>
      </c>
      <c r="B62" s="48">
        <f>'Color metric'!B56</f>
        <v>0.23150594451783355</v>
      </c>
      <c r="C62" s="56">
        <f t="shared" si="0"/>
        <v>2.3938364910517662</v>
      </c>
      <c r="D62" s="57">
        <f>xyzs!B59</f>
        <v>0.36080000000000001</v>
      </c>
      <c r="E62" s="57">
        <f>xyzs!C59</f>
        <v>0.13819999999999999</v>
      </c>
      <c r="F62" s="57">
        <f>xyzs!D59</f>
        <v>1.0000000000000001E-5</v>
      </c>
      <c r="G62" s="89"/>
      <c r="H62" s="89"/>
      <c r="I62" s="9">
        <f t="shared" si="7"/>
        <v>1690408941058.249</v>
      </c>
      <c r="J62" s="58">
        <f t="shared" si="2"/>
        <v>7.2691732457511247</v>
      </c>
      <c r="K62" s="58"/>
      <c r="L62" s="59"/>
      <c r="M62" s="66"/>
      <c r="N62" s="61">
        <f t="shared" si="3"/>
        <v>7.2691732457511247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169.49266167951288</v>
      </c>
      <c r="W62" s="56">
        <f t="shared" si="5"/>
        <v>7.6444187319770167</v>
      </c>
      <c r="Z62" s="9">
        <v>630</v>
      </c>
      <c r="AA62" s="9">
        <f t="shared" si="6"/>
        <v>1586865390981.1274</v>
      </c>
      <c r="AB62" s="65">
        <v>0.26500000000000001</v>
      </c>
      <c r="AG62" s="9">
        <v>645</v>
      </c>
      <c r="AH62" s="9">
        <v>2.8564231831063092</v>
      </c>
    </row>
    <row r="63" spans="1:34" ht="11.5">
      <c r="A63" s="9">
        <v>650</v>
      </c>
      <c r="B63" s="48">
        <f>'Color metric'!B57</f>
        <v>0.19815059445178335</v>
      </c>
      <c r="C63" s="56">
        <f t="shared" si="0"/>
        <v>2.0489328026120681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1724256743463.366</v>
      </c>
      <c r="J63" s="58">
        <f t="shared" si="2"/>
        <v>7.4147271018001319</v>
      </c>
      <c r="K63" s="58"/>
      <c r="L63" s="59"/>
      <c r="M63" s="66"/>
      <c r="N63" s="61">
        <f t="shared" si="3"/>
        <v>7.4147271018001319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170.62050077599059</v>
      </c>
      <c r="W63" s="56">
        <f t="shared" si="5"/>
        <v>7.6952862694287125</v>
      </c>
      <c r="Z63" s="9">
        <v>635</v>
      </c>
      <c r="AA63" s="9">
        <f t="shared" si="6"/>
        <v>1621691768800.2559</v>
      </c>
      <c r="AB63" s="65">
        <v>0.217</v>
      </c>
      <c r="AG63" s="9">
        <v>650</v>
      </c>
      <c r="AH63" s="9">
        <v>2.8131268787697215</v>
      </c>
    </row>
    <row r="64" spans="1:34" ht="11.5">
      <c r="A64" s="9">
        <v>655</v>
      </c>
      <c r="B64" s="48">
        <f>'Color metric'!B58</f>
        <v>0.16875825627476884</v>
      </c>
      <c r="C64" s="56">
        <f t="shared" si="0"/>
        <v>1.7450077702246116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1757737009860.3293</v>
      </c>
      <c r="J64" s="58">
        <f t="shared" si="2"/>
        <v>7.5587004628266463</v>
      </c>
      <c r="K64" s="58"/>
      <c r="L64" s="59"/>
      <c r="M64" s="66"/>
      <c r="N64" s="61">
        <f t="shared" si="3"/>
        <v>7.5587004628266463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178.35523544730364</v>
      </c>
      <c r="W64" s="56">
        <f t="shared" si="5"/>
        <v>8.0441364793573271</v>
      </c>
      <c r="Z64" s="9">
        <v>640</v>
      </c>
      <c r="AA64" s="9">
        <f t="shared" si="6"/>
        <v>1656213615682.6331</v>
      </c>
      <c r="AB64" s="65">
        <v>0.17499999999999999</v>
      </c>
      <c r="AG64" s="9">
        <v>655</v>
      </c>
      <c r="AH64" s="9">
        <v>2.7899594345218888</v>
      </c>
    </row>
    <row r="65" spans="1:34" ht="11.5">
      <c r="A65" s="9">
        <v>660</v>
      </c>
      <c r="B65" s="48">
        <f>'Color metric'!B59</f>
        <v>0.14398943196829592</v>
      </c>
      <c r="C65" s="56">
        <f t="shared" si="0"/>
        <v>1.4888911698981031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1790830712382.4133</v>
      </c>
      <c r="J65" s="58">
        <f t="shared" si="2"/>
        <v>7.7010115043346135</v>
      </c>
      <c r="K65" s="58"/>
      <c r="L65" s="59"/>
      <c r="M65" s="66"/>
      <c r="N65" s="61">
        <f t="shared" si="3"/>
        <v>7.7010115043346135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186.08997011861663</v>
      </c>
      <c r="W65" s="56">
        <f t="shared" si="5"/>
        <v>8.3929866892859373</v>
      </c>
      <c r="Z65" s="9">
        <v>645</v>
      </c>
      <c r="AA65" s="9">
        <f t="shared" si="6"/>
        <v>1690408941058.249</v>
      </c>
      <c r="AB65" s="65">
        <v>0.13800000000000001</v>
      </c>
      <c r="AG65" s="9">
        <v>660</v>
      </c>
      <c r="AH65" s="9">
        <v>2.7667919902740556</v>
      </c>
    </row>
    <row r="66" spans="1:34" ht="11.5">
      <c r="A66" s="9">
        <v>665</v>
      </c>
      <c r="B66" s="48">
        <f>'Color metric'!B60</f>
        <v>0.12186261558784675</v>
      </c>
      <c r="C66" s="56">
        <f t="shared" si="0"/>
        <v>1.2600936736064219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1823519802695.9033</v>
      </c>
      <c r="J66" s="58">
        <f t="shared" si="2"/>
        <v>7.8415826140602896</v>
      </c>
      <c r="K66" s="58"/>
      <c r="L66" s="59"/>
      <c r="M66" s="66"/>
      <c r="N66" s="61">
        <f t="shared" si="3"/>
        <v>7.8415826140602896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194.73714825934155</v>
      </c>
      <c r="W66" s="56">
        <f t="shared" si="5"/>
        <v>8.7829897130315366</v>
      </c>
      <c r="Z66" s="9">
        <v>650</v>
      </c>
      <c r="AA66" s="9">
        <f t="shared" si="6"/>
        <v>1724256743463.366</v>
      </c>
      <c r="AB66" s="65">
        <v>0.107</v>
      </c>
      <c r="AG66" s="9">
        <v>665</v>
      </c>
      <c r="AH66" s="9">
        <v>2.7365259090711769</v>
      </c>
    </row>
    <row r="67" spans="1:34" ht="11.5">
      <c r="A67" s="9">
        <v>670</v>
      </c>
      <c r="B67" s="48">
        <f>'Color metric'!B61</f>
        <v>0.10336856010568031</v>
      </c>
      <c r="C67" s="56">
        <f t="shared" si="0"/>
        <v>1.0688599453626288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1855787204165.8174</v>
      </c>
      <c r="J67" s="58">
        <f t="shared" si="2"/>
        <v>7.9803403582829207</v>
      </c>
      <c r="K67" s="58"/>
      <c r="L67" s="59"/>
      <c r="M67" s="66"/>
      <c r="N67" s="61">
        <f t="shared" si="3"/>
        <v>7.9803403582829207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203.38432640006653</v>
      </c>
      <c r="W67" s="56">
        <f t="shared" si="5"/>
        <v>9.172992736777136</v>
      </c>
      <c r="Z67" s="9">
        <v>655</v>
      </c>
      <c r="AA67" s="9">
        <f t="shared" si="6"/>
        <v>1757737009860.3293</v>
      </c>
      <c r="AB67" s="65">
        <v>8.1600000000000006E-2</v>
      </c>
      <c r="AG67" s="9">
        <v>670</v>
      </c>
      <c r="AH67" s="9">
        <v>2.7062598278682986</v>
      </c>
    </row>
    <row r="68" spans="1:34" ht="11.5">
      <c r="A68" s="9">
        <v>675</v>
      </c>
      <c r="B68" s="48">
        <f>'Color metric'!B62</f>
        <v>8.7186261558784672E-2</v>
      </c>
      <c r="C68" s="56">
        <f t="shared" si="0"/>
        <v>0.90153043314930992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1887616802005.4771</v>
      </c>
      <c r="J68" s="58">
        <f t="shared" si="2"/>
        <v>8.1172154394654807</v>
      </c>
      <c r="K68" s="58"/>
      <c r="L68" s="59"/>
      <c r="M68" s="66"/>
      <c r="N68" s="61">
        <f t="shared" si="3"/>
        <v>8.1172154394654807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203.17605247018838</v>
      </c>
      <c r="W68" s="56">
        <f t="shared" si="5"/>
        <v>9.1635992142778946</v>
      </c>
      <c r="Z68" s="9">
        <v>660</v>
      </c>
      <c r="AA68" s="9">
        <f t="shared" si="6"/>
        <v>1790830712382.4133</v>
      </c>
      <c r="AB68" s="65">
        <v>6.0999999999999999E-2</v>
      </c>
      <c r="AG68" s="9">
        <v>675</v>
      </c>
      <c r="AH68" s="9">
        <v>2.6600404755144469</v>
      </c>
    </row>
    <row r="69" spans="1:34" ht="11.5">
      <c r="A69" s="9">
        <v>680</v>
      </c>
      <c r="B69" s="48">
        <f>'Color metric'!B63</f>
        <v>7.3976221928665792E-2</v>
      </c>
      <c r="C69" s="56">
        <f t="shared" ref="C69:C99" si="8">B69/$C$1*100</f>
        <v>0.76493491297517224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1918993431583.5786</v>
      </c>
      <c r="J69" s="58">
        <f t="shared" si="2"/>
        <v>8.2521426459722047</v>
      </c>
      <c r="K69" s="58"/>
      <c r="L69" s="59"/>
      <c r="M69" s="66"/>
      <c r="N69" s="61">
        <f t="shared" si="3"/>
        <v>8.2521426459722047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202.96777854031023</v>
      </c>
      <c r="W69" s="56">
        <f t="shared" si="5"/>
        <v>9.1542056917786532</v>
      </c>
      <c r="Z69" s="9">
        <v>665</v>
      </c>
      <c r="AA69" s="9">
        <f t="shared" si="6"/>
        <v>1823519802695.9033</v>
      </c>
      <c r="AB69" s="65">
        <v>4.4580000000000002E-2</v>
      </c>
      <c r="AG69" s="9">
        <v>680</v>
      </c>
      <c r="AH69" s="9">
        <v>2.6138211231605961</v>
      </c>
    </row>
    <row r="70" spans="1:34" ht="11.5">
      <c r="A70" s="9">
        <v>685</v>
      </c>
      <c r="B70" s="48">
        <f>'Color metric'!B64</f>
        <v>6.3077939233817701E-2</v>
      </c>
      <c r="C70" s="56">
        <f t="shared" si="8"/>
        <v>0.65224360883150845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1949902865055.5864</v>
      </c>
      <c r="J70" s="58">
        <f t="shared" ref="J70:J99" si="9">I70/$I$101*100</f>
        <v>8.3850607945803048</v>
      </c>
      <c r="K70" s="58"/>
      <c r="L70" s="59"/>
      <c r="M70" s="66"/>
      <c r="N70" s="61">
        <f t="shared" ref="N70:N99" si="10">J70*$U$23+W70*$U$24</f>
        <v>8.3850607945803048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187.72989228340086</v>
      </c>
      <c r="W70" s="56">
        <f t="shared" ref="W70:W99" si="12">V70/$V$1*100</f>
        <v>8.4669500785633147</v>
      </c>
      <c r="Z70" s="9">
        <v>670</v>
      </c>
      <c r="AA70" s="9">
        <f t="shared" si="6"/>
        <v>1855787204165.8174</v>
      </c>
      <c r="AB70" s="65">
        <v>3.2000000000000001E-2</v>
      </c>
      <c r="AG70" s="9">
        <v>685</v>
      </c>
      <c r="AH70" s="9">
        <v>2.4446753371894583</v>
      </c>
    </row>
    <row r="71" spans="1:34" ht="11.5">
      <c r="A71" s="9">
        <v>690</v>
      </c>
      <c r="B71" s="48">
        <f>'Color metric'!B65</f>
        <v>5.6142668428005284E-2</v>
      </c>
      <c r="C71" s="56">
        <f t="shared" si="8"/>
        <v>0.58053096074008592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1980331796479.2759</v>
      </c>
      <c r="J71" s="58">
        <f t="shared" si="9"/>
        <v>8.5159126664731541</v>
      </c>
      <c r="K71" s="58"/>
      <c r="L71" s="59"/>
      <c r="M71" s="66"/>
      <c r="N71" s="61">
        <f t="shared" si="10"/>
        <v>8.5159126664731541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172.49200602649148</v>
      </c>
      <c r="W71" s="56">
        <f t="shared" si="12"/>
        <v>7.7796944653479789</v>
      </c>
      <c r="Z71" s="9">
        <v>675</v>
      </c>
      <c r="AA71" s="9">
        <f t="shared" si="6"/>
        <v>1887616802005.4771</v>
      </c>
      <c r="AB71" s="65">
        <v>2.3199999999999998E-2</v>
      </c>
      <c r="AG71" s="9">
        <v>690</v>
      </c>
      <c r="AH71" s="9">
        <v>2.2755295512183218</v>
      </c>
    </row>
    <row r="72" spans="1:34" ht="11.5">
      <c r="A72" s="9">
        <v>695</v>
      </c>
      <c r="B72" s="48">
        <f>'Color metric'!B66</f>
        <v>4.590488771466314E-2</v>
      </c>
      <c r="C72" s="56">
        <f t="shared" si="8"/>
        <v>0.47466943260512912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2010267825567.0933</v>
      </c>
      <c r="J72" s="58">
        <f t="shared" si="9"/>
        <v>8.6446449373714369</v>
      </c>
      <c r="K72" s="58"/>
      <c r="L72" s="59"/>
      <c r="M72" s="66"/>
      <c r="N72" s="61">
        <f t="shared" si="10"/>
        <v>8.6446449373714369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181.0767406978045</v>
      </c>
      <c r="W72" s="56">
        <f t="shared" si="12"/>
        <v>8.1668811782130248</v>
      </c>
      <c r="Z72" s="9">
        <v>680</v>
      </c>
      <c r="AA72" s="9">
        <f t="shared" si="6"/>
        <v>1918993431583.5786</v>
      </c>
      <c r="AB72" s="65">
        <v>1.7000000000000001E-2</v>
      </c>
      <c r="AG72" s="9">
        <v>695</v>
      </c>
      <c r="AH72" s="9">
        <v>2.290090704766313</v>
      </c>
    </row>
    <row r="73" spans="1:34" ht="11.5">
      <c r="A73" s="9">
        <v>700</v>
      </c>
      <c r="B73" s="48">
        <f>'Color metric'!B67</f>
        <v>3.8969616908850722E-2</v>
      </c>
      <c r="C73" s="56">
        <f t="shared" si="8"/>
        <v>0.40295678451370665</v>
      </c>
      <c r="D73" s="57">
        <f>xyzs!B70</f>
        <v>1.135916E-2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2039699440220.8076</v>
      </c>
      <c r="J73" s="58">
        <f t="shared" si="9"/>
        <v>8.7712081024278774</v>
      </c>
      <c r="K73" s="58"/>
      <c r="L73" s="59"/>
      <c r="M73" s="66"/>
      <c r="N73" s="61">
        <f t="shared" si="10"/>
        <v>8.7712081024278774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189.66147536911751</v>
      </c>
      <c r="W73" s="56">
        <f t="shared" si="12"/>
        <v>8.5540678910780681</v>
      </c>
      <c r="Z73" s="9">
        <v>685</v>
      </c>
      <c r="AA73" s="9">
        <f t="shared" si="6"/>
        <v>1949902865055.5864</v>
      </c>
      <c r="AB73" s="65">
        <v>1.192E-2</v>
      </c>
      <c r="AG73" s="9">
        <v>700</v>
      </c>
      <c r="AH73" s="9">
        <v>2.3046518583143065</v>
      </c>
    </row>
    <row r="74" spans="1:34" ht="11.5">
      <c r="A74" s="9">
        <v>705</v>
      </c>
      <c r="B74" s="48">
        <f>'Color metric'!B68</f>
        <v>3.4015852047556146E-2</v>
      </c>
      <c r="C74" s="56">
        <f t="shared" si="8"/>
        <v>0.35173346444840509</v>
      </c>
      <c r="D74" s="57">
        <f>xyzs!B71</f>
        <v>8.1109159999999993E-3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2068615997986.6592</v>
      </c>
      <c r="J74" s="58">
        <f t="shared" si="9"/>
        <v>8.8955563964798205</v>
      </c>
      <c r="K74" s="58"/>
      <c r="L74" s="59"/>
      <c r="M74" s="66"/>
      <c r="N74" s="61">
        <f t="shared" si="10"/>
        <v>8.8955563964798205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185.05829120892645</v>
      </c>
      <c r="W74" s="56">
        <f t="shared" si="12"/>
        <v>8.3464561462850035</v>
      </c>
      <c r="Z74" s="9">
        <v>690</v>
      </c>
      <c r="AA74" s="9">
        <f t="shared" si="6"/>
        <v>1980331796479.2759</v>
      </c>
      <c r="AB74" s="65">
        <v>8.2100000000000003E-3</v>
      </c>
      <c r="AG74" s="9">
        <v>705</v>
      </c>
      <c r="AH74" s="9">
        <v>2.3441193433286736</v>
      </c>
    </row>
    <row r="75" spans="1:34" ht="11.5">
      <c r="A75" s="9">
        <v>710</v>
      </c>
      <c r="B75" s="48">
        <f>'Color metric'!B69</f>
        <v>2.9062087186261559E-2</v>
      </c>
      <c r="C75" s="56">
        <f t="shared" si="8"/>
        <v>0.30051014438310331</v>
      </c>
      <c r="D75" s="57">
        <f>xyzs!B72</f>
        <v>5.790346E-3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2097007706562.0691</v>
      </c>
      <c r="J75" s="58">
        <f t="shared" si="9"/>
        <v>9.0176477102233026</v>
      </c>
      <c r="K75" s="58"/>
      <c r="L75" s="59"/>
      <c r="M75" s="66"/>
      <c r="N75" s="61">
        <f t="shared" si="10"/>
        <v>9.0176477102233026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180.45510704873539</v>
      </c>
      <c r="W75" s="56">
        <f t="shared" si="12"/>
        <v>8.1388444014919372</v>
      </c>
      <c r="Z75" s="9">
        <v>695</v>
      </c>
      <c r="AA75" s="9">
        <f t="shared" si="6"/>
        <v>2010267825567.0933</v>
      </c>
      <c r="AB75" s="65">
        <v>5.7229999999999998E-3</v>
      </c>
      <c r="AG75" s="9">
        <v>710</v>
      </c>
      <c r="AH75" s="9">
        <v>2.3835868283430419</v>
      </c>
    </row>
    <row r="76" spans="1:34" ht="11.5">
      <c r="A76" s="9">
        <v>715</v>
      </c>
      <c r="B76" s="48">
        <f>'Color metric'!B70</f>
        <v>2.4438573315719945E-2</v>
      </c>
      <c r="C76" s="56">
        <f t="shared" si="8"/>
        <v>0.25270171232215505</v>
      </c>
      <c r="D76" s="57">
        <f>xyzs!B73</f>
        <v>4.1094570000000004E-3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2124865603477.7395</v>
      </c>
      <c r="J76" s="58">
        <f t="shared" si="9"/>
        <v>9.1374435028411014</v>
      </c>
      <c r="K76" s="58"/>
      <c r="L76" s="59"/>
      <c r="M76" s="66"/>
      <c r="N76" s="61">
        <f t="shared" si="10"/>
        <v>9.1374435028411014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164.70375936847665</v>
      </c>
      <c r="W76" s="56">
        <f t="shared" si="12"/>
        <v>7.4284307702013326</v>
      </c>
      <c r="Z76" s="9">
        <v>700</v>
      </c>
      <c r="AA76" s="9">
        <f t="shared" si="6"/>
        <v>2039699440220.8076</v>
      </c>
      <c r="AB76" s="65">
        <v>4.1019999999999997E-3</v>
      </c>
      <c r="AG76" s="9">
        <v>715</v>
      </c>
      <c r="AH76" s="9">
        <v>2.1830967507450763</v>
      </c>
    </row>
    <row r="77" spans="1:34" ht="11.5">
      <c r="A77" s="9">
        <v>720</v>
      </c>
      <c r="B77" s="48">
        <f>'Color metric'!B71</f>
        <v>2.1136063408190225E-2</v>
      </c>
      <c r="C77" s="56">
        <f t="shared" si="8"/>
        <v>0.2185528322786206</v>
      </c>
      <c r="D77" s="57">
        <f>xyzs!B74</f>
        <v>2.8993270000000002E-3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2152181535071.98</v>
      </c>
      <c r="J77" s="58">
        <f t="shared" si="9"/>
        <v>9.2549087115871647</v>
      </c>
      <c r="K77" s="58"/>
      <c r="L77" s="59"/>
      <c r="M77" s="66"/>
      <c r="N77" s="61">
        <f t="shared" si="10"/>
        <v>9.2549087115871647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148.95241168821795</v>
      </c>
      <c r="W77" s="56">
        <f t="shared" si="12"/>
        <v>6.7180171389107297</v>
      </c>
      <c r="Z77" s="9">
        <v>705</v>
      </c>
      <c r="AA77" s="9">
        <f t="shared" ref="AA77:AA92" si="13">$AA$8/((Z77*0.000000001)^5)/(EXP($AA$9/(Z77*0.000000001*$U$3))-1)</f>
        <v>2068615997986.6592</v>
      </c>
      <c r="AB77" s="65">
        <v>2.9290000000000002E-3</v>
      </c>
      <c r="AG77" s="9">
        <v>720</v>
      </c>
      <c r="AH77" s="9">
        <v>1.9826066731471106</v>
      </c>
    </row>
    <row r="78" spans="1:34" ht="11.5">
      <c r="A78" s="9">
        <v>725</v>
      </c>
      <c r="B78" s="48">
        <f>'Color metric'!B72</f>
        <v>1.7833553500660501E-2</v>
      </c>
      <c r="C78" s="56">
        <f t="shared" si="8"/>
        <v>0.18440395223508613</v>
      </c>
      <c r="D78" s="57">
        <f>xyzs!B75</f>
        <v>2.0491900000000002E-3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2178948134867.1865</v>
      </c>
      <c r="J78" s="58">
        <f t="shared" si="9"/>
        <v>9.3700116588001841</v>
      </c>
      <c r="K78" s="58"/>
      <c r="L78" s="59"/>
      <c r="M78" s="66"/>
      <c r="N78" s="61">
        <f t="shared" si="10"/>
        <v>9.3700116588001841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156.90100075858044</v>
      </c>
      <c r="W78" s="56">
        <f t="shared" si="12"/>
        <v>7.0765125603653765</v>
      </c>
      <c r="Z78" s="9">
        <v>710</v>
      </c>
      <c r="AA78" s="9">
        <f t="shared" si="13"/>
        <v>2097007706562.0691</v>
      </c>
      <c r="AB78" s="65">
        <v>2.091E-3</v>
      </c>
      <c r="AG78" s="9">
        <v>725</v>
      </c>
      <c r="AH78" s="9">
        <v>2.1283750054984547</v>
      </c>
    </row>
    <row r="79" spans="1:34" ht="11.5">
      <c r="A79" s="9">
        <v>730</v>
      </c>
      <c r="B79" s="48">
        <f>'Color metric'!B73</f>
        <v>1.6182298546895641E-2</v>
      </c>
      <c r="C79" s="56">
        <f t="shared" si="8"/>
        <v>0.1673295122133189</v>
      </c>
      <c r="D79" s="57">
        <f>xyzs!B76</f>
        <v>1.439971E-3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2205158801451.5684</v>
      </c>
      <c r="J79" s="58">
        <f t="shared" si="9"/>
        <v>9.4827239567895774</v>
      </c>
      <c r="K79" s="58"/>
      <c r="L79" s="59"/>
      <c r="M79" s="66"/>
      <c r="N79" s="61">
        <f t="shared" si="10"/>
        <v>9.4827239567895774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164.8495898289429</v>
      </c>
      <c r="W79" s="56">
        <f t="shared" si="12"/>
        <v>7.4350079818200214</v>
      </c>
      <c r="Z79" s="9">
        <v>715</v>
      </c>
      <c r="AA79" s="9">
        <f t="shared" si="13"/>
        <v>2124865603477.7395</v>
      </c>
      <c r="AB79" s="65">
        <v>1.4840000000000001E-3</v>
      </c>
      <c r="AG79" s="9">
        <v>730</v>
      </c>
      <c r="AH79" s="9">
        <v>2.2741433378497988</v>
      </c>
    </row>
    <row r="80" spans="1:34" ht="11.5">
      <c r="A80" s="9">
        <v>735</v>
      </c>
      <c r="B80" s="48">
        <f>'Color metric'!B74</f>
        <v>1.5191545574636724E-2</v>
      </c>
      <c r="C80" s="56">
        <f t="shared" si="8"/>
        <v>0.15708484820025856</v>
      </c>
      <c r="D80" s="57">
        <f>xyzs!B77</f>
        <v>9.9994930000000008E-4</v>
      </c>
      <c r="E80" s="57">
        <f>xyzs!C77</f>
        <v>3.611E-4</v>
      </c>
      <c r="F80" s="57">
        <f>xyzs!D77</f>
        <v>0</v>
      </c>
      <c r="G80" s="89"/>
      <c r="H80" s="89"/>
      <c r="I80" s="9">
        <f t="shared" si="7"/>
        <v>2230807675962.6792</v>
      </c>
      <c r="J80" s="58">
        <f t="shared" si="9"/>
        <v>9.593020411009153</v>
      </c>
      <c r="K80" s="58"/>
      <c r="L80" s="59"/>
      <c r="M80" s="66"/>
      <c r="N80" s="61">
        <f t="shared" si="10"/>
        <v>9.593020411009153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169.94194087730205</v>
      </c>
      <c r="W80" s="56">
        <f t="shared" si="12"/>
        <v>7.6646820181950428</v>
      </c>
      <c r="Z80" s="9">
        <v>720</v>
      </c>
      <c r="AA80" s="9">
        <f t="shared" si="13"/>
        <v>2152181535071.98</v>
      </c>
      <c r="AB80" s="65">
        <v>1.047E-3</v>
      </c>
      <c r="AG80" s="9">
        <v>735</v>
      </c>
      <c r="AH80" s="9">
        <v>2.3684629915730682</v>
      </c>
    </row>
    <row r="81" spans="1:34" ht="11.5">
      <c r="A81" s="9">
        <v>740</v>
      </c>
      <c r="B81" s="48">
        <f>'Color metric'!B75</f>
        <v>1.3870541611624834E-2</v>
      </c>
      <c r="C81" s="56">
        <f t="shared" si="8"/>
        <v>0.14342529618284477</v>
      </c>
      <c r="D81" s="57">
        <f>xyzs!B78</f>
        <v>6.9007859999999999E-4</v>
      </c>
      <c r="E81" s="57">
        <f>xyzs!C78</f>
        <v>2.4919999999999999E-4</v>
      </c>
      <c r="F81" s="57">
        <f>xyzs!D78</f>
        <v>0</v>
      </c>
      <c r="G81" s="89"/>
      <c r="H81" s="89"/>
      <c r="I81" s="9">
        <f t="shared" si="7"/>
        <v>2255889619262.8555</v>
      </c>
      <c r="J81" s="58">
        <f t="shared" si="9"/>
        <v>9.7008789219059004</v>
      </c>
      <c r="K81" s="58"/>
      <c r="L81" s="59"/>
      <c r="M81" s="66"/>
      <c r="N81" s="61">
        <f t="shared" si="10"/>
        <v>9.7008789219059004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175.03429192566119</v>
      </c>
      <c r="W81" s="56">
        <f t="shared" si="12"/>
        <v>7.8943560545700633</v>
      </c>
      <c r="Z81" s="9">
        <v>725</v>
      </c>
      <c r="AA81" s="9">
        <f t="shared" si="13"/>
        <v>2178948134867.1865</v>
      </c>
      <c r="AB81" s="65">
        <v>7.3999999999999999E-4</v>
      </c>
      <c r="AG81" s="9">
        <v>740</v>
      </c>
      <c r="AH81" s="9">
        <v>2.4627826452963379</v>
      </c>
    </row>
    <row r="82" spans="1:34" ht="11.5">
      <c r="A82" s="9">
        <v>745</v>
      </c>
      <c r="B82" s="48">
        <f>'Color metric'!B76</f>
        <v>1.2219286657859972E-2</v>
      </c>
      <c r="C82" s="56">
        <f t="shared" si="8"/>
        <v>0.12635085616107752</v>
      </c>
      <c r="D82" s="57">
        <f>xyzs!B79</f>
        <v>4.7602130000000002E-4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2280400188890.5254</v>
      </c>
      <c r="J82" s="58">
        <f t="shared" si="9"/>
        <v>9.8062803858049481</v>
      </c>
      <c r="K82" s="58"/>
      <c r="L82" s="59"/>
      <c r="M82" s="66"/>
      <c r="N82" s="61">
        <f t="shared" si="10"/>
        <v>9.8062803858049481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161.15411976958205</v>
      </c>
      <c r="W82" s="56">
        <f t="shared" si="12"/>
        <v>7.2683357479586261</v>
      </c>
      <c r="Z82" s="9">
        <v>730</v>
      </c>
      <c r="AA82" s="9">
        <f t="shared" si="13"/>
        <v>2205158801451.5684</v>
      </c>
      <c r="AB82" s="65">
        <v>5.1999999999999995E-4</v>
      </c>
      <c r="AG82" s="9">
        <v>745</v>
      </c>
      <c r="AH82" s="9">
        <v>2.2794914492515574</v>
      </c>
    </row>
    <row r="83" spans="1:34" ht="11.5">
      <c r="A83" s="9">
        <v>750</v>
      </c>
      <c r="B83" s="48">
        <f>'Color metric'!B77</f>
        <v>1.2219286657859972E-2</v>
      </c>
      <c r="C83" s="56">
        <f t="shared" si="8"/>
        <v>0.12635085616107752</v>
      </c>
      <c r="D83" s="57">
        <f>xyzs!B80</f>
        <v>3.323011E-4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2304335615865.2305</v>
      </c>
      <c r="J83" s="58">
        <f t="shared" si="9"/>
        <v>9.9092085951654774</v>
      </c>
      <c r="K83" s="58"/>
      <c r="L83" s="59"/>
      <c r="M83" s="66"/>
      <c r="N83" s="61">
        <f t="shared" si="10"/>
        <v>9.9092085951654774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147.27394761350297</v>
      </c>
      <c r="W83" s="56">
        <f t="shared" si="12"/>
        <v>6.6423154413471925</v>
      </c>
      <c r="Z83" s="9">
        <v>735</v>
      </c>
      <c r="AA83" s="9">
        <f t="shared" si="13"/>
        <v>2230807675962.6792</v>
      </c>
      <c r="AB83" s="65">
        <v>3.6099999999999999E-4</v>
      </c>
      <c r="AG83" s="9">
        <v>750</v>
      </c>
      <c r="AH83" s="9">
        <v>2.0962002532067778</v>
      </c>
    </row>
    <row r="84" spans="1:34" ht="11.5">
      <c r="A84" s="9">
        <v>755</v>
      </c>
      <c r="B84" s="48">
        <f>'Color metric'!B78</f>
        <v>1.0898282694848084E-2</v>
      </c>
      <c r="C84" s="56">
        <f t="shared" si="8"/>
        <v>0.11269130414366374</v>
      </c>
      <c r="D84" s="57">
        <f>xyzs!B81</f>
        <v>2.348261E-4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2327692781418.6157</v>
      </c>
      <c r="J84" s="58">
        <f t="shared" si="9"/>
        <v>10.009650138518269</v>
      </c>
      <c r="K84" s="58"/>
      <c r="L84" s="59"/>
      <c r="M84" s="66"/>
      <c r="N84" s="61">
        <f t="shared" si="10"/>
        <v>10.009650138518269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129.23753743542051</v>
      </c>
      <c r="W84" s="56">
        <f t="shared" si="12"/>
        <v>5.8288414510474684</v>
      </c>
      <c r="Z84" s="9">
        <v>740</v>
      </c>
      <c r="AA84" s="9">
        <f t="shared" si="13"/>
        <v>2255889619262.8555</v>
      </c>
      <c r="AB84" s="65">
        <v>2.4899999999999998E-4</v>
      </c>
      <c r="AG84" s="9">
        <v>755</v>
      </c>
      <c r="AH84" s="9">
        <v>1.8037578171991322</v>
      </c>
    </row>
    <row r="85" spans="1:34" ht="11.5">
      <c r="A85" s="9">
        <v>760</v>
      </c>
      <c r="B85" s="48">
        <f>'Color metric'!B79</f>
        <v>1.1558784676354027E-2</v>
      </c>
      <c r="C85" s="56">
        <f t="shared" si="8"/>
        <v>0.11952108015237063</v>
      </c>
      <c r="D85" s="57">
        <f>xyzs!B82</f>
        <v>1.6615050000000001E-4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2350469193717.9561</v>
      </c>
      <c r="J85" s="58">
        <f t="shared" si="9"/>
        <v>10.107594300371147</v>
      </c>
      <c r="K85" s="58"/>
      <c r="L85" s="59"/>
      <c r="M85" s="66"/>
      <c r="N85" s="61">
        <f t="shared" si="10"/>
        <v>10.107594300371147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111.2011272573381</v>
      </c>
      <c r="W85" s="56">
        <f t="shared" si="12"/>
        <v>5.0153674607477461</v>
      </c>
      <c r="Z85" s="9">
        <v>745</v>
      </c>
      <c r="AA85" s="9">
        <f t="shared" si="13"/>
        <v>2280400188890.5254</v>
      </c>
      <c r="AB85" s="65">
        <v>1.719E-4</v>
      </c>
      <c r="AG85" s="9">
        <v>760</v>
      </c>
      <c r="AH85" s="9">
        <v>1.5113153811914868</v>
      </c>
    </row>
    <row r="86" spans="1:34" ht="11.5">
      <c r="A86" s="9">
        <v>765</v>
      </c>
      <c r="B86" s="48">
        <f>'Color metric'!B80</f>
        <v>1.1889035667107001E-2</v>
      </c>
      <c r="C86" s="56">
        <f t="shared" si="8"/>
        <v>0.12293596815672407</v>
      </c>
      <c r="D86" s="57">
        <f>xyzs!B83</f>
        <v>1.17413E-4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2372662964643.5508</v>
      </c>
      <c r="J86" s="58">
        <f t="shared" si="9"/>
        <v>10.203032961346086</v>
      </c>
      <c r="K86" s="58"/>
      <c r="L86" s="59"/>
      <c r="M86" s="66"/>
      <c r="N86" s="61">
        <f t="shared" si="10"/>
        <v>10.203032961346086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135.16912052113719</v>
      </c>
      <c r="W86" s="56">
        <f t="shared" si="12"/>
        <v>6.0963663362042588</v>
      </c>
      <c r="Z86" s="9">
        <v>750</v>
      </c>
      <c r="AA86" s="9">
        <f t="shared" si="13"/>
        <v>2304335615865.2305</v>
      </c>
      <c r="AB86" s="65">
        <v>1.2E-4</v>
      </c>
      <c r="AG86" s="9">
        <v>765</v>
      </c>
      <c r="AH86" s="9">
        <v>1.8412806808925684</v>
      </c>
    </row>
    <row r="87" spans="1:34" ht="11.5">
      <c r="A87" s="9">
        <v>770</v>
      </c>
      <c r="B87" s="48">
        <f>'Color metric'!B81</f>
        <v>1.0237780713342139E-2</v>
      </c>
      <c r="C87" s="56">
        <f t="shared" si="8"/>
        <v>0.10586152813495683</v>
      </c>
      <c r="D87" s="57">
        <f>xyzs!B84</f>
        <v>8.3075270000000005E-5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2394272786676.231</v>
      </c>
      <c r="J87" s="58">
        <f t="shared" si="9"/>
        <v>10.295960498789814</v>
      </c>
      <c r="K87" s="58"/>
      <c r="L87" s="59"/>
      <c r="M87" s="66"/>
      <c r="N87" s="61">
        <f t="shared" si="10"/>
        <v>10.295960498789814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159.13711378493628</v>
      </c>
      <c r="W87" s="56">
        <f t="shared" si="12"/>
        <v>7.1773652116607733</v>
      </c>
      <c r="Z87" s="9">
        <v>755</v>
      </c>
      <c r="AA87" s="9">
        <f t="shared" si="13"/>
        <v>2327692781418.6157</v>
      </c>
      <c r="AB87" s="65">
        <v>8.4800000000000001E-5</v>
      </c>
      <c r="AG87" s="9">
        <v>770</v>
      </c>
      <c r="AH87" s="9">
        <v>2.1712459805936497</v>
      </c>
    </row>
    <row r="88" spans="1:34" ht="11.5">
      <c r="A88" s="9">
        <v>775</v>
      </c>
      <c r="B88" s="48">
        <f>'Color metric'!B82</f>
        <v>8.5865257595772789E-3</v>
      </c>
      <c r="C88" s="56">
        <f t="shared" si="8"/>
        <v>8.8787088113189624E-2</v>
      </c>
      <c r="D88" s="57">
        <f>xyzs!B85</f>
        <v>5.8706519999999999E-5</v>
      </c>
      <c r="E88" s="57">
        <f>xyzs!C85</f>
        <v>2.12E-5</v>
      </c>
      <c r="F88" s="57">
        <f>xyzs!D85</f>
        <v>0</v>
      </c>
      <c r="G88" s="89"/>
      <c r="H88" s="89"/>
      <c r="I88" s="9">
        <f t="shared" si="14"/>
        <v>2415297909946.4453</v>
      </c>
      <c r="J88" s="58">
        <f t="shared" si="9"/>
        <v>10.386373688079253</v>
      </c>
      <c r="K88" s="58"/>
      <c r="L88" s="59"/>
      <c r="M88" s="66"/>
      <c r="N88" s="61">
        <f t="shared" si="10"/>
        <v>10.386373688079253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153.75864971022125</v>
      </c>
      <c r="W88" s="56">
        <f t="shared" si="12"/>
        <v>6.9347869719033479</v>
      </c>
      <c r="Z88" s="9">
        <v>760</v>
      </c>
      <c r="AA88" s="9">
        <f t="shared" si="13"/>
        <v>2350469193717.9561</v>
      </c>
      <c r="AB88" s="65">
        <v>6.0000000000000002E-5</v>
      </c>
      <c r="AG88" s="9">
        <v>775</v>
      </c>
      <c r="AH88" s="9">
        <v>2.1206091937773723</v>
      </c>
    </row>
    <row r="89" spans="1:34" ht="11.5">
      <c r="A89" s="9">
        <v>780</v>
      </c>
      <c r="B89" s="48">
        <f>'Color metric'!B83</f>
        <v>6.2747688243064729E-3</v>
      </c>
      <c r="C89" s="56">
        <f t="shared" si="8"/>
        <v>6.4882872082715495E-2</v>
      </c>
      <c r="D89" s="57">
        <f>xyzs!B86</f>
        <v>4.1509940000000003E-5</v>
      </c>
      <c r="E89" s="57">
        <f>xyzs!C86</f>
        <v>1.499E-5</v>
      </c>
      <c r="F89" s="57">
        <f>xyzs!D86</f>
        <v>0</v>
      </c>
      <c r="G89" s="89"/>
      <c r="H89" s="89"/>
      <c r="I89" s="9">
        <f t="shared" si="14"/>
        <v>2435738119491.6768</v>
      </c>
      <c r="J89" s="58">
        <f t="shared" si="9"/>
        <v>10.474271604822833</v>
      </c>
      <c r="K89" s="58"/>
      <c r="L89" s="59"/>
      <c r="M89" s="66"/>
      <c r="N89" s="61">
        <f t="shared" si="10"/>
        <v>10.474271604822833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148.38018563550625</v>
      </c>
      <c r="W89" s="56">
        <f t="shared" si="12"/>
        <v>6.6922087321459243</v>
      </c>
      <c r="Z89" s="9">
        <v>765</v>
      </c>
      <c r="AA89" s="9">
        <f t="shared" si="13"/>
        <v>2372662964643.5508</v>
      </c>
      <c r="AB89" s="65">
        <v>4.2400000000000001E-5</v>
      </c>
      <c r="AG89" s="9">
        <v>780</v>
      </c>
      <c r="AH89" s="9">
        <v>2.069972406961095</v>
      </c>
    </row>
    <row r="90" spans="1:34" ht="11.5">
      <c r="A90" s="9">
        <v>785</v>
      </c>
      <c r="B90" s="211">
        <f>B89</f>
        <v>6.2747688243064729E-3</v>
      </c>
      <c r="C90" s="56">
        <f t="shared" si="8"/>
        <v>6.4882872082715495E-2</v>
      </c>
      <c r="D90" s="57">
        <f>xyzs!B87</f>
        <v>2.935326E-5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2455593712764.7192</v>
      </c>
      <c r="J90" s="58">
        <f t="shared" si="9"/>
        <v>10.55965552814056</v>
      </c>
      <c r="K90" s="58"/>
      <c r="L90" s="59"/>
      <c r="M90" s="66"/>
      <c r="N90" s="61">
        <f t="shared" si="10"/>
        <v>10.55965552814056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150.01629866186209</v>
      </c>
      <c r="W90" s="56">
        <f t="shared" si="12"/>
        <v>6.7660003225450138</v>
      </c>
      <c r="Z90" s="9">
        <v>770</v>
      </c>
      <c r="AA90" s="9">
        <f t="shared" si="13"/>
        <v>2394272786676.231</v>
      </c>
      <c r="AB90" s="65">
        <v>3.0000000000000001E-5</v>
      </c>
      <c r="AG90" s="9">
        <v>785</v>
      </c>
      <c r="AH90" s="9">
        <v>2.0862114306710016</v>
      </c>
    </row>
    <row r="91" spans="1:34" ht="11.5">
      <c r="A91" s="9">
        <v>790</v>
      </c>
      <c r="B91" s="211">
        <f t="shared" ref="B91:B99" si="15">B90</f>
        <v>6.2747688243064729E-3</v>
      </c>
      <c r="C91" s="56">
        <f t="shared" si="8"/>
        <v>6.4882872082715495E-2</v>
      </c>
      <c r="D91" s="57">
        <f>xyzs!B88</f>
        <v>2.0673830000000001E-5</v>
      </c>
      <c r="E91" s="57">
        <f>xyzs!C88</f>
        <v>7.4657000000000004E-6</v>
      </c>
      <c r="F91" s="57">
        <f>xyzs!D88</f>
        <v>0</v>
      </c>
      <c r="G91" s="89"/>
      <c r="H91" s="89"/>
      <c r="I91" s="9">
        <f t="shared" si="14"/>
        <v>2474865477431.1045</v>
      </c>
      <c r="J91" s="58">
        <f t="shared" si="9"/>
        <v>10.642528845187499</v>
      </c>
      <c r="K91" s="58"/>
      <c r="L91" s="59"/>
      <c r="M91" s="66"/>
      <c r="N91" s="61">
        <f t="shared" si="10"/>
        <v>10.642528845187499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151.65241168821797</v>
      </c>
      <c r="W91" s="56">
        <f t="shared" si="12"/>
        <v>6.839791912944106</v>
      </c>
      <c r="Z91" s="9">
        <v>775</v>
      </c>
      <c r="AA91" s="9">
        <f t="shared" si="13"/>
        <v>2415297909946.4453</v>
      </c>
      <c r="AB91" s="65">
        <v>2.0999999999999999E-5</v>
      </c>
      <c r="AG91" s="9">
        <v>790</v>
      </c>
      <c r="AH91" s="9">
        <v>2.1024504543809082</v>
      </c>
    </row>
    <row r="92" spans="1:34" ht="11.5">
      <c r="A92" s="9">
        <v>795</v>
      </c>
      <c r="B92" s="211">
        <f t="shared" si="15"/>
        <v>6.2747688243064729E-3</v>
      </c>
      <c r="C92" s="56">
        <f t="shared" si="8"/>
        <v>6.4882872082715495E-2</v>
      </c>
      <c r="D92" s="57">
        <f>xyzs!B89</f>
        <v>1.455977E-5</v>
      </c>
      <c r="E92" s="57">
        <f>xyzs!C89</f>
        <v>5.2577999999999999E-6</v>
      </c>
      <c r="F92" s="57">
        <f>xyzs!D89</f>
        <v>0</v>
      </c>
      <c r="G92" s="89"/>
      <c r="H92" s="89"/>
      <c r="I92" s="9">
        <f t="shared" si="14"/>
        <v>2493554669490.1279</v>
      </c>
      <c r="J92" s="58">
        <f t="shared" si="9"/>
        <v>10.722896957068821</v>
      </c>
      <c r="K92" s="58"/>
      <c r="L92" s="59"/>
      <c r="M92" s="66"/>
      <c r="N92" s="61">
        <f t="shared" si="10"/>
        <v>10.722896957068821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145.48888511567924</v>
      </c>
      <c r="W92" s="56">
        <f t="shared" si="12"/>
        <v>6.5618059664183273</v>
      </c>
      <c r="Z92" s="9">
        <v>780</v>
      </c>
      <c r="AA92" s="9">
        <f t="shared" si="13"/>
        <v>2435738119491.6768</v>
      </c>
      <c r="AB92" s="65">
        <v>1.5E-5</v>
      </c>
      <c r="AG92" s="9">
        <v>795</v>
      </c>
      <c r="AH92" s="9">
        <v>2.0264411876181709</v>
      </c>
    </row>
    <row r="93" spans="1:34" ht="11.5">
      <c r="A93" s="9">
        <v>800</v>
      </c>
      <c r="B93" s="211">
        <f t="shared" si="15"/>
        <v>6.2747688243064729E-3</v>
      </c>
      <c r="C93" s="56">
        <f t="shared" si="8"/>
        <v>6.4882872082715495E-2</v>
      </c>
      <c r="D93" s="57">
        <f>xyzs!B90</f>
        <v>1.0253980000000001E-5</v>
      </c>
      <c r="E93" s="57">
        <f>xyzs!C90</f>
        <v>3.7029000000000002E-6</v>
      </c>
      <c r="F93" s="57">
        <f>xyzs!D90</f>
        <v>0</v>
      </c>
      <c r="G93" s="89"/>
      <c r="H93" s="89"/>
      <c r="I93" s="9">
        <f t="shared" si="14"/>
        <v>2511662991750.1714</v>
      </c>
      <c r="J93" s="58">
        <f t="shared" si="9"/>
        <v>10.800767186278412</v>
      </c>
      <c r="K93" s="58"/>
      <c r="L93" s="59"/>
      <c r="M93" s="66"/>
      <c r="N93" s="61">
        <f t="shared" si="10"/>
        <v>10.800767186278412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139.32535854314048</v>
      </c>
      <c r="W93" s="56">
        <f t="shared" si="12"/>
        <v>6.2838200198925458</v>
      </c>
      <c r="AG93" s="9">
        <v>800</v>
      </c>
      <c r="AH93" s="9">
        <v>1.9504319208554339</v>
      </c>
    </row>
    <row r="94" spans="1:34" ht="11.5">
      <c r="A94" s="9">
        <v>805</v>
      </c>
      <c r="B94" s="211">
        <f t="shared" si="15"/>
        <v>6.2747688243064729E-3</v>
      </c>
      <c r="C94" s="56">
        <f t="shared" si="8"/>
        <v>6.4882872082715495E-2</v>
      </c>
      <c r="D94" s="57">
        <f>xyzs!B91</f>
        <v>7.2214559999999999E-6</v>
      </c>
      <c r="E94" s="57">
        <f>xyzs!C91</f>
        <v>2.6077999999999998E-6</v>
      </c>
      <c r="F94" s="57">
        <f>xyzs!D91</f>
        <v>0</v>
      </c>
      <c r="G94" s="89"/>
      <c r="H94" s="89"/>
      <c r="I94" s="9">
        <f t="shared" si="14"/>
        <v>2529192572685.6626</v>
      </c>
      <c r="J94" s="58">
        <f t="shared" si="9"/>
        <v>10.876148685778604</v>
      </c>
      <c r="K94" s="58"/>
      <c r="L94" s="59"/>
      <c r="M94" s="66"/>
      <c r="N94" s="61">
        <f t="shared" si="10"/>
        <v>10.876148685778604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129.93753743542052</v>
      </c>
      <c r="W94" s="56">
        <f t="shared" si="12"/>
        <v>5.8604126887598254</v>
      </c>
      <c r="AA94" s="9">
        <f>AA76</f>
        <v>2039699440220.8076</v>
      </c>
      <c r="AG94" s="9">
        <v>805</v>
      </c>
      <c r="AH94" s="9">
        <v>1.8348284271486355</v>
      </c>
    </row>
    <row r="95" spans="1:34" ht="11.5">
      <c r="A95" s="9">
        <v>810</v>
      </c>
      <c r="B95" s="211">
        <f t="shared" si="15"/>
        <v>6.2747688243064729E-3</v>
      </c>
      <c r="C95" s="56">
        <f t="shared" si="8"/>
        <v>6.4882872082715495E-2</v>
      </c>
      <c r="D95" s="57">
        <f>xyzs!B92</f>
        <v>5.0858679999999998E-6</v>
      </c>
      <c r="E95" s="57">
        <f>xyzs!C92</f>
        <v>1.8365999999999999E-6</v>
      </c>
      <c r="F95" s="57">
        <f>xyzs!D92</f>
        <v>0</v>
      </c>
      <c r="G95" s="89"/>
      <c r="H95" s="89"/>
      <c r="I95" s="9">
        <f t="shared" si="14"/>
        <v>2546145945699.5713</v>
      </c>
      <c r="J95" s="58">
        <f t="shared" si="9"/>
        <v>10.949052349823821</v>
      </c>
      <c r="K95" s="58"/>
      <c r="L95" s="59"/>
      <c r="M95" s="66"/>
      <c r="N95" s="61">
        <f t="shared" si="10"/>
        <v>10.949052349823821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120.54971632770055</v>
      </c>
      <c r="W95" s="56">
        <f t="shared" si="12"/>
        <v>5.437005357627104</v>
      </c>
      <c r="AG95" s="9">
        <v>810</v>
      </c>
      <c r="AH95" s="9">
        <v>1.7192249334418361</v>
      </c>
    </row>
    <row r="96" spans="1:34" ht="11.5">
      <c r="A96" s="9">
        <v>815</v>
      </c>
      <c r="B96" s="211">
        <f t="shared" si="15"/>
        <v>6.2747688243064729E-3</v>
      </c>
      <c r="C96" s="56">
        <f t="shared" si="8"/>
        <v>6.4882872082715495E-2</v>
      </c>
      <c r="D96" s="57">
        <f>xyzs!B93</f>
        <v>3.5816519999999999E-6</v>
      </c>
      <c r="E96" s="57">
        <f>xyzs!C93</f>
        <v>1.2934E-6</v>
      </c>
      <c r="F96" s="57">
        <f>xyzs!D93</f>
        <v>0</v>
      </c>
      <c r="G96" s="89"/>
      <c r="H96" s="89"/>
      <c r="I96" s="9">
        <f t="shared" si="14"/>
        <v>2562526028812.5054</v>
      </c>
      <c r="J96" s="58">
        <f t="shared" si="9"/>
        <v>11.019490726618717</v>
      </c>
      <c r="K96" s="58"/>
      <c r="L96" s="59"/>
      <c r="M96" s="66"/>
      <c r="N96" s="61">
        <f t="shared" si="10"/>
        <v>11.019490726618717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127.09830539806302</v>
      </c>
      <c r="W96" s="56">
        <f t="shared" si="12"/>
        <v>5.732358303657036</v>
      </c>
      <c r="AG96" s="9">
        <v>815</v>
      </c>
      <c r="AH96" s="9">
        <v>1.8028520458941748</v>
      </c>
    </row>
    <row r="97" spans="1:34" ht="11.5">
      <c r="A97" s="9">
        <v>820</v>
      </c>
      <c r="B97" s="211">
        <f t="shared" si="15"/>
        <v>6.2747688243064729E-3</v>
      </c>
      <c r="C97" s="56">
        <f t="shared" si="8"/>
        <v>6.4882872082715495E-2</v>
      </c>
      <c r="D97" s="57">
        <f>xyzs!B94</f>
        <v>2.522525E-6</v>
      </c>
      <c r="E97" s="57">
        <f>xyzs!C94</f>
        <v>9.1093000000000002E-7</v>
      </c>
      <c r="F97" s="57">
        <f>xyzs!D94</f>
        <v>0</v>
      </c>
      <c r="G97" s="89"/>
      <c r="H97" s="89"/>
      <c r="I97" s="9">
        <f t="shared" si="14"/>
        <v>2578336104796.3965</v>
      </c>
      <c r="J97" s="58">
        <f t="shared" si="9"/>
        <v>11.087477932888135</v>
      </c>
      <c r="K97" s="58"/>
      <c r="L97" s="59"/>
      <c r="M97" s="66"/>
      <c r="N97" s="61">
        <f t="shared" si="10"/>
        <v>11.087477932888135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133.64689446842547</v>
      </c>
      <c r="W97" s="56">
        <f t="shared" si="12"/>
        <v>6.0277112496869689</v>
      </c>
      <c r="AG97" s="9">
        <v>820</v>
      </c>
      <c r="AH97" s="9">
        <v>1.8864791583465121</v>
      </c>
    </row>
    <row r="98" spans="1:34" ht="11.5">
      <c r="A98" s="9">
        <v>825</v>
      </c>
      <c r="B98" s="211">
        <f t="shared" si="15"/>
        <v>6.2747688243064729E-3</v>
      </c>
      <c r="C98" s="56">
        <f t="shared" si="8"/>
        <v>6.4882872082715495E-2</v>
      </c>
      <c r="D98" s="57">
        <f>xyzs!B95</f>
        <v>1.7765090000000001E-6</v>
      </c>
      <c r="E98" s="57">
        <f>xyzs!C95</f>
        <v>6.4153E-7</v>
      </c>
      <c r="F98" s="57">
        <f>xyzs!D95</f>
        <v>0</v>
      </c>
      <c r="G98" s="89"/>
      <c r="H98" s="89"/>
      <c r="I98" s="9">
        <f t="shared" si="14"/>
        <v>2593579801768.2471</v>
      </c>
      <c r="J98" s="58">
        <f t="shared" si="9"/>
        <v>11.153029570425463</v>
      </c>
      <c r="K98" s="58"/>
      <c r="L98" s="59"/>
      <c r="M98" s="66"/>
      <c r="N98" s="61">
        <f t="shared" si="10"/>
        <v>11.153029570425463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137.5041830189609</v>
      </c>
      <c r="W98" s="56">
        <f t="shared" si="12"/>
        <v>6.2016817836214049</v>
      </c>
      <c r="AG98" s="9">
        <v>825</v>
      </c>
      <c r="AH98" s="9">
        <v>1.9354523685843557</v>
      </c>
    </row>
    <row r="99" spans="1:34" ht="11.5">
      <c r="A99" s="9">
        <v>830</v>
      </c>
      <c r="B99" s="211">
        <f t="shared" si="15"/>
        <v>6.2747688243064729E-3</v>
      </c>
      <c r="C99" s="56">
        <f t="shared" si="8"/>
        <v>6.4882872082715495E-2</v>
      </c>
      <c r="D99" s="57">
        <f>xyzs!B96</f>
        <v>1.251141E-6</v>
      </c>
      <c r="E99" s="57">
        <f>xyzs!C96</f>
        <v>4.5181000000000002E-7</v>
      </c>
      <c r="F99" s="57">
        <f>xyzs!D96</f>
        <v>0</v>
      </c>
      <c r="G99" s="89"/>
      <c r="H99" s="89"/>
      <c r="I99" s="9">
        <f t="shared" si="14"/>
        <v>2608261074256.811</v>
      </c>
      <c r="J99" s="58">
        <f t="shared" si="9"/>
        <v>11.216162644674728</v>
      </c>
      <c r="K99" s="58"/>
      <c r="L99" s="59"/>
      <c r="M99" s="66"/>
      <c r="N99" s="61">
        <f t="shared" si="10"/>
        <v>11.216162644674728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141.36147156949633</v>
      </c>
      <c r="W99" s="56">
        <f t="shared" si="12"/>
        <v>6.3756523175558399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23254486912198.758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Excel 4.0-macro's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2019-08-31T20:56:46Z</dcterms:modified>
</cp:coreProperties>
</file>